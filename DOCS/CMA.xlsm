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ASHUTOSH\OneDrive\Desktop\CMA project -2\DOCS\"/>
    </mc:Choice>
  </mc:AlternateContent>
  <xr:revisionPtr revIDLastSave="0" documentId="13_ncr:1_{782EDFC5-2AAF-4555-8770-59247E7822D8}" xr6:coauthVersionLast="47" xr6:coauthVersionMax="47" xr10:uidLastSave="{00000000-0000-0000-0000-000000000000}"/>
  <bookViews>
    <workbookView xWindow="-108" yWindow="-108" windowWidth="23256" windowHeight="13896" tabRatio="766" activeTab="3" xr2:uid="{886D45CB-B8FC-4E3F-AA36-0AA6AAA03CEB}"/>
  </bookViews>
  <sheets>
    <sheet name="Details" sheetId="13" r:id="rId1"/>
    <sheet name="Sheet1" sheetId="16" r:id="rId2"/>
    <sheet name="TL" sheetId="14" r:id="rId3"/>
    <sheet name="INPUT SHEET" sheetId="1" r:id="rId4"/>
    <sheet name="Summary spread" sheetId="2" state="hidden" r:id="rId5"/>
    <sheet name="Cash flows" sheetId="3" state="hidden" r:id="rId6"/>
    <sheet name="Key Financials" sheetId="4" r:id="rId7"/>
    <sheet name="Form_IV" sheetId="8" r:id="rId8"/>
    <sheet name="Trend Analysis" sheetId="5" state="hidden" r:id="rId9"/>
    <sheet name="Form_II" sheetId="6" r:id="rId10"/>
    <sheet name="Form_III" sheetId="7" r:id="rId11"/>
    <sheet name="Form_V" sheetId="9" r:id="rId12"/>
    <sheet name="Form_VI" sheetId="10" state="hidden" r:id="rId13"/>
    <sheet name="Financials improper" sheetId="11" state="hidden" r:id="rId14"/>
    <sheet name="CMAcode" sheetId="12" state="hidden" r:id="rId15"/>
    <sheet name="assumptions" sheetId="15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Area" localSheetId="11">Form_V!$A$1:$L$30</definedName>
    <definedName name="_xlnm.Print_Titles" localSheetId="10">Form_III!$8:$8</definedName>
    <definedName name="_xlnm.Print_Titles" localSheetId="7">Form_IV!$9:$9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4" l="1"/>
  <c r="I141" i="1"/>
  <c r="H141" i="1"/>
  <c r="G141" i="1"/>
  <c r="F141" i="1"/>
  <c r="E141" i="1"/>
  <c r="I140" i="1"/>
  <c r="H140" i="1"/>
  <c r="G140" i="1"/>
  <c r="F140" i="1"/>
  <c r="E140" i="1"/>
  <c r="I137" i="1"/>
  <c r="I136" i="1"/>
  <c r="H136" i="1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H5" i="14"/>
  <c r="F6" i="14" s="1"/>
  <c r="H6" i="14" s="1"/>
  <c r="F7" i="14" s="1"/>
  <c r="H7" i="14" s="1"/>
  <c r="E7" i="14"/>
  <c r="C7" i="14" s="1"/>
  <c r="E8" i="14"/>
  <c r="C8" i="14" s="1"/>
  <c r="E9" i="14"/>
  <c r="C9" i="14" s="1"/>
  <c r="E10" i="14"/>
  <c r="C10" i="14" s="1"/>
  <c r="E11" i="14"/>
  <c r="C11" i="14" s="1"/>
  <c r="E12" i="14"/>
  <c r="C12" i="14" s="1"/>
  <c r="E13" i="14"/>
  <c r="C13" i="14" s="1"/>
  <c r="E14" i="14"/>
  <c r="C14" i="14" s="1"/>
  <c r="E15" i="14"/>
  <c r="C15" i="14" s="1"/>
  <c r="E16" i="14"/>
  <c r="C16" i="14" s="1"/>
  <c r="E17" i="14"/>
  <c r="C17" i="14" s="1"/>
  <c r="E18" i="14"/>
  <c r="C18" i="14" s="1"/>
  <c r="E19" i="14"/>
  <c r="C19" i="14" s="1"/>
  <c r="E20" i="14"/>
  <c r="C20" i="14" s="1"/>
  <c r="E21" i="14"/>
  <c r="C21" i="14" s="1"/>
  <c r="E22" i="14"/>
  <c r="C22" i="14" s="1"/>
  <c r="E23" i="14"/>
  <c r="C23" i="14" s="1"/>
  <c r="E24" i="14"/>
  <c r="C24" i="14" s="1"/>
  <c r="E25" i="14"/>
  <c r="C25" i="14" s="1"/>
  <c r="E26" i="14"/>
  <c r="C26" i="14" s="1"/>
  <c r="E27" i="14"/>
  <c r="C27" i="14" s="1"/>
  <c r="E28" i="14"/>
  <c r="C28" i="14" s="1"/>
  <c r="E29" i="14"/>
  <c r="C29" i="14" s="1"/>
  <c r="E30" i="14"/>
  <c r="C30" i="14" s="1"/>
  <c r="E31" i="14"/>
  <c r="C31" i="14" s="1"/>
  <c r="E32" i="14"/>
  <c r="C32" i="14" s="1"/>
  <c r="E33" i="14"/>
  <c r="C33" i="14" s="1"/>
  <c r="E34" i="14"/>
  <c r="C34" i="14" s="1"/>
  <c r="E35" i="14"/>
  <c r="C35" i="14" s="1"/>
  <c r="E36" i="14"/>
  <c r="C36" i="14" s="1"/>
  <c r="E37" i="14"/>
  <c r="C37" i="14" s="1"/>
  <c r="E38" i="14"/>
  <c r="C38" i="14" s="1"/>
  <c r="E39" i="14"/>
  <c r="C39" i="14" s="1"/>
  <c r="E40" i="14"/>
  <c r="C40" i="14" s="1"/>
  <c r="E41" i="14"/>
  <c r="C41" i="14" s="1"/>
  <c r="E42" i="14"/>
  <c r="C42" i="14" s="1"/>
  <c r="E43" i="14"/>
  <c r="C43" i="14" s="1"/>
  <c r="E44" i="14"/>
  <c r="C44" i="14" s="1"/>
  <c r="E45" i="14"/>
  <c r="C45" i="14" s="1"/>
  <c r="E46" i="14"/>
  <c r="C46" i="14" s="1"/>
  <c r="E47" i="14"/>
  <c r="C47" i="14" s="1"/>
  <c r="E48" i="14"/>
  <c r="C48" i="14" s="1"/>
  <c r="E49" i="14"/>
  <c r="C49" i="14" s="1"/>
  <c r="E50" i="14"/>
  <c r="C50" i="14" s="1"/>
  <c r="E51" i="14"/>
  <c r="C51" i="14" s="1"/>
  <c r="E52" i="14"/>
  <c r="C52" i="14" s="1"/>
  <c r="E53" i="14"/>
  <c r="C53" i="14" s="1"/>
  <c r="I83" i="1"/>
  <c r="I86" i="1" s="1"/>
  <c r="L39" i="6"/>
  <c r="J58" i="4"/>
  <c r="J60" i="4"/>
  <c r="E6" i="14"/>
  <c r="D5" i="14"/>
  <c r="B6" i="14" s="1"/>
  <c r="D101" i="1"/>
  <c r="G49" i="6" s="1"/>
  <c r="C101" i="1"/>
  <c r="F49" i="6" s="1"/>
  <c r="B101" i="1"/>
  <c r="E49" i="6" s="1"/>
  <c r="D100" i="1"/>
  <c r="G48" i="6" s="1"/>
  <c r="C100" i="1"/>
  <c r="F48" i="6" s="1"/>
  <c r="F46" i="6" s="1"/>
  <c r="B100" i="1"/>
  <c r="E48" i="6" s="1"/>
  <c r="D99" i="1"/>
  <c r="C99" i="1"/>
  <c r="F47" i="6"/>
  <c r="B99" i="1"/>
  <c r="D85" i="1"/>
  <c r="C85" i="1"/>
  <c r="B85" i="1"/>
  <c r="D84" i="1"/>
  <c r="C84" i="1"/>
  <c r="B84" i="1"/>
  <c r="D83" i="1"/>
  <c r="G39" i="6" s="1"/>
  <c r="E58" i="4" s="1"/>
  <c r="E60" i="4" s="1"/>
  <c r="D86" i="1"/>
  <c r="C83" i="1"/>
  <c r="C86" i="1" s="1"/>
  <c r="F39" i="6"/>
  <c r="D58" i="4"/>
  <c r="D60" i="4"/>
  <c r="B83" i="1"/>
  <c r="D73" i="1"/>
  <c r="C73" i="1"/>
  <c r="B73" i="1"/>
  <c r="D72" i="1"/>
  <c r="E72" i="1"/>
  <c r="F72" i="1"/>
  <c r="G72" i="1"/>
  <c r="H72" i="1"/>
  <c r="I72" i="1"/>
  <c r="J72" i="1"/>
  <c r="C72" i="1"/>
  <c r="B72" i="1"/>
  <c r="D71" i="1"/>
  <c r="C71" i="1"/>
  <c r="B71" i="1"/>
  <c r="D70" i="1"/>
  <c r="C70" i="1"/>
  <c r="B70" i="1"/>
  <c r="D69" i="1"/>
  <c r="C69" i="1"/>
  <c r="B69" i="1"/>
  <c r="D68" i="1"/>
  <c r="E68" i="1"/>
  <c r="F68" i="1"/>
  <c r="G68" i="1" s="1"/>
  <c r="H68" i="1" s="1"/>
  <c r="I68" i="1" s="1"/>
  <c r="J68" i="1" s="1"/>
  <c r="C68" i="1"/>
  <c r="B68" i="1"/>
  <c r="D67" i="1"/>
  <c r="D74" i="1" s="1"/>
  <c r="C67" i="1"/>
  <c r="C74" i="1" s="1"/>
  <c r="B67" i="1"/>
  <c r="B74" i="1" s="1"/>
  <c r="D56" i="1"/>
  <c r="C56" i="1"/>
  <c r="B56" i="1"/>
  <c r="D54" i="1"/>
  <c r="C54" i="1"/>
  <c r="B54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G23" i="6" s="1"/>
  <c r="C44" i="1"/>
  <c r="F23" i="6" s="1"/>
  <c r="B44" i="1"/>
  <c r="E23" i="6" s="1"/>
  <c r="D43" i="1"/>
  <c r="C43" i="1"/>
  <c r="B43" i="1"/>
  <c r="D42" i="1"/>
  <c r="C42" i="1"/>
  <c r="B42" i="1"/>
  <c r="E20" i="6" s="1"/>
  <c r="E18" i="6" s="1"/>
  <c r="D41" i="1"/>
  <c r="C41" i="1"/>
  <c r="B41" i="1"/>
  <c r="D22" i="1"/>
  <c r="C22" i="1"/>
  <c r="B22" i="1"/>
  <c r="G19" i="6"/>
  <c r="D59" i="1"/>
  <c r="C10" i="5"/>
  <c r="C8" i="1"/>
  <c r="E34" i="1"/>
  <c r="I223" i="1"/>
  <c r="G250" i="1"/>
  <c r="E18" i="1"/>
  <c r="I249" i="1"/>
  <c r="J249" i="1"/>
  <c r="M26" i="7"/>
  <c r="M61" i="8"/>
  <c r="E249" i="1"/>
  <c r="F249" i="1" s="1"/>
  <c r="I246" i="1"/>
  <c r="J246" i="1"/>
  <c r="E246" i="1"/>
  <c r="F246" i="1" s="1"/>
  <c r="J244" i="1"/>
  <c r="J242" i="1"/>
  <c r="M17" i="7"/>
  <c r="I238" i="1"/>
  <c r="L103" i="7" s="1"/>
  <c r="J238" i="1"/>
  <c r="M103" i="7"/>
  <c r="E238" i="1"/>
  <c r="I237" i="1"/>
  <c r="J237" i="1"/>
  <c r="M102" i="7"/>
  <c r="E237" i="1"/>
  <c r="I224" i="1"/>
  <c r="J224" i="1"/>
  <c r="J230" i="1"/>
  <c r="E224" i="1"/>
  <c r="F224" i="1" s="1"/>
  <c r="E223" i="1"/>
  <c r="H82" i="7" s="1"/>
  <c r="F223" i="1"/>
  <c r="G223" i="1" s="1"/>
  <c r="J82" i="7" s="1"/>
  <c r="I222" i="1"/>
  <c r="L81" i="7" s="1"/>
  <c r="J222" i="1"/>
  <c r="M81" i="7"/>
  <c r="E222" i="1"/>
  <c r="H81" i="7" s="1"/>
  <c r="F222" i="1"/>
  <c r="J221" i="1"/>
  <c r="M79" i="7"/>
  <c r="M37" i="8"/>
  <c r="I220" i="1"/>
  <c r="L78" i="7" s="1"/>
  <c r="L30" i="8" s="1"/>
  <c r="E220" i="1"/>
  <c r="H78" i="7"/>
  <c r="H30" i="8"/>
  <c r="I219" i="1"/>
  <c r="J219" i="1"/>
  <c r="E219" i="1"/>
  <c r="E215" i="1"/>
  <c r="F215" i="1"/>
  <c r="I214" i="1"/>
  <c r="J214" i="1" s="1"/>
  <c r="J234" i="1" s="1"/>
  <c r="M98" i="7" s="1"/>
  <c r="E214" i="1"/>
  <c r="E234" i="1"/>
  <c r="H98" i="7"/>
  <c r="I213" i="1"/>
  <c r="E213" i="1"/>
  <c r="F213" i="1" s="1"/>
  <c r="I212" i="1"/>
  <c r="J212" i="1"/>
  <c r="E212" i="1"/>
  <c r="F212" i="1" s="1"/>
  <c r="I208" i="1"/>
  <c r="J208" i="1"/>
  <c r="E208" i="1"/>
  <c r="F208" i="1"/>
  <c r="K207" i="1"/>
  <c r="J207" i="1"/>
  <c r="I207" i="1"/>
  <c r="G207" i="1"/>
  <c r="F206" i="1"/>
  <c r="E206" i="1"/>
  <c r="K194" i="1"/>
  <c r="J194" i="1"/>
  <c r="M71" i="7" s="1"/>
  <c r="E162" i="1"/>
  <c r="I159" i="1"/>
  <c r="E159" i="1"/>
  <c r="H35" i="7"/>
  <c r="I154" i="1"/>
  <c r="E154" i="1"/>
  <c r="F154" i="1"/>
  <c r="I153" i="1"/>
  <c r="E153" i="1"/>
  <c r="F153" i="1"/>
  <c r="I152" i="1"/>
  <c r="E152" i="1"/>
  <c r="H48" i="7"/>
  <c r="L32" i="7"/>
  <c r="I131" i="1"/>
  <c r="I134" i="1" s="1"/>
  <c r="I157" i="1" s="1"/>
  <c r="L12" i="7"/>
  <c r="L15" i="7"/>
  <c r="E123" i="1"/>
  <c r="F123" i="1" s="1"/>
  <c r="I116" i="1"/>
  <c r="E116" i="1"/>
  <c r="F116" i="1"/>
  <c r="I85" i="1"/>
  <c r="E85" i="1"/>
  <c r="F85" i="1"/>
  <c r="I84" i="1"/>
  <c r="E73" i="1"/>
  <c r="F73" i="1"/>
  <c r="G73" i="1"/>
  <c r="H73" i="1"/>
  <c r="I73" i="1"/>
  <c r="J73" i="1"/>
  <c r="E71" i="1"/>
  <c r="F71" i="1" s="1"/>
  <c r="G71" i="1" s="1"/>
  <c r="H71" i="1" s="1"/>
  <c r="I71" i="1" s="1"/>
  <c r="J71" i="1" s="1"/>
  <c r="E70" i="1"/>
  <c r="F70" i="1"/>
  <c r="G70" i="1"/>
  <c r="H70" i="1"/>
  <c r="I70" i="1"/>
  <c r="J70" i="1"/>
  <c r="E69" i="1"/>
  <c r="F69" i="1"/>
  <c r="G69" i="1"/>
  <c r="H69" i="1"/>
  <c r="I69" i="1"/>
  <c r="J69" i="1"/>
  <c r="E67" i="1"/>
  <c r="E74" i="1" s="1"/>
  <c r="F67" i="1"/>
  <c r="F74" i="1" s="1"/>
  <c r="G67" i="1"/>
  <c r="J56" i="1"/>
  <c r="E56" i="1"/>
  <c r="J54" i="1"/>
  <c r="E41" i="1"/>
  <c r="I51" i="1"/>
  <c r="E51" i="1"/>
  <c r="F51" i="1"/>
  <c r="G51" i="1"/>
  <c r="I50" i="1"/>
  <c r="I49" i="1"/>
  <c r="E49" i="1"/>
  <c r="F49" i="1"/>
  <c r="G49" i="1" s="1"/>
  <c r="I48" i="1"/>
  <c r="I47" i="1"/>
  <c r="E47" i="1"/>
  <c r="F47" i="1"/>
  <c r="G47" i="1"/>
  <c r="I46" i="1"/>
  <c r="I45" i="1"/>
  <c r="E45" i="1"/>
  <c r="F45" i="1"/>
  <c r="G45" i="1"/>
  <c r="I44" i="1"/>
  <c r="I42" i="1"/>
  <c r="I41" i="1"/>
  <c r="G30" i="1"/>
  <c r="G16" i="3" s="1"/>
  <c r="G45" i="3" s="1"/>
  <c r="E30" i="1"/>
  <c r="E35" i="1" s="1"/>
  <c r="E16" i="3"/>
  <c r="E45" i="3"/>
  <c r="I23" i="1"/>
  <c r="E23" i="1"/>
  <c r="F23" i="1"/>
  <c r="I22" i="1"/>
  <c r="I10" i="5"/>
  <c r="G26" i="13"/>
  <c r="G206" i="1" s="1"/>
  <c r="C175" i="1"/>
  <c r="A1" i="15"/>
  <c r="B4" i="15"/>
  <c r="C4" i="15"/>
  <c r="D4" i="15"/>
  <c r="E4" i="15"/>
  <c r="F4" i="15"/>
  <c r="G4" i="15"/>
  <c r="H4" i="15"/>
  <c r="I4" i="15"/>
  <c r="J4" i="15"/>
  <c r="K4" i="15"/>
  <c r="L4" i="15"/>
  <c r="M4" i="15"/>
  <c r="E5" i="15"/>
  <c r="F5" i="15"/>
  <c r="G5" i="15"/>
  <c r="H5" i="15"/>
  <c r="I5" i="15"/>
  <c r="J5" i="15"/>
  <c r="K5" i="15"/>
  <c r="L5" i="15"/>
  <c r="M5" i="15"/>
  <c r="F6" i="15"/>
  <c r="G6" i="15"/>
  <c r="H6" i="15"/>
  <c r="I6" i="15"/>
  <c r="J6" i="15"/>
  <c r="K6" i="15"/>
  <c r="L6" i="15"/>
  <c r="M6" i="15"/>
  <c r="K7" i="15"/>
  <c r="L7" i="15"/>
  <c r="M7" i="15"/>
  <c r="F8" i="15"/>
  <c r="G8" i="15"/>
  <c r="H8" i="15"/>
  <c r="I8" i="15"/>
  <c r="J8" i="15"/>
  <c r="K8" i="15"/>
  <c r="L8" i="15"/>
  <c r="M8" i="15"/>
  <c r="G9" i="15"/>
  <c r="H10" i="15"/>
  <c r="H9" i="15" s="1"/>
  <c r="I10" i="15"/>
  <c r="J10" i="15"/>
  <c r="K10" i="15"/>
  <c r="L10" i="15"/>
  <c r="M10" i="15"/>
  <c r="F11" i="15"/>
  <c r="G11" i="15"/>
  <c r="F19" i="15"/>
  <c r="G19" i="15"/>
  <c r="H19" i="15"/>
  <c r="I19" i="15"/>
  <c r="J19" i="15"/>
  <c r="K19" i="15"/>
  <c r="L19" i="15"/>
  <c r="M19" i="15"/>
  <c r="G21" i="15"/>
  <c r="G22" i="15"/>
  <c r="G23" i="15"/>
  <c r="G24" i="15"/>
  <c r="H26" i="15"/>
  <c r="I26" i="15"/>
  <c r="J26" i="15"/>
  <c r="K26" i="15"/>
  <c r="L26" i="15"/>
  <c r="M26" i="15"/>
  <c r="F28" i="15"/>
  <c r="G28" i="15"/>
  <c r="F29" i="15"/>
  <c r="G29" i="15"/>
  <c r="F30" i="15"/>
  <c r="G30" i="15"/>
  <c r="F31" i="15"/>
  <c r="G31" i="15"/>
  <c r="F33" i="15"/>
  <c r="G33" i="15"/>
  <c r="F6" i="11"/>
  <c r="C7" i="11"/>
  <c r="D7" i="11"/>
  <c r="E7" i="11"/>
  <c r="F7" i="11"/>
  <c r="F8" i="11"/>
  <c r="J8" i="11"/>
  <c r="K8" i="11"/>
  <c r="F9" i="11"/>
  <c r="I9" i="11"/>
  <c r="J9" i="11"/>
  <c r="K9" i="11"/>
  <c r="C10" i="11"/>
  <c r="D10" i="11"/>
  <c r="E10" i="11"/>
  <c r="F10" i="11"/>
  <c r="J10" i="11"/>
  <c r="K10" i="11"/>
  <c r="F11" i="11"/>
  <c r="J11" i="11"/>
  <c r="K11" i="11"/>
  <c r="F12" i="11"/>
  <c r="J12" i="11"/>
  <c r="K12" i="11"/>
  <c r="F13" i="11"/>
  <c r="C14" i="11"/>
  <c r="D14" i="11"/>
  <c r="F14" i="11"/>
  <c r="F15" i="11"/>
  <c r="F16" i="11"/>
  <c r="F17" i="11"/>
  <c r="C18" i="11"/>
  <c r="D18" i="11"/>
  <c r="E18" i="11"/>
  <c r="F18" i="11"/>
  <c r="H18" i="11"/>
  <c r="F19" i="11"/>
  <c r="F20" i="11"/>
  <c r="C21" i="11"/>
  <c r="D21" i="11"/>
  <c r="E21" i="11"/>
  <c r="F21" i="11"/>
  <c r="F22" i="11"/>
  <c r="I22" i="11"/>
  <c r="J22" i="11"/>
  <c r="F23" i="11"/>
  <c r="I23" i="11"/>
  <c r="J23" i="11"/>
  <c r="F24" i="11"/>
  <c r="F25" i="11"/>
  <c r="F26" i="11"/>
  <c r="E32" i="11"/>
  <c r="E33" i="11"/>
  <c r="E34" i="11"/>
  <c r="E35" i="11"/>
  <c r="E36" i="11"/>
  <c r="F39" i="11"/>
  <c r="F40" i="11"/>
  <c r="C41" i="11"/>
  <c r="D41" i="11"/>
  <c r="E41" i="11"/>
  <c r="F41" i="11"/>
  <c r="F42" i="11"/>
  <c r="F43" i="11"/>
  <c r="F44" i="11"/>
  <c r="E48" i="11"/>
  <c r="C49" i="11"/>
  <c r="D49" i="11"/>
  <c r="E49" i="11"/>
  <c r="E50" i="11"/>
  <c r="E51" i="11"/>
  <c r="E54" i="11"/>
  <c r="E55" i="11"/>
  <c r="E56" i="11"/>
  <c r="E57" i="11"/>
  <c r="C4" i="10"/>
  <c r="D4" i="10"/>
  <c r="E7" i="10"/>
  <c r="F7" i="10"/>
  <c r="G7" i="10"/>
  <c r="H7" i="10"/>
  <c r="I7" i="10"/>
  <c r="J7" i="10"/>
  <c r="K7" i="10"/>
  <c r="L7" i="10"/>
  <c r="M7" i="10"/>
  <c r="N7" i="10"/>
  <c r="O7" i="10"/>
  <c r="D8" i="10"/>
  <c r="D9" i="10"/>
  <c r="E9" i="10"/>
  <c r="C32" i="11" s="1"/>
  <c r="F9" i="10"/>
  <c r="G9" i="10"/>
  <c r="D32" i="11" s="1"/>
  <c r="H9" i="10"/>
  <c r="I9" i="10"/>
  <c r="J9" i="10"/>
  <c r="K9" i="10"/>
  <c r="L9" i="10"/>
  <c r="M9" i="10"/>
  <c r="N9" i="10"/>
  <c r="O9" i="10"/>
  <c r="E27" i="10"/>
  <c r="F27" i="10"/>
  <c r="G27" i="10"/>
  <c r="H27" i="10"/>
  <c r="I27" i="10"/>
  <c r="J27" i="10"/>
  <c r="K27" i="10"/>
  <c r="L27" i="10"/>
  <c r="M27" i="10"/>
  <c r="N27" i="10"/>
  <c r="O27" i="10"/>
  <c r="C4" i="9"/>
  <c r="D4" i="9"/>
  <c r="E7" i="9"/>
  <c r="F7" i="9"/>
  <c r="G7" i="9"/>
  <c r="H7" i="9"/>
  <c r="I7" i="9"/>
  <c r="J7" i="9"/>
  <c r="K7" i="9"/>
  <c r="L7" i="9"/>
  <c r="M7" i="9"/>
  <c r="N7" i="9"/>
  <c r="O7" i="9"/>
  <c r="P7" i="9"/>
  <c r="D8" i="9"/>
  <c r="E8" i="9"/>
  <c r="D9" i="9"/>
  <c r="E9" i="9"/>
  <c r="F9" i="9"/>
  <c r="G9" i="9"/>
  <c r="H9" i="9"/>
  <c r="I9" i="9"/>
  <c r="J9" i="9"/>
  <c r="K9" i="9"/>
  <c r="L9" i="9"/>
  <c r="M9" i="9"/>
  <c r="N9" i="9"/>
  <c r="O9" i="9"/>
  <c r="P9" i="9"/>
  <c r="E21" i="9"/>
  <c r="B22" i="9"/>
  <c r="B23" i="9"/>
  <c r="B24" i="9"/>
  <c r="B26" i="9"/>
  <c r="B29" i="9"/>
  <c r="B30" i="9"/>
  <c r="C5" i="7"/>
  <c r="D5" i="7"/>
  <c r="G6" i="7"/>
  <c r="E7" i="7"/>
  <c r="F7" i="7"/>
  <c r="G7" i="7"/>
  <c r="G55" i="7"/>
  <c r="H7" i="7"/>
  <c r="I7" i="7"/>
  <c r="J7" i="7"/>
  <c r="K7" i="7"/>
  <c r="L7" i="7"/>
  <c r="M7" i="7"/>
  <c r="N7" i="7"/>
  <c r="O7" i="7"/>
  <c r="P7" i="7"/>
  <c r="D8" i="7"/>
  <c r="D9" i="7"/>
  <c r="E12" i="7"/>
  <c r="F12" i="7"/>
  <c r="G12" i="7"/>
  <c r="O12" i="7"/>
  <c r="P12" i="7"/>
  <c r="E13" i="7"/>
  <c r="E15" i="7" s="1"/>
  <c r="F13" i="7"/>
  <c r="G13" i="7"/>
  <c r="G15" i="7" s="1"/>
  <c r="H13" i="7"/>
  <c r="I13" i="7"/>
  <c r="J13" i="7"/>
  <c r="K13" i="7"/>
  <c r="L13" i="7"/>
  <c r="M13" i="7"/>
  <c r="N13" i="7"/>
  <c r="O13" i="7"/>
  <c r="P13" i="7"/>
  <c r="E14" i="7"/>
  <c r="F14" i="7"/>
  <c r="G14" i="7"/>
  <c r="H14" i="7"/>
  <c r="I14" i="7"/>
  <c r="J14" i="7"/>
  <c r="K14" i="7"/>
  <c r="L14" i="7"/>
  <c r="M14" i="7"/>
  <c r="N14" i="7"/>
  <c r="O14" i="7"/>
  <c r="P14" i="7"/>
  <c r="F15" i="7"/>
  <c r="O15" i="7"/>
  <c r="P15" i="7"/>
  <c r="E16" i="7"/>
  <c r="F16" i="7"/>
  <c r="F57" i="8" s="1"/>
  <c r="G16" i="7"/>
  <c r="K16" i="7"/>
  <c r="L16" i="7"/>
  <c r="M16" i="7"/>
  <c r="N16" i="7"/>
  <c r="O16" i="7"/>
  <c r="P16" i="7"/>
  <c r="B17" i="7"/>
  <c r="B50" i="8" s="1"/>
  <c r="E17" i="7"/>
  <c r="F17" i="7"/>
  <c r="G17" i="7"/>
  <c r="P17" i="7"/>
  <c r="B18" i="7"/>
  <c r="B52" i="8" s="1"/>
  <c r="E18" i="7"/>
  <c r="E52" i="8" s="1"/>
  <c r="F18" i="7"/>
  <c r="F52" i="8" s="1"/>
  <c r="G18" i="7"/>
  <c r="G52" i="8" s="1"/>
  <c r="H18" i="7"/>
  <c r="H52" i="8" s="1"/>
  <c r="I18" i="7"/>
  <c r="I52" i="8" s="1"/>
  <c r="J18" i="7"/>
  <c r="J52" i="8" s="1"/>
  <c r="K18" i="7"/>
  <c r="K52" i="8" s="1"/>
  <c r="L18" i="7"/>
  <c r="L52" i="8" s="1"/>
  <c r="M18" i="7"/>
  <c r="M52" i="8" s="1"/>
  <c r="N18" i="7"/>
  <c r="N52" i="8" s="1"/>
  <c r="O18" i="7"/>
  <c r="O52" i="8" s="1"/>
  <c r="P18" i="7"/>
  <c r="P52" i="8" s="1"/>
  <c r="B19" i="7"/>
  <c r="B53" i="8" s="1"/>
  <c r="E19" i="7"/>
  <c r="E53" i="8" s="1"/>
  <c r="F19" i="7"/>
  <c r="F53" i="8" s="1"/>
  <c r="G19" i="7"/>
  <c r="G53" i="8" s="1"/>
  <c r="M19" i="7"/>
  <c r="M53" i="8" s="1"/>
  <c r="P19" i="7"/>
  <c r="P53" i="8" s="1"/>
  <c r="B20" i="7"/>
  <c r="B54" i="8" s="1"/>
  <c r="E20" i="7"/>
  <c r="E54" i="8" s="1"/>
  <c r="F20" i="7"/>
  <c r="G20" i="7"/>
  <c r="H20" i="7"/>
  <c r="I20" i="7"/>
  <c r="J20" i="7"/>
  <c r="K20" i="7"/>
  <c r="K54" i="8"/>
  <c r="L20" i="7"/>
  <c r="L54" i="8" s="1"/>
  <c r="M20" i="7"/>
  <c r="N20" i="7"/>
  <c r="O20" i="7"/>
  <c r="P20" i="7"/>
  <c r="B21" i="7"/>
  <c r="B55" i="8" s="1"/>
  <c r="E21" i="7"/>
  <c r="E55" i="8" s="1"/>
  <c r="F21" i="7"/>
  <c r="F55" i="8"/>
  <c r="G21" i="7"/>
  <c r="G55" i="8" s="1"/>
  <c r="H21" i="7"/>
  <c r="H55" i="8" s="1"/>
  <c r="N21" i="7"/>
  <c r="N55" i="8" s="1"/>
  <c r="P21" i="7"/>
  <c r="P55" i="8" s="1"/>
  <c r="E22" i="7"/>
  <c r="F22" i="7"/>
  <c r="G22" i="7"/>
  <c r="O22" i="7"/>
  <c r="P22" i="7"/>
  <c r="C24" i="7"/>
  <c r="C59" i="8" s="1"/>
  <c r="E24" i="7"/>
  <c r="E59" i="8" s="1"/>
  <c r="F24" i="7"/>
  <c r="F59" i="8" s="1"/>
  <c r="G24" i="7"/>
  <c r="G59" i="8" s="1"/>
  <c r="H24" i="7"/>
  <c r="H59" i="8" s="1"/>
  <c r="I24" i="7"/>
  <c r="I59" i="8" s="1"/>
  <c r="J24" i="7"/>
  <c r="J59" i="8" s="1"/>
  <c r="K24" i="7"/>
  <c r="K59" i="8" s="1"/>
  <c r="L24" i="7"/>
  <c r="L59" i="8" s="1"/>
  <c r="M24" i="7"/>
  <c r="M59" i="8"/>
  <c r="N24" i="7"/>
  <c r="O24" i="7"/>
  <c r="O59" i="8" s="1"/>
  <c r="P24" i="7"/>
  <c r="C25" i="7"/>
  <c r="C60" i="8" s="1"/>
  <c r="E25" i="7"/>
  <c r="E60" i="8" s="1"/>
  <c r="F25" i="7"/>
  <c r="F60" i="8" s="1"/>
  <c r="G25" i="7"/>
  <c r="G60" i="8" s="1"/>
  <c r="H25" i="7"/>
  <c r="H60" i="8"/>
  <c r="I25" i="7"/>
  <c r="I60" i="8" s="1"/>
  <c r="J25" i="7"/>
  <c r="J60" i="8" s="1"/>
  <c r="K25" i="7"/>
  <c r="K60" i="8" s="1"/>
  <c r="L25" i="7"/>
  <c r="L60" i="8"/>
  <c r="M25" i="7"/>
  <c r="M60" i="8" s="1"/>
  <c r="N25" i="7"/>
  <c r="N60" i="8" s="1"/>
  <c r="O25" i="7"/>
  <c r="O60" i="8" s="1"/>
  <c r="P25" i="7"/>
  <c r="P60" i="8" s="1"/>
  <c r="C26" i="7"/>
  <c r="C61" i="8" s="1"/>
  <c r="E26" i="7"/>
  <c r="E61" i="8"/>
  <c r="F26" i="7"/>
  <c r="F61" i="8" s="1"/>
  <c r="G26" i="7"/>
  <c r="H26" i="7"/>
  <c r="H61" i="8" s="1"/>
  <c r="N26" i="7"/>
  <c r="N61" i="8" s="1"/>
  <c r="P26" i="7"/>
  <c r="P61" i="8" s="1"/>
  <c r="C27" i="7"/>
  <c r="C62" i="8" s="1"/>
  <c r="E27" i="7"/>
  <c r="E62" i="8" s="1"/>
  <c r="F27" i="7"/>
  <c r="G27" i="7"/>
  <c r="H27" i="7"/>
  <c r="H62" i="8" s="1"/>
  <c r="I27" i="7"/>
  <c r="J27" i="7"/>
  <c r="J62" i="8" s="1"/>
  <c r="K27" i="7"/>
  <c r="K62" i="8"/>
  <c r="L27" i="7"/>
  <c r="L62" i="8" s="1"/>
  <c r="M27" i="7"/>
  <c r="M62" i="8" s="1"/>
  <c r="N27" i="7"/>
  <c r="N62" i="8" s="1"/>
  <c r="O27" i="7"/>
  <c r="O62" i="8" s="1"/>
  <c r="P27" i="7"/>
  <c r="P62" i="8" s="1"/>
  <c r="E32" i="7"/>
  <c r="F32" i="7"/>
  <c r="C58" i="3" s="1"/>
  <c r="G32" i="7"/>
  <c r="D58" i="3" s="1"/>
  <c r="O32" i="7"/>
  <c r="P32" i="7"/>
  <c r="M58" i="3" s="1"/>
  <c r="E33" i="7"/>
  <c r="F33" i="7"/>
  <c r="G33" i="7"/>
  <c r="H33" i="7"/>
  <c r="I33" i="7"/>
  <c r="F58" i="3" s="1"/>
  <c r="J33" i="7"/>
  <c r="K33" i="7"/>
  <c r="L33" i="7"/>
  <c r="M33" i="7"/>
  <c r="N33" i="7"/>
  <c r="O33" i="7"/>
  <c r="P33" i="7"/>
  <c r="E34" i="7"/>
  <c r="F34" i="7"/>
  <c r="G34" i="7"/>
  <c r="O34" i="7"/>
  <c r="P34" i="7"/>
  <c r="M59" i="3" s="1"/>
  <c r="E35" i="7"/>
  <c r="F35" i="7"/>
  <c r="G35" i="7"/>
  <c r="M35" i="7"/>
  <c r="N35" i="7"/>
  <c r="O35" i="7"/>
  <c r="P35" i="7"/>
  <c r="E36" i="7"/>
  <c r="F36" i="7"/>
  <c r="C60" i="3" s="1"/>
  <c r="G36" i="7"/>
  <c r="D60" i="3" s="1"/>
  <c r="M36" i="7"/>
  <c r="N36" i="7"/>
  <c r="K60" i="3" s="1"/>
  <c r="O36" i="7"/>
  <c r="P36" i="7"/>
  <c r="M60" i="3" s="1"/>
  <c r="G37" i="7"/>
  <c r="P37" i="7"/>
  <c r="E41" i="7"/>
  <c r="F41" i="7"/>
  <c r="G41" i="7"/>
  <c r="F13" i="10"/>
  <c r="M41" i="7"/>
  <c r="N41" i="7"/>
  <c r="O41" i="7"/>
  <c r="P41" i="7"/>
  <c r="E42" i="7"/>
  <c r="F42" i="7"/>
  <c r="G42" i="7"/>
  <c r="H42" i="7"/>
  <c r="I42" i="7"/>
  <c r="J42" i="7"/>
  <c r="K42" i="7"/>
  <c r="L42" i="7"/>
  <c r="M42" i="7"/>
  <c r="N42" i="7"/>
  <c r="O42" i="7"/>
  <c r="P42" i="7"/>
  <c r="E43" i="7"/>
  <c r="F43" i="7"/>
  <c r="G43" i="7"/>
  <c r="H43" i="7"/>
  <c r="I43" i="7"/>
  <c r="J43" i="7"/>
  <c r="K43" i="7"/>
  <c r="L43" i="7"/>
  <c r="M43" i="7"/>
  <c r="N43" i="7"/>
  <c r="O43" i="7"/>
  <c r="P43" i="7"/>
  <c r="E45" i="7"/>
  <c r="G45" i="7"/>
  <c r="H45" i="7"/>
  <c r="E57" i="3" s="1"/>
  <c r="O45" i="7"/>
  <c r="L57" i="3" s="1"/>
  <c r="P45" i="7"/>
  <c r="M57" i="3" s="1"/>
  <c r="E46" i="7"/>
  <c r="F46" i="7"/>
  <c r="G46" i="7"/>
  <c r="H46" i="7"/>
  <c r="I46" i="7"/>
  <c r="J46" i="7"/>
  <c r="K46" i="7"/>
  <c r="L46" i="7"/>
  <c r="M46" i="7"/>
  <c r="N46" i="7"/>
  <c r="O46" i="7"/>
  <c r="P46" i="7"/>
  <c r="M15" i="2" s="1"/>
  <c r="E47" i="7"/>
  <c r="F47" i="7"/>
  <c r="G47" i="7"/>
  <c r="H47" i="7"/>
  <c r="I47" i="7"/>
  <c r="J47" i="7"/>
  <c r="K47" i="7"/>
  <c r="L47" i="7"/>
  <c r="M47" i="7"/>
  <c r="N47" i="7"/>
  <c r="O47" i="7"/>
  <c r="P47" i="7"/>
  <c r="E48" i="7"/>
  <c r="F48" i="7"/>
  <c r="G48" i="7"/>
  <c r="K48" i="7"/>
  <c r="L48" i="7"/>
  <c r="M48" i="7"/>
  <c r="N48" i="7"/>
  <c r="O48" i="7"/>
  <c r="P48" i="7"/>
  <c r="E55" i="7"/>
  <c r="F55" i="7"/>
  <c r="H55" i="7"/>
  <c r="I55" i="7"/>
  <c r="J55" i="7"/>
  <c r="K55" i="7"/>
  <c r="L55" i="7"/>
  <c r="M55" i="7"/>
  <c r="N55" i="7"/>
  <c r="O55" i="7"/>
  <c r="P55" i="7"/>
  <c r="D56" i="7"/>
  <c r="D57" i="7"/>
  <c r="E60" i="7"/>
  <c r="E32" i="8"/>
  <c r="F60" i="7"/>
  <c r="F32" i="8" s="1"/>
  <c r="G60" i="7"/>
  <c r="G32" i="8" s="1"/>
  <c r="H60" i="7"/>
  <c r="N60" i="7"/>
  <c r="P60" i="7"/>
  <c r="E61" i="7"/>
  <c r="E33" i="8"/>
  <c r="F61" i="7"/>
  <c r="F33" i="8" s="1"/>
  <c r="G61" i="7"/>
  <c r="G33" i="8" s="1"/>
  <c r="H61" i="7"/>
  <c r="H33" i="8"/>
  <c r="N61" i="7"/>
  <c r="N33" i="8" s="1"/>
  <c r="P61" i="7"/>
  <c r="P33" i="8" s="1"/>
  <c r="E63" i="7"/>
  <c r="F63" i="7"/>
  <c r="G63" i="7"/>
  <c r="G35" i="8" s="1"/>
  <c r="H63" i="7"/>
  <c r="H35" i="8" s="1"/>
  <c r="I63" i="7"/>
  <c r="J63" i="7"/>
  <c r="K63" i="7"/>
  <c r="K35" i="8" s="1"/>
  <c r="L63" i="7"/>
  <c r="L35" i="8" s="1"/>
  <c r="M63" i="7"/>
  <c r="M35" i="8" s="1"/>
  <c r="N63" i="7"/>
  <c r="N35" i="8" s="1"/>
  <c r="O63" i="7"/>
  <c r="P63" i="7"/>
  <c r="E64" i="7"/>
  <c r="E36" i="8" s="1"/>
  <c r="F64" i="7"/>
  <c r="F36" i="8"/>
  <c r="G64" i="7"/>
  <c r="G36" i="8" s="1"/>
  <c r="G62" i="7"/>
  <c r="H64" i="7"/>
  <c r="H62" i="7"/>
  <c r="M64" i="7"/>
  <c r="M36" i="8" s="1"/>
  <c r="M62" i="7"/>
  <c r="N64" i="7"/>
  <c r="N36" i="8"/>
  <c r="O64" i="7"/>
  <c r="O36" i="8" s="1"/>
  <c r="P64" i="7"/>
  <c r="P36" i="8" s="1"/>
  <c r="B65" i="7"/>
  <c r="C66" i="7"/>
  <c r="B25" i="8" s="1"/>
  <c r="E66" i="7"/>
  <c r="E65" i="7" s="1"/>
  <c r="E45" i="10"/>
  <c r="F66" i="7"/>
  <c r="F25" i="8" s="1"/>
  <c r="F26" i="8" s="1"/>
  <c r="C27" i="13" s="1"/>
  <c r="G66" i="7"/>
  <c r="G25" i="8" s="1"/>
  <c r="G26" i="8" s="1"/>
  <c r="D27" i="13" s="1"/>
  <c r="H66" i="7"/>
  <c r="H25" i="8" s="1"/>
  <c r="H26" i="8" s="1"/>
  <c r="E27" i="13" s="1"/>
  <c r="I66" i="7"/>
  <c r="C67" i="7"/>
  <c r="B27" i="8" s="1"/>
  <c r="E67" i="7"/>
  <c r="E27" i="8" s="1"/>
  <c r="E28" i="8" s="1"/>
  <c r="B30" i="13" s="1"/>
  <c r="F67" i="7"/>
  <c r="G67" i="7"/>
  <c r="N67" i="7"/>
  <c r="M46" i="10" s="1"/>
  <c r="O67" i="7"/>
  <c r="O27" i="8" s="1"/>
  <c r="O28" i="8" s="1"/>
  <c r="L30" i="13" s="1"/>
  <c r="P67" i="7"/>
  <c r="B68" i="7"/>
  <c r="C69" i="7"/>
  <c r="B11" i="8" s="1"/>
  <c r="D70" i="7"/>
  <c r="E70" i="7"/>
  <c r="F70" i="7"/>
  <c r="G70" i="7"/>
  <c r="H70" i="7"/>
  <c r="I70" i="7"/>
  <c r="J70" i="7"/>
  <c r="K70" i="7"/>
  <c r="L70" i="7"/>
  <c r="L12" i="8"/>
  <c r="L13" i="8"/>
  <c r="M70" i="7"/>
  <c r="N70" i="7"/>
  <c r="O70" i="7"/>
  <c r="O69" i="7" s="1"/>
  <c r="P70" i="7"/>
  <c r="P69" i="7" s="1"/>
  <c r="D71" i="7"/>
  <c r="E71" i="7"/>
  <c r="E69" i="7"/>
  <c r="F71" i="7"/>
  <c r="F69" i="7"/>
  <c r="G71" i="7"/>
  <c r="G69" i="7"/>
  <c r="C72" i="7"/>
  <c r="C73" i="7"/>
  <c r="C74" i="7"/>
  <c r="D75" i="7"/>
  <c r="E75" i="7"/>
  <c r="E74" i="7" s="1"/>
  <c r="F75" i="7"/>
  <c r="F74" i="7" s="1"/>
  <c r="E47" i="10" s="1"/>
  <c r="G75" i="7"/>
  <c r="G74" i="7" s="1"/>
  <c r="F47" i="10" s="1"/>
  <c r="H75" i="7"/>
  <c r="H74" i="7" s="1"/>
  <c r="G47" i="10" s="1"/>
  <c r="I75" i="7"/>
  <c r="J75" i="7"/>
  <c r="K75" i="7"/>
  <c r="K17" i="8"/>
  <c r="K18" i="8"/>
  <c r="L75" i="7"/>
  <c r="L74" i="7" s="1"/>
  <c r="K47" i="10" s="1"/>
  <c r="M75" i="7"/>
  <c r="N75" i="7"/>
  <c r="O75" i="7"/>
  <c r="O74" i="7" s="1"/>
  <c r="P75" i="7"/>
  <c r="P74" i="7" s="1"/>
  <c r="O47" i="10" s="1"/>
  <c r="D76" i="7"/>
  <c r="E76" i="7"/>
  <c r="F76" i="7"/>
  <c r="G76" i="7"/>
  <c r="H76" i="7"/>
  <c r="I76" i="7"/>
  <c r="I74" i="7" s="1"/>
  <c r="H47" i="10" s="1"/>
  <c r="J76" i="7"/>
  <c r="J74" i="7" s="1"/>
  <c r="K76" i="7"/>
  <c r="L76" i="7"/>
  <c r="M76" i="7"/>
  <c r="M74" i="7" s="1"/>
  <c r="L47" i="10" s="1"/>
  <c r="N76" i="7"/>
  <c r="N74" i="7" s="1"/>
  <c r="O76" i="7"/>
  <c r="P76" i="7"/>
  <c r="B77" i="7"/>
  <c r="E77" i="7"/>
  <c r="E29" i="8"/>
  <c r="F77" i="7"/>
  <c r="G77" i="7"/>
  <c r="N77" i="7"/>
  <c r="P77" i="7"/>
  <c r="B78" i="7"/>
  <c r="E78" i="7"/>
  <c r="F78" i="7"/>
  <c r="G78" i="7"/>
  <c r="K78" i="7"/>
  <c r="K30" i="8"/>
  <c r="M78" i="7"/>
  <c r="N78" i="7"/>
  <c r="O78" i="7"/>
  <c r="P78" i="7"/>
  <c r="B79" i="7"/>
  <c r="E79" i="7"/>
  <c r="F79" i="7"/>
  <c r="G79" i="7"/>
  <c r="G37" i="8"/>
  <c r="P79" i="7"/>
  <c r="C81" i="7"/>
  <c r="E81" i="7"/>
  <c r="F81" i="7"/>
  <c r="G81" i="7"/>
  <c r="K81" i="7"/>
  <c r="K80" i="7" s="1"/>
  <c r="N81" i="7"/>
  <c r="P81" i="7"/>
  <c r="P80" i="7" s="1"/>
  <c r="C82" i="7"/>
  <c r="E82" i="7"/>
  <c r="E80" i="7"/>
  <c r="F82" i="7"/>
  <c r="F80" i="7"/>
  <c r="G82" i="7"/>
  <c r="G80" i="7"/>
  <c r="N82" i="7"/>
  <c r="N80" i="7" s="1"/>
  <c r="P82" i="7"/>
  <c r="B86" i="7"/>
  <c r="E86" i="7"/>
  <c r="F86" i="7"/>
  <c r="G86" i="7"/>
  <c r="P86" i="7"/>
  <c r="B87" i="7"/>
  <c r="E87" i="7"/>
  <c r="F87" i="7"/>
  <c r="G87" i="7"/>
  <c r="H87" i="7"/>
  <c r="E14" i="11"/>
  <c r="I87" i="7"/>
  <c r="J87" i="7"/>
  <c r="K87" i="7"/>
  <c r="L87" i="7"/>
  <c r="M87" i="7"/>
  <c r="N87" i="7"/>
  <c r="O87" i="7"/>
  <c r="O88" i="7" s="1"/>
  <c r="P87" i="7"/>
  <c r="E88" i="7"/>
  <c r="C18" i="4" s="1"/>
  <c r="F88" i="7"/>
  <c r="D18" i="4" s="1"/>
  <c r="G88" i="7"/>
  <c r="E18" i="4"/>
  <c r="P88" i="7"/>
  <c r="B89" i="7"/>
  <c r="E89" i="7"/>
  <c r="E90" i="7" s="1"/>
  <c r="F89" i="7"/>
  <c r="F90" i="7"/>
  <c r="G89" i="7"/>
  <c r="P89" i="7"/>
  <c r="P90" i="7"/>
  <c r="N19" i="4" s="1"/>
  <c r="B93" i="7"/>
  <c r="C94" i="7"/>
  <c r="C95" i="7"/>
  <c r="B96" i="7"/>
  <c r="B97" i="7"/>
  <c r="B98" i="7"/>
  <c r="C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P99" i="7" s="1"/>
  <c r="C101" i="7"/>
  <c r="E101" i="7"/>
  <c r="F101" i="7"/>
  <c r="G101" i="7"/>
  <c r="H101" i="7"/>
  <c r="I101" i="7"/>
  <c r="J101" i="7"/>
  <c r="K101" i="7"/>
  <c r="L101" i="7"/>
  <c r="M101" i="7"/>
  <c r="M99" i="7" s="1"/>
  <c r="N101" i="7"/>
  <c r="N99" i="7" s="1"/>
  <c r="O101" i="7"/>
  <c r="P101" i="7"/>
  <c r="C102" i="7"/>
  <c r="E102" i="7"/>
  <c r="F102" i="7"/>
  <c r="G102" i="7"/>
  <c r="G99" i="7" s="1"/>
  <c r="N102" i="7"/>
  <c r="P102" i="7"/>
  <c r="C103" i="7"/>
  <c r="E103" i="7"/>
  <c r="E99" i="7" s="1"/>
  <c r="F103" i="7"/>
  <c r="G103" i="7"/>
  <c r="K103" i="7"/>
  <c r="N103" i="7"/>
  <c r="P103" i="7"/>
  <c r="B116" i="7"/>
  <c r="C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C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C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C120" i="7"/>
  <c r="C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D4" i="6"/>
  <c r="E7" i="6"/>
  <c r="F7" i="6"/>
  <c r="G7" i="6"/>
  <c r="H7" i="6"/>
  <c r="I7" i="6"/>
  <c r="J7" i="6"/>
  <c r="K7" i="6"/>
  <c r="L7" i="6"/>
  <c r="M7" i="6"/>
  <c r="N7" i="6"/>
  <c r="O7" i="6"/>
  <c r="P7" i="6"/>
  <c r="D8" i="6"/>
  <c r="E8" i="6"/>
  <c r="C49" i="4" s="1"/>
  <c r="E8" i="7"/>
  <c r="D9" i="6"/>
  <c r="E9" i="6"/>
  <c r="E9" i="7" s="1"/>
  <c r="E57" i="7" s="1"/>
  <c r="F9" i="6"/>
  <c r="F9" i="7" s="1"/>
  <c r="F57" i="7" s="1"/>
  <c r="G9" i="6"/>
  <c r="G9" i="7" s="1"/>
  <c r="G57" i="7" s="1"/>
  <c r="H9" i="6"/>
  <c r="H9" i="7" s="1"/>
  <c r="H57" i="7" s="1"/>
  <c r="I9" i="6"/>
  <c r="I9" i="7" s="1"/>
  <c r="I57" i="7" s="1"/>
  <c r="J9" i="6"/>
  <c r="J9" i="7" s="1"/>
  <c r="J57" i="7" s="1"/>
  <c r="K9" i="6"/>
  <c r="K9" i="7" s="1"/>
  <c r="K57" i="7" s="1"/>
  <c r="L9" i="6"/>
  <c r="L9" i="7" s="1"/>
  <c r="L57" i="7" s="1"/>
  <c r="M9" i="6"/>
  <c r="M9" i="7" s="1"/>
  <c r="M57" i="7" s="1"/>
  <c r="N9" i="6"/>
  <c r="N9" i="7" s="1"/>
  <c r="N57" i="7" s="1"/>
  <c r="O9" i="6"/>
  <c r="O9" i="7" s="1"/>
  <c r="O57" i="7" s="1"/>
  <c r="P9" i="6"/>
  <c r="P9" i="7" s="1"/>
  <c r="P57" i="7" s="1"/>
  <c r="H11" i="6"/>
  <c r="I11" i="6"/>
  <c r="J11" i="6"/>
  <c r="K11" i="6"/>
  <c r="M11" i="6"/>
  <c r="N11" i="6"/>
  <c r="O11" i="6"/>
  <c r="P11" i="6"/>
  <c r="E12" i="6"/>
  <c r="G12" i="6"/>
  <c r="K12" i="6"/>
  <c r="K13" i="6"/>
  <c r="K15" i="6" s="1"/>
  <c r="L12" i="6"/>
  <c r="M12" i="6"/>
  <c r="N12" i="6"/>
  <c r="O12" i="6"/>
  <c r="P12" i="6"/>
  <c r="M13" i="6"/>
  <c r="N13" i="6"/>
  <c r="O13" i="6"/>
  <c r="P13" i="6"/>
  <c r="E14" i="6"/>
  <c r="F14" i="6"/>
  <c r="G14" i="6"/>
  <c r="H14" i="6"/>
  <c r="I14" i="6"/>
  <c r="J14" i="6"/>
  <c r="K14" i="6"/>
  <c r="L14" i="6"/>
  <c r="M14" i="6"/>
  <c r="N14" i="6"/>
  <c r="O14" i="6"/>
  <c r="P14" i="6"/>
  <c r="M15" i="6"/>
  <c r="M38" i="10"/>
  <c r="N15" i="6"/>
  <c r="N38" i="10"/>
  <c r="O15" i="6"/>
  <c r="P15" i="6"/>
  <c r="N7" i="4" s="1"/>
  <c r="E16" i="6"/>
  <c r="N16" i="6"/>
  <c r="K6" i="13" s="1"/>
  <c r="K37" i="2"/>
  <c r="P16" i="6"/>
  <c r="M37" i="2" s="1"/>
  <c r="E19" i="6"/>
  <c r="M19" i="6"/>
  <c r="M18" i="6" s="1"/>
  <c r="N19" i="6"/>
  <c r="O19" i="6"/>
  <c r="O18" i="6" s="1"/>
  <c r="P19" i="6"/>
  <c r="P18" i="6" s="1"/>
  <c r="F20" i="6"/>
  <c r="M20" i="6"/>
  <c r="N20" i="6"/>
  <c r="N18" i="6" s="1"/>
  <c r="O20" i="6"/>
  <c r="P20" i="6"/>
  <c r="H22" i="6"/>
  <c r="I22" i="6"/>
  <c r="J22" i="6"/>
  <c r="K22" i="6"/>
  <c r="L22" i="6"/>
  <c r="M22" i="6"/>
  <c r="N22" i="6"/>
  <c r="O22" i="6"/>
  <c r="O21" i="6" s="1"/>
  <c r="P22" i="6"/>
  <c r="P21" i="6" s="1"/>
  <c r="M23" i="6"/>
  <c r="M21" i="6" s="1"/>
  <c r="N23" i="6"/>
  <c r="N21" i="6" s="1"/>
  <c r="O23" i="6"/>
  <c r="P23" i="6"/>
  <c r="C24" i="6"/>
  <c r="P24" i="6"/>
  <c r="C25" i="6"/>
  <c r="E27" i="6"/>
  <c r="P29" i="6"/>
  <c r="E31" i="6"/>
  <c r="E33" i="6"/>
  <c r="F33" i="6"/>
  <c r="N33" i="6"/>
  <c r="P33" i="6"/>
  <c r="B39" i="6"/>
  <c r="O39" i="6"/>
  <c r="P39" i="6"/>
  <c r="E43" i="6"/>
  <c r="F43" i="6"/>
  <c r="B47" i="6"/>
  <c r="M47" i="6"/>
  <c r="M46" i="6" s="1"/>
  <c r="O47" i="6"/>
  <c r="O46" i="6" s="1"/>
  <c r="P47" i="6"/>
  <c r="P46" i="6" s="1"/>
  <c r="B48" i="6"/>
  <c r="H48" i="6"/>
  <c r="I48" i="6"/>
  <c r="J48" i="6"/>
  <c r="K48" i="6"/>
  <c r="L48" i="6"/>
  <c r="M48" i="6"/>
  <c r="N48" i="6"/>
  <c r="N46" i="6" s="1"/>
  <c r="O48" i="6"/>
  <c r="P48" i="6"/>
  <c r="B49" i="6"/>
  <c r="H49" i="6"/>
  <c r="I49" i="6"/>
  <c r="J49" i="6"/>
  <c r="K49" i="6"/>
  <c r="L49" i="6"/>
  <c r="M49" i="6"/>
  <c r="N49" i="6"/>
  <c r="O49" i="6"/>
  <c r="P49" i="6"/>
  <c r="E53" i="6"/>
  <c r="F53" i="6"/>
  <c r="G53" i="6"/>
  <c r="H53" i="6"/>
  <c r="I53" i="6"/>
  <c r="J53" i="6"/>
  <c r="K53" i="6"/>
  <c r="L53" i="6"/>
  <c r="M53" i="6"/>
  <c r="N53" i="6"/>
  <c r="O53" i="6"/>
  <c r="P53" i="6"/>
  <c r="A4" i="5"/>
  <c r="B4" i="5"/>
  <c r="C4" i="5"/>
  <c r="D4" i="5"/>
  <c r="E4" i="5"/>
  <c r="F4" i="5"/>
  <c r="G4" i="5"/>
  <c r="H4" i="5"/>
  <c r="I4" i="5"/>
  <c r="J4" i="5"/>
  <c r="K4" i="5"/>
  <c r="L4" i="5"/>
  <c r="M4" i="5"/>
  <c r="A5" i="5"/>
  <c r="B5" i="5"/>
  <c r="B6" i="5"/>
  <c r="C6" i="5"/>
  <c r="D6" i="5"/>
  <c r="E6" i="5"/>
  <c r="F6" i="5"/>
  <c r="G6" i="5"/>
  <c r="H6" i="5"/>
  <c r="I6" i="5"/>
  <c r="J6" i="5"/>
  <c r="K6" i="5"/>
  <c r="L6" i="5"/>
  <c r="M6" i="5"/>
  <c r="F10" i="5"/>
  <c r="G10" i="5"/>
  <c r="H10" i="5"/>
  <c r="K10" i="5"/>
  <c r="L10" i="5"/>
  <c r="M10" i="5"/>
  <c r="C11" i="5"/>
  <c r="D11" i="5"/>
  <c r="K11" i="5"/>
  <c r="L11" i="5"/>
  <c r="M11" i="5"/>
  <c r="M13" i="5"/>
  <c r="L17" i="5"/>
  <c r="M17" i="5"/>
  <c r="L18" i="5"/>
  <c r="M18" i="5"/>
  <c r="M22" i="5"/>
  <c r="M24" i="5"/>
  <c r="L25" i="5"/>
  <c r="M25" i="5"/>
  <c r="L27" i="5"/>
  <c r="M27" i="5"/>
  <c r="L28" i="5"/>
  <c r="M28" i="5"/>
  <c r="L30" i="5"/>
  <c r="M30" i="5"/>
  <c r="C4" i="8"/>
  <c r="D4" i="8"/>
  <c r="E7" i="8"/>
  <c r="F7" i="8"/>
  <c r="G7" i="8"/>
  <c r="H7" i="8"/>
  <c r="I7" i="8"/>
  <c r="J7" i="8"/>
  <c r="K7" i="8"/>
  <c r="L7" i="8"/>
  <c r="M7" i="8"/>
  <c r="N7" i="8"/>
  <c r="O7" i="8"/>
  <c r="P7" i="8"/>
  <c r="D8" i="8"/>
  <c r="E8" i="8"/>
  <c r="B3" i="13" s="1"/>
  <c r="B3" i="15"/>
  <c r="D9" i="8"/>
  <c r="E9" i="8"/>
  <c r="B4" i="13" s="1"/>
  <c r="F9" i="8"/>
  <c r="C4" i="13" s="1"/>
  <c r="G9" i="8"/>
  <c r="D4" i="13" s="1"/>
  <c r="H9" i="8"/>
  <c r="E4" i="13" s="1"/>
  <c r="I9" i="8"/>
  <c r="F4" i="13" s="1"/>
  <c r="J9" i="8"/>
  <c r="G4" i="13" s="1"/>
  <c r="K9" i="8"/>
  <c r="H4" i="13" s="1"/>
  <c r="L9" i="8"/>
  <c r="I4" i="13" s="1"/>
  <c r="M9" i="8"/>
  <c r="J4" i="13" s="1"/>
  <c r="N9" i="8"/>
  <c r="K4" i="13" s="1"/>
  <c r="O9" i="8"/>
  <c r="L4" i="13" s="1"/>
  <c r="P9" i="8"/>
  <c r="M4" i="13" s="1"/>
  <c r="E12" i="8"/>
  <c r="F12" i="8"/>
  <c r="G12" i="8"/>
  <c r="I12" i="8"/>
  <c r="J12" i="8"/>
  <c r="K12" i="8"/>
  <c r="M12" i="8"/>
  <c r="N12" i="8"/>
  <c r="O12" i="8"/>
  <c r="P12" i="8"/>
  <c r="E13" i="8"/>
  <c r="F13" i="8"/>
  <c r="G13" i="8"/>
  <c r="I13" i="8"/>
  <c r="J13" i="8"/>
  <c r="K13" i="8"/>
  <c r="M13" i="8"/>
  <c r="N13" i="8"/>
  <c r="O13" i="8"/>
  <c r="P13" i="8"/>
  <c r="E14" i="8"/>
  <c r="F14" i="8"/>
  <c r="F15" i="8"/>
  <c r="C18" i="13"/>
  <c r="G14" i="8"/>
  <c r="G15" i="8"/>
  <c r="D18" i="13" s="1"/>
  <c r="B16" i="8"/>
  <c r="E17" i="8"/>
  <c r="F17" i="8"/>
  <c r="G17" i="8"/>
  <c r="H17" i="8"/>
  <c r="I17" i="8"/>
  <c r="J17" i="8"/>
  <c r="L17" i="8"/>
  <c r="M17" i="8"/>
  <c r="N17" i="8"/>
  <c r="O17" i="8"/>
  <c r="P17" i="8"/>
  <c r="E18" i="8"/>
  <c r="F18" i="8"/>
  <c r="G18" i="8"/>
  <c r="H18" i="8"/>
  <c r="I18" i="8"/>
  <c r="J18" i="8"/>
  <c r="L18" i="8"/>
  <c r="M18" i="8"/>
  <c r="N18" i="8"/>
  <c r="O18" i="8"/>
  <c r="P18" i="8"/>
  <c r="E19" i="8"/>
  <c r="F19" i="8"/>
  <c r="G19" i="8"/>
  <c r="H19" i="8"/>
  <c r="I19" i="8"/>
  <c r="J19" i="8"/>
  <c r="K19" i="8"/>
  <c r="L19" i="8"/>
  <c r="M19" i="8"/>
  <c r="N19" i="8"/>
  <c r="O19" i="8"/>
  <c r="P19" i="8"/>
  <c r="E20" i="8"/>
  <c r="F20" i="8"/>
  <c r="G20" i="8"/>
  <c r="H20" i="8"/>
  <c r="I20" i="8"/>
  <c r="J20" i="8"/>
  <c r="K20" i="8"/>
  <c r="L20" i="8"/>
  <c r="M20" i="8"/>
  <c r="N20" i="8"/>
  <c r="O20" i="8"/>
  <c r="P20" i="8"/>
  <c r="B21" i="8"/>
  <c r="B23" i="8"/>
  <c r="B29" i="8"/>
  <c r="F29" i="8"/>
  <c r="G29" i="8"/>
  <c r="N29" i="8"/>
  <c r="P29" i="8"/>
  <c r="B30" i="8"/>
  <c r="E30" i="8"/>
  <c r="F30" i="8"/>
  <c r="G30" i="8"/>
  <c r="M30" i="8"/>
  <c r="N30" i="8"/>
  <c r="O30" i="8"/>
  <c r="P30" i="8"/>
  <c r="C32" i="8"/>
  <c r="D32" i="8"/>
  <c r="C33" i="8"/>
  <c r="D33" i="8"/>
  <c r="C34" i="8"/>
  <c r="C35" i="8"/>
  <c r="D35" i="8"/>
  <c r="C36" i="8"/>
  <c r="D36" i="8"/>
  <c r="C37" i="8"/>
  <c r="E37" i="8"/>
  <c r="F37" i="8"/>
  <c r="P37" i="8"/>
  <c r="C38" i="8"/>
  <c r="E38" i="8"/>
  <c r="F38" i="8"/>
  <c r="G38" i="8"/>
  <c r="N38" i="8"/>
  <c r="P38" i="8"/>
  <c r="E45" i="8"/>
  <c r="F45" i="8"/>
  <c r="G45" i="8"/>
  <c r="H45" i="8"/>
  <c r="I45" i="8"/>
  <c r="J45" i="8"/>
  <c r="K45" i="8"/>
  <c r="L45" i="8"/>
  <c r="M45" i="8"/>
  <c r="N45" i="8"/>
  <c r="O45" i="8"/>
  <c r="P45" i="8"/>
  <c r="D46" i="8"/>
  <c r="E46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B56" i="8"/>
  <c r="B57" i="8"/>
  <c r="B58" i="8"/>
  <c r="A2" i="4"/>
  <c r="B2" i="4"/>
  <c r="C4" i="4"/>
  <c r="D4" i="4"/>
  <c r="E4" i="4"/>
  <c r="F4" i="4"/>
  <c r="G4" i="4"/>
  <c r="H4" i="4"/>
  <c r="I4" i="4"/>
  <c r="J4" i="4"/>
  <c r="K4" i="4"/>
  <c r="L4" i="4"/>
  <c r="M4" i="4"/>
  <c r="N4" i="4"/>
  <c r="C5" i="4"/>
  <c r="B6" i="4"/>
  <c r="C6" i="4"/>
  <c r="D6" i="4"/>
  <c r="E6" i="4"/>
  <c r="F6" i="4"/>
  <c r="G6" i="4"/>
  <c r="H6" i="4"/>
  <c r="I6" i="4"/>
  <c r="J6" i="4"/>
  <c r="K6" i="4"/>
  <c r="L6" i="4"/>
  <c r="M6" i="4"/>
  <c r="N6" i="4"/>
  <c r="N11" i="4"/>
  <c r="M58" i="4"/>
  <c r="M60" i="4"/>
  <c r="G61" i="4"/>
  <c r="C2" i="3"/>
  <c r="B4" i="3"/>
  <c r="B5" i="3"/>
  <c r="C5" i="3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K13" i="3"/>
  <c r="M13" i="3"/>
  <c r="C14" i="3"/>
  <c r="D14" i="3"/>
  <c r="E14" i="3"/>
  <c r="F14" i="3"/>
  <c r="G14" i="3"/>
  <c r="G44" i="3"/>
  <c r="H14" i="3"/>
  <c r="I14" i="3"/>
  <c r="J14" i="3"/>
  <c r="K14" i="3"/>
  <c r="K44" i="3"/>
  <c r="L14" i="3"/>
  <c r="M14" i="3"/>
  <c r="L15" i="3"/>
  <c r="M15" i="3"/>
  <c r="C16" i="3"/>
  <c r="C45" i="3"/>
  <c r="D16" i="3"/>
  <c r="D45" i="3"/>
  <c r="F16" i="3"/>
  <c r="F45" i="3"/>
  <c r="H16" i="3"/>
  <c r="J16" i="3"/>
  <c r="K16" i="3"/>
  <c r="L16" i="3"/>
  <c r="M16" i="3"/>
  <c r="C18" i="3"/>
  <c r="D18" i="3"/>
  <c r="E18" i="3"/>
  <c r="E39" i="3"/>
  <c r="F18" i="3"/>
  <c r="F39" i="3"/>
  <c r="G18" i="3"/>
  <c r="G39" i="3"/>
  <c r="H18" i="3"/>
  <c r="I18" i="3"/>
  <c r="J18" i="3"/>
  <c r="J39" i="3"/>
  <c r="K18" i="3"/>
  <c r="K39" i="3"/>
  <c r="L18" i="3"/>
  <c r="M18" i="3"/>
  <c r="J36" i="3"/>
  <c r="L36" i="3"/>
  <c r="M36" i="3"/>
  <c r="C39" i="3"/>
  <c r="D39" i="3"/>
  <c r="H39" i="3"/>
  <c r="I39" i="3"/>
  <c r="L39" i="3"/>
  <c r="M39" i="3"/>
  <c r="B44" i="3"/>
  <c r="C44" i="3"/>
  <c r="D44" i="3"/>
  <c r="E44" i="3"/>
  <c r="F44" i="3"/>
  <c r="H44" i="3"/>
  <c r="I44" i="3"/>
  <c r="J44" i="3"/>
  <c r="L44" i="3"/>
  <c r="M44" i="3"/>
  <c r="B45" i="3"/>
  <c r="H45" i="3"/>
  <c r="J45" i="3"/>
  <c r="K45" i="3"/>
  <c r="L45" i="3"/>
  <c r="M45" i="3"/>
  <c r="B54" i="3"/>
  <c r="L54" i="3"/>
  <c r="M54" i="3"/>
  <c r="B1" i="2"/>
  <c r="B2" i="2"/>
  <c r="B6" i="2"/>
  <c r="O6" i="2"/>
  <c r="B7" i="2"/>
  <c r="C7" i="2"/>
  <c r="D7" i="2"/>
  <c r="E7" i="2"/>
  <c r="F7" i="2"/>
  <c r="G7" i="2"/>
  <c r="H7" i="2"/>
  <c r="I7" i="2"/>
  <c r="J7" i="2"/>
  <c r="K7" i="2"/>
  <c r="L7" i="2"/>
  <c r="M7" i="2"/>
  <c r="O7" i="2"/>
  <c r="P7" i="2"/>
  <c r="Q7" i="2"/>
  <c r="R7" i="2"/>
  <c r="S7" i="2"/>
  <c r="T7" i="2"/>
  <c r="U7" i="2"/>
  <c r="V7" i="2"/>
  <c r="W7" i="2"/>
  <c r="X7" i="2"/>
  <c r="Y7" i="2"/>
  <c r="Z7" i="2"/>
  <c r="B20" i="2"/>
  <c r="O20" i="2" s="1"/>
  <c r="B34" i="2"/>
  <c r="O34" i="2"/>
  <c r="M24" i="2"/>
  <c r="Z24" i="2"/>
  <c r="Z25" i="2"/>
  <c r="Z26" i="2"/>
  <c r="M27" i="2"/>
  <c r="Z28" i="2"/>
  <c r="B39" i="2"/>
  <c r="O41" i="2"/>
  <c r="C23" i="1"/>
  <c r="H24" i="1"/>
  <c r="H26" i="1"/>
  <c r="J24" i="1"/>
  <c r="J26" i="1"/>
  <c r="J18" i="5"/>
  <c r="K24" i="1"/>
  <c r="L24" i="1"/>
  <c r="M24" i="1"/>
  <c r="K26" i="1"/>
  <c r="L26" i="1"/>
  <c r="L13" i="5" s="1"/>
  <c r="M26" i="1"/>
  <c r="I35" i="1"/>
  <c r="L42" i="6"/>
  <c r="B35" i="1"/>
  <c r="E42" i="6"/>
  <c r="E44" i="6"/>
  <c r="C13" i="4"/>
  <c r="C35" i="1"/>
  <c r="F42" i="6"/>
  <c r="F44" i="6"/>
  <c r="D13" i="4"/>
  <c r="D35" i="1"/>
  <c r="G42" i="6"/>
  <c r="F35" i="1"/>
  <c r="I42" i="6"/>
  <c r="H35" i="1"/>
  <c r="H27" i="5" s="1"/>
  <c r="K42" i="6"/>
  <c r="J35" i="1"/>
  <c r="J27" i="5" s="1"/>
  <c r="M42" i="6"/>
  <c r="K35" i="1"/>
  <c r="N42" i="6"/>
  <c r="L35" i="1"/>
  <c r="O42" i="6" s="1"/>
  <c r="O44" i="6" s="1"/>
  <c r="M13" i="4" s="1"/>
  <c r="M35" i="1"/>
  <c r="J52" i="1"/>
  <c r="J64" i="1"/>
  <c r="J19" i="5" s="1"/>
  <c r="M25" i="6"/>
  <c r="K52" i="1"/>
  <c r="K64" i="1" s="1"/>
  <c r="L52" i="1"/>
  <c r="L64" i="1" s="1"/>
  <c r="M52" i="1"/>
  <c r="M64" i="1" s="1"/>
  <c r="L56" i="1"/>
  <c r="L63" i="1" s="1"/>
  <c r="L24" i="5"/>
  <c r="C58" i="1"/>
  <c r="C60" i="1"/>
  <c r="D58" i="1"/>
  <c r="G31" i="6" s="1"/>
  <c r="L58" i="1"/>
  <c r="O31" i="6"/>
  <c r="B60" i="1"/>
  <c r="K63" i="1"/>
  <c r="N24" i="6"/>
  <c r="L11" i="4"/>
  <c r="K27" i="2"/>
  <c r="M63" i="1"/>
  <c r="L68" i="1"/>
  <c r="L69" i="1"/>
  <c r="L70" i="1"/>
  <c r="L71" i="1"/>
  <c r="L72" i="1"/>
  <c r="L73" i="1"/>
  <c r="M74" i="1"/>
  <c r="B78" i="1"/>
  <c r="C78" i="1"/>
  <c r="D78" i="1"/>
  <c r="E78" i="1"/>
  <c r="F78" i="1"/>
  <c r="G78" i="1"/>
  <c r="H78" i="1"/>
  <c r="I78" i="1"/>
  <c r="J78" i="1"/>
  <c r="K78" i="1"/>
  <c r="L78" i="1"/>
  <c r="M78" i="1"/>
  <c r="M80" i="1"/>
  <c r="P35" i="6" s="1"/>
  <c r="L86" i="1"/>
  <c r="O38" i="6" s="1"/>
  <c r="M86" i="1"/>
  <c r="P38" i="6" s="1"/>
  <c r="B94" i="1"/>
  <c r="C94" i="1"/>
  <c r="D94" i="1"/>
  <c r="G43" i="6" s="1"/>
  <c r="G44" i="6" s="1"/>
  <c r="E13" i="4" s="1"/>
  <c r="E94" i="1"/>
  <c r="H43" i="6"/>
  <c r="F94" i="1"/>
  <c r="I43" i="6"/>
  <c r="G94" i="1"/>
  <c r="J43" i="6" s="1"/>
  <c r="H94" i="1"/>
  <c r="K43" i="6"/>
  <c r="I94" i="1"/>
  <c r="L43" i="6"/>
  <c r="J94" i="1"/>
  <c r="M43" i="6"/>
  <c r="K94" i="1"/>
  <c r="N43" i="6" s="1"/>
  <c r="N44" i="6" s="1"/>
  <c r="L13" i="4" s="1"/>
  <c r="L94" i="1"/>
  <c r="O43" i="6" s="1"/>
  <c r="M94" i="1"/>
  <c r="P43" i="6" s="1"/>
  <c r="J102" i="1"/>
  <c r="L102" i="1"/>
  <c r="M102" i="1"/>
  <c r="A113" i="1"/>
  <c r="B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B118" i="1"/>
  <c r="C118" i="1"/>
  <c r="D118" i="1"/>
  <c r="J118" i="1"/>
  <c r="K118" i="1"/>
  <c r="L118" i="1"/>
  <c r="M118" i="1"/>
  <c r="F45" i="7"/>
  <c r="K134" i="1"/>
  <c r="B134" i="1"/>
  <c r="C134" i="1"/>
  <c r="D134" i="1"/>
  <c r="L134" i="1"/>
  <c r="M134" i="1"/>
  <c r="B138" i="1"/>
  <c r="B157" i="1"/>
  <c r="C138" i="1"/>
  <c r="D138" i="1"/>
  <c r="L138" i="1"/>
  <c r="M138" i="1"/>
  <c r="B142" i="1"/>
  <c r="C142" i="1"/>
  <c r="D142" i="1"/>
  <c r="D157" i="1" s="1"/>
  <c r="L142" i="1"/>
  <c r="M142" i="1"/>
  <c r="B146" i="1"/>
  <c r="C146" i="1"/>
  <c r="C157" i="1" s="1"/>
  <c r="D146" i="1"/>
  <c r="E146" i="1"/>
  <c r="F146" i="1"/>
  <c r="G146" i="1"/>
  <c r="H146" i="1"/>
  <c r="I146" i="1"/>
  <c r="J146" i="1"/>
  <c r="K146" i="1"/>
  <c r="L146" i="1"/>
  <c r="M146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B155" i="1"/>
  <c r="C155" i="1"/>
  <c r="D155" i="1"/>
  <c r="J155" i="1"/>
  <c r="K155" i="1"/>
  <c r="L155" i="1"/>
  <c r="M155" i="1"/>
  <c r="L157" i="1"/>
  <c r="M157" i="1"/>
  <c r="B164" i="1"/>
  <c r="C164" i="1"/>
  <c r="C166" i="1"/>
  <c r="D164" i="1"/>
  <c r="D166" i="1"/>
  <c r="M164" i="1"/>
  <c r="B166" i="1"/>
  <c r="M166" i="1"/>
  <c r="B173" i="1"/>
  <c r="E106" i="7" s="1"/>
  <c r="C173" i="1"/>
  <c r="D173" i="1"/>
  <c r="D47" i="3"/>
  <c r="E173" i="1"/>
  <c r="F173" i="1"/>
  <c r="G173" i="1"/>
  <c r="H173" i="1"/>
  <c r="K106" i="7" s="1"/>
  <c r="I173" i="1"/>
  <c r="L106" i="7" s="1"/>
  <c r="J173" i="1"/>
  <c r="J47" i="3" s="1"/>
  <c r="M106" i="7"/>
  <c r="K173" i="1"/>
  <c r="K47" i="3"/>
  <c r="L173" i="1"/>
  <c r="O106" i="7" s="1"/>
  <c r="M173" i="1"/>
  <c r="B177" i="1"/>
  <c r="C177" i="1"/>
  <c r="D177" i="1"/>
  <c r="E177" i="1"/>
  <c r="F177" i="1"/>
  <c r="G177" i="1"/>
  <c r="H177" i="1"/>
  <c r="H179" i="1" s="1"/>
  <c r="H46" i="3" s="1"/>
  <c r="I177" i="1"/>
  <c r="J177" i="1"/>
  <c r="K177" i="1"/>
  <c r="K179" i="1" s="1"/>
  <c r="K46" i="3" s="1"/>
  <c r="L177" i="1"/>
  <c r="L179" i="1" s="1"/>
  <c r="L46" i="3" s="1"/>
  <c r="M177" i="1"/>
  <c r="B178" i="1"/>
  <c r="C178" i="1"/>
  <c r="C17" i="3" s="1"/>
  <c r="D178" i="1"/>
  <c r="D17" i="3" s="1"/>
  <c r="E178" i="1"/>
  <c r="F178" i="1"/>
  <c r="G178" i="1"/>
  <c r="H178" i="1"/>
  <c r="I178" i="1"/>
  <c r="J178" i="1"/>
  <c r="K178" i="1"/>
  <c r="L178" i="1"/>
  <c r="L17" i="3" s="1"/>
  <c r="M178" i="1"/>
  <c r="M17" i="3" s="1"/>
  <c r="B179" i="1"/>
  <c r="C179" i="1"/>
  <c r="C46" i="3" s="1"/>
  <c r="D179" i="1"/>
  <c r="D46" i="3" s="1"/>
  <c r="M179" i="1"/>
  <c r="M46" i="3" s="1"/>
  <c r="B184" i="1"/>
  <c r="C184" i="1"/>
  <c r="D184" i="1"/>
  <c r="E184" i="1"/>
  <c r="F184" i="1"/>
  <c r="G184" i="1"/>
  <c r="H184" i="1"/>
  <c r="I184" i="1"/>
  <c r="J184" i="1"/>
  <c r="K184" i="1"/>
  <c r="L184" i="1"/>
  <c r="M184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B195" i="1"/>
  <c r="C195" i="1"/>
  <c r="D195" i="1"/>
  <c r="J195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B200" i="1"/>
  <c r="E72" i="7"/>
  <c r="C200" i="1"/>
  <c r="D200" i="1"/>
  <c r="G72" i="7" s="1"/>
  <c r="J200" i="1"/>
  <c r="M72" i="7"/>
  <c r="M200" i="1"/>
  <c r="P72" i="7" s="1"/>
  <c r="B201" i="1"/>
  <c r="E73" i="7" s="1"/>
  <c r="C201" i="1"/>
  <c r="F73" i="7"/>
  <c r="D201" i="1"/>
  <c r="G73" i="7"/>
  <c r="K201" i="1"/>
  <c r="N73" i="7"/>
  <c r="M201" i="1"/>
  <c r="P73" i="7" s="1"/>
  <c r="B203" i="1"/>
  <c r="J67" i="7"/>
  <c r="K67" i="7"/>
  <c r="L67" i="7"/>
  <c r="L207" i="1"/>
  <c r="M207" i="1"/>
  <c r="I232" i="1"/>
  <c r="B209" i="1"/>
  <c r="C209" i="1"/>
  <c r="D209" i="1"/>
  <c r="L212" i="1"/>
  <c r="O60" i="7"/>
  <c r="L213" i="1"/>
  <c r="O61" i="7"/>
  <c r="O33" i="8" s="1"/>
  <c r="L214" i="1"/>
  <c r="B216" i="1"/>
  <c r="C216" i="1"/>
  <c r="D216" i="1"/>
  <c r="E216" i="1"/>
  <c r="K216" i="1"/>
  <c r="L216" i="1"/>
  <c r="M216" i="1"/>
  <c r="L219" i="1"/>
  <c r="L221" i="1"/>
  <c r="L222" i="1"/>
  <c r="O81" i="7"/>
  <c r="L223" i="1"/>
  <c r="O82" i="7"/>
  <c r="L224" i="1"/>
  <c r="B225" i="1"/>
  <c r="C225" i="1"/>
  <c r="D225" i="1"/>
  <c r="M225" i="1"/>
  <c r="B229" i="1"/>
  <c r="E94" i="7" s="1"/>
  <c r="C229" i="1"/>
  <c r="F94" i="7" s="1"/>
  <c r="D229" i="1"/>
  <c r="G94" i="7" s="1"/>
  <c r="E229" i="1"/>
  <c r="H94" i="7" s="1"/>
  <c r="F229" i="1"/>
  <c r="G229" i="1"/>
  <c r="J94" i="7" s="1"/>
  <c r="H229" i="1"/>
  <c r="K94" i="7" s="1"/>
  <c r="I229" i="1"/>
  <c r="L94" i="7" s="1"/>
  <c r="J229" i="1"/>
  <c r="M94" i="7" s="1"/>
  <c r="K229" i="1"/>
  <c r="N94" i="7" s="1"/>
  <c r="L229" i="1"/>
  <c r="O94" i="7" s="1"/>
  <c r="M229" i="1"/>
  <c r="P94" i="7" s="1"/>
  <c r="B230" i="1"/>
  <c r="E95" i="7" s="1"/>
  <c r="C230" i="1"/>
  <c r="F95" i="7" s="1"/>
  <c r="D230" i="1"/>
  <c r="G95" i="7" s="1"/>
  <c r="E230" i="1"/>
  <c r="H95" i="7"/>
  <c r="H230" i="1"/>
  <c r="K95" i="7"/>
  <c r="I230" i="1"/>
  <c r="L95" i="7"/>
  <c r="K230" i="1"/>
  <c r="N95" i="7"/>
  <c r="L230" i="1"/>
  <c r="O95" i="7"/>
  <c r="M230" i="1"/>
  <c r="P95" i="7" s="1"/>
  <c r="B231" i="1"/>
  <c r="C231" i="1"/>
  <c r="D231" i="1"/>
  <c r="E231" i="1"/>
  <c r="H231" i="1"/>
  <c r="I231" i="1"/>
  <c r="K231" i="1"/>
  <c r="L231" i="1"/>
  <c r="M231" i="1"/>
  <c r="B232" i="1"/>
  <c r="E96" i="7"/>
  <c r="C232" i="1"/>
  <c r="D232" i="1"/>
  <c r="G96" i="7"/>
  <c r="E232" i="1"/>
  <c r="B233" i="1"/>
  <c r="E97" i="7" s="1"/>
  <c r="C233" i="1"/>
  <c r="D233" i="1"/>
  <c r="G97" i="7" s="1"/>
  <c r="E233" i="1"/>
  <c r="H97" i="7" s="1"/>
  <c r="F233" i="1"/>
  <c r="I97" i="7" s="1"/>
  <c r="G233" i="1"/>
  <c r="J97" i="7" s="1"/>
  <c r="H233" i="1"/>
  <c r="K97" i="7" s="1"/>
  <c r="I233" i="1"/>
  <c r="L97" i="7" s="1"/>
  <c r="J233" i="1"/>
  <c r="M97" i="7" s="1"/>
  <c r="K233" i="1"/>
  <c r="N97" i="7" s="1"/>
  <c r="L233" i="1"/>
  <c r="O97" i="7" s="1"/>
  <c r="M233" i="1"/>
  <c r="P97" i="7" s="1"/>
  <c r="B234" i="1"/>
  <c r="E98" i="7" s="1"/>
  <c r="C234" i="1"/>
  <c r="F98" i="7" s="1"/>
  <c r="D234" i="1"/>
  <c r="G98" i="7" s="1"/>
  <c r="H234" i="1"/>
  <c r="K98" i="7"/>
  <c r="I234" i="1"/>
  <c r="L98" i="7"/>
  <c r="K234" i="1"/>
  <c r="N98" i="7" s="1"/>
  <c r="L234" i="1"/>
  <c r="O98" i="7"/>
  <c r="M234" i="1"/>
  <c r="P98" i="7" s="1"/>
  <c r="L237" i="1"/>
  <c r="O102" i="7" s="1"/>
  <c r="O99" i="7" s="1"/>
  <c r="L238" i="1"/>
  <c r="O103" i="7"/>
  <c r="B239" i="1"/>
  <c r="D239" i="1"/>
  <c r="L244" i="1"/>
  <c r="O19" i="7" s="1"/>
  <c r="L246" i="1"/>
  <c r="O21" i="7"/>
  <c r="K26" i="7"/>
  <c r="K23" i="7"/>
  <c r="L26" i="7"/>
  <c r="L249" i="1"/>
  <c r="O26" i="7"/>
  <c r="B251" i="1"/>
  <c r="C251" i="1"/>
  <c r="D251" i="1"/>
  <c r="M251" i="1"/>
  <c r="A1" i="14"/>
  <c r="A1" i="13"/>
  <c r="E7" i="13"/>
  <c r="F7" i="13"/>
  <c r="G7" i="13"/>
  <c r="H7" i="13"/>
  <c r="J7" i="13"/>
  <c r="K7" i="13"/>
  <c r="L7" i="13"/>
  <c r="M7" i="13"/>
  <c r="B8" i="13"/>
  <c r="D8" i="13"/>
  <c r="H8" i="13"/>
  <c r="J8" i="13"/>
  <c r="K8" i="13"/>
  <c r="L8" i="13"/>
  <c r="M8" i="13"/>
  <c r="J9" i="13"/>
  <c r="K9" i="13"/>
  <c r="L9" i="13"/>
  <c r="M9" i="13"/>
  <c r="B10" i="13"/>
  <c r="C10" i="13"/>
  <c r="D10" i="13"/>
  <c r="E10" i="13"/>
  <c r="F10" i="13"/>
  <c r="G10" i="13"/>
  <c r="H10" i="13"/>
  <c r="I10" i="13"/>
  <c r="J10" i="13"/>
  <c r="J11" i="13"/>
  <c r="K10" i="13"/>
  <c r="L10" i="13"/>
  <c r="M10" i="13"/>
  <c r="K11" i="13"/>
  <c r="L11" i="13"/>
  <c r="M11" i="13"/>
  <c r="I13" i="13"/>
  <c r="J13" i="13"/>
  <c r="H17" i="13"/>
  <c r="J20" i="13"/>
  <c r="K20" i="13"/>
  <c r="J23" i="13"/>
  <c r="K23" i="13"/>
  <c r="L23" i="13"/>
  <c r="K32" i="13"/>
  <c r="N17" i="7"/>
  <c r="B33" i="13"/>
  <c r="K61" i="7"/>
  <c r="K33" i="8"/>
  <c r="L64" i="7"/>
  <c r="K82" i="7"/>
  <c r="K64" i="7"/>
  <c r="K36" i="8"/>
  <c r="I16" i="3"/>
  <c r="I45" i="3"/>
  <c r="I17" i="13"/>
  <c r="J17" i="13"/>
  <c r="K17" i="13"/>
  <c r="K86" i="1"/>
  <c r="K25" i="5" s="1"/>
  <c r="N12" i="7"/>
  <c r="N15" i="7"/>
  <c r="M22" i="7"/>
  <c r="N39" i="6"/>
  <c r="L58" i="4"/>
  <c r="L60" i="4" s="1"/>
  <c r="N32" i="7"/>
  <c r="N37" i="7" s="1"/>
  <c r="K142" i="1"/>
  <c r="N34" i="7"/>
  <c r="N22" i="7"/>
  <c r="I62" i="8"/>
  <c r="N38" i="6"/>
  <c r="K15" i="3"/>
  <c r="K54" i="3"/>
  <c r="M56" i="8"/>
  <c r="X8" i="2"/>
  <c r="N56" i="8"/>
  <c r="L24" i="4"/>
  <c r="M61" i="4" s="1"/>
  <c r="M62" i="4" s="1"/>
  <c r="L59" i="3"/>
  <c r="K138" i="1"/>
  <c r="K157" i="1"/>
  <c r="N40" i="6"/>
  <c r="L10" i="4"/>
  <c r="K26" i="2" s="1"/>
  <c r="L58" i="3"/>
  <c r="G106" i="7"/>
  <c r="E47" i="3"/>
  <c r="X9" i="2"/>
  <c r="N50" i="8"/>
  <c r="N51" i="8"/>
  <c r="L32" i="13"/>
  <c r="H26" i="13"/>
  <c r="L59" i="1"/>
  <c r="M23" i="13"/>
  <c r="L20" i="13"/>
  <c r="N29" i="6"/>
  <c r="K200" i="1"/>
  <c r="N72" i="7"/>
  <c r="L53" i="1"/>
  <c r="L17" i="13"/>
  <c r="L61" i="8"/>
  <c r="K61" i="8"/>
  <c r="H23" i="7"/>
  <c r="G61" i="8"/>
  <c r="E23" i="7"/>
  <c r="E28" i="7"/>
  <c r="K21" i="7"/>
  <c r="K55" i="8"/>
  <c r="L21" i="7"/>
  <c r="L55" i="8"/>
  <c r="F50" i="8"/>
  <c r="K102" i="7"/>
  <c r="K99" i="7"/>
  <c r="L102" i="7"/>
  <c r="F99" i="7"/>
  <c r="K77" i="7"/>
  <c r="K29" i="8"/>
  <c r="L77" i="7"/>
  <c r="L29" i="8" s="1"/>
  <c r="L36" i="8"/>
  <c r="L62" i="7"/>
  <c r="K62" i="7"/>
  <c r="H36" i="8"/>
  <c r="G59" i="7"/>
  <c r="D8" i="2"/>
  <c r="F59" i="7"/>
  <c r="H32" i="8"/>
  <c r="E67" i="3"/>
  <c r="D70" i="3"/>
  <c r="C70" i="3"/>
  <c r="D67" i="3"/>
  <c r="E59" i="7"/>
  <c r="L96" i="7"/>
  <c r="H232" i="1"/>
  <c r="H96" i="7"/>
  <c r="F96" i="7"/>
  <c r="H45" i="10"/>
  <c r="G45" i="10"/>
  <c r="G65" i="7"/>
  <c r="F45" i="10"/>
  <c r="F65" i="7"/>
  <c r="E25" i="8"/>
  <c r="E26" i="8"/>
  <c r="B27" i="13" s="1"/>
  <c r="D203" i="1"/>
  <c r="D260" i="1" s="1"/>
  <c r="F41" i="10"/>
  <c r="E41" i="10"/>
  <c r="F51" i="8"/>
  <c r="C39" i="2" s="1"/>
  <c r="G90" i="7"/>
  <c r="D15" i="2"/>
  <c r="D15" i="11"/>
  <c r="D19" i="4"/>
  <c r="C15" i="2"/>
  <c r="F12" i="10"/>
  <c r="E12" i="10"/>
  <c r="C50" i="11"/>
  <c r="C51" i="11"/>
  <c r="E19" i="4"/>
  <c r="F16" i="10"/>
  <c r="F25" i="10"/>
  <c r="E25" i="10"/>
  <c r="B260" i="1"/>
  <c r="E16" i="10"/>
  <c r="F37" i="7"/>
  <c r="E37" i="7"/>
  <c r="D59" i="3"/>
  <c r="C59" i="3"/>
  <c r="D57" i="3"/>
  <c r="C57" i="3"/>
  <c r="I118" i="1"/>
  <c r="L41" i="7"/>
  <c r="I56" i="3" s="1"/>
  <c r="K41" i="7"/>
  <c r="H118" i="1"/>
  <c r="C16" i="11"/>
  <c r="F23" i="8"/>
  <c r="F31" i="6"/>
  <c r="E15" i="8"/>
  <c r="B18" i="13" s="1"/>
  <c r="G35" i="1"/>
  <c r="L242" i="1"/>
  <c r="M32" i="13"/>
  <c r="I26" i="13"/>
  <c r="M58" i="1"/>
  <c r="O33" i="6"/>
  <c r="L201" i="1"/>
  <c r="O73" i="7"/>
  <c r="L60" i="1"/>
  <c r="L21" i="5"/>
  <c r="L54" i="1"/>
  <c r="O29" i="6" s="1"/>
  <c r="M20" i="13"/>
  <c r="O27" i="6"/>
  <c r="K195" i="1"/>
  <c r="K203" i="1" s="1"/>
  <c r="N71" i="7"/>
  <c r="N69" i="7"/>
  <c r="M17" i="13"/>
  <c r="M194" i="1"/>
  <c r="L194" i="1"/>
  <c r="I239" i="1"/>
  <c r="H216" i="1"/>
  <c r="K60" i="7"/>
  <c r="C67" i="3"/>
  <c r="K96" i="7"/>
  <c r="D9" i="2"/>
  <c r="D24" i="3"/>
  <c r="C9" i="2"/>
  <c r="C33" i="13"/>
  <c r="K35" i="7"/>
  <c r="L35" i="7"/>
  <c r="E14" i="10"/>
  <c r="O16" i="2"/>
  <c r="H155" i="1"/>
  <c r="K36" i="7"/>
  <c r="E23" i="10"/>
  <c r="P16" i="2"/>
  <c r="D23" i="4"/>
  <c r="C23" i="4"/>
  <c r="K13" i="10"/>
  <c r="J56" i="3"/>
  <c r="L13" i="10"/>
  <c r="H13" i="3"/>
  <c r="H63" i="1"/>
  <c r="K24" i="6"/>
  <c r="O17" i="7"/>
  <c r="L251" i="1"/>
  <c r="J26" i="13"/>
  <c r="M60" i="1"/>
  <c r="M21" i="5" s="1"/>
  <c r="P31" i="6"/>
  <c r="M53" i="1"/>
  <c r="P27" i="6" s="1"/>
  <c r="L195" i="1"/>
  <c r="L203" i="1" s="1"/>
  <c r="O71" i="7"/>
  <c r="O14" i="8" s="1"/>
  <c r="O15" i="8" s="1"/>
  <c r="L18" i="13" s="1"/>
  <c r="N14" i="8"/>
  <c r="N15" i="8" s="1"/>
  <c r="K18" i="13" s="1"/>
  <c r="M195" i="1"/>
  <c r="M203" i="1" s="1"/>
  <c r="P71" i="7"/>
  <c r="P14" i="8" s="1"/>
  <c r="P15" i="8" s="1"/>
  <c r="M18" i="13" s="1"/>
  <c r="L60" i="7"/>
  <c r="I216" i="1"/>
  <c r="K59" i="7"/>
  <c r="K32" i="8"/>
  <c r="K31" i="8" s="1"/>
  <c r="L36" i="7"/>
  <c r="I155" i="1"/>
  <c r="N45" i="7"/>
  <c r="K57" i="3" s="1"/>
  <c r="M45" i="7"/>
  <c r="I13" i="3"/>
  <c r="I63" i="1"/>
  <c r="L24" i="6"/>
  <c r="J11" i="4"/>
  <c r="I27" i="2" s="1"/>
  <c r="F24" i="8"/>
  <c r="C24" i="13" s="1"/>
  <c r="L30" i="3"/>
  <c r="M30" i="3"/>
  <c r="Y9" i="2"/>
  <c r="O50" i="8"/>
  <c r="O51" i="8" s="1"/>
  <c r="M55" i="1"/>
  <c r="M20" i="5" s="1"/>
  <c r="N86" i="7"/>
  <c r="L162" i="1"/>
  <c r="K74" i="1"/>
  <c r="L67" i="1"/>
  <c r="L74" i="1"/>
  <c r="L80" i="1"/>
  <c r="L175" i="1"/>
  <c r="O86" i="7"/>
  <c r="L24" i="2"/>
  <c r="K80" i="1"/>
  <c r="K24" i="2"/>
  <c r="N35" i="6"/>
  <c r="M12" i="7"/>
  <c r="M15" i="7"/>
  <c r="J134" i="1"/>
  <c r="J157" i="1" s="1"/>
  <c r="J138" i="1"/>
  <c r="M34" i="7"/>
  <c r="J59" i="3" s="1"/>
  <c r="K59" i="3"/>
  <c r="J86" i="1"/>
  <c r="M39" i="6"/>
  <c r="K58" i="4"/>
  <c r="K60" i="4"/>
  <c r="J15" i="3"/>
  <c r="J54" i="3"/>
  <c r="M38" i="6"/>
  <c r="K10" i="4"/>
  <c r="J26" i="2"/>
  <c r="J25" i="5"/>
  <c r="M32" i="7"/>
  <c r="J58" i="3" s="1"/>
  <c r="J142" i="1"/>
  <c r="K58" i="3"/>
  <c r="M37" i="7"/>
  <c r="M21" i="7"/>
  <c r="M55" i="8"/>
  <c r="J251" i="1"/>
  <c r="O55" i="8"/>
  <c r="O23" i="7"/>
  <c r="O61" i="8"/>
  <c r="M50" i="8"/>
  <c r="M51" i="8" s="1"/>
  <c r="K30" i="3"/>
  <c r="W9" i="2"/>
  <c r="L23" i="7"/>
  <c r="I55" i="3"/>
  <c r="M23" i="7"/>
  <c r="H55" i="3"/>
  <c r="O80" i="7"/>
  <c r="O38" i="8"/>
  <c r="M77" i="7"/>
  <c r="M29" i="8"/>
  <c r="G222" i="1"/>
  <c r="J81" i="7" s="1"/>
  <c r="I81" i="7"/>
  <c r="I82" i="7"/>
  <c r="M95" i="7"/>
  <c r="J231" i="1"/>
  <c r="O77" i="7"/>
  <c r="O29" i="8"/>
  <c r="F220" i="1"/>
  <c r="K38" i="8"/>
  <c r="O59" i="7"/>
  <c r="O32" i="8"/>
  <c r="M60" i="7"/>
  <c r="G215" i="1"/>
  <c r="J64" i="7"/>
  <c r="J36" i="8" s="1"/>
  <c r="I64" i="7"/>
  <c r="I36" i="8" s="1"/>
  <c r="H8" i="2"/>
  <c r="N62" i="7"/>
  <c r="F214" i="1"/>
  <c r="H70" i="3"/>
  <c r="H239" i="1"/>
  <c r="H59" i="7"/>
  <c r="E239" i="1"/>
  <c r="F232" i="1"/>
  <c r="G208" i="1"/>
  <c r="G232" i="1" s="1"/>
  <c r="K208" i="1"/>
  <c r="J232" i="1"/>
  <c r="M67" i="7"/>
  <c r="L46" i="10" s="1"/>
  <c r="M27" i="8"/>
  <c r="M28" i="8"/>
  <c r="J30" i="13" s="1"/>
  <c r="N46" i="10"/>
  <c r="N27" i="8"/>
  <c r="N28" i="8" s="1"/>
  <c r="K30" i="13" s="1"/>
  <c r="K74" i="7"/>
  <c r="H12" i="8"/>
  <c r="H13" i="8"/>
  <c r="I47" i="3"/>
  <c r="H106" i="7"/>
  <c r="L47" i="3"/>
  <c r="H47" i="3"/>
  <c r="N88" i="7"/>
  <c r="L18" i="4"/>
  <c r="H86" i="7"/>
  <c r="H88" i="7"/>
  <c r="F162" i="1"/>
  <c r="F159" i="1"/>
  <c r="G153" i="1"/>
  <c r="J36" i="7"/>
  <c r="G60" i="3" s="1"/>
  <c r="I36" i="7"/>
  <c r="F60" i="3" s="1"/>
  <c r="G154" i="1"/>
  <c r="J16" i="7"/>
  <c r="I16" i="7"/>
  <c r="H36" i="7"/>
  <c r="E60" i="3" s="1"/>
  <c r="H16" i="7"/>
  <c r="H57" i="8"/>
  <c r="F152" i="1"/>
  <c r="M28" i="7"/>
  <c r="E155" i="1"/>
  <c r="J60" i="3"/>
  <c r="H60" i="3"/>
  <c r="K56" i="3"/>
  <c r="W8" i="2"/>
  <c r="M57" i="8"/>
  <c r="I60" i="3"/>
  <c r="K24" i="4"/>
  <c r="L61" i="4" s="1"/>
  <c r="K23" i="4"/>
  <c r="M113" i="7"/>
  <c r="L31" i="3"/>
  <c r="X10" i="2"/>
  <c r="L25" i="4"/>
  <c r="N37" i="10"/>
  <c r="I41" i="7"/>
  <c r="F118" i="1"/>
  <c r="G116" i="1"/>
  <c r="E118" i="1"/>
  <c r="H41" i="7"/>
  <c r="N13" i="10"/>
  <c r="L56" i="3"/>
  <c r="M13" i="10"/>
  <c r="F17" i="3"/>
  <c r="I17" i="3"/>
  <c r="L44" i="6"/>
  <c r="J13" i="4"/>
  <c r="J17" i="3"/>
  <c r="I44" i="6"/>
  <c r="G13" i="4"/>
  <c r="H17" i="3"/>
  <c r="M44" i="6"/>
  <c r="K13" i="4" s="1"/>
  <c r="K17" i="3"/>
  <c r="G17" i="3"/>
  <c r="K44" i="6"/>
  <c r="I13" i="4"/>
  <c r="G85" i="1"/>
  <c r="M40" i="6"/>
  <c r="L22" i="5"/>
  <c r="O35" i="6"/>
  <c r="N23" i="8"/>
  <c r="N24" i="8" s="1"/>
  <c r="K24" i="13" s="1"/>
  <c r="M21" i="8"/>
  <c r="M22" i="8"/>
  <c r="J21" i="13" s="1"/>
  <c r="O23" i="8"/>
  <c r="O24" i="8"/>
  <c r="L24" i="13" s="1"/>
  <c r="N43" i="10"/>
  <c r="M57" i="1"/>
  <c r="M61" i="1"/>
  <c r="M23" i="2" s="1"/>
  <c r="L55" i="1"/>
  <c r="E63" i="1"/>
  <c r="H24" i="6" s="1"/>
  <c r="F11" i="4" s="1"/>
  <c r="E27" i="2" s="1"/>
  <c r="E163" i="1"/>
  <c r="F56" i="1"/>
  <c r="L200" i="1"/>
  <c r="O72" i="7" s="1"/>
  <c r="L13" i="3"/>
  <c r="E13" i="3"/>
  <c r="I24" i="1"/>
  <c r="I26" i="1"/>
  <c r="J10" i="5"/>
  <c r="E44" i="1"/>
  <c r="E48" i="1"/>
  <c r="F48" i="1"/>
  <c r="G48" i="1" s="1"/>
  <c r="N21" i="8"/>
  <c r="N22" i="8"/>
  <c r="K21" i="13" s="1"/>
  <c r="M42" i="10"/>
  <c r="L57" i="1"/>
  <c r="L61" i="1" s="1"/>
  <c r="L20" i="5"/>
  <c r="K39" i="2"/>
  <c r="K33" i="13"/>
  <c r="H23" i="6"/>
  <c r="H21" i="6" s="1"/>
  <c r="E17" i="3"/>
  <c r="I27" i="5"/>
  <c r="H9" i="13"/>
  <c r="H11" i="13"/>
  <c r="H209" i="1"/>
  <c r="K66" i="7"/>
  <c r="K25" i="8"/>
  <c r="K26" i="8"/>
  <c r="H27" i="13"/>
  <c r="K36" i="3"/>
  <c r="K102" i="1"/>
  <c r="N47" i="6"/>
  <c r="K225" i="1"/>
  <c r="K251" i="1"/>
  <c r="N19" i="7"/>
  <c r="N79" i="7"/>
  <c r="N53" i="8"/>
  <c r="N37" i="8"/>
  <c r="H52" i="1"/>
  <c r="K19" i="6"/>
  <c r="K20" i="6"/>
  <c r="K23" i="6"/>
  <c r="K21" i="6"/>
  <c r="H195" i="1"/>
  <c r="H203" i="1" s="1"/>
  <c r="K71" i="7"/>
  <c r="K18" i="6"/>
  <c r="K17" i="7"/>
  <c r="H64" i="1"/>
  <c r="H19" i="5"/>
  <c r="K25" i="6"/>
  <c r="K69" i="7"/>
  <c r="K14" i="8"/>
  <c r="K15" i="8" s="1"/>
  <c r="H18" i="13" s="1"/>
  <c r="K50" i="8"/>
  <c r="K51" i="8"/>
  <c r="U9" i="2"/>
  <c r="K33" i="6"/>
  <c r="I58" i="1"/>
  <c r="H201" i="1"/>
  <c r="K73" i="7"/>
  <c r="I53" i="1"/>
  <c r="H200" i="1"/>
  <c r="K72" i="7"/>
  <c r="K29" i="6"/>
  <c r="N89" i="7"/>
  <c r="K164" i="1"/>
  <c r="K166" i="1"/>
  <c r="K21" i="8"/>
  <c r="K22" i="8"/>
  <c r="H21" i="13"/>
  <c r="I201" i="1"/>
  <c r="L73" i="7"/>
  <c r="L33" i="6"/>
  <c r="J58" i="1"/>
  <c r="M31" i="6"/>
  <c r="H36" i="3"/>
  <c r="K47" i="6"/>
  <c r="K46" i="6"/>
  <c r="H102" i="1"/>
  <c r="K19" i="7"/>
  <c r="H251" i="1"/>
  <c r="H225" i="1"/>
  <c r="K79" i="7"/>
  <c r="K53" i="8"/>
  <c r="K37" i="8"/>
  <c r="K22" i="7"/>
  <c r="K56" i="8" s="1"/>
  <c r="L34" i="7"/>
  <c r="I138" i="1"/>
  <c r="I142" i="1"/>
  <c r="L22" i="7"/>
  <c r="L56" i="8"/>
  <c r="H32" i="7"/>
  <c r="E142" i="1"/>
  <c r="F83" i="1"/>
  <c r="I32" i="7"/>
  <c r="F142" i="1"/>
  <c r="G83" i="1"/>
  <c r="J39" i="6"/>
  <c r="H58" i="4"/>
  <c r="H60" i="4"/>
  <c r="J32" i="7"/>
  <c r="G142" i="1"/>
  <c r="H83" i="1"/>
  <c r="K32" i="7"/>
  <c r="H142" i="1"/>
  <c r="I7" i="14" l="1"/>
  <c r="F8" i="14"/>
  <c r="H8" i="14" s="1"/>
  <c r="L38" i="6"/>
  <c r="I25" i="5"/>
  <c r="I15" i="3"/>
  <c r="I54" i="3" s="1"/>
  <c r="C6" i="14"/>
  <c r="D6" i="14" s="1"/>
  <c r="B7" i="14" s="1"/>
  <c r="D7" i="14" s="1"/>
  <c r="B8" i="14" s="1"/>
  <c r="D8" i="14" s="1"/>
  <c r="B9" i="14" s="1"/>
  <c r="D9" i="14" s="1"/>
  <c r="B10" i="14" s="1"/>
  <c r="D10" i="14" s="1"/>
  <c r="B11" i="14" s="1"/>
  <c r="D11" i="14" s="1"/>
  <c r="B12" i="14" s="1"/>
  <c r="D12" i="14" s="1"/>
  <c r="B13" i="14" s="1"/>
  <c r="D13" i="14" s="1"/>
  <c r="B14" i="14" s="1"/>
  <c r="D14" i="14" s="1"/>
  <c r="B15" i="14" s="1"/>
  <c r="D15" i="14" s="1"/>
  <c r="B16" i="14" s="1"/>
  <c r="D16" i="14" s="1"/>
  <c r="B17" i="14" s="1"/>
  <c r="D17" i="14" s="1"/>
  <c r="E83" i="1"/>
  <c r="B18" i="14"/>
  <c r="D18" i="14" s="1"/>
  <c r="B19" i="14" s="1"/>
  <c r="D19" i="14" s="1"/>
  <c r="B20" i="14" s="1"/>
  <c r="D20" i="14" s="1"/>
  <c r="B21" i="14" s="1"/>
  <c r="D21" i="14" s="1"/>
  <c r="B22" i="14" s="1"/>
  <c r="D22" i="14" s="1"/>
  <c r="B23" i="14" s="1"/>
  <c r="D23" i="14" s="1"/>
  <c r="B24" i="14" s="1"/>
  <c r="D24" i="14" s="1"/>
  <c r="B25" i="14" s="1"/>
  <c r="D25" i="14" s="1"/>
  <c r="B26" i="14" s="1"/>
  <c r="D26" i="14" s="1"/>
  <c r="B27" i="14" s="1"/>
  <c r="D27" i="14" s="1"/>
  <c r="B28" i="14" s="1"/>
  <c r="D28" i="14" s="1"/>
  <c r="B29" i="14" s="1"/>
  <c r="D29" i="14" s="1"/>
  <c r="D102" i="1"/>
  <c r="G47" i="6"/>
  <c r="G46" i="6" s="1"/>
  <c r="D36" i="3"/>
  <c r="C102" i="1"/>
  <c r="C36" i="3"/>
  <c r="B102" i="1"/>
  <c r="E47" i="6"/>
  <c r="E46" i="6" s="1"/>
  <c r="D15" i="3"/>
  <c r="D54" i="3" s="1"/>
  <c r="G38" i="6"/>
  <c r="C15" i="3"/>
  <c r="C54" i="3" s="1"/>
  <c r="F38" i="6"/>
  <c r="E39" i="6"/>
  <c r="B86" i="1"/>
  <c r="D24" i="2"/>
  <c r="D80" i="1"/>
  <c r="C24" i="2"/>
  <c r="C80" i="1"/>
  <c r="B80" i="1"/>
  <c r="B24" i="2"/>
  <c r="D63" i="1"/>
  <c r="G24" i="6" s="1"/>
  <c r="E11" i="4" s="1"/>
  <c r="D27" i="2" s="1"/>
  <c r="D13" i="3"/>
  <c r="C13" i="3"/>
  <c r="C63" i="1"/>
  <c r="F24" i="6" s="1"/>
  <c r="D11" i="4" s="1"/>
  <c r="C27" i="2" s="1"/>
  <c r="B63" i="1"/>
  <c r="E24" i="6" s="1"/>
  <c r="C11" i="4" s="1"/>
  <c r="B27" i="2" s="1"/>
  <c r="E53" i="1"/>
  <c r="G29" i="6"/>
  <c r="D53" i="1"/>
  <c r="F29" i="6"/>
  <c r="B55" i="1"/>
  <c r="C53" i="1"/>
  <c r="E29" i="6"/>
  <c r="G22" i="6"/>
  <c r="G21" i="6" s="1"/>
  <c r="F22" i="6"/>
  <c r="F21" i="6" s="1"/>
  <c r="E22" i="6"/>
  <c r="E21" i="6" s="1"/>
  <c r="G20" i="6"/>
  <c r="G18" i="6" s="1"/>
  <c r="E42" i="1"/>
  <c r="D52" i="1"/>
  <c r="C52" i="1"/>
  <c r="F19" i="6"/>
  <c r="F18" i="6" s="1"/>
  <c r="B52" i="1"/>
  <c r="D24" i="1"/>
  <c r="D26" i="1" s="1"/>
  <c r="D7" i="13"/>
  <c r="D9" i="13" s="1"/>
  <c r="D11" i="13" s="1"/>
  <c r="E10" i="5"/>
  <c r="D10" i="5"/>
  <c r="G11" i="6"/>
  <c r="G13" i="6" s="1"/>
  <c r="G15" i="6" s="1"/>
  <c r="D40" i="2" s="1"/>
  <c r="C24" i="1"/>
  <c r="C26" i="1" s="1"/>
  <c r="C7" i="13"/>
  <c r="F11" i="6"/>
  <c r="E11" i="6"/>
  <c r="E13" i="6" s="1"/>
  <c r="E15" i="6" s="1"/>
  <c r="B7" i="13"/>
  <c r="B9" i="13" s="1"/>
  <c r="B11" i="13" s="1"/>
  <c r="B24" i="1"/>
  <c r="B26" i="1" s="1"/>
  <c r="D60" i="1"/>
  <c r="D21" i="5" s="1"/>
  <c r="G33" i="6"/>
  <c r="E58" i="1"/>
  <c r="D5" i="4"/>
  <c r="F8" i="9"/>
  <c r="F8" i="6"/>
  <c r="E8" i="10"/>
  <c r="F8" i="8"/>
  <c r="F46" i="8"/>
  <c r="C4" i="3"/>
  <c r="C5" i="5"/>
  <c r="C6" i="2"/>
  <c r="F21" i="9"/>
  <c r="C113" i="1"/>
  <c r="D8" i="1"/>
  <c r="J223" i="1"/>
  <c r="L82" i="7"/>
  <c r="E46" i="1"/>
  <c r="F46" i="1" s="1"/>
  <c r="G46" i="1" s="1"/>
  <c r="E50" i="1"/>
  <c r="F50" i="1" s="1"/>
  <c r="G50" i="1" s="1"/>
  <c r="G249" i="1"/>
  <c r="J26" i="7" s="1"/>
  <c r="I26" i="7"/>
  <c r="G246" i="1"/>
  <c r="J21" i="7" s="1"/>
  <c r="J55" i="8" s="1"/>
  <c r="I21" i="7"/>
  <c r="I55" i="8" s="1"/>
  <c r="F238" i="1"/>
  <c r="H103" i="7"/>
  <c r="H102" i="7"/>
  <c r="H99" i="7" s="1"/>
  <c r="F237" i="1"/>
  <c r="F239" i="1" s="1"/>
  <c r="F230" i="1"/>
  <c r="I95" i="7" s="1"/>
  <c r="G224" i="1"/>
  <c r="G230" i="1" s="1"/>
  <c r="L38" i="8"/>
  <c r="L80" i="7"/>
  <c r="H38" i="8"/>
  <c r="H80" i="7"/>
  <c r="F219" i="1"/>
  <c r="H77" i="7"/>
  <c r="H29" i="8" s="1"/>
  <c r="L61" i="7"/>
  <c r="J213" i="1"/>
  <c r="I61" i="7"/>
  <c r="I33" i="8" s="1"/>
  <c r="G213" i="1"/>
  <c r="J61" i="7" s="1"/>
  <c r="J33" i="8" s="1"/>
  <c r="G212" i="1"/>
  <c r="I60" i="7"/>
  <c r="F216" i="1"/>
  <c r="M69" i="7"/>
  <c r="M14" i="8"/>
  <c r="E175" i="1"/>
  <c r="E179" i="1" s="1"/>
  <c r="E46" i="3" s="1"/>
  <c r="E164" i="1"/>
  <c r="E166" i="1" s="1"/>
  <c r="V10" i="2"/>
  <c r="J25" i="4"/>
  <c r="I45" i="7"/>
  <c r="F57" i="3" s="1"/>
  <c r="G123" i="1"/>
  <c r="E24" i="2"/>
  <c r="E80" i="1"/>
  <c r="F80" i="1"/>
  <c r="F24" i="2"/>
  <c r="G74" i="1"/>
  <c r="H67" i="1"/>
  <c r="J63" i="1"/>
  <c r="M24" i="6" s="1"/>
  <c r="K11" i="4" s="1"/>
  <c r="J27" i="2" s="1"/>
  <c r="J13" i="3"/>
  <c r="J59" i="1"/>
  <c r="J24" i="5"/>
  <c r="M29" i="6"/>
  <c r="K53" i="1"/>
  <c r="E52" i="1"/>
  <c r="E242" i="1"/>
  <c r="H17" i="7" s="1"/>
  <c r="H19" i="6"/>
  <c r="F41" i="1"/>
  <c r="I18" i="5"/>
  <c r="L23" i="6"/>
  <c r="L21" i="6" s="1"/>
  <c r="I194" i="1"/>
  <c r="L20" i="6"/>
  <c r="L19" i="6"/>
  <c r="L18" i="6" s="1"/>
  <c r="I242" i="1"/>
  <c r="I17" i="5"/>
  <c r="I52" i="1"/>
  <c r="H42" i="6"/>
  <c r="H44" i="6" s="1"/>
  <c r="F13" i="4" s="1"/>
  <c r="I11" i="5"/>
  <c r="I8" i="13"/>
  <c r="J11" i="5"/>
  <c r="E11" i="5"/>
  <c r="E8" i="13"/>
  <c r="E9" i="13" s="1"/>
  <c r="E11" i="13" s="1"/>
  <c r="E24" i="1"/>
  <c r="E26" i="1" s="1"/>
  <c r="H12" i="6"/>
  <c r="H13" i="6" s="1"/>
  <c r="H15" i="6" s="1"/>
  <c r="I12" i="6"/>
  <c r="I13" i="6" s="1"/>
  <c r="I15" i="6" s="1"/>
  <c r="F24" i="1"/>
  <c r="F26" i="1" s="1"/>
  <c r="F24" i="5" s="1"/>
  <c r="F8" i="13"/>
  <c r="F9" i="13" s="1"/>
  <c r="F11" i="13" s="1"/>
  <c r="G23" i="1"/>
  <c r="E207" i="1"/>
  <c r="F11" i="5"/>
  <c r="I7" i="13"/>
  <c r="I9" i="13" s="1"/>
  <c r="I11" i="13" s="1"/>
  <c r="I206" i="1"/>
  <c r="L11" i="6"/>
  <c r="L13" i="6" s="1"/>
  <c r="L15" i="6" s="1"/>
  <c r="G209" i="1"/>
  <c r="J66" i="7"/>
  <c r="H11" i="15"/>
  <c r="I9" i="15"/>
  <c r="H21" i="15"/>
  <c r="H22" i="15"/>
  <c r="H23" i="15"/>
  <c r="H24" i="15"/>
  <c r="O10" i="2"/>
  <c r="C25" i="4"/>
  <c r="C26" i="4" s="1"/>
  <c r="Q10" i="2"/>
  <c r="F37" i="10"/>
  <c r="D31" i="3"/>
  <c r="E25" i="4"/>
  <c r="E26" i="4" s="1"/>
  <c r="D25" i="4"/>
  <c r="D26" i="4" s="1"/>
  <c r="E37" i="10"/>
  <c r="C31" i="3"/>
  <c r="P10" i="2"/>
  <c r="M25" i="4"/>
  <c r="Y10" i="2"/>
  <c r="M31" i="3"/>
  <c r="O37" i="10"/>
  <c r="N25" i="4"/>
  <c r="Z10" i="2"/>
  <c r="E57" i="8"/>
  <c r="O8" i="2"/>
  <c r="G57" i="8"/>
  <c r="Q8" i="2"/>
  <c r="U8" i="2"/>
  <c r="K28" i="7"/>
  <c r="I24" i="4"/>
  <c r="J61" i="4" s="1"/>
  <c r="J62" i="4" s="1"/>
  <c r="K57" i="8"/>
  <c r="L57" i="8"/>
  <c r="V8" i="2"/>
  <c r="J24" i="4"/>
  <c r="K61" i="4" s="1"/>
  <c r="K62" i="4" s="1"/>
  <c r="N57" i="8"/>
  <c r="Y8" i="2"/>
  <c r="O57" i="8"/>
  <c r="P57" i="8"/>
  <c r="Z8" i="2"/>
  <c r="E50" i="8"/>
  <c r="O9" i="2"/>
  <c r="C30" i="3"/>
  <c r="P9" i="2"/>
  <c r="G50" i="8"/>
  <c r="G51" i="8" s="1"/>
  <c r="Q9" i="2"/>
  <c r="D30" i="3"/>
  <c r="P50" i="8"/>
  <c r="P51" i="8" s="1"/>
  <c r="Z9" i="2"/>
  <c r="F54" i="8"/>
  <c r="C55" i="3"/>
  <c r="G54" i="8"/>
  <c r="D55" i="3"/>
  <c r="H54" i="8"/>
  <c r="E55" i="3"/>
  <c r="I54" i="8"/>
  <c r="F55" i="3"/>
  <c r="J54" i="8"/>
  <c r="G55" i="3"/>
  <c r="M54" i="8"/>
  <c r="J55" i="3"/>
  <c r="N54" i="8"/>
  <c r="K55" i="3"/>
  <c r="K62" i="3" s="1"/>
  <c r="L55" i="3"/>
  <c r="O54" i="8"/>
  <c r="O63" i="8" s="1"/>
  <c r="O11" i="9" s="1"/>
  <c r="O23" i="9" s="1"/>
  <c r="P54" i="8"/>
  <c r="M55" i="3"/>
  <c r="E56" i="8"/>
  <c r="C24" i="4"/>
  <c r="D61" i="4" s="1"/>
  <c r="D62" i="4" s="1"/>
  <c r="F56" i="8"/>
  <c r="P8" i="2"/>
  <c r="D24" i="4"/>
  <c r="E61" i="4" s="1"/>
  <c r="E62" i="4" s="1"/>
  <c r="G56" i="8"/>
  <c r="E24" i="4"/>
  <c r="F61" i="4" s="1"/>
  <c r="O56" i="8"/>
  <c r="M24" i="4"/>
  <c r="P56" i="8"/>
  <c r="N24" i="4"/>
  <c r="N59" i="8"/>
  <c r="N58" i="8" s="1"/>
  <c r="N23" i="7"/>
  <c r="N28" i="7" s="1"/>
  <c r="P23" i="7"/>
  <c r="P28" i="7" s="1"/>
  <c r="P59" i="8"/>
  <c r="P58" i="8" s="1"/>
  <c r="F62" i="8"/>
  <c r="F23" i="7"/>
  <c r="F28" i="7" s="1"/>
  <c r="G23" i="7"/>
  <c r="G28" i="7" s="1"/>
  <c r="G62" i="8"/>
  <c r="E58" i="3"/>
  <c r="G58" i="3"/>
  <c r="H58" i="3"/>
  <c r="L37" i="7"/>
  <c r="I58" i="3"/>
  <c r="L60" i="3"/>
  <c r="O37" i="7"/>
  <c r="Q16" i="2"/>
  <c r="E23" i="4"/>
  <c r="F14" i="10"/>
  <c r="G113" i="7"/>
  <c r="F23" i="10"/>
  <c r="O14" i="10"/>
  <c r="Z16" i="2"/>
  <c r="N23" i="4"/>
  <c r="O23" i="10"/>
  <c r="P113" i="7"/>
  <c r="D16" i="11"/>
  <c r="E13" i="10"/>
  <c r="C56" i="3"/>
  <c r="D56" i="3"/>
  <c r="M56" i="3"/>
  <c r="O13" i="10"/>
  <c r="N32" i="8"/>
  <c r="N31" i="8" s="1"/>
  <c r="N59" i="7"/>
  <c r="P59" i="7"/>
  <c r="P32" i="8"/>
  <c r="E62" i="7"/>
  <c r="E35" i="8"/>
  <c r="E31" i="8" s="1"/>
  <c r="F62" i="7"/>
  <c r="F35" i="8"/>
  <c r="F31" i="8" s="1"/>
  <c r="I62" i="7"/>
  <c r="I35" i="8"/>
  <c r="J62" i="7"/>
  <c r="J35" i="8"/>
  <c r="O35" i="8"/>
  <c r="O62" i="7"/>
  <c r="P35" i="8"/>
  <c r="P62" i="7"/>
  <c r="B40" i="2"/>
  <c r="C24" i="3"/>
  <c r="B9" i="2"/>
  <c r="I25" i="8"/>
  <c r="I26" i="8" s="1"/>
  <c r="F27" i="13" s="1"/>
  <c r="E46" i="10"/>
  <c r="F27" i="8"/>
  <c r="F28" i="8" s="1"/>
  <c r="C30" i="13" s="1"/>
  <c r="G27" i="8"/>
  <c r="G28" i="8" s="1"/>
  <c r="D30" i="13" s="1"/>
  <c r="F46" i="10"/>
  <c r="O46" i="10"/>
  <c r="P27" i="8"/>
  <c r="P28" i="8" s="1"/>
  <c r="M30" i="13" s="1"/>
  <c r="N41" i="10"/>
  <c r="O68" i="7"/>
  <c r="P68" i="7"/>
  <c r="O41" i="10"/>
  <c r="I47" i="10"/>
  <c r="J47" i="10"/>
  <c r="N68" i="7"/>
  <c r="M47" i="10"/>
  <c r="M18" i="4"/>
  <c r="N25" i="10"/>
  <c r="O25" i="10"/>
  <c r="N16" i="10"/>
  <c r="N18" i="4"/>
  <c r="O16" i="10"/>
  <c r="C15" i="11"/>
  <c r="B15" i="2"/>
  <c r="C19" i="4"/>
  <c r="C39" i="11"/>
  <c r="E56" i="7"/>
  <c r="F7" i="4"/>
  <c r="I16" i="6"/>
  <c r="E6" i="11"/>
  <c r="H38" i="10"/>
  <c r="G7" i="4"/>
  <c r="I38" i="10"/>
  <c r="J16" i="6"/>
  <c r="K38" i="10"/>
  <c r="I7" i="4"/>
  <c r="L16" i="6"/>
  <c r="K7" i="4"/>
  <c r="O16" i="6"/>
  <c r="L37" i="2" s="1"/>
  <c r="L7" i="4"/>
  <c r="O38" i="10"/>
  <c r="M7" i="4"/>
  <c r="M22" i="2"/>
  <c r="B6" i="13"/>
  <c r="B37" i="2"/>
  <c r="F12" i="6"/>
  <c r="C8" i="13"/>
  <c r="H30" i="5"/>
  <c r="H17" i="5"/>
  <c r="H28" i="5"/>
  <c r="H24" i="5"/>
  <c r="H18" i="5"/>
  <c r="J30" i="5"/>
  <c r="J28" i="5"/>
  <c r="J13" i="5"/>
  <c r="J17" i="5"/>
  <c r="K28" i="5"/>
  <c r="K30" i="5"/>
  <c r="K24" i="5"/>
  <c r="K13" i="5"/>
  <c r="K17" i="5"/>
  <c r="K18" i="5"/>
  <c r="K22" i="5"/>
  <c r="K27" i="5"/>
  <c r="P42" i="6"/>
  <c r="P44" i="6" s="1"/>
  <c r="N13" i="4" s="1"/>
  <c r="M96" i="1"/>
  <c r="K19" i="5"/>
  <c r="N25" i="6"/>
  <c r="N26" i="6" s="1"/>
  <c r="L19" i="5"/>
  <c r="L23" i="5" s="1"/>
  <c r="L26" i="5" s="1"/>
  <c r="L29" i="5" s="1"/>
  <c r="L31" i="5" s="1"/>
  <c r="O25" i="6"/>
  <c r="M19" i="5"/>
  <c r="M23" i="5" s="1"/>
  <c r="M26" i="5" s="1"/>
  <c r="M29" i="5" s="1"/>
  <c r="M31" i="5" s="1"/>
  <c r="P25" i="6"/>
  <c r="P26" i="6" s="1"/>
  <c r="P28" i="6" s="1"/>
  <c r="P30" i="6" s="1"/>
  <c r="P32" i="6" s="1"/>
  <c r="P34" i="6" s="1"/>
  <c r="L163" i="1"/>
  <c r="O24" i="6"/>
  <c r="M10" i="4"/>
  <c r="L26" i="2" s="1"/>
  <c r="O40" i="6"/>
  <c r="N10" i="4"/>
  <c r="M26" i="2" s="1"/>
  <c r="P40" i="6"/>
  <c r="F106" i="7"/>
  <c r="C47" i="3"/>
  <c r="I106" i="7"/>
  <c r="F47" i="3"/>
  <c r="G47" i="3"/>
  <c r="J106" i="7"/>
  <c r="N106" i="7"/>
  <c r="M47" i="3"/>
  <c r="P106" i="7"/>
  <c r="E21" i="8"/>
  <c r="E68" i="7"/>
  <c r="F72" i="7"/>
  <c r="C203" i="1"/>
  <c r="C260" i="1" s="1"/>
  <c r="F42" i="10"/>
  <c r="G68" i="7"/>
  <c r="G21" i="8"/>
  <c r="O42" i="10"/>
  <c r="P21" i="8"/>
  <c r="E43" i="10"/>
  <c r="E23" i="8"/>
  <c r="E24" i="8" s="1"/>
  <c r="B24" i="13" s="1"/>
  <c r="G23" i="8"/>
  <c r="G24" i="8" s="1"/>
  <c r="D24" i="13" s="1"/>
  <c r="F43" i="10"/>
  <c r="O43" i="10"/>
  <c r="P23" i="8"/>
  <c r="P24" i="8" s="1"/>
  <c r="M24" i="13" s="1"/>
  <c r="J27" i="8"/>
  <c r="J28" i="8" s="1"/>
  <c r="G30" i="13" s="1"/>
  <c r="K65" i="7"/>
  <c r="K83" i="7" s="1"/>
  <c r="I50" i="4" s="1"/>
  <c r="J46" i="10"/>
  <c r="K27" i="8"/>
  <c r="K28" i="8" s="1"/>
  <c r="H30" i="13" s="1"/>
  <c r="K46" i="10"/>
  <c r="L27" i="8"/>
  <c r="L28" i="8" s="1"/>
  <c r="I30" i="13" s="1"/>
  <c r="L225" i="1"/>
  <c r="O79" i="7"/>
  <c r="O37" i="8" s="1"/>
  <c r="E93" i="7"/>
  <c r="C21" i="4" s="1"/>
  <c r="E104" i="7"/>
  <c r="B16" i="2" s="1"/>
  <c r="F93" i="7"/>
  <c r="D21" i="4" s="1"/>
  <c r="G93" i="7"/>
  <c r="E21" i="4" s="1"/>
  <c r="G104" i="7"/>
  <c r="H104" i="7"/>
  <c r="H93" i="7"/>
  <c r="F21" i="4" s="1"/>
  <c r="I94" i="7"/>
  <c r="F231" i="1"/>
  <c r="K104" i="7"/>
  <c r="K93" i="7"/>
  <c r="I21" i="4" s="1"/>
  <c r="L104" i="7"/>
  <c r="L93" i="7"/>
  <c r="J21" i="4" s="1"/>
  <c r="M93" i="7"/>
  <c r="K21" i="4" s="1"/>
  <c r="M104" i="7"/>
  <c r="N93" i="7"/>
  <c r="L21" i="4" s="1"/>
  <c r="O93" i="7"/>
  <c r="M21" i="4" s="1"/>
  <c r="P93" i="7"/>
  <c r="N21" i="4" s="1"/>
  <c r="C239" i="1"/>
  <c r="F97" i="7"/>
  <c r="F104" i="7" s="1"/>
  <c r="O28" i="7"/>
  <c r="O53" i="8"/>
  <c r="X16" i="2"/>
  <c r="L23" i="4"/>
  <c r="L26" i="4" s="1"/>
  <c r="M14" i="10"/>
  <c r="N113" i="7"/>
  <c r="M23" i="10"/>
  <c r="E29" i="7"/>
  <c r="D38" i="13"/>
  <c r="B38" i="13"/>
  <c r="F113" i="7"/>
  <c r="E113" i="7"/>
  <c r="J42" i="6"/>
  <c r="J44" i="6" s="1"/>
  <c r="H13" i="4" s="1"/>
  <c r="K26" i="6"/>
  <c r="I11" i="4"/>
  <c r="H27" i="2" s="1"/>
  <c r="J206" i="1"/>
  <c r="K26" i="13"/>
  <c r="L32" i="8"/>
  <c r="I67" i="3"/>
  <c r="L33" i="13"/>
  <c r="L39" i="2"/>
  <c r="L37" i="10"/>
  <c r="J31" i="3"/>
  <c r="K31" i="3"/>
  <c r="W10" i="2"/>
  <c r="K25" i="4"/>
  <c r="K26" i="4" s="1"/>
  <c r="M37" i="10"/>
  <c r="W16" i="2"/>
  <c r="J39" i="2"/>
  <c r="J33" i="13"/>
  <c r="J80" i="7"/>
  <c r="J38" i="8"/>
  <c r="I38" i="8"/>
  <c r="I80" i="7"/>
  <c r="G220" i="1"/>
  <c r="J78" i="7" s="1"/>
  <c r="J30" i="8" s="1"/>
  <c r="I78" i="7"/>
  <c r="I30" i="8" s="1"/>
  <c r="L70" i="3"/>
  <c r="M67" i="3"/>
  <c r="M32" i="8"/>
  <c r="G214" i="1"/>
  <c r="G234" i="1" s="1"/>
  <c r="J98" i="7" s="1"/>
  <c r="F234" i="1"/>
  <c r="I98" i="7" s="1"/>
  <c r="E70" i="3"/>
  <c r="F67" i="3"/>
  <c r="E8" i="2"/>
  <c r="I96" i="7"/>
  <c r="J96" i="7"/>
  <c r="K232" i="1"/>
  <c r="L208" i="1"/>
  <c r="J239" i="1"/>
  <c r="M96" i="7"/>
  <c r="N90" i="7"/>
  <c r="G16" i="10"/>
  <c r="G25" i="10"/>
  <c r="F18" i="4"/>
  <c r="F175" i="1"/>
  <c r="F179" i="1" s="1"/>
  <c r="F46" i="3" s="1"/>
  <c r="G162" i="1"/>
  <c r="I86" i="7"/>
  <c r="I88" i="7" s="1"/>
  <c r="G159" i="1"/>
  <c r="J35" i="7" s="1"/>
  <c r="I35" i="7"/>
  <c r="J57" i="8"/>
  <c r="I57" i="8"/>
  <c r="G152" i="1"/>
  <c r="I48" i="7"/>
  <c r="F155" i="1"/>
  <c r="M29" i="7"/>
  <c r="F56" i="3"/>
  <c r="H13" i="10"/>
  <c r="J41" i="7"/>
  <c r="G118" i="1"/>
  <c r="G13" i="10"/>
  <c r="E56" i="3"/>
  <c r="E16" i="11"/>
  <c r="H89" i="7"/>
  <c r="H90" i="7" s="1"/>
  <c r="F63" i="1"/>
  <c r="F13" i="3"/>
  <c r="G56" i="1"/>
  <c r="N42" i="10"/>
  <c r="O21" i="8"/>
  <c r="I24" i="5"/>
  <c r="I28" i="5"/>
  <c r="I13" i="5"/>
  <c r="F44" i="1"/>
  <c r="L96" i="1"/>
  <c r="L23" i="2"/>
  <c r="K68" i="7"/>
  <c r="H33" i="13"/>
  <c r="H39" i="2"/>
  <c r="L31" i="6"/>
  <c r="I60" i="1"/>
  <c r="I21" i="5" s="1"/>
  <c r="K23" i="8"/>
  <c r="L27" i="6"/>
  <c r="L23" i="8"/>
  <c r="L24" i="8" s="1"/>
  <c r="I24" i="13" s="1"/>
  <c r="K43" i="10"/>
  <c r="I39" i="6"/>
  <c r="G58" i="4" s="1"/>
  <c r="G60" i="4" s="1"/>
  <c r="G62" i="4" s="1"/>
  <c r="K39" i="6"/>
  <c r="I58" i="4" s="1"/>
  <c r="I60" i="4" s="1"/>
  <c r="E136" i="1"/>
  <c r="E137" i="1" s="1"/>
  <c r="H34" i="7" s="1"/>
  <c r="F136" i="1"/>
  <c r="G136" i="1"/>
  <c r="E58" i="8"/>
  <c r="F58" i="8"/>
  <c r="F63" i="8" s="1"/>
  <c r="F11" i="9" s="1"/>
  <c r="F23" i="9" s="1"/>
  <c r="G58" i="8"/>
  <c r="H58" i="8"/>
  <c r="K58" i="8"/>
  <c r="K63" i="8" s="1"/>
  <c r="K11" i="9" s="1"/>
  <c r="K23" i="9" s="1"/>
  <c r="L58" i="8"/>
  <c r="O58" i="8"/>
  <c r="M58" i="8"/>
  <c r="M63" i="8" s="1"/>
  <c r="M11" i="9" s="1"/>
  <c r="M23" i="9" s="1"/>
  <c r="G31" i="8"/>
  <c r="N47" i="10"/>
  <c r="M26" i="6"/>
  <c r="L62" i="4"/>
  <c r="L99" i="7"/>
  <c r="F9" i="14" l="1"/>
  <c r="H9" i="14" s="1"/>
  <c r="I8" i="14"/>
  <c r="L40" i="6"/>
  <c r="J10" i="4"/>
  <c r="I26" i="2" s="1"/>
  <c r="H39" i="6"/>
  <c r="F58" i="4" s="1"/>
  <c r="F60" i="4" s="1"/>
  <c r="F62" i="4" s="1"/>
  <c r="B30" i="14"/>
  <c r="D30" i="14" s="1"/>
  <c r="B31" i="14" s="1"/>
  <c r="D31" i="14" s="1"/>
  <c r="B32" i="14" s="1"/>
  <c r="D32" i="14" s="1"/>
  <c r="B33" i="14" s="1"/>
  <c r="D33" i="14" s="1"/>
  <c r="B34" i="14" s="1"/>
  <c r="D34" i="14" s="1"/>
  <c r="B35" i="14" s="1"/>
  <c r="D35" i="14" s="1"/>
  <c r="B36" i="14" s="1"/>
  <c r="D36" i="14" s="1"/>
  <c r="B37" i="14" s="1"/>
  <c r="D37" i="14" s="1"/>
  <c r="B38" i="14" s="1"/>
  <c r="D38" i="14" s="1"/>
  <c r="B39" i="14" s="1"/>
  <c r="D39" i="14" s="1"/>
  <c r="B40" i="14" s="1"/>
  <c r="D40" i="14" s="1"/>
  <c r="B41" i="14" s="1"/>
  <c r="D41" i="14" s="1"/>
  <c r="F137" i="1"/>
  <c r="G40" i="6"/>
  <c r="E10" i="4"/>
  <c r="D26" i="2" s="1"/>
  <c r="F40" i="6"/>
  <c r="D10" i="4"/>
  <c r="C26" i="2" s="1"/>
  <c r="B25" i="5"/>
  <c r="E38" i="6"/>
  <c r="D22" i="5"/>
  <c r="G35" i="6"/>
  <c r="C22" i="5"/>
  <c r="F35" i="6"/>
  <c r="B22" i="5"/>
  <c r="E35" i="6"/>
  <c r="H27" i="6"/>
  <c r="D55" i="1"/>
  <c r="D20" i="5" s="1"/>
  <c r="G27" i="6"/>
  <c r="C55" i="1"/>
  <c r="C20" i="5" s="1"/>
  <c r="F27" i="6"/>
  <c r="H20" i="6"/>
  <c r="H18" i="6" s="1"/>
  <c r="E194" i="1"/>
  <c r="F42" i="1"/>
  <c r="D64" i="1"/>
  <c r="D57" i="1"/>
  <c r="D61" i="1" s="1"/>
  <c r="D23" i="2" s="1"/>
  <c r="C57" i="1"/>
  <c r="C61" i="1" s="1"/>
  <c r="C23" i="2" s="1"/>
  <c r="C64" i="1"/>
  <c r="B64" i="1"/>
  <c r="B57" i="1"/>
  <c r="B61" i="1" s="1"/>
  <c r="B23" i="2" s="1"/>
  <c r="D27" i="5"/>
  <c r="D13" i="5"/>
  <c r="D28" i="5"/>
  <c r="D96" i="1"/>
  <c r="G38" i="10"/>
  <c r="H16" i="6"/>
  <c r="E7" i="4"/>
  <c r="C21" i="5"/>
  <c r="C27" i="5"/>
  <c r="C96" i="1"/>
  <c r="C13" i="5"/>
  <c r="C28" i="5"/>
  <c r="C7" i="4"/>
  <c r="C6" i="11"/>
  <c r="C11" i="11" s="1"/>
  <c r="F16" i="6"/>
  <c r="E38" i="10"/>
  <c r="B27" i="5"/>
  <c r="B28" i="5"/>
  <c r="B21" i="5"/>
  <c r="B96" i="1"/>
  <c r="B104" i="1" s="1"/>
  <c r="B109" i="1" s="1"/>
  <c r="E60" i="1"/>
  <c r="E21" i="5" s="1"/>
  <c r="H31" i="6"/>
  <c r="D49" i="4"/>
  <c r="D42" i="4"/>
  <c r="F8" i="7"/>
  <c r="C3" i="15"/>
  <c r="C3" i="13"/>
  <c r="C20" i="2"/>
  <c r="P6" i="2"/>
  <c r="D113" i="1"/>
  <c r="E8" i="1"/>
  <c r="E5" i="4"/>
  <c r="G8" i="8"/>
  <c r="G8" i="6"/>
  <c r="G8" i="9"/>
  <c r="F8" i="10"/>
  <c r="D6" i="2"/>
  <c r="D4" i="3"/>
  <c r="G46" i="8"/>
  <c r="G21" i="9"/>
  <c r="D5" i="5"/>
  <c r="J225" i="1"/>
  <c r="M82" i="7"/>
  <c r="J23" i="7"/>
  <c r="J61" i="8"/>
  <c r="J58" i="8" s="1"/>
  <c r="I23" i="7"/>
  <c r="I61" i="8"/>
  <c r="I58" i="8" s="1"/>
  <c r="I103" i="7"/>
  <c r="G238" i="1"/>
  <c r="J103" i="7" s="1"/>
  <c r="G237" i="1"/>
  <c r="I102" i="7"/>
  <c r="I99" i="7" s="1"/>
  <c r="J95" i="7"/>
  <c r="G231" i="1"/>
  <c r="I77" i="7"/>
  <c r="I29" i="8" s="1"/>
  <c r="G219" i="1"/>
  <c r="M61" i="7"/>
  <c r="J216" i="1"/>
  <c r="G216" i="1"/>
  <c r="J60" i="7"/>
  <c r="I32" i="8"/>
  <c r="I59" i="7"/>
  <c r="M41" i="10"/>
  <c r="M15" i="8"/>
  <c r="J18" i="13" s="1"/>
  <c r="J45" i="7"/>
  <c r="G57" i="3" s="1"/>
  <c r="H123" i="1"/>
  <c r="E22" i="5"/>
  <c r="H35" i="6"/>
  <c r="I35" i="6"/>
  <c r="F22" i="5"/>
  <c r="G24" i="2"/>
  <c r="G80" i="1"/>
  <c r="H74" i="1"/>
  <c r="I67" i="1"/>
  <c r="J60" i="1"/>
  <c r="J21" i="5" s="1"/>
  <c r="J201" i="1"/>
  <c r="K58" i="1"/>
  <c r="M33" i="6"/>
  <c r="K55" i="1"/>
  <c r="N27" i="6"/>
  <c r="N28" i="6" s="1"/>
  <c r="N30" i="6" s="1"/>
  <c r="E59" i="1"/>
  <c r="E54" i="1"/>
  <c r="E55" i="1" s="1"/>
  <c r="E64" i="1"/>
  <c r="R9" i="2"/>
  <c r="H50" i="8"/>
  <c r="H51" i="8" s="1"/>
  <c r="E30" i="3"/>
  <c r="F52" i="1"/>
  <c r="F17" i="5"/>
  <c r="F242" i="1"/>
  <c r="G41" i="1"/>
  <c r="I19" i="6"/>
  <c r="I195" i="1"/>
  <c r="L71" i="7"/>
  <c r="L17" i="7"/>
  <c r="I54" i="1"/>
  <c r="I64" i="1"/>
  <c r="E24" i="5"/>
  <c r="E28" i="5"/>
  <c r="E13" i="5"/>
  <c r="F13" i="5"/>
  <c r="F28" i="5"/>
  <c r="F27" i="5"/>
  <c r="F207" i="1"/>
  <c r="G24" i="1"/>
  <c r="G26" i="1" s="1"/>
  <c r="G24" i="5" s="1"/>
  <c r="J12" i="6"/>
  <c r="J13" i="6" s="1"/>
  <c r="J15" i="6" s="1"/>
  <c r="H11" i="5"/>
  <c r="G8" i="13"/>
  <c r="G9" i="13" s="1"/>
  <c r="G11" i="13" s="1"/>
  <c r="G11" i="5"/>
  <c r="E209" i="1"/>
  <c r="H67" i="7"/>
  <c r="I209" i="1"/>
  <c r="L66" i="7"/>
  <c r="M16" i="6"/>
  <c r="J7" i="4"/>
  <c r="L38" i="10"/>
  <c r="J25" i="8"/>
  <c r="J26" i="8" s="1"/>
  <c r="G27" i="13" s="1"/>
  <c r="J45" i="10"/>
  <c r="I45" i="10"/>
  <c r="J65" i="7"/>
  <c r="I11" i="15"/>
  <c r="J9" i="15"/>
  <c r="H28" i="15"/>
  <c r="I21" i="15"/>
  <c r="H29" i="15"/>
  <c r="I22" i="15"/>
  <c r="H30" i="15"/>
  <c r="I23" i="15"/>
  <c r="H31" i="15"/>
  <c r="I24" i="15"/>
  <c r="O35" i="2"/>
  <c r="Q35" i="2"/>
  <c r="P35" i="2"/>
  <c r="I51" i="4"/>
  <c r="N29" i="7"/>
  <c r="M34" i="10"/>
  <c r="D33" i="13"/>
  <c r="D39" i="2"/>
  <c r="G63" i="8"/>
  <c r="G11" i="9" s="1"/>
  <c r="G23" i="9" s="1"/>
  <c r="M33" i="13"/>
  <c r="M39" i="2"/>
  <c r="P63" i="8"/>
  <c r="P11" i="9" s="1"/>
  <c r="P23" i="9" s="1"/>
  <c r="W26" i="2"/>
  <c r="O34" i="10"/>
  <c r="P29" i="7"/>
  <c r="E34" i="10"/>
  <c r="F29" i="7"/>
  <c r="G29" i="7"/>
  <c r="F34" i="10"/>
  <c r="V16" i="2"/>
  <c r="J23" i="4"/>
  <c r="J26" i="4" s="1"/>
  <c r="L113" i="7"/>
  <c r="N14" i="10"/>
  <c r="Y16" i="2"/>
  <c r="M23" i="4"/>
  <c r="M26" i="4" s="1"/>
  <c r="O113" i="7"/>
  <c r="N23" i="10"/>
  <c r="L67" i="3"/>
  <c r="K8" i="2"/>
  <c r="K70" i="3"/>
  <c r="M8" i="2"/>
  <c r="M70" i="3"/>
  <c r="E83" i="7"/>
  <c r="B8" i="2"/>
  <c r="C8" i="2"/>
  <c r="L41" i="2"/>
  <c r="L10" i="2"/>
  <c r="M25" i="3"/>
  <c r="M41" i="2"/>
  <c r="M10" i="2"/>
  <c r="L25" i="3"/>
  <c r="K10" i="2"/>
  <c r="E22" i="2"/>
  <c r="F6" i="13"/>
  <c r="F37" i="2"/>
  <c r="E11" i="11"/>
  <c r="I11" i="11" s="1"/>
  <c r="I8" i="11"/>
  <c r="F22" i="2"/>
  <c r="G37" i="2"/>
  <c r="G6" i="13"/>
  <c r="H22" i="2"/>
  <c r="I6" i="13"/>
  <c r="I37" i="2"/>
  <c r="J22" i="2"/>
  <c r="K22" i="2"/>
  <c r="M39" i="4"/>
  <c r="L22" i="2"/>
  <c r="M10" i="3"/>
  <c r="M20" i="3" s="1"/>
  <c r="M104" i="1"/>
  <c r="L164" i="1"/>
  <c r="L166" i="1" s="1"/>
  <c r="O89" i="7"/>
  <c r="E39" i="8"/>
  <c r="E10" i="9" s="1"/>
  <c r="E22" i="8"/>
  <c r="B21" i="13" s="1"/>
  <c r="B10" i="2"/>
  <c r="E42" i="10"/>
  <c r="F68" i="7"/>
  <c r="F21" i="8"/>
  <c r="C38" i="13"/>
  <c r="G83" i="7"/>
  <c r="E51" i="4" s="1"/>
  <c r="D10" i="2"/>
  <c r="G39" i="8"/>
  <c r="G10" i="9" s="1"/>
  <c r="G22" i="8"/>
  <c r="D21" i="13" s="1"/>
  <c r="P22" i="8"/>
  <c r="M21" i="13" s="1"/>
  <c r="H9" i="2"/>
  <c r="H11" i="2" s="1"/>
  <c r="H40" i="2"/>
  <c r="E17" i="10"/>
  <c r="C16" i="2"/>
  <c r="E26" i="10"/>
  <c r="C48" i="3"/>
  <c r="C50" i="3" s="1"/>
  <c r="O25" i="2" s="1"/>
  <c r="F26" i="10"/>
  <c r="D16" i="2"/>
  <c r="D48" i="3"/>
  <c r="D50" i="3" s="1"/>
  <c r="P25" i="2" s="1"/>
  <c r="F17" i="10"/>
  <c r="E48" i="3"/>
  <c r="E50" i="3" s="1"/>
  <c r="Q25" i="2" s="1"/>
  <c r="E16" i="2"/>
  <c r="G17" i="10"/>
  <c r="G26" i="10"/>
  <c r="I104" i="7"/>
  <c r="I93" i="7"/>
  <c r="G21" i="4" s="1"/>
  <c r="H16" i="2"/>
  <c r="I48" i="3"/>
  <c r="K26" i="10"/>
  <c r="I16" i="2"/>
  <c r="K17" i="10"/>
  <c r="L26" i="10"/>
  <c r="L17" i="10"/>
  <c r="J48" i="3"/>
  <c r="J16" i="2"/>
  <c r="N34" i="10"/>
  <c r="O29" i="7"/>
  <c r="X35" i="2"/>
  <c r="C32" i="4"/>
  <c r="C24" i="11"/>
  <c r="O11" i="2"/>
  <c r="E38" i="7"/>
  <c r="J209" i="1"/>
  <c r="M66" i="7"/>
  <c r="K206" i="1"/>
  <c r="L26" i="13"/>
  <c r="K111" i="7"/>
  <c r="I31" i="4"/>
  <c r="W35" i="2"/>
  <c r="N96" i="7"/>
  <c r="N104" i="7" s="1"/>
  <c r="K239" i="1"/>
  <c r="L232" i="1"/>
  <c r="M208" i="1"/>
  <c r="M232" i="1" s="1"/>
  <c r="K15" i="2"/>
  <c r="L19" i="4"/>
  <c r="E15" i="11"/>
  <c r="F19" i="4"/>
  <c r="E15" i="2"/>
  <c r="G175" i="1"/>
  <c r="G179" i="1" s="1"/>
  <c r="G46" i="3" s="1"/>
  <c r="J86" i="7"/>
  <c r="J88" i="7" s="1"/>
  <c r="H162" i="1"/>
  <c r="G18" i="4"/>
  <c r="H25" i="10"/>
  <c r="H16" i="10"/>
  <c r="G155" i="1"/>
  <c r="J48" i="7"/>
  <c r="W11" i="2"/>
  <c r="W13" i="2" s="1"/>
  <c r="K32" i="4"/>
  <c r="M38" i="7"/>
  <c r="M112" i="7" s="1"/>
  <c r="G56" i="3"/>
  <c r="I13" i="10"/>
  <c r="G12" i="10"/>
  <c r="D50" i="11"/>
  <c r="D51" i="11" s="1"/>
  <c r="G63" i="1"/>
  <c r="J24" i="6" s="1"/>
  <c r="H11" i="4" s="1"/>
  <c r="G27" i="2" s="1"/>
  <c r="G13" i="3"/>
  <c r="O22" i="8"/>
  <c r="L21" i="13" s="1"/>
  <c r="G44" i="1"/>
  <c r="I23" i="6"/>
  <c r="I21" i="6" s="1"/>
  <c r="F18" i="5"/>
  <c r="L104" i="1"/>
  <c r="L10" i="3"/>
  <c r="L20" i="3" s="1"/>
  <c r="H10" i="2"/>
  <c r="K39" i="8"/>
  <c r="K10" i="9" s="1"/>
  <c r="K24" i="8"/>
  <c r="H24" i="13" s="1"/>
  <c r="H22" i="7"/>
  <c r="E138" i="1"/>
  <c r="I22" i="7"/>
  <c r="J22" i="7"/>
  <c r="D62" i="3"/>
  <c r="C62" i="3"/>
  <c r="B20" i="5"/>
  <c r="C9" i="13"/>
  <c r="C11" i="13" s="1"/>
  <c r="F13" i="6"/>
  <c r="F15" i="6" s="1"/>
  <c r="P31" i="8"/>
  <c r="N26" i="4"/>
  <c r="O13" i="2"/>
  <c r="E63" i="8"/>
  <c r="E11" i="9" s="1"/>
  <c r="E23" i="9" s="1"/>
  <c r="N63" i="8"/>
  <c r="N11" i="9" s="1"/>
  <c r="N23" i="9" s="1"/>
  <c r="L62" i="3"/>
  <c r="M62" i="3"/>
  <c r="O31" i="8"/>
  <c r="D30" i="5"/>
  <c r="D25" i="5"/>
  <c r="D24" i="5"/>
  <c r="D18" i="5"/>
  <c r="D17" i="5"/>
  <c r="C30" i="5"/>
  <c r="C25" i="5"/>
  <c r="C24" i="5"/>
  <c r="C18" i="5"/>
  <c r="C17" i="5"/>
  <c r="B30" i="5"/>
  <c r="B24" i="5"/>
  <c r="B18" i="5"/>
  <c r="B17" i="5"/>
  <c r="L33" i="8"/>
  <c r="L59" i="7"/>
  <c r="E27" i="5"/>
  <c r="E17" i="5"/>
  <c r="E18" i="5"/>
  <c r="L23" i="10"/>
  <c r="L14" i="10"/>
  <c r="L8" i="2"/>
  <c r="N39" i="4"/>
  <c r="P36" i="6"/>
  <c r="P37" i="6" s="1"/>
  <c r="M11" i="4"/>
  <c r="L27" i="2" s="1"/>
  <c r="O26" i="6"/>
  <c r="O28" i="6" s="1"/>
  <c r="O30" i="6" s="1"/>
  <c r="O32" i="6" s="1"/>
  <c r="O34" i="6" s="1"/>
  <c r="O36" i="6" s="1"/>
  <c r="O37" i="6" s="1"/>
  <c r="J13" i="10"/>
  <c r="H56" i="3"/>
  <c r="I24" i="6"/>
  <c r="G11" i="4" s="1"/>
  <c r="F27" i="2" s="1"/>
  <c r="F163" i="1"/>
  <c r="H37" i="7"/>
  <c r="E59" i="3"/>
  <c r="I9" i="14" l="1"/>
  <c r="F10" i="14"/>
  <c r="H10" i="14" s="1"/>
  <c r="B42" i="14"/>
  <c r="D42" i="14" s="1"/>
  <c r="B43" i="14" s="1"/>
  <c r="D43" i="14" s="1"/>
  <c r="B44" i="14" s="1"/>
  <c r="D44" i="14" s="1"/>
  <c r="B45" i="14" s="1"/>
  <c r="D45" i="14" s="1"/>
  <c r="B46" i="14" s="1"/>
  <c r="D46" i="14" s="1"/>
  <c r="B47" i="14" s="1"/>
  <c r="D47" i="14" s="1"/>
  <c r="B48" i="14" s="1"/>
  <c r="D48" i="14" s="1"/>
  <c r="B49" i="14" s="1"/>
  <c r="D49" i="14" s="1"/>
  <c r="B50" i="14" s="1"/>
  <c r="D50" i="14" s="1"/>
  <c r="B51" i="14" s="1"/>
  <c r="D51" i="14" s="1"/>
  <c r="B52" i="14" s="1"/>
  <c r="D52" i="14" s="1"/>
  <c r="B53" i="14" s="1"/>
  <c r="D53" i="14" s="1"/>
  <c r="H137" i="1" s="1"/>
  <c r="G137" i="1"/>
  <c r="C10" i="4"/>
  <c r="B26" i="2" s="1"/>
  <c r="E40" i="6"/>
  <c r="H71" i="7"/>
  <c r="E195" i="1"/>
  <c r="F194" i="1"/>
  <c r="I20" i="6"/>
  <c r="I18" i="6" s="1"/>
  <c r="G42" i="1"/>
  <c r="D19" i="5"/>
  <c r="D23" i="5" s="1"/>
  <c r="D26" i="5" s="1"/>
  <c r="D29" i="5" s="1"/>
  <c r="D31" i="5" s="1"/>
  <c r="G25" i="6"/>
  <c r="G26" i="6" s="1"/>
  <c r="G28" i="6" s="1"/>
  <c r="G30" i="6" s="1"/>
  <c r="G32" i="6" s="1"/>
  <c r="G34" i="6" s="1"/>
  <c r="E39" i="4" s="1"/>
  <c r="C19" i="5"/>
  <c r="C23" i="5" s="1"/>
  <c r="C26" i="5" s="1"/>
  <c r="C29" i="5" s="1"/>
  <c r="C31" i="5" s="1"/>
  <c r="F25" i="6"/>
  <c r="F26" i="6" s="1"/>
  <c r="F28" i="6" s="1"/>
  <c r="F30" i="6" s="1"/>
  <c r="F32" i="6" s="1"/>
  <c r="F34" i="6" s="1"/>
  <c r="F36" i="6" s="1"/>
  <c r="F37" i="6" s="1"/>
  <c r="B19" i="5"/>
  <c r="B23" i="5" s="1"/>
  <c r="B26" i="5" s="1"/>
  <c r="B29" i="5" s="1"/>
  <c r="B31" i="5" s="1"/>
  <c r="E25" i="6"/>
  <c r="E26" i="6" s="1"/>
  <c r="E28" i="6" s="1"/>
  <c r="E30" i="6" s="1"/>
  <c r="E32" i="6" s="1"/>
  <c r="E34" i="6" s="1"/>
  <c r="D10" i="3"/>
  <c r="D20" i="3" s="1"/>
  <c r="D104" i="1"/>
  <c r="E6" i="13"/>
  <c r="E37" i="2"/>
  <c r="D22" i="2"/>
  <c r="C104" i="1"/>
  <c r="C10" i="3"/>
  <c r="C20" i="3" s="1"/>
  <c r="B22" i="2"/>
  <c r="C39" i="4"/>
  <c r="C37" i="2"/>
  <c r="C6" i="13"/>
  <c r="B122" i="1"/>
  <c r="C106" i="1"/>
  <c r="D39" i="11"/>
  <c r="F56" i="7"/>
  <c r="C54" i="11"/>
  <c r="C48" i="11"/>
  <c r="P20" i="2"/>
  <c r="C34" i="2"/>
  <c r="P34" i="2" s="1"/>
  <c r="E6" i="2"/>
  <c r="E4" i="3"/>
  <c r="H46" i="8"/>
  <c r="H21" i="9"/>
  <c r="E5" i="5"/>
  <c r="E113" i="1"/>
  <c r="F8" i="1"/>
  <c r="F5" i="4"/>
  <c r="H8" i="8"/>
  <c r="H8" i="6"/>
  <c r="H8" i="9"/>
  <c r="G8" i="10"/>
  <c r="D3" i="15"/>
  <c r="D3" i="13"/>
  <c r="E42" i="4"/>
  <c r="E49" i="4"/>
  <c r="G8" i="7"/>
  <c r="G56" i="7" s="1"/>
  <c r="Q6" i="2"/>
  <c r="D20" i="2"/>
  <c r="M80" i="7"/>
  <c r="M38" i="8"/>
  <c r="G239" i="1"/>
  <c r="J102" i="7"/>
  <c r="J99" i="7" s="1"/>
  <c r="J93" i="7"/>
  <c r="H21" i="4" s="1"/>
  <c r="J104" i="7"/>
  <c r="J77" i="7"/>
  <c r="J29" i="8" s="1"/>
  <c r="M59" i="7"/>
  <c r="M33" i="8"/>
  <c r="M31" i="8" s="1"/>
  <c r="J32" i="8"/>
  <c r="J59" i="7"/>
  <c r="F70" i="3"/>
  <c r="G67" i="3"/>
  <c r="F8" i="2"/>
  <c r="K45" i="7"/>
  <c r="H57" i="3" s="1"/>
  <c r="I123" i="1"/>
  <c r="L45" i="7" s="1"/>
  <c r="J35" i="6"/>
  <c r="G22" i="5"/>
  <c r="H80" i="1"/>
  <c r="H24" i="2"/>
  <c r="J67" i="1"/>
  <c r="J74" i="1" s="1"/>
  <c r="I74" i="1"/>
  <c r="M73" i="7"/>
  <c r="J203" i="1"/>
  <c r="K60" i="1"/>
  <c r="K21" i="5" s="1"/>
  <c r="N31" i="6"/>
  <c r="N32" i="6" s="1"/>
  <c r="N34" i="6" s="1"/>
  <c r="K57" i="1"/>
  <c r="K61" i="1" s="1"/>
  <c r="K20" i="5"/>
  <c r="K23" i="5" s="1"/>
  <c r="K26" i="5" s="1"/>
  <c r="K29" i="5" s="1"/>
  <c r="K31" i="5" s="1"/>
  <c r="H33" i="6"/>
  <c r="E201" i="1"/>
  <c r="H73" i="7" s="1"/>
  <c r="F58" i="1"/>
  <c r="E200" i="1"/>
  <c r="H72" i="7" s="1"/>
  <c r="F53" i="1"/>
  <c r="H29" i="6"/>
  <c r="H25" i="6"/>
  <c r="H26" i="6" s="1"/>
  <c r="H28" i="6" s="1"/>
  <c r="H30" i="6" s="1"/>
  <c r="H32" i="6" s="1"/>
  <c r="H34" i="6" s="1"/>
  <c r="E19" i="5"/>
  <c r="E33" i="13"/>
  <c r="E39" i="2"/>
  <c r="F54" i="1"/>
  <c r="F59" i="1"/>
  <c r="F64" i="1"/>
  <c r="I17" i="7"/>
  <c r="G17" i="5"/>
  <c r="J19" i="6"/>
  <c r="L69" i="7"/>
  <c r="L14" i="8"/>
  <c r="J30" i="3"/>
  <c r="I30" i="3"/>
  <c r="V9" i="2"/>
  <c r="L50" i="8"/>
  <c r="L51" i="8" s="1"/>
  <c r="I55" i="1"/>
  <c r="L29" i="6"/>
  <c r="I200" i="1"/>
  <c r="J53" i="1"/>
  <c r="L25" i="6"/>
  <c r="L26" i="6" s="1"/>
  <c r="L28" i="6" s="1"/>
  <c r="L30" i="6" s="1"/>
  <c r="L32" i="6" s="1"/>
  <c r="L34" i="6" s="1"/>
  <c r="I19" i="5"/>
  <c r="F209" i="1"/>
  <c r="I67" i="7"/>
  <c r="G27" i="5"/>
  <c r="G13" i="5"/>
  <c r="H13" i="5"/>
  <c r="G28" i="5"/>
  <c r="H7" i="4"/>
  <c r="J38" i="10"/>
  <c r="K16" i="6"/>
  <c r="G46" i="10"/>
  <c r="H27" i="8"/>
  <c r="H28" i="8" s="1"/>
  <c r="E30" i="13" s="1"/>
  <c r="H65" i="7"/>
  <c r="K45" i="10"/>
  <c r="L65" i="7"/>
  <c r="L25" i="8"/>
  <c r="L26" i="8" s="1"/>
  <c r="I27" i="13" s="1"/>
  <c r="J6" i="13"/>
  <c r="J37" i="2"/>
  <c r="J39" i="4"/>
  <c r="I22" i="2"/>
  <c r="G40" i="2"/>
  <c r="H24" i="3"/>
  <c r="G9" i="2"/>
  <c r="J11" i="15"/>
  <c r="K9" i="15"/>
  <c r="I28" i="15"/>
  <c r="J21" i="15"/>
  <c r="I29" i="15"/>
  <c r="J22" i="15"/>
  <c r="I30" i="15"/>
  <c r="J23" i="15"/>
  <c r="I31" i="15"/>
  <c r="J24" i="15"/>
  <c r="K28" i="3"/>
  <c r="K32" i="3" s="1"/>
  <c r="L32" i="4"/>
  <c r="N38" i="7"/>
  <c r="N112" i="7" s="1"/>
  <c r="X11" i="2"/>
  <c r="X13" i="2" s="1"/>
  <c r="P38" i="7"/>
  <c r="P112" i="7" s="1"/>
  <c r="M28" i="3"/>
  <c r="M32" i="3" s="1"/>
  <c r="Z11" i="2"/>
  <c r="Z13" i="2" s="1"/>
  <c r="N32" i="4"/>
  <c r="D24" i="11"/>
  <c r="D32" i="4"/>
  <c r="F38" i="7"/>
  <c r="P11" i="2"/>
  <c r="P13" i="2" s="1"/>
  <c r="C28" i="3"/>
  <c r="C32" i="3" s="1"/>
  <c r="D28" i="3"/>
  <c r="D32" i="3" s="1"/>
  <c r="G38" i="7"/>
  <c r="E32" i="4"/>
  <c r="Q11" i="2"/>
  <c r="Q13" i="2" s="1"/>
  <c r="V35" i="2"/>
  <c r="C42" i="11"/>
  <c r="C51" i="4"/>
  <c r="C40" i="11"/>
  <c r="C50" i="4"/>
  <c r="C52" i="4"/>
  <c r="E111" i="7"/>
  <c r="E107" i="7"/>
  <c r="E110" i="7"/>
  <c r="E14" i="9" s="1"/>
  <c r="E26" i="9" s="1"/>
  <c r="C31" i="4"/>
  <c r="B11" i="2"/>
  <c r="B13" i="2" s="1"/>
  <c r="B18" i="2" s="1"/>
  <c r="C23" i="11"/>
  <c r="O90" i="7"/>
  <c r="O12" i="10"/>
  <c r="N12" i="10"/>
  <c r="E12" i="9"/>
  <c r="E22" i="9"/>
  <c r="E25" i="9" s="1"/>
  <c r="E30" i="9" s="1"/>
  <c r="B35" i="13" s="1"/>
  <c r="C41" i="2"/>
  <c r="C10" i="2"/>
  <c r="D25" i="3"/>
  <c r="F39" i="8"/>
  <c r="F10" i="9" s="1"/>
  <c r="F22" i="8"/>
  <c r="C21" i="13" s="1"/>
  <c r="E50" i="4"/>
  <c r="E52" i="4"/>
  <c r="G111" i="7"/>
  <c r="E46" i="4"/>
  <c r="F33" i="10"/>
  <c r="F48" i="10" s="1"/>
  <c r="F49" i="10" s="1"/>
  <c r="G107" i="7"/>
  <c r="E31" i="4"/>
  <c r="D11" i="2"/>
  <c r="D13" i="2" s="1"/>
  <c r="D18" i="2" s="1"/>
  <c r="G110" i="7"/>
  <c r="G14" i="9" s="1"/>
  <c r="G26" i="9" s="1"/>
  <c r="F35" i="10"/>
  <c r="G12" i="9"/>
  <c r="G22" i="9"/>
  <c r="G25" i="9" s="1"/>
  <c r="G30" i="9" s="1"/>
  <c r="D35" i="13" s="1"/>
  <c r="H17" i="10"/>
  <c r="F48" i="3"/>
  <c r="F50" i="3" s="1"/>
  <c r="R25" i="2" s="1"/>
  <c r="F16" i="2"/>
  <c r="H26" i="10"/>
  <c r="L28" i="3"/>
  <c r="L32" i="3" s="1"/>
  <c r="Y11" i="2"/>
  <c r="Y13" i="2" s="1"/>
  <c r="O38" i="7"/>
  <c r="O112" i="7" s="1"/>
  <c r="M32" i="4"/>
  <c r="E112" i="7"/>
  <c r="L45" i="10"/>
  <c r="M65" i="7"/>
  <c r="M25" i="8"/>
  <c r="M26" i="8" s="1"/>
  <c r="J27" i="13" s="1"/>
  <c r="K209" i="1"/>
  <c r="K260" i="1" s="1"/>
  <c r="K38" i="13" s="1"/>
  <c r="N66" i="7"/>
  <c r="M26" i="13"/>
  <c r="M206" i="1" s="1"/>
  <c r="L206" i="1"/>
  <c r="K16" i="2"/>
  <c r="K48" i="3"/>
  <c r="K50" i="3" s="1"/>
  <c r="M26" i="10"/>
  <c r="M17" i="10"/>
  <c r="L239" i="1"/>
  <c r="O96" i="7"/>
  <c r="O104" i="7" s="1"/>
  <c r="M239" i="1"/>
  <c r="P96" i="7"/>
  <c r="P104" i="7" s="1"/>
  <c r="H18" i="4"/>
  <c r="I25" i="10"/>
  <c r="I16" i="10"/>
  <c r="K86" i="7"/>
  <c r="K88" i="7" s="1"/>
  <c r="I162" i="1"/>
  <c r="J23" i="6"/>
  <c r="J21" i="6" s="1"/>
  <c r="G18" i="5"/>
  <c r="K22" i="9"/>
  <c r="K25" i="9" s="1"/>
  <c r="K12" i="9"/>
  <c r="R8" i="2"/>
  <c r="H56" i="8"/>
  <c r="F24" i="4"/>
  <c r="S8" i="2"/>
  <c r="G24" i="4"/>
  <c r="H61" i="4" s="1"/>
  <c r="H62" i="4" s="1"/>
  <c r="I56" i="8"/>
  <c r="T8" i="2"/>
  <c r="J56" i="8"/>
  <c r="H24" i="4"/>
  <c r="I61" i="4" s="1"/>
  <c r="I62" i="4" s="1"/>
  <c r="P26" i="2"/>
  <c r="O26" i="2"/>
  <c r="D7" i="4"/>
  <c r="D6" i="11"/>
  <c r="D11" i="11" s="1"/>
  <c r="G16" i="6"/>
  <c r="F38" i="10"/>
  <c r="C40" i="2"/>
  <c r="Y35" i="2"/>
  <c r="Z35" i="2"/>
  <c r="X26" i="2"/>
  <c r="Y26" i="2"/>
  <c r="J67" i="3"/>
  <c r="I70" i="3"/>
  <c r="I8" i="2"/>
  <c r="P41" i="6"/>
  <c r="N8" i="4"/>
  <c r="O41" i="6"/>
  <c r="M8" i="4"/>
  <c r="G163" i="1"/>
  <c r="I89" i="7"/>
  <c r="F164" i="1"/>
  <c r="F166" i="1" s="1"/>
  <c r="H113" i="7"/>
  <c r="F23" i="4"/>
  <c r="G14" i="10"/>
  <c r="R16" i="2"/>
  <c r="G23" i="10"/>
  <c r="H13" i="2"/>
  <c r="H33" i="15"/>
  <c r="I34" i="7"/>
  <c r="F138" i="1"/>
  <c r="E57" i="1"/>
  <c r="E61" i="1" s="1"/>
  <c r="E20" i="5"/>
  <c r="E23" i="5" s="1"/>
  <c r="C25" i="3"/>
  <c r="F83" i="7"/>
  <c r="C22" i="3" s="1"/>
  <c r="C26" i="3" s="1"/>
  <c r="F11" i="14" l="1"/>
  <c r="H11" i="14" s="1"/>
  <c r="I10" i="14"/>
  <c r="H138" i="1"/>
  <c r="K34" i="7"/>
  <c r="G138" i="1"/>
  <c r="J34" i="7"/>
  <c r="H14" i="8"/>
  <c r="H69" i="7"/>
  <c r="F195" i="1"/>
  <c r="F203" i="1" s="1"/>
  <c r="I71" i="7"/>
  <c r="J20" i="6"/>
  <c r="J18" i="6" s="1"/>
  <c r="G194" i="1"/>
  <c r="D41" i="2"/>
  <c r="G36" i="6"/>
  <c r="G37" i="6" s="1"/>
  <c r="B41" i="2"/>
  <c r="E36" i="6"/>
  <c r="E37" i="6" s="1"/>
  <c r="E44" i="7"/>
  <c r="E49" i="7" s="1"/>
  <c r="B126" i="1"/>
  <c r="B261" i="1" s="1"/>
  <c r="R6" i="2"/>
  <c r="E20" i="2"/>
  <c r="I46" i="8"/>
  <c r="I21" i="9"/>
  <c r="F5" i="5"/>
  <c r="F113" i="1"/>
  <c r="G8" i="1"/>
  <c r="G5" i="4"/>
  <c r="I8" i="8"/>
  <c r="I8" i="6"/>
  <c r="I8" i="9"/>
  <c r="H8" i="10"/>
  <c r="F6" i="2"/>
  <c r="F4" i="3"/>
  <c r="E3" i="15"/>
  <c r="E3" i="13"/>
  <c r="F49" i="4"/>
  <c r="F42" i="4"/>
  <c r="H8" i="7"/>
  <c r="D34" i="2"/>
  <c r="Q34" i="2" s="1"/>
  <c r="Q20" i="2"/>
  <c r="H48" i="3"/>
  <c r="H50" i="3" s="1"/>
  <c r="T25" i="2" s="1"/>
  <c r="J17" i="10"/>
  <c r="J26" i="10"/>
  <c r="G48" i="3"/>
  <c r="G50" i="3" s="1"/>
  <c r="S25" i="2" s="1"/>
  <c r="G16" i="2"/>
  <c r="I17" i="10"/>
  <c r="I26" i="10"/>
  <c r="K67" i="3"/>
  <c r="J8" i="2"/>
  <c r="J70" i="3"/>
  <c r="G8" i="2"/>
  <c r="G70" i="3"/>
  <c r="H67" i="3"/>
  <c r="J57" i="3"/>
  <c r="J62" i="3" s="1"/>
  <c r="I57" i="3"/>
  <c r="H22" i="5"/>
  <c r="K35" i="6"/>
  <c r="J24" i="2"/>
  <c r="J80" i="1"/>
  <c r="I24" i="2"/>
  <c r="I80" i="1"/>
  <c r="M68" i="7"/>
  <c r="M83" i="7" s="1"/>
  <c r="L43" i="10"/>
  <c r="M43" i="10"/>
  <c r="M23" i="8"/>
  <c r="L39" i="4"/>
  <c r="K41" i="2"/>
  <c r="N36" i="6"/>
  <c r="N37" i="6" s="1"/>
  <c r="K96" i="1"/>
  <c r="K23" i="2"/>
  <c r="H23" i="8"/>
  <c r="H24" i="8" s="1"/>
  <c r="E24" i="13" s="1"/>
  <c r="G43" i="10"/>
  <c r="F60" i="1"/>
  <c r="F21" i="5" s="1"/>
  <c r="I31" i="6"/>
  <c r="G42" i="10"/>
  <c r="H21" i="8"/>
  <c r="H22" i="8" s="1"/>
  <c r="E21" i="13" s="1"/>
  <c r="F55" i="1"/>
  <c r="I27" i="6"/>
  <c r="F39" i="4"/>
  <c r="H36" i="6"/>
  <c r="H37" i="6" s="1"/>
  <c r="F200" i="1"/>
  <c r="I72" i="7" s="1"/>
  <c r="I29" i="6"/>
  <c r="G53" i="1"/>
  <c r="F201" i="1"/>
  <c r="I73" i="7" s="1"/>
  <c r="G58" i="1"/>
  <c r="I33" i="6"/>
  <c r="I25" i="6"/>
  <c r="I26" i="6" s="1"/>
  <c r="F19" i="5"/>
  <c r="I50" i="8"/>
  <c r="I51" i="8" s="1"/>
  <c r="F30" i="3"/>
  <c r="S9" i="2"/>
  <c r="L41" i="10"/>
  <c r="K41" i="10"/>
  <c r="L15" i="8"/>
  <c r="I18" i="13" s="1"/>
  <c r="I33" i="13"/>
  <c r="I39" i="2"/>
  <c r="I57" i="1"/>
  <c r="I61" i="1" s="1"/>
  <c r="I20" i="5"/>
  <c r="I203" i="1"/>
  <c r="L72" i="7"/>
  <c r="L68" i="7" s="1"/>
  <c r="M27" i="6"/>
  <c r="M28" i="6" s="1"/>
  <c r="M30" i="6" s="1"/>
  <c r="M32" i="6" s="1"/>
  <c r="M34" i="6" s="1"/>
  <c r="J55" i="1"/>
  <c r="I46" i="10"/>
  <c r="I65" i="7"/>
  <c r="I27" i="8"/>
  <c r="I28" i="8" s="1"/>
  <c r="F30" i="13" s="1"/>
  <c r="H46" i="10"/>
  <c r="G22" i="2"/>
  <c r="H6" i="13"/>
  <c r="H37" i="2"/>
  <c r="E24" i="3"/>
  <c r="E40" i="2"/>
  <c r="F24" i="3"/>
  <c r="E9" i="2"/>
  <c r="I24" i="3"/>
  <c r="I9" i="2"/>
  <c r="I40" i="2"/>
  <c r="J24" i="3"/>
  <c r="K11" i="15"/>
  <c r="L9" i="15"/>
  <c r="J28" i="15"/>
  <c r="J33" i="15" s="1"/>
  <c r="K21" i="15"/>
  <c r="J29" i="15"/>
  <c r="K22" i="15"/>
  <c r="J30" i="15"/>
  <c r="K23" i="15"/>
  <c r="J31" i="15"/>
  <c r="K24" i="15"/>
  <c r="F112" i="7"/>
  <c r="G112" i="7"/>
  <c r="C44" i="11"/>
  <c r="C43" i="11"/>
  <c r="C53" i="4"/>
  <c r="C54" i="4" s="1"/>
  <c r="C34" i="4"/>
  <c r="C33" i="4"/>
  <c r="C25" i="11"/>
  <c r="C26" i="11"/>
  <c r="L15" i="2"/>
  <c r="M19" i="4"/>
  <c r="E13" i="9"/>
  <c r="E18" i="9" s="1"/>
  <c r="E24" i="9"/>
  <c r="E15" i="9"/>
  <c r="E16" i="9"/>
  <c r="F22" i="9"/>
  <c r="F25" i="9" s="1"/>
  <c r="F12" i="9"/>
  <c r="E53" i="4"/>
  <c r="E54" i="4"/>
  <c r="E34" i="4"/>
  <c r="E33" i="4"/>
  <c r="G13" i="9"/>
  <c r="G24" i="9"/>
  <c r="G16" i="9"/>
  <c r="J9" i="2"/>
  <c r="J40" i="2"/>
  <c r="M45" i="10"/>
  <c r="N25" i="8"/>
  <c r="N65" i="7"/>
  <c r="K24" i="3" s="1"/>
  <c r="M209" i="1"/>
  <c r="M260" i="1" s="1"/>
  <c r="M38" i="13" s="1"/>
  <c r="P66" i="7"/>
  <c r="L209" i="1"/>
  <c r="L260" i="1" s="1"/>
  <c r="L38" i="13" s="1"/>
  <c r="O66" i="7"/>
  <c r="W25" i="2"/>
  <c r="L48" i="3"/>
  <c r="L50" i="3" s="1"/>
  <c r="L16" i="2"/>
  <c r="N26" i="10"/>
  <c r="N17" i="10"/>
  <c r="O17" i="10"/>
  <c r="M48" i="3"/>
  <c r="M50" i="3" s="1"/>
  <c r="O26" i="10"/>
  <c r="M16" i="2"/>
  <c r="I18" i="4"/>
  <c r="J16" i="10"/>
  <c r="J25" i="10"/>
  <c r="I175" i="1"/>
  <c r="I179" i="1" s="1"/>
  <c r="I46" i="3" s="1"/>
  <c r="I50" i="3" s="1"/>
  <c r="U25" i="2" s="1"/>
  <c r="J162" i="1"/>
  <c r="L86" i="7"/>
  <c r="L88" i="7" s="1"/>
  <c r="K24" i="9"/>
  <c r="K13" i="9"/>
  <c r="K15" i="9" s="1"/>
  <c r="C22" i="2"/>
  <c r="D39" i="4"/>
  <c r="D37" i="2"/>
  <c r="D6" i="13"/>
  <c r="D8" i="4"/>
  <c r="F41" i="6"/>
  <c r="D35" i="4"/>
  <c r="N12" i="4"/>
  <c r="M28" i="2" s="1"/>
  <c r="P45" i="6"/>
  <c r="M25" i="2"/>
  <c r="Z37" i="2" s="1"/>
  <c r="N36" i="4"/>
  <c r="Z40" i="2" s="1"/>
  <c r="N9" i="4"/>
  <c r="M12" i="4"/>
  <c r="L28" i="2" s="1"/>
  <c r="O45" i="6"/>
  <c r="M36" i="4"/>
  <c r="Y40" i="2" s="1"/>
  <c r="L25" i="2"/>
  <c r="Y37" i="2" s="1"/>
  <c r="M9" i="4"/>
  <c r="G164" i="1"/>
  <c r="G166" i="1" s="1"/>
  <c r="J89" i="7"/>
  <c r="H163" i="1"/>
  <c r="I90" i="7"/>
  <c r="H12" i="10"/>
  <c r="F59" i="3"/>
  <c r="I37" i="7"/>
  <c r="E23" i="2"/>
  <c r="D22" i="3"/>
  <c r="D46" i="4"/>
  <c r="C11" i="2"/>
  <c r="C13" i="2" s="1"/>
  <c r="C18" i="2" s="1"/>
  <c r="E35" i="10"/>
  <c r="F107" i="7"/>
  <c r="D31" i="4"/>
  <c r="F110" i="7"/>
  <c r="F14" i="9" s="1"/>
  <c r="F26" i="9" s="1"/>
  <c r="D23" i="11"/>
  <c r="E33" i="10"/>
  <c r="E48" i="10" s="1"/>
  <c r="E49" i="10" s="1"/>
  <c r="F111" i="7"/>
  <c r="D52" i="4"/>
  <c r="D42" i="11"/>
  <c r="D50" i="4"/>
  <c r="D40" i="11"/>
  <c r="D51" i="4"/>
  <c r="E203" i="1"/>
  <c r="C109" i="1"/>
  <c r="C34" i="3"/>
  <c r="C38" i="3" s="1"/>
  <c r="C40" i="3" s="1"/>
  <c r="I33" i="15"/>
  <c r="G242" i="1"/>
  <c r="G52" i="1"/>
  <c r="I11" i="14" l="1"/>
  <c r="F12" i="14"/>
  <c r="H12" i="14" s="1"/>
  <c r="K37" i="7"/>
  <c r="H59" i="3"/>
  <c r="I59" i="3"/>
  <c r="I62" i="3" s="1"/>
  <c r="J37" i="7"/>
  <c r="G59" i="3"/>
  <c r="H15" i="8"/>
  <c r="E18" i="13" s="1"/>
  <c r="G41" i="10"/>
  <c r="H68" i="7"/>
  <c r="I69" i="7"/>
  <c r="I14" i="8"/>
  <c r="G195" i="1"/>
  <c r="J71" i="7"/>
  <c r="G41" i="6"/>
  <c r="E35" i="4"/>
  <c r="E8" i="4"/>
  <c r="C35" i="4"/>
  <c r="E41" i="6"/>
  <c r="C8" i="4"/>
  <c r="E50" i="7"/>
  <c r="E109" i="7"/>
  <c r="B262" i="1"/>
  <c r="B40" i="13" s="1"/>
  <c r="B39" i="13"/>
  <c r="E34" i="2"/>
  <c r="R34" i="2" s="1"/>
  <c r="R20" i="2"/>
  <c r="G5" i="5"/>
  <c r="G113" i="1"/>
  <c r="H8" i="1"/>
  <c r="H5" i="4"/>
  <c r="J8" i="8"/>
  <c r="J8" i="6"/>
  <c r="J8" i="9"/>
  <c r="I8" i="10"/>
  <c r="G6" i="2"/>
  <c r="G4" i="3"/>
  <c r="J46" i="8"/>
  <c r="J21" i="9"/>
  <c r="F3" i="13"/>
  <c r="F3" i="15"/>
  <c r="I8" i="7"/>
  <c r="I56" i="7" s="1"/>
  <c r="G49" i="4"/>
  <c r="G42" i="4"/>
  <c r="F20" i="2"/>
  <c r="S6" i="2"/>
  <c r="D54" i="11"/>
  <c r="D48" i="11"/>
  <c r="H56" i="7"/>
  <c r="E39" i="11"/>
  <c r="K51" i="4"/>
  <c r="K52" i="4"/>
  <c r="K50" i="4"/>
  <c r="M111" i="7"/>
  <c r="M110" i="7"/>
  <c r="M14" i="9" s="1"/>
  <c r="M26" i="9" s="1"/>
  <c r="K31" i="4"/>
  <c r="V26" i="2"/>
  <c r="U26" i="2"/>
  <c r="M35" i="6"/>
  <c r="J22" i="5"/>
  <c r="I22" i="5"/>
  <c r="I23" i="5" s="1"/>
  <c r="I26" i="5" s="1"/>
  <c r="I29" i="5" s="1"/>
  <c r="L35" i="6"/>
  <c r="L36" i="6" s="1"/>
  <c r="L37" i="6" s="1"/>
  <c r="J10" i="2"/>
  <c r="J11" i="2" s="1"/>
  <c r="J13" i="2" s="1"/>
  <c r="K25" i="3"/>
  <c r="J41" i="2"/>
  <c r="M39" i="8"/>
  <c r="M10" i="9" s="1"/>
  <c r="M24" i="8"/>
  <c r="J24" i="13" s="1"/>
  <c r="N41" i="6"/>
  <c r="L8" i="4"/>
  <c r="K10" i="3"/>
  <c r="K20" i="3" s="1"/>
  <c r="K104" i="1"/>
  <c r="F57" i="1"/>
  <c r="F61" i="1" s="1"/>
  <c r="F20" i="5"/>
  <c r="F23" i="5" s="1"/>
  <c r="F8" i="4"/>
  <c r="H42" i="10"/>
  <c r="I21" i="8"/>
  <c r="I22" i="8" s="1"/>
  <c r="F21" i="13" s="1"/>
  <c r="J27" i="6"/>
  <c r="G55" i="1"/>
  <c r="I23" i="8"/>
  <c r="I24" i="8" s="1"/>
  <c r="F24" i="13" s="1"/>
  <c r="H43" i="10"/>
  <c r="J31" i="6"/>
  <c r="G60" i="1"/>
  <c r="G21" i="5" s="1"/>
  <c r="F33" i="13"/>
  <c r="F39" i="2"/>
  <c r="I25" i="3"/>
  <c r="J25" i="3"/>
  <c r="I41" i="2"/>
  <c r="I10" i="2"/>
  <c r="I23" i="2"/>
  <c r="I96" i="1"/>
  <c r="L42" i="10"/>
  <c r="L21" i="8"/>
  <c r="K42" i="10"/>
  <c r="K39" i="4"/>
  <c r="M36" i="6"/>
  <c r="M37" i="6" s="1"/>
  <c r="J57" i="1"/>
  <c r="J61" i="1" s="1"/>
  <c r="J20" i="5"/>
  <c r="J23" i="5" s="1"/>
  <c r="J26" i="5" s="1"/>
  <c r="J29" i="5" s="1"/>
  <c r="J31" i="5" s="1"/>
  <c r="G24" i="3"/>
  <c r="F9" i="2"/>
  <c r="F40" i="2"/>
  <c r="L11" i="15"/>
  <c r="M9" i="15"/>
  <c r="M11" i="15" s="1"/>
  <c r="K28" i="15"/>
  <c r="L21" i="15"/>
  <c r="K29" i="15"/>
  <c r="L22" i="15"/>
  <c r="K30" i="15"/>
  <c r="L23" i="15"/>
  <c r="K31" i="15"/>
  <c r="L24" i="15"/>
  <c r="E28" i="9"/>
  <c r="E27" i="9"/>
  <c r="E29" i="9" s="1"/>
  <c r="F13" i="9"/>
  <c r="F24" i="9"/>
  <c r="F16" i="9"/>
  <c r="G28" i="9"/>
  <c r="G27" i="9"/>
  <c r="G29" i="9" s="1"/>
  <c r="N39" i="8"/>
  <c r="N10" i="9" s="1"/>
  <c r="N26" i="8"/>
  <c r="K27" i="13" s="1"/>
  <c r="N83" i="7"/>
  <c r="K9" i="2"/>
  <c r="K40" i="2"/>
  <c r="P65" i="7"/>
  <c r="P25" i="8"/>
  <c r="O45" i="10"/>
  <c r="N45" i="10"/>
  <c r="O65" i="7"/>
  <c r="L24" i="3" s="1"/>
  <c r="O25" i="8"/>
  <c r="X25" i="2"/>
  <c r="Y25" i="2"/>
  <c r="J175" i="1"/>
  <c r="J179" i="1" s="1"/>
  <c r="J46" i="3" s="1"/>
  <c r="J50" i="3" s="1"/>
  <c r="M86" i="7"/>
  <c r="M88" i="7" s="1"/>
  <c r="J18" i="4"/>
  <c r="K16" i="10"/>
  <c r="K25" i="10"/>
  <c r="K27" i="9"/>
  <c r="D9" i="4"/>
  <c r="D36" i="4"/>
  <c r="P40" i="2" s="1"/>
  <c r="C25" i="2"/>
  <c r="P37" i="2" s="1"/>
  <c r="D12" i="4"/>
  <c r="C28" i="2" s="1"/>
  <c r="F45" i="6"/>
  <c r="N14" i="4"/>
  <c r="M29" i="2" s="1"/>
  <c r="P51" i="6"/>
  <c r="M14" i="13"/>
  <c r="M15" i="13" s="1"/>
  <c r="M35" i="2"/>
  <c r="O51" i="6"/>
  <c r="M14" i="4"/>
  <c r="L29" i="2" s="1"/>
  <c r="L14" i="13"/>
  <c r="L15" i="13" s="1"/>
  <c r="L35" i="2"/>
  <c r="J90" i="7"/>
  <c r="I12" i="10"/>
  <c r="H164" i="1"/>
  <c r="H166" i="1" s="1"/>
  <c r="H260" i="1" s="1"/>
  <c r="H38" i="13" s="1"/>
  <c r="K89" i="7"/>
  <c r="I163" i="1"/>
  <c r="F15" i="2"/>
  <c r="G19" i="4"/>
  <c r="I113" i="7"/>
  <c r="H23" i="10"/>
  <c r="G23" i="4"/>
  <c r="S16" i="2"/>
  <c r="H14" i="10"/>
  <c r="D34" i="3"/>
  <c r="D38" i="3" s="1"/>
  <c r="D40" i="3" s="1"/>
  <c r="D26" i="3"/>
  <c r="D33" i="4"/>
  <c r="D34" i="4"/>
  <c r="D25" i="11"/>
  <c r="D26" i="11"/>
  <c r="D53" i="4"/>
  <c r="D54" i="4"/>
  <c r="D44" i="11"/>
  <c r="D43" i="11"/>
  <c r="D106" i="1"/>
  <c r="D109" i="1" s="1"/>
  <c r="C122" i="1"/>
  <c r="C65" i="3"/>
  <c r="O24" i="2"/>
  <c r="J17" i="7"/>
  <c r="G54" i="1"/>
  <c r="G59" i="1"/>
  <c r="G64" i="1"/>
  <c r="I28" i="6"/>
  <c r="I30" i="6" s="1"/>
  <c r="I32" i="6" s="1"/>
  <c r="I34" i="6" s="1"/>
  <c r="E17" i="9"/>
  <c r="F30" i="9"/>
  <c r="C35" i="13" s="1"/>
  <c r="G18" i="9"/>
  <c r="G15" i="9"/>
  <c r="G17" i="9" s="1"/>
  <c r="I12" i="14" l="1"/>
  <c r="F13" i="14"/>
  <c r="H13" i="14" s="1"/>
  <c r="K23" i="10"/>
  <c r="K14" i="10"/>
  <c r="J14" i="10"/>
  <c r="J23" i="10"/>
  <c r="U16" i="2"/>
  <c r="I23" i="4"/>
  <c r="K113" i="7"/>
  <c r="H23" i="4"/>
  <c r="J113" i="7"/>
  <c r="I14" i="10"/>
  <c r="T16" i="2"/>
  <c r="I23" i="10"/>
  <c r="E25" i="3"/>
  <c r="F25" i="3"/>
  <c r="E10" i="2"/>
  <c r="E41" i="2"/>
  <c r="I68" i="7"/>
  <c r="H41" i="10"/>
  <c r="I15" i="8"/>
  <c r="F18" i="13" s="1"/>
  <c r="J69" i="7"/>
  <c r="J14" i="8"/>
  <c r="G45" i="6"/>
  <c r="E12" i="4"/>
  <c r="D28" i="2" s="1"/>
  <c r="D25" i="2"/>
  <c r="Q37" i="2" s="1"/>
  <c r="E36" i="4"/>
  <c r="Q40" i="2" s="1"/>
  <c r="E9" i="4"/>
  <c r="E45" i="6"/>
  <c r="C12" i="4"/>
  <c r="B28" i="2" s="1"/>
  <c r="B25" i="2"/>
  <c r="O37" i="2" s="1"/>
  <c r="C36" i="4"/>
  <c r="O40" i="2" s="1"/>
  <c r="C9" i="4"/>
  <c r="C20" i="4"/>
  <c r="B32" i="2"/>
  <c r="O15" i="2"/>
  <c r="O18" i="2" s="1"/>
  <c r="C17" i="11"/>
  <c r="H113" i="1"/>
  <c r="I8" i="1"/>
  <c r="I5" i="4"/>
  <c r="K8" i="8"/>
  <c r="K8" i="6"/>
  <c r="K8" i="9"/>
  <c r="J8" i="10"/>
  <c r="H6" i="2"/>
  <c r="H4" i="3"/>
  <c r="K46" i="8"/>
  <c r="K21" i="9"/>
  <c r="H5" i="5"/>
  <c r="G3" i="15"/>
  <c r="G3" i="13"/>
  <c r="H49" i="4"/>
  <c r="J8" i="7"/>
  <c r="J56" i="7" s="1"/>
  <c r="H42" i="4"/>
  <c r="G20" i="2"/>
  <c r="T6" i="2"/>
  <c r="F34" i="2"/>
  <c r="S34" i="2" s="1"/>
  <c r="S20" i="2"/>
  <c r="K53" i="4"/>
  <c r="K54" i="4"/>
  <c r="K33" i="4"/>
  <c r="K34" i="4"/>
  <c r="J8" i="4"/>
  <c r="L41" i="6"/>
  <c r="M22" i="9"/>
  <c r="M25" i="9" s="1"/>
  <c r="M30" i="9" s="1"/>
  <c r="J35" i="13" s="1"/>
  <c r="M12" i="9"/>
  <c r="L12" i="4"/>
  <c r="K28" i="2" s="1"/>
  <c r="N45" i="6"/>
  <c r="K25" i="2"/>
  <c r="X37" i="2" s="1"/>
  <c r="L9" i="4"/>
  <c r="L36" i="4"/>
  <c r="X40" i="2" s="1"/>
  <c r="F23" i="2"/>
  <c r="F9" i="4"/>
  <c r="E25" i="2"/>
  <c r="I10" i="3"/>
  <c r="I20" i="3" s="1"/>
  <c r="I99" i="1"/>
  <c r="L22" i="8"/>
  <c r="I21" i="13" s="1"/>
  <c r="K8" i="4"/>
  <c r="M41" i="6"/>
  <c r="J96" i="1"/>
  <c r="J23" i="2"/>
  <c r="L28" i="15"/>
  <c r="L33" i="15" s="1"/>
  <c r="M21" i="15"/>
  <c r="M28" i="15" s="1"/>
  <c r="M33" i="15" s="1"/>
  <c r="L29" i="15"/>
  <c r="M22" i="15"/>
  <c r="M29" i="15" s="1"/>
  <c r="L30" i="15"/>
  <c r="M23" i="15"/>
  <c r="M30" i="15" s="1"/>
  <c r="L31" i="15"/>
  <c r="M24" i="15"/>
  <c r="M31" i="15" s="1"/>
  <c r="F28" i="9"/>
  <c r="F27" i="9"/>
  <c r="F29" i="9" s="1"/>
  <c r="N12" i="9"/>
  <c r="N22" i="9"/>
  <c r="N25" i="9" s="1"/>
  <c r="L50" i="4"/>
  <c r="K11" i="2"/>
  <c r="K13" i="2" s="1"/>
  <c r="K18" i="2" s="1"/>
  <c r="L31" i="4"/>
  <c r="N111" i="7"/>
  <c r="N110" i="7"/>
  <c r="N14" i="9" s="1"/>
  <c r="N26" i="9" s="1"/>
  <c r="N107" i="7"/>
  <c r="M35" i="10"/>
  <c r="L46" i="4"/>
  <c r="M33" i="10"/>
  <c r="M48" i="10" s="1"/>
  <c r="M49" i="10" s="1"/>
  <c r="L52" i="4"/>
  <c r="L51" i="4"/>
  <c r="P83" i="7"/>
  <c r="M40" i="2"/>
  <c r="M9" i="2"/>
  <c r="P39" i="8"/>
  <c r="P10" i="9" s="1"/>
  <c r="P26" i="8"/>
  <c r="M27" i="13" s="1"/>
  <c r="O83" i="7"/>
  <c r="L22" i="3" s="1"/>
  <c r="M24" i="3"/>
  <c r="L40" i="2"/>
  <c r="L9" i="2"/>
  <c r="O39" i="8"/>
  <c r="O10" i="9" s="1"/>
  <c r="O26" i="8"/>
  <c r="L27" i="13" s="1"/>
  <c r="M16" i="10"/>
  <c r="M25" i="10"/>
  <c r="L25" i="10"/>
  <c r="K18" i="4"/>
  <c r="L16" i="10"/>
  <c r="C35" i="2"/>
  <c r="C14" i="13"/>
  <c r="F51" i="6"/>
  <c r="D14" i="4"/>
  <c r="C29" i="2" s="1"/>
  <c r="D8" i="11"/>
  <c r="O11" i="10"/>
  <c r="N15" i="4"/>
  <c r="O22" i="10"/>
  <c r="P55" i="6"/>
  <c r="N17" i="4"/>
  <c r="P56" i="6"/>
  <c r="N11" i="10"/>
  <c r="N22" i="10"/>
  <c r="O56" i="6"/>
  <c r="M15" i="4"/>
  <c r="O55" i="6"/>
  <c r="M17" i="4"/>
  <c r="H19" i="4"/>
  <c r="G15" i="2"/>
  <c r="K90" i="7"/>
  <c r="J12" i="10"/>
  <c r="I164" i="1"/>
  <c r="I166" i="1" s="1"/>
  <c r="J163" i="1"/>
  <c r="L89" i="7"/>
  <c r="D65" i="3"/>
  <c r="P24" i="2"/>
  <c r="D122" i="1"/>
  <c r="E106" i="1"/>
  <c r="C126" i="1"/>
  <c r="C261" i="1" s="1"/>
  <c r="F44" i="7"/>
  <c r="F49" i="7" s="1"/>
  <c r="O28" i="2"/>
  <c r="C68" i="3"/>
  <c r="C72" i="3" s="1"/>
  <c r="H30" i="3"/>
  <c r="J50" i="8"/>
  <c r="J51" i="8" s="1"/>
  <c r="T9" i="2"/>
  <c r="G30" i="3"/>
  <c r="J29" i="6"/>
  <c r="G200" i="1"/>
  <c r="H53" i="1"/>
  <c r="G201" i="1"/>
  <c r="J73" i="7" s="1"/>
  <c r="H58" i="1"/>
  <c r="J33" i="6"/>
  <c r="J25" i="6"/>
  <c r="J26" i="6" s="1"/>
  <c r="J28" i="6" s="1"/>
  <c r="J30" i="6" s="1"/>
  <c r="J32" i="6" s="1"/>
  <c r="J34" i="6" s="1"/>
  <c r="G19" i="5"/>
  <c r="G23" i="5" s="1"/>
  <c r="G39" i="4"/>
  <c r="I36" i="6"/>
  <c r="I37" i="6" s="1"/>
  <c r="K33" i="15"/>
  <c r="G20" i="5"/>
  <c r="G57" i="1"/>
  <c r="G61" i="1" s="1"/>
  <c r="F18" i="9"/>
  <c r="F15" i="9"/>
  <c r="F17" i="9" s="1"/>
  <c r="K22" i="3"/>
  <c r="L35" i="4"/>
  <c r="V25" i="2"/>
  <c r="I13" i="14" l="1"/>
  <c r="F14" i="14"/>
  <c r="H14" i="14" s="1"/>
  <c r="F41" i="2"/>
  <c r="F10" i="2"/>
  <c r="J41" i="10"/>
  <c r="I41" i="10"/>
  <c r="J15" i="8"/>
  <c r="G18" i="13" s="1"/>
  <c r="E14" i="4"/>
  <c r="D29" i="2" s="1"/>
  <c r="G51" i="6"/>
  <c r="D35" i="2"/>
  <c r="D14" i="13"/>
  <c r="C14" i="4"/>
  <c r="B29" i="2" s="1"/>
  <c r="C8" i="11"/>
  <c r="E51" i="6"/>
  <c r="B35" i="2"/>
  <c r="B14" i="13"/>
  <c r="C29" i="4"/>
  <c r="O38" i="2" s="1"/>
  <c r="C27" i="4"/>
  <c r="C28" i="4"/>
  <c r="C22" i="4"/>
  <c r="C30" i="4" s="1"/>
  <c r="C22" i="11"/>
  <c r="C20" i="11"/>
  <c r="C19" i="11"/>
  <c r="J5" i="4"/>
  <c r="L21" i="9"/>
  <c r="L8" i="9"/>
  <c r="J8" i="1"/>
  <c r="L46" i="8"/>
  <c r="I6" i="2"/>
  <c r="I4" i="3"/>
  <c r="I5" i="5"/>
  <c r="I113" i="1"/>
  <c r="L8" i="8"/>
  <c r="L8" i="6"/>
  <c r="K8" i="10"/>
  <c r="H3" i="15"/>
  <c r="H3" i="13"/>
  <c r="I49" i="4"/>
  <c r="I42" i="4"/>
  <c r="K8" i="7"/>
  <c r="K56" i="7" s="1"/>
  <c r="U6" i="2"/>
  <c r="H20" i="2"/>
  <c r="G34" i="2"/>
  <c r="T34" i="2" s="1"/>
  <c r="T20" i="2"/>
  <c r="J9" i="4"/>
  <c r="I25" i="2"/>
  <c r="V37" i="2" s="1"/>
  <c r="J36" i="4"/>
  <c r="V40" i="2" s="1"/>
  <c r="L45" i="6"/>
  <c r="J12" i="4"/>
  <c r="I28" i="2" s="1"/>
  <c r="M13" i="9"/>
  <c r="M24" i="9"/>
  <c r="M16" i="9"/>
  <c r="N51" i="6"/>
  <c r="L14" i="4"/>
  <c r="K29" i="2" s="1"/>
  <c r="K14" i="13"/>
  <c r="K15" i="13" s="1"/>
  <c r="K35" i="2"/>
  <c r="E35" i="2"/>
  <c r="E14" i="13"/>
  <c r="I102" i="1"/>
  <c r="I104" i="1" s="1"/>
  <c r="L47" i="6"/>
  <c r="L46" i="6" s="1"/>
  <c r="I221" i="1"/>
  <c r="I30" i="5"/>
  <c r="I31" i="5" s="1"/>
  <c r="I36" i="3"/>
  <c r="I244" i="1"/>
  <c r="J25" i="2"/>
  <c r="W37" i="2" s="1"/>
  <c r="K36" i="4"/>
  <c r="W40" i="2" s="1"/>
  <c r="K9" i="4"/>
  <c r="K12" i="4"/>
  <c r="J28" i="2" s="1"/>
  <c r="M45" i="6"/>
  <c r="J10" i="3"/>
  <c r="J20" i="3" s="1"/>
  <c r="J104" i="1"/>
  <c r="N24" i="9"/>
  <c r="N13" i="9"/>
  <c r="N16" i="9"/>
  <c r="L53" i="4"/>
  <c r="L54" i="4" s="1"/>
  <c r="L34" i="4"/>
  <c r="L33" i="4"/>
  <c r="L34" i="3"/>
  <c r="L38" i="3" s="1"/>
  <c r="L40" i="3" s="1"/>
  <c r="L26" i="3"/>
  <c r="N35" i="4"/>
  <c r="P110" i="7"/>
  <c r="P14" i="9" s="1"/>
  <c r="P26" i="9" s="1"/>
  <c r="N31" i="4"/>
  <c r="M11" i="2"/>
  <c r="M13" i="2" s="1"/>
  <c r="M18" i="2" s="1"/>
  <c r="P111" i="7"/>
  <c r="O35" i="10"/>
  <c r="N46" i="4"/>
  <c r="O33" i="10"/>
  <c r="O48" i="10" s="1"/>
  <c r="O49" i="10" s="1"/>
  <c r="P107" i="7"/>
  <c r="N52" i="4"/>
  <c r="N50" i="4"/>
  <c r="N51" i="4"/>
  <c r="P12" i="9"/>
  <c r="P22" i="9"/>
  <c r="P25" i="9" s="1"/>
  <c r="P30" i="9" s="1"/>
  <c r="M35" i="13" s="1"/>
  <c r="M35" i="4"/>
  <c r="M52" i="4"/>
  <c r="M50" i="4"/>
  <c r="O107" i="7"/>
  <c r="M46" i="4"/>
  <c r="N35" i="10"/>
  <c r="N33" i="10"/>
  <c r="N48" i="10" s="1"/>
  <c r="N49" i="10" s="1"/>
  <c r="L11" i="2"/>
  <c r="L13" i="2" s="1"/>
  <c r="L18" i="2" s="1"/>
  <c r="O111" i="7"/>
  <c r="O110" i="7"/>
  <c r="O14" i="9" s="1"/>
  <c r="O26" i="9" s="1"/>
  <c r="M22" i="3"/>
  <c r="M31" i="4"/>
  <c r="M51" i="4"/>
  <c r="O12" i="9"/>
  <c r="O22" i="9"/>
  <c r="O25" i="9" s="1"/>
  <c r="O30" i="9" s="1"/>
  <c r="L35" i="13" s="1"/>
  <c r="F56" i="6"/>
  <c r="D17" i="4"/>
  <c r="F55" i="6"/>
  <c r="C55" i="11" s="1"/>
  <c r="C57" i="11" s="1"/>
  <c r="D13" i="11"/>
  <c r="E22" i="10"/>
  <c r="D9" i="11"/>
  <c r="D12" i="11" s="1"/>
  <c r="D15" i="4"/>
  <c r="E11" i="10"/>
  <c r="N16" i="4"/>
  <c r="M36" i="2" s="1"/>
  <c r="M30" i="2"/>
  <c r="N37" i="4"/>
  <c r="Z36" i="2" s="1"/>
  <c r="Z22" i="2"/>
  <c r="N38" i="4"/>
  <c r="Z41" i="2" s="1"/>
  <c r="M16" i="4"/>
  <c r="L36" i="2" s="1"/>
  <c r="L30" i="2"/>
  <c r="M37" i="4"/>
  <c r="Y36" i="2" s="1"/>
  <c r="Y22" i="2"/>
  <c r="M38" i="4"/>
  <c r="Y41" i="2" s="1"/>
  <c r="M57" i="4"/>
  <c r="M59" i="4" s="1"/>
  <c r="M63" i="4" s="1"/>
  <c r="H15" i="2"/>
  <c r="H18" i="2" s="1"/>
  <c r="I19" i="4"/>
  <c r="K107" i="7"/>
  <c r="J164" i="1"/>
  <c r="J166" i="1" s="1"/>
  <c r="J260" i="1" s="1"/>
  <c r="J38" i="13" s="1"/>
  <c r="M89" i="7"/>
  <c r="L90" i="7"/>
  <c r="K12" i="10"/>
  <c r="D68" i="3"/>
  <c r="D72" i="3" s="1"/>
  <c r="P28" i="2"/>
  <c r="D126" i="1"/>
  <c r="D261" i="1" s="1"/>
  <c r="G44" i="7"/>
  <c r="G49" i="7" s="1"/>
  <c r="C262" i="1"/>
  <c r="C40" i="13" s="1"/>
  <c r="C39" i="13"/>
  <c r="F50" i="7"/>
  <c r="C56" i="11"/>
  <c r="F109" i="7"/>
  <c r="E28" i="10"/>
  <c r="E18" i="10"/>
  <c r="G39" i="2"/>
  <c r="G33" i="13"/>
  <c r="G203" i="1"/>
  <c r="J72" i="7"/>
  <c r="J68" i="7" s="1"/>
  <c r="G25" i="3" s="1"/>
  <c r="K27" i="6"/>
  <c r="K28" i="6" s="1"/>
  <c r="K30" i="6" s="1"/>
  <c r="H55" i="1"/>
  <c r="J43" i="10"/>
  <c r="I43" i="10"/>
  <c r="J23" i="8"/>
  <c r="J24" i="8" s="1"/>
  <c r="G24" i="13" s="1"/>
  <c r="H60" i="1"/>
  <c r="H21" i="5" s="1"/>
  <c r="K31" i="6"/>
  <c r="H39" i="4"/>
  <c r="J36" i="6"/>
  <c r="J37" i="6" s="1"/>
  <c r="G8" i="4"/>
  <c r="G23" i="2"/>
  <c r="K34" i="3"/>
  <c r="K38" i="3" s="1"/>
  <c r="K40" i="3" s="1"/>
  <c r="K26" i="3"/>
  <c r="N30" i="9"/>
  <c r="K35" i="13" s="1"/>
  <c r="I14" i="14" l="1"/>
  <c r="F15" i="14"/>
  <c r="H15" i="14" s="1"/>
  <c r="H25" i="3"/>
  <c r="G10" i="2"/>
  <c r="G41" i="2"/>
  <c r="F22" i="10"/>
  <c r="F11" i="10"/>
  <c r="E17" i="4"/>
  <c r="E15" i="4"/>
  <c r="G56" i="6"/>
  <c r="G55" i="6"/>
  <c r="E56" i="6"/>
  <c r="E55" i="6"/>
  <c r="C9" i="11"/>
  <c r="C12" i="11" s="1"/>
  <c r="C17" i="4"/>
  <c r="C15" i="4"/>
  <c r="C13" i="11"/>
  <c r="J113" i="1"/>
  <c r="M8" i="6"/>
  <c r="J4" i="3"/>
  <c r="M46" i="8"/>
  <c r="K8" i="1"/>
  <c r="M8" i="9"/>
  <c r="M21" i="9"/>
  <c r="K5" i="4"/>
  <c r="L8" i="10"/>
  <c r="J5" i="5"/>
  <c r="M8" i="8"/>
  <c r="J6" i="2"/>
  <c r="V6" i="2"/>
  <c r="I20" i="2"/>
  <c r="I3" i="13"/>
  <c r="I3" i="15"/>
  <c r="J49" i="4"/>
  <c r="L8" i="7"/>
  <c r="L56" i="7" s="1"/>
  <c r="J42" i="4"/>
  <c r="H34" i="2"/>
  <c r="U34" i="2" s="1"/>
  <c r="U20" i="2"/>
  <c r="I14" i="13"/>
  <c r="I15" i="13" s="1"/>
  <c r="I35" i="2"/>
  <c r="J14" i="4"/>
  <c r="I29" i="2" s="1"/>
  <c r="L51" i="6"/>
  <c r="M28" i="9"/>
  <c r="M27" i="9"/>
  <c r="M29" i="9" s="1"/>
  <c r="L17" i="4"/>
  <c r="N56" i="6"/>
  <c r="N55" i="6"/>
  <c r="L15" i="4"/>
  <c r="M22" i="10"/>
  <c r="M11" i="10"/>
  <c r="I225" i="1"/>
  <c r="I260" i="1" s="1"/>
  <c r="I38" i="13" s="1"/>
  <c r="L79" i="7"/>
  <c r="I251" i="1"/>
  <c r="L19" i="7"/>
  <c r="J14" i="13"/>
  <c r="J15" i="13" s="1"/>
  <c r="J35" i="2"/>
  <c r="M51" i="6"/>
  <c r="K14" i="4"/>
  <c r="J29" i="2" s="1"/>
  <c r="N28" i="9"/>
  <c r="N27" i="9"/>
  <c r="N29" i="9" s="1"/>
  <c r="L65" i="3"/>
  <c r="X24" i="2"/>
  <c r="N34" i="4"/>
  <c r="N33" i="4"/>
  <c r="N53" i="4"/>
  <c r="N54" i="4"/>
  <c r="P16" i="9"/>
  <c r="P24" i="9"/>
  <c r="P13" i="9"/>
  <c r="M53" i="4"/>
  <c r="M54" i="4" s="1"/>
  <c r="M34" i="3"/>
  <c r="M38" i="3" s="1"/>
  <c r="M40" i="3" s="1"/>
  <c r="M26" i="3"/>
  <c r="M33" i="4"/>
  <c r="M34" i="4"/>
  <c r="O24" i="9"/>
  <c r="O16" i="9"/>
  <c r="O13" i="9"/>
  <c r="D37" i="4"/>
  <c r="P36" i="2" s="1"/>
  <c r="P22" i="2"/>
  <c r="D57" i="4"/>
  <c r="D59" i="4" s="1"/>
  <c r="D63" i="4" s="1"/>
  <c r="D38" i="4"/>
  <c r="P41" i="2" s="1"/>
  <c r="C30" i="2"/>
  <c r="D16" i="4"/>
  <c r="C36" i="2" s="1"/>
  <c r="M90" i="7"/>
  <c r="M12" i="10"/>
  <c r="L12" i="10"/>
  <c r="J19" i="4"/>
  <c r="I15" i="2"/>
  <c r="D262" i="1"/>
  <c r="D40" i="13" s="1"/>
  <c r="D39" i="13"/>
  <c r="G50" i="7"/>
  <c r="G109" i="7"/>
  <c r="F28" i="10"/>
  <c r="F18" i="10"/>
  <c r="P15" i="2"/>
  <c r="P18" i="2" s="1"/>
  <c r="C32" i="2"/>
  <c r="D17" i="11"/>
  <c r="D20" i="4"/>
  <c r="J42" i="10"/>
  <c r="J21" i="8"/>
  <c r="I42" i="10"/>
  <c r="H20" i="5"/>
  <c r="H23" i="5" s="1"/>
  <c r="H57" i="1"/>
  <c r="H61" i="1" s="1"/>
  <c r="H8" i="4"/>
  <c r="F25" i="2"/>
  <c r="G9" i="4"/>
  <c r="W24" i="2"/>
  <c r="K65" i="3"/>
  <c r="E29" i="10"/>
  <c r="K32" i="6"/>
  <c r="K34" i="6" s="1"/>
  <c r="E19" i="10"/>
  <c r="M18" i="9"/>
  <c r="M15" i="9"/>
  <c r="M17" i="9" s="1"/>
  <c r="N18" i="9"/>
  <c r="N15" i="9"/>
  <c r="N17" i="9" s="1"/>
  <c r="I15" i="14" l="1"/>
  <c r="F16" i="14"/>
  <c r="H16" i="14" s="1"/>
  <c r="E37" i="4"/>
  <c r="Q36" i="2" s="1"/>
  <c r="Q22" i="2"/>
  <c r="E57" i="4"/>
  <c r="E59" i="4" s="1"/>
  <c r="E63" i="4" s="1"/>
  <c r="E38" i="4"/>
  <c r="Q41" i="2" s="1"/>
  <c r="E16" i="4"/>
  <c r="D36" i="2" s="1"/>
  <c r="D30" i="2"/>
  <c r="C37" i="4"/>
  <c r="O36" i="2" s="1"/>
  <c r="O22" i="2"/>
  <c r="C16" i="4"/>
  <c r="B36" i="2" s="1"/>
  <c r="B30" i="2"/>
  <c r="M8" i="7"/>
  <c r="M56" i="7" s="1"/>
  <c r="K49" i="4"/>
  <c r="K42" i="4"/>
  <c r="K5" i="5"/>
  <c r="N8" i="8"/>
  <c r="K6" i="2"/>
  <c r="K113" i="1"/>
  <c r="N8" i="6"/>
  <c r="K4" i="3"/>
  <c r="L8" i="1"/>
  <c r="N8" i="9"/>
  <c r="N46" i="8"/>
  <c r="L5" i="4"/>
  <c r="M8" i="10"/>
  <c r="N21" i="9"/>
  <c r="J3" i="13"/>
  <c r="J3" i="15"/>
  <c r="J20" i="2"/>
  <c r="W6" i="2"/>
  <c r="I34" i="2"/>
  <c r="V34" i="2" s="1"/>
  <c r="V20" i="2"/>
  <c r="K22" i="10"/>
  <c r="L55" i="6"/>
  <c r="L56" i="6" s="1"/>
  <c r="K11" i="10"/>
  <c r="J15" i="4"/>
  <c r="J17" i="4"/>
  <c r="L37" i="4"/>
  <c r="X36" i="2" s="1"/>
  <c r="L57" i="4"/>
  <c r="L59" i="4" s="1"/>
  <c r="L63" i="4" s="1"/>
  <c r="X22" i="2"/>
  <c r="L38" i="4"/>
  <c r="X41" i="2" s="1"/>
  <c r="L16" i="4"/>
  <c r="K36" i="2" s="1"/>
  <c r="K30" i="2"/>
  <c r="L83" i="7"/>
  <c r="L37" i="8"/>
  <c r="L28" i="7"/>
  <c r="L53" i="8"/>
  <c r="L63" i="8" s="1"/>
  <c r="L11" i="9" s="1"/>
  <c r="L23" i="9" s="1"/>
  <c r="M56" i="6"/>
  <c r="M55" i="6"/>
  <c r="K17" i="4"/>
  <c r="L11" i="10"/>
  <c r="L22" i="10"/>
  <c r="K15" i="4"/>
  <c r="X28" i="2"/>
  <c r="L68" i="3"/>
  <c r="L72" i="3" s="1"/>
  <c r="P27" i="9"/>
  <c r="P29" i="9" s="1"/>
  <c r="P28" i="9"/>
  <c r="M65" i="3"/>
  <c r="Y24" i="2"/>
  <c r="O28" i="9"/>
  <c r="O27" i="9"/>
  <c r="O29" i="9" s="1"/>
  <c r="J15" i="2"/>
  <c r="J18" i="2" s="1"/>
  <c r="K19" i="4"/>
  <c r="M107" i="7"/>
  <c r="K35" i="4"/>
  <c r="Q15" i="2"/>
  <c r="Q18" i="2" s="1"/>
  <c r="D32" i="2"/>
  <c r="E20" i="4"/>
  <c r="D22" i="11"/>
  <c r="D20" i="11"/>
  <c r="D19" i="11"/>
  <c r="D29" i="4"/>
  <c r="P38" i="2" s="1"/>
  <c r="D27" i="4"/>
  <c r="D28" i="4"/>
  <c r="D22" i="4"/>
  <c r="D30" i="4" s="1"/>
  <c r="J22" i="8"/>
  <c r="G21" i="13" s="1"/>
  <c r="H23" i="2"/>
  <c r="G25" i="2"/>
  <c r="H9" i="4"/>
  <c r="F14" i="13"/>
  <c r="F15" i="13" s="1"/>
  <c r="F35" i="2"/>
  <c r="W28" i="2"/>
  <c r="K68" i="3"/>
  <c r="K72" i="3" s="1"/>
  <c r="C34" i="11"/>
  <c r="D44" i="4"/>
  <c r="K36" i="6"/>
  <c r="K37" i="6" s="1"/>
  <c r="H41" i="2"/>
  <c r="I39" i="4"/>
  <c r="D43" i="4"/>
  <c r="E31" i="10"/>
  <c r="C33" i="11"/>
  <c r="F29" i="10"/>
  <c r="E44" i="4" s="1"/>
  <c r="F19" i="10"/>
  <c r="P18" i="9"/>
  <c r="P15" i="9"/>
  <c r="P17" i="9" s="1"/>
  <c r="O18" i="9"/>
  <c r="O15" i="9"/>
  <c r="O17" i="9" s="1"/>
  <c r="I16" i="14" l="1"/>
  <c r="F17" i="14"/>
  <c r="H17" i="14" s="1"/>
  <c r="K3" i="15"/>
  <c r="K3" i="13"/>
  <c r="K20" i="2"/>
  <c r="X6" i="2"/>
  <c r="N8" i="7"/>
  <c r="N56" i="7" s="1"/>
  <c r="L49" i="4"/>
  <c r="L42" i="4"/>
  <c r="L113" i="1"/>
  <c r="O8" i="6"/>
  <c r="L4" i="3"/>
  <c r="M8" i="1"/>
  <c r="O8" i="9"/>
  <c r="O46" i="8"/>
  <c r="M5" i="4"/>
  <c r="N8" i="10"/>
  <c r="O21" i="9"/>
  <c r="O8" i="8"/>
  <c r="L6" i="2"/>
  <c r="L5" i="5"/>
  <c r="W20" i="2"/>
  <c r="J34" i="2"/>
  <c r="W34" i="2" s="1"/>
  <c r="J16" i="4"/>
  <c r="I36" i="2" s="1"/>
  <c r="I30" i="2"/>
  <c r="J37" i="4"/>
  <c r="V36" i="2" s="1"/>
  <c r="V22" i="2"/>
  <c r="J57" i="4"/>
  <c r="J59" i="4" s="1"/>
  <c r="J63" i="4" s="1"/>
  <c r="J38" i="4"/>
  <c r="V41" i="2" s="1"/>
  <c r="J35" i="4"/>
  <c r="J50" i="4"/>
  <c r="I22" i="3"/>
  <c r="J52" i="4"/>
  <c r="L110" i="7"/>
  <c r="L14" i="9" s="1"/>
  <c r="L26" i="9" s="1"/>
  <c r="L111" i="7"/>
  <c r="L107" i="7"/>
  <c r="J46" i="4"/>
  <c r="J31" i="4"/>
  <c r="K35" i="10"/>
  <c r="J22" i="3"/>
  <c r="I11" i="2"/>
  <c r="I13" i="2" s="1"/>
  <c r="I18" i="2" s="1"/>
  <c r="K33" i="10"/>
  <c r="K48" i="10" s="1"/>
  <c r="K49" i="10" s="1"/>
  <c r="L33" i="10"/>
  <c r="L48" i="10" s="1"/>
  <c r="L49" i="10" s="1"/>
  <c r="K46" i="4"/>
  <c r="L35" i="10"/>
  <c r="L39" i="8"/>
  <c r="L10" i="9" s="1"/>
  <c r="L31" i="8"/>
  <c r="L34" i="10"/>
  <c r="J51" i="4"/>
  <c r="K34" i="10"/>
  <c r="L29" i="7"/>
  <c r="K37" i="4"/>
  <c r="W36" i="2" s="1"/>
  <c r="K38" i="4"/>
  <c r="W41" i="2" s="1"/>
  <c r="K57" i="4"/>
  <c r="K59" i="4" s="1"/>
  <c r="K63" i="4" s="1"/>
  <c r="W22" i="2"/>
  <c r="K16" i="4"/>
  <c r="J36" i="2" s="1"/>
  <c r="J30" i="2"/>
  <c r="M68" i="3"/>
  <c r="M72" i="3" s="1"/>
  <c r="Y28" i="2"/>
  <c r="E29" i="4"/>
  <c r="Q38" i="2" s="1"/>
  <c r="E27" i="4"/>
  <c r="E28" i="4"/>
  <c r="E22" i="4"/>
  <c r="E30" i="4" s="1"/>
  <c r="G35" i="2"/>
  <c r="G14" i="13"/>
  <c r="G15" i="13" s="1"/>
  <c r="I8" i="4"/>
  <c r="I35" i="4"/>
  <c r="C35" i="11"/>
  <c r="C36" i="11" s="1"/>
  <c r="E36" i="10"/>
  <c r="D45" i="4"/>
  <c r="F31" i="10"/>
  <c r="E43" i="4"/>
  <c r="I17" i="14" l="1"/>
  <c r="E84" i="1" s="1"/>
  <c r="E86" i="1" s="1"/>
  <c r="F18" i="14"/>
  <c r="H18" i="14" s="1"/>
  <c r="E131" i="1"/>
  <c r="X20" i="2"/>
  <c r="K34" i="2"/>
  <c r="X34" i="2" s="1"/>
  <c r="M49" i="4"/>
  <c r="M42" i="4"/>
  <c r="O8" i="7"/>
  <c r="O56" i="7" s="1"/>
  <c r="M4" i="3"/>
  <c r="M113" i="1"/>
  <c r="P8" i="9"/>
  <c r="P46" i="8"/>
  <c r="N5" i="4"/>
  <c r="O8" i="10"/>
  <c r="P21" i="9"/>
  <c r="P8" i="8"/>
  <c r="M6" i="2"/>
  <c r="M5" i="5"/>
  <c r="P8" i="6"/>
  <c r="L3" i="15"/>
  <c r="L3" i="13"/>
  <c r="L20" i="2"/>
  <c r="Y6" i="2"/>
  <c r="J53" i="4"/>
  <c r="J54" i="4" s="1"/>
  <c r="I26" i="3"/>
  <c r="J33" i="4"/>
  <c r="J34" i="4"/>
  <c r="J34" i="3"/>
  <c r="J38" i="3" s="1"/>
  <c r="J40" i="3" s="1"/>
  <c r="J26" i="3"/>
  <c r="L12" i="9"/>
  <c r="L22" i="9"/>
  <c r="L25" i="9" s="1"/>
  <c r="L30" i="9" s="1"/>
  <c r="I35" i="13" s="1"/>
  <c r="J28" i="3"/>
  <c r="J32" i="3" s="1"/>
  <c r="V11" i="2"/>
  <c r="V13" i="2" s="1"/>
  <c r="J32" i="4"/>
  <c r="L38" i="7"/>
  <c r="I9" i="4"/>
  <c r="H25" i="2"/>
  <c r="F36" i="10"/>
  <c r="E45" i="4"/>
  <c r="E25" i="5" l="1"/>
  <c r="E26" i="5" s="1"/>
  <c r="E29" i="5" s="1"/>
  <c r="H38" i="6"/>
  <c r="E15" i="3"/>
  <c r="E54" i="3" s="1"/>
  <c r="E62" i="3" s="1"/>
  <c r="E96" i="1"/>
  <c r="I18" i="14"/>
  <c r="F19" i="14"/>
  <c r="H19" i="14" s="1"/>
  <c r="H12" i="7"/>
  <c r="H15" i="7" s="1"/>
  <c r="E134" i="1"/>
  <c r="E157" i="1" s="1"/>
  <c r="M3" i="15"/>
  <c r="M3" i="13"/>
  <c r="Z6" i="2"/>
  <c r="M20" i="2"/>
  <c r="P8" i="7"/>
  <c r="P56" i="7" s="1"/>
  <c r="N49" i="4"/>
  <c r="N42" i="4"/>
  <c r="L34" i="2"/>
  <c r="Y34" i="2" s="1"/>
  <c r="Y20" i="2"/>
  <c r="V24" i="2"/>
  <c r="J65" i="3"/>
  <c r="L15" i="9"/>
  <c r="L17" i="9" s="1"/>
  <c r="L13" i="9"/>
  <c r="L18" i="9" s="1"/>
  <c r="L16" i="9"/>
  <c r="L24" i="9"/>
  <c r="L112" i="7"/>
  <c r="H14" i="13"/>
  <c r="H15" i="13" s="1"/>
  <c r="H35" i="2"/>
  <c r="H41" i="6" l="1"/>
  <c r="F10" i="4"/>
  <c r="E26" i="2" s="1"/>
  <c r="H40" i="6"/>
  <c r="Q26" i="2"/>
  <c r="E99" i="1"/>
  <c r="E10" i="3"/>
  <c r="E20" i="3" s="1"/>
  <c r="I19" i="14"/>
  <c r="F20" i="14"/>
  <c r="H20" i="14" s="1"/>
  <c r="G37" i="10"/>
  <c r="R10" i="2"/>
  <c r="F25" i="4"/>
  <c r="F26" i="4" s="1"/>
  <c r="E31" i="3"/>
  <c r="M34" i="2"/>
  <c r="Z34" i="2" s="1"/>
  <c r="Z20" i="2"/>
  <c r="V28" i="2"/>
  <c r="J68" i="3"/>
  <c r="J72" i="3" s="1"/>
  <c r="L28" i="9"/>
  <c r="L27" i="9"/>
  <c r="L29" i="9" s="1"/>
  <c r="F12" i="4" l="1"/>
  <c r="E28" i="2" s="1"/>
  <c r="H45" i="6"/>
  <c r="H47" i="6"/>
  <c r="E244" i="1"/>
  <c r="E36" i="3"/>
  <c r="E30" i="5"/>
  <c r="E31" i="5" s="1"/>
  <c r="E102" i="1"/>
  <c r="E104" i="1" s="1"/>
  <c r="E109" i="1" s="1"/>
  <c r="E221" i="1"/>
  <c r="I20" i="14"/>
  <c r="F21" i="14"/>
  <c r="H21" i="14" s="1"/>
  <c r="R35" i="2"/>
  <c r="R37" i="2" s="1"/>
  <c r="F14" i="4" l="1"/>
  <c r="E29" i="2" s="1"/>
  <c r="E8" i="11"/>
  <c r="F36" i="4"/>
  <c r="R40" i="2" s="1"/>
  <c r="H46" i="6"/>
  <c r="H51" i="6" s="1"/>
  <c r="E251" i="1"/>
  <c r="H19" i="7"/>
  <c r="F106" i="1"/>
  <c r="E122" i="1"/>
  <c r="H79" i="7"/>
  <c r="E225" i="1"/>
  <c r="E260" i="1" s="1"/>
  <c r="I21" i="14"/>
  <c r="F22" i="14"/>
  <c r="H22" i="14" s="1"/>
  <c r="H56" i="6" l="1"/>
  <c r="G22" i="10"/>
  <c r="G11" i="10"/>
  <c r="E9" i="11"/>
  <c r="F17" i="4"/>
  <c r="E13" i="11"/>
  <c r="F15" i="4"/>
  <c r="H55" i="6"/>
  <c r="D55" i="11" s="1"/>
  <c r="H53" i="8"/>
  <c r="H63" i="8" s="1"/>
  <c r="H11" i="9" s="1"/>
  <c r="H23" i="9" s="1"/>
  <c r="H28" i="7"/>
  <c r="H44" i="7"/>
  <c r="H49" i="7" s="1"/>
  <c r="E126" i="1"/>
  <c r="E261" i="1" s="1"/>
  <c r="H83" i="7"/>
  <c r="H37" i="8"/>
  <c r="E38" i="13"/>
  <c r="I22" i="14"/>
  <c r="F23" i="14"/>
  <c r="H23" i="14" s="1"/>
  <c r="E12" i="11" l="1"/>
  <c r="I12" i="11" s="1"/>
  <c r="I10" i="11"/>
  <c r="F37" i="4"/>
  <c r="R36" i="2" s="1"/>
  <c r="R22" i="2"/>
  <c r="F38" i="4"/>
  <c r="R41" i="2" s="1"/>
  <c r="F57" i="4"/>
  <c r="F59" i="4" s="1"/>
  <c r="F63" i="4" s="1"/>
  <c r="E30" i="2"/>
  <c r="F16" i="4"/>
  <c r="E36" i="2" s="1"/>
  <c r="F51" i="4"/>
  <c r="G34" i="10"/>
  <c r="H29" i="7"/>
  <c r="G18" i="10"/>
  <c r="G19" i="10" s="1"/>
  <c r="D56" i="11"/>
  <c r="D57" i="11" s="1"/>
  <c r="G28" i="10"/>
  <c r="G29" i="10" s="1"/>
  <c r="H109" i="7"/>
  <c r="F52" i="4"/>
  <c r="E42" i="11"/>
  <c r="G35" i="10"/>
  <c r="F35" i="4"/>
  <c r="F31" i="4"/>
  <c r="E40" i="11"/>
  <c r="E23" i="11"/>
  <c r="G33" i="10"/>
  <c r="G48" i="10" s="1"/>
  <c r="G49" i="10" s="1"/>
  <c r="H111" i="7"/>
  <c r="F50" i="4"/>
  <c r="E22" i="3"/>
  <c r="F46" i="4"/>
  <c r="E11" i="2"/>
  <c r="E13" i="2" s="1"/>
  <c r="E18" i="2" s="1"/>
  <c r="H107" i="7"/>
  <c r="H110" i="7"/>
  <c r="H14" i="9" s="1"/>
  <c r="H26" i="9" s="1"/>
  <c r="H39" i="8"/>
  <c r="H10" i="9" s="1"/>
  <c r="H31" i="8"/>
  <c r="I23" i="14"/>
  <c r="F24" i="14"/>
  <c r="H24" i="14" s="1"/>
  <c r="E39" i="13"/>
  <c r="E262" i="1"/>
  <c r="E40" i="13" s="1"/>
  <c r="E24" i="11" l="1"/>
  <c r="F32" i="4"/>
  <c r="H38" i="7"/>
  <c r="E28" i="3"/>
  <c r="E32" i="3" s="1"/>
  <c r="R11" i="2"/>
  <c r="R13" i="2" s="1"/>
  <c r="F43" i="4"/>
  <c r="D33" i="11"/>
  <c r="G31" i="10"/>
  <c r="D34" i="11"/>
  <c r="F44" i="4"/>
  <c r="E17" i="11"/>
  <c r="E32" i="2"/>
  <c r="R15" i="2"/>
  <c r="F20" i="4"/>
  <c r="F33" i="4"/>
  <c r="F34" i="4"/>
  <c r="E43" i="11"/>
  <c r="E44" i="11"/>
  <c r="E26" i="11"/>
  <c r="E25" i="11"/>
  <c r="E34" i="3"/>
  <c r="E38" i="3" s="1"/>
  <c r="E40" i="3" s="1"/>
  <c r="E26" i="3"/>
  <c r="H12" i="9"/>
  <c r="H22" i="9"/>
  <c r="H25" i="9" s="1"/>
  <c r="H30" i="9" s="1"/>
  <c r="E35" i="13" s="1"/>
  <c r="I24" i="14"/>
  <c r="F25" i="14"/>
  <c r="H25" i="14" s="1"/>
  <c r="F53" i="4"/>
  <c r="F54" i="4" s="1"/>
  <c r="F29" i="4" l="1"/>
  <c r="R38" i="2" s="1"/>
  <c r="E22" i="11"/>
  <c r="H50" i="7"/>
  <c r="F30" i="4"/>
  <c r="H112" i="7"/>
  <c r="F45" i="4"/>
  <c r="D35" i="11"/>
  <c r="D36" i="11" s="1"/>
  <c r="G36" i="10"/>
  <c r="E20" i="11"/>
  <c r="E19" i="11"/>
  <c r="F27" i="4"/>
  <c r="F22" i="4"/>
  <c r="F28" i="4"/>
  <c r="E65" i="3"/>
  <c r="Q24" i="2"/>
  <c r="H13" i="9"/>
  <c r="H18" i="9" s="1"/>
  <c r="H24" i="9"/>
  <c r="H15" i="9"/>
  <c r="H16" i="9"/>
  <c r="I25" i="14"/>
  <c r="F26" i="14"/>
  <c r="H26" i="14" s="1"/>
  <c r="R18" i="2"/>
  <c r="E68" i="3" l="1"/>
  <c r="E72" i="3" s="1"/>
  <c r="Q28" i="2"/>
  <c r="H27" i="9"/>
  <c r="H29" i="9" s="1"/>
  <c r="H28" i="9"/>
  <c r="I26" i="14"/>
  <c r="F27" i="14"/>
  <c r="H27" i="14" s="1"/>
  <c r="H17" i="9"/>
  <c r="I27" i="14" l="1"/>
  <c r="F28" i="14"/>
  <c r="H28" i="14" s="1"/>
  <c r="I28" i="14" l="1"/>
  <c r="F29" i="14"/>
  <c r="H29" i="14" s="1"/>
  <c r="I29" i="14" l="1"/>
  <c r="F84" i="1" s="1"/>
  <c r="F86" i="1" s="1"/>
  <c r="F30" i="14"/>
  <c r="H30" i="14" s="1"/>
  <c r="F131" i="1"/>
  <c r="F96" i="1" l="1"/>
  <c r="F15" i="3"/>
  <c r="F54" i="3" s="1"/>
  <c r="F62" i="3" s="1"/>
  <c r="F25" i="5"/>
  <c r="F26" i="5" s="1"/>
  <c r="F29" i="5" s="1"/>
  <c r="I38" i="6"/>
  <c r="F31" i="14"/>
  <c r="H31" i="14" s="1"/>
  <c r="I30" i="14"/>
  <c r="F134" i="1"/>
  <c r="F157" i="1" s="1"/>
  <c r="I12" i="7"/>
  <c r="I15" i="7" s="1"/>
  <c r="F10" i="3" l="1"/>
  <c r="F20" i="3" s="1"/>
  <c r="F99" i="1"/>
  <c r="R26" i="2"/>
  <c r="I41" i="6"/>
  <c r="G10" i="4"/>
  <c r="F26" i="2" s="1"/>
  <c r="I40" i="6"/>
  <c r="F32" i="14"/>
  <c r="H32" i="14" s="1"/>
  <c r="I31" i="14"/>
  <c r="H37" i="10"/>
  <c r="F31" i="3"/>
  <c r="S10" i="2"/>
  <c r="G25" i="4"/>
  <c r="G26" i="4" s="1"/>
  <c r="F102" i="1" l="1"/>
  <c r="F104" i="1" s="1"/>
  <c r="F109" i="1" s="1"/>
  <c r="F30" i="5"/>
  <c r="F31" i="5" s="1"/>
  <c r="F36" i="3"/>
  <c r="F221" i="1"/>
  <c r="I47" i="6"/>
  <c r="F244" i="1"/>
  <c r="G12" i="4"/>
  <c r="F28" i="2" s="1"/>
  <c r="I45" i="6"/>
  <c r="I32" i="14"/>
  <c r="F33" i="14"/>
  <c r="H33" i="14" s="1"/>
  <c r="S35" i="2"/>
  <c r="S37" i="2" s="1"/>
  <c r="G106" i="1" l="1"/>
  <c r="F122" i="1"/>
  <c r="F225" i="1"/>
  <c r="F260" i="1" s="1"/>
  <c r="I79" i="7"/>
  <c r="G36" i="4"/>
  <c r="S40" i="2" s="1"/>
  <c r="I46" i="6"/>
  <c r="I51" i="6" s="1"/>
  <c r="F251" i="1"/>
  <c r="I19" i="7"/>
  <c r="G14" i="4"/>
  <c r="F29" i="2" s="1"/>
  <c r="I33" i="14"/>
  <c r="F34" i="14"/>
  <c r="H34" i="14" s="1"/>
  <c r="I44" i="7" l="1"/>
  <c r="I49" i="7" s="1"/>
  <c r="F126" i="1"/>
  <c r="F261" i="1" s="1"/>
  <c r="F39" i="13" s="1"/>
  <c r="F262" i="1"/>
  <c r="F40" i="13" s="1"/>
  <c r="F38" i="13"/>
  <c r="I83" i="7"/>
  <c r="I37" i="8"/>
  <c r="I28" i="7"/>
  <c r="I53" i="8"/>
  <c r="I63" i="8" s="1"/>
  <c r="I11" i="9" s="1"/>
  <c r="I23" i="9" s="1"/>
  <c r="G15" i="4"/>
  <c r="H11" i="10"/>
  <c r="H22" i="10"/>
  <c r="G17" i="4"/>
  <c r="I56" i="6"/>
  <c r="I55" i="6"/>
  <c r="I34" i="14"/>
  <c r="F35" i="14"/>
  <c r="H35" i="14" s="1"/>
  <c r="H18" i="10" l="1"/>
  <c r="H19" i="10" s="1"/>
  <c r="H28" i="10"/>
  <c r="H29" i="10" s="1"/>
  <c r="G44" i="4" s="1"/>
  <c r="I109" i="7"/>
  <c r="G52" i="4"/>
  <c r="F22" i="3"/>
  <c r="H35" i="10"/>
  <c r="G50" i="4"/>
  <c r="G31" i="4"/>
  <c r="I107" i="7"/>
  <c r="F11" i="2"/>
  <c r="F13" i="2" s="1"/>
  <c r="F18" i="2" s="1"/>
  <c r="I111" i="7"/>
  <c r="I110" i="7"/>
  <c r="I14" i="9" s="1"/>
  <c r="I26" i="9" s="1"/>
  <c r="G46" i="4"/>
  <c r="H33" i="10"/>
  <c r="H48" i="10" s="1"/>
  <c r="H49" i="10" s="1"/>
  <c r="G35" i="4"/>
  <c r="I39" i="8"/>
  <c r="I10" i="9" s="1"/>
  <c r="I31" i="8"/>
  <c r="I29" i="7"/>
  <c r="G51" i="4"/>
  <c r="H34" i="10"/>
  <c r="F30" i="2"/>
  <c r="G16" i="4"/>
  <c r="F36" i="2" s="1"/>
  <c r="G37" i="4"/>
  <c r="S36" i="2" s="1"/>
  <c r="G57" i="4"/>
  <c r="G59" i="4" s="1"/>
  <c r="G63" i="4" s="1"/>
  <c r="S22" i="2"/>
  <c r="G38" i="4"/>
  <c r="S41" i="2" s="1"/>
  <c r="I35" i="14"/>
  <c r="F36" i="14"/>
  <c r="H36" i="14" s="1"/>
  <c r="G43" i="4" l="1"/>
  <c r="H31" i="10"/>
  <c r="G20" i="4"/>
  <c r="S15" i="2"/>
  <c r="S18" i="2" s="1"/>
  <c r="F32" i="2"/>
  <c r="F34" i="3"/>
  <c r="F38" i="3" s="1"/>
  <c r="F40" i="3" s="1"/>
  <c r="F26" i="3"/>
  <c r="G53" i="4"/>
  <c r="G54" i="4"/>
  <c r="G33" i="4"/>
  <c r="G34" i="4"/>
  <c r="I12" i="9"/>
  <c r="I22" i="9"/>
  <c r="I25" i="9" s="1"/>
  <c r="I30" i="9" s="1"/>
  <c r="F35" i="13" s="1"/>
  <c r="F28" i="3"/>
  <c r="F32" i="3" s="1"/>
  <c r="G32" i="4"/>
  <c r="S11" i="2"/>
  <c r="S13" i="2" s="1"/>
  <c r="I38" i="7"/>
  <c r="I36" i="14"/>
  <c r="F37" i="14"/>
  <c r="H37" i="14" s="1"/>
  <c r="H36" i="10" l="1"/>
  <c r="G45" i="4"/>
  <c r="G27" i="4"/>
  <c r="G28" i="4"/>
  <c r="G22" i="4"/>
  <c r="G30" i="4" s="1"/>
  <c r="F65" i="3"/>
  <c r="R24" i="2"/>
  <c r="I13" i="9"/>
  <c r="I24" i="9"/>
  <c r="I16" i="9"/>
  <c r="G29" i="4"/>
  <c r="S38" i="2" s="1"/>
  <c r="I50" i="7"/>
  <c r="I112" i="7"/>
  <c r="I37" i="14"/>
  <c r="F38" i="14"/>
  <c r="H38" i="14" s="1"/>
  <c r="F68" i="3" l="1"/>
  <c r="F72" i="3" s="1"/>
  <c r="R28" i="2"/>
  <c r="I28" i="9"/>
  <c r="I27" i="9"/>
  <c r="I29" i="9" s="1"/>
  <c r="I38" i="14"/>
  <c r="F39" i="14"/>
  <c r="H39" i="14" s="1"/>
  <c r="I18" i="9"/>
  <c r="I15" i="9"/>
  <c r="I17" i="9" s="1"/>
  <c r="I39" i="14" l="1"/>
  <c r="F40" i="14"/>
  <c r="H40" i="14" s="1"/>
  <c r="I40" i="14" l="1"/>
  <c r="F41" i="14"/>
  <c r="H41" i="14" s="1"/>
  <c r="I41" i="14" l="1"/>
  <c r="G84" i="1" s="1"/>
  <c r="G86" i="1" s="1"/>
  <c r="F42" i="14"/>
  <c r="H42" i="14" s="1"/>
  <c r="G131" i="1"/>
  <c r="G96" i="1" l="1"/>
  <c r="J38" i="6"/>
  <c r="G25" i="5"/>
  <c r="G26" i="5" s="1"/>
  <c r="G29" i="5" s="1"/>
  <c r="G15" i="3"/>
  <c r="G54" i="3" s="1"/>
  <c r="G62" i="3" s="1"/>
  <c r="F43" i="14"/>
  <c r="H43" i="14" s="1"/>
  <c r="I42" i="14"/>
  <c r="J12" i="7"/>
  <c r="J15" i="7" s="1"/>
  <c r="G134" i="1"/>
  <c r="G157" i="1" s="1"/>
  <c r="G10" i="3" l="1"/>
  <c r="G20" i="3" s="1"/>
  <c r="G99" i="1"/>
  <c r="H10" i="4"/>
  <c r="G26" i="2" s="1"/>
  <c r="J40" i="6"/>
  <c r="J41" i="6"/>
  <c r="S26" i="2"/>
  <c r="I43" i="14"/>
  <c r="F44" i="14"/>
  <c r="H44" i="14" s="1"/>
  <c r="I37" i="10"/>
  <c r="G31" i="3"/>
  <c r="H25" i="4"/>
  <c r="H26" i="4" s="1"/>
  <c r="T10" i="2"/>
  <c r="G36" i="3" l="1"/>
  <c r="J47" i="6"/>
  <c r="G30" i="5"/>
  <c r="G31" i="5" s="1"/>
  <c r="G244" i="1"/>
  <c r="G221" i="1"/>
  <c r="G102" i="1"/>
  <c r="G104" i="1" s="1"/>
  <c r="G109" i="1" s="1"/>
  <c r="J45" i="6"/>
  <c r="H12" i="4"/>
  <c r="G28" i="2" s="1"/>
  <c r="I44" i="14"/>
  <c r="F45" i="14"/>
  <c r="H45" i="14" s="1"/>
  <c r="T35" i="2"/>
  <c r="T37" i="2" s="1"/>
  <c r="H36" i="4" l="1"/>
  <c r="T40" i="2" s="1"/>
  <c r="J46" i="6"/>
  <c r="G251" i="1"/>
  <c r="J19" i="7"/>
  <c r="G225" i="1"/>
  <c r="G260" i="1" s="1"/>
  <c r="J79" i="7"/>
  <c r="J51" i="6"/>
  <c r="H14" i="4"/>
  <c r="G29" i="2" s="1"/>
  <c r="I45" i="14"/>
  <c r="F46" i="14"/>
  <c r="H46" i="14" s="1"/>
  <c r="H106" i="1"/>
  <c r="G122" i="1"/>
  <c r="J28" i="7" l="1"/>
  <c r="J53" i="8"/>
  <c r="J63" i="8" s="1"/>
  <c r="J11" i="9" s="1"/>
  <c r="J23" i="9" s="1"/>
  <c r="G38" i="13"/>
  <c r="J83" i="7"/>
  <c r="J37" i="8"/>
  <c r="I11" i="10"/>
  <c r="H17" i="4"/>
  <c r="J55" i="6"/>
  <c r="H15" i="4"/>
  <c r="J56" i="6"/>
  <c r="I22" i="10"/>
  <c r="I46" i="14"/>
  <c r="F47" i="14"/>
  <c r="H47" i="14" s="1"/>
  <c r="G126" i="1"/>
  <c r="G261" i="1" s="1"/>
  <c r="J44" i="7"/>
  <c r="J49" i="7" s="1"/>
  <c r="I34" i="10" l="1"/>
  <c r="J29" i="7"/>
  <c r="H51" i="4"/>
  <c r="J34" i="10"/>
  <c r="H52" i="4"/>
  <c r="G22" i="3"/>
  <c r="I46" i="4"/>
  <c r="J33" i="10"/>
  <c r="J48" i="10" s="1"/>
  <c r="J49" i="10" s="1"/>
  <c r="J35" i="10"/>
  <c r="J110" i="7"/>
  <c r="J14" i="9" s="1"/>
  <c r="J26" i="9" s="1"/>
  <c r="I33" i="10"/>
  <c r="I48" i="10" s="1"/>
  <c r="I49" i="10" s="1"/>
  <c r="I35" i="10"/>
  <c r="H31" i="4"/>
  <c r="H46" i="4"/>
  <c r="J111" i="7"/>
  <c r="J107" i="7"/>
  <c r="H22" i="3"/>
  <c r="H26" i="3" s="1"/>
  <c r="G11" i="2"/>
  <c r="G13" i="2" s="1"/>
  <c r="G18" i="2" s="1"/>
  <c r="H50" i="4"/>
  <c r="H35" i="4"/>
  <c r="J39" i="8"/>
  <c r="J10" i="9" s="1"/>
  <c r="J31" i="8"/>
  <c r="H37" i="4"/>
  <c r="T36" i="2" s="1"/>
  <c r="T22" i="2"/>
  <c r="H38" i="4"/>
  <c r="T41" i="2" s="1"/>
  <c r="H57" i="4"/>
  <c r="H59" i="4" s="1"/>
  <c r="H63" i="4" s="1"/>
  <c r="G30" i="2"/>
  <c r="H16" i="4"/>
  <c r="G36" i="2" s="1"/>
  <c r="I47" i="14"/>
  <c r="F48" i="14"/>
  <c r="H48" i="14" s="1"/>
  <c r="J109" i="7"/>
  <c r="I18" i="10"/>
  <c r="I19" i="10" s="1"/>
  <c r="I28" i="10"/>
  <c r="I29" i="10" s="1"/>
  <c r="H44" i="4" s="1"/>
  <c r="G39" i="13"/>
  <c r="G262" i="1"/>
  <c r="G40" i="13" s="1"/>
  <c r="T11" i="2" l="1"/>
  <c r="T13" i="2" s="1"/>
  <c r="G28" i="3"/>
  <c r="G32" i="3" s="1"/>
  <c r="H32" i="4"/>
  <c r="J38" i="7"/>
  <c r="G34" i="3"/>
  <c r="G38" i="3" s="1"/>
  <c r="G40" i="3" s="1"/>
  <c r="G26" i="3"/>
  <c r="H53" i="4"/>
  <c r="H54" i="4"/>
  <c r="J22" i="9"/>
  <c r="J25" i="9" s="1"/>
  <c r="J30" i="9" s="1"/>
  <c r="G35" i="13" s="1"/>
  <c r="J12" i="9"/>
  <c r="I48" i="14"/>
  <c r="F49" i="14"/>
  <c r="H49" i="14" s="1"/>
  <c r="H20" i="4"/>
  <c r="G32" i="2"/>
  <c r="T15" i="2"/>
  <c r="I31" i="10"/>
  <c r="H43" i="4"/>
  <c r="H29" i="4" l="1"/>
  <c r="T38" i="2" s="1"/>
  <c r="J50" i="7"/>
  <c r="J112" i="7"/>
  <c r="G65" i="3"/>
  <c r="S24" i="2"/>
  <c r="J24" i="9"/>
  <c r="J13" i="9"/>
  <c r="J16" i="9"/>
  <c r="I49" i="14"/>
  <c r="F50" i="14"/>
  <c r="H50" i="14" s="1"/>
  <c r="H27" i="4"/>
  <c r="H28" i="4"/>
  <c r="H22" i="4"/>
  <c r="H30" i="4" s="1"/>
  <c r="H45" i="4"/>
  <c r="I36" i="10"/>
  <c r="T18" i="2"/>
  <c r="H34" i="4"/>
  <c r="H33" i="4"/>
  <c r="G68" i="3" l="1"/>
  <c r="G72" i="3" s="1"/>
  <c r="S28" i="2"/>
  <c r="J27" i="9"/>
  <c r="J28" i="9"/>
  <c r="I50" i="14"/>
  <c r="F51" i="14"/>
  <c r="H51" i="14" s="1"/>
  <c r="J18" i="9"/>
  <c r="J15" i="9"/>
  <c r="J17" i="9" s="1"/>
  <c r="I51" i="14" l="1"/>
  <c r="F52" i="14"/>
  <c r="H52" i="14" s="1"/>
  <c r="J29" i="9"/>
  <c r="F53" i="14" l="1"/>
  <c r="H53" i="14" s="1"/>
  <c r="I52" i="14"/>
  <c r="I53" i="14" l="1"/>
  <c r="H84" i="1" s="1"/>
  <c r="H86" i="1" s="1"/>
  <c r="H131" i="1"/>
  <c r="H25" i="5" l="1"/>
  <c r="H26" i="5" s="1"/>
  <c r="H29" i="5" s="1"/>
  <c r="H31" i="5" s="1"/>
  <c r="H15" i="3"/>
  <c r="H54" i="3" s="1"/>
  <c r="H62" i="3" s="1"/>
  <c r="K38" i="6"/>
  <c r="H96" i="1"/>
  <c r="K12" i="7"/>
  <c r="K15" i="7" s="1"/>
  <c r="H134" i="1"/>
  <c r="H157" i="1" s="1"/>
  <c r="T26" i="2" l="1"/>
  <c r="I10" i="4"/>
  <c r="H26" i="2" s="1"/>
  <c r="K40" i="6"/>
  <c r="K41" i="6"/>
  <c r="I36" i="4"/>
  <c r="U40" i="2" s="1"/>
  <c r="H10" i="3"/>
  <c r="H20" i="3" s="1"/>
  <c r="H104" i="1"/>
  <c r="H109" i="1" s="1"/>
  <c r="K29" i="7"/>
  <c r="K37" i="10"/>
  <c r="I31" i="3"/>
  <c r="U10" i="2"/>
  <c r="J37" i="10"/>
  <c r="I52" i="4"/>
  <c r="I25" i="4"/>
  <c r="I26" i="4" s="1"/>
  <c r="H31" i="3"/>
  <c r="K45" i="6" l="1"/>
  <c r="I12" i="4"/>
  <c r="H28" i="2" s="1"/>
  <c r="I106" i="1"/>
  <c r="I109" i="1" s="1"/>
  <c r="H122" i="1"/>
  <c r="I28" i="3"/>
  <c r="U11" i="2"/>
  <c r="U13" i="2" s="1"/>
  <c r="I32" i="4"/>
  <c r="H28" i="3"/>
  <c r="K38" i="7"/>
  <c r="K110" i="7"/>
  <c r="K14" i="9" s="1"/>
  <c r="I53" i="4"/>
  <c r="I54" i="4"/>
  <c r="U35" i="2"/>
  <c r="U37" i="2" s="1"/>
  <c r="I14" i="4" l="1"/>
  <c r="H29" i="2" s="1"/>
  <c r="K51" i="6"/>
  <c r="I122" i="1"/>
  <c r="J106" i="1"/>
  <c r="J109" i="1" s="1"/>
  <c r="H126" i="1"/>
  <c r="H261" i="1" s="1"/>
  <c r="K44" i="7"/>
  <c r="K49" i="7" s="1"/>
  <c r="K50" i="7" s="1"/>
  <c r="I34" i="3"/>
  <c r="I38" i="3" s="1"/>
  <c r="I40" i="3" s="1"/>
  <c r="I32" i="3"/>
  <c r="I33" i="4"/>
  <c r="I34" i="4"/>
  <c r="H34" i="3"/>
  <c r="H38" i="3" s="1"/>
  <c r="H40" i="3" s="1"/>
  <c r="H32" i="3"/>
  <c r="K112" i="7"/>
  <c r="K18" i="9"/>
  <c r="K16" i="9"/>
  <c r="K17" i="9" s="1"/>
  <c r="K26" i="9"/>
  <c r="J22" i="10" l="1"/>
  <c r="I15" i="4"/>
  <c r="K56" i="6"/>
  <c r="K55" i="6"/>
  <c r="I17" i="4"/>
  <c r="J11" i="10"/>
  <c r="I126" i="1"/>
  <c r="I261" i="1" s="1"/>
  <c r="L44" i="7"/>
  <c r="L49" i="7" s="1"/>
  <c r="K106" i="1"/>
  <c r="K109" i="1" s="1"/>
  <c r="J122" i="1"/>
  <c r="H262" i="1"/>
  <c r="H40" i="13" s="1"/>
  <c r="H39" i="13"/>
  <c r="J18" i="10"/>
  <c r="J28" i="10"/>
  <c r="K109" i="7"/>
  <c r="I65" i="3"/>
  <c r="U24" i="2"/>
  <c r="H65" i="3"/>
  <c r="T24" i="2"/>
  <c r="K28" i="9"/>
  <c r="K29" i="9" s="1"/>
  <c r="K30" i="9"/>
  <c r="H35" i="13" s="1"/>
  <c r="I16" i="4" l="1"/>
  <c r="H36" i="2" s="1"/>
  <c r="H30" i="2"/>
  <c r="I37" i="4"/>
  <c r="U36" i="2" s="1"/>
  <c r="U22" i="2"/>
  <c r="I57" i="4"/>
  <c r="I59" i="4" s="1"/>
  <c r="I63" i="4" s="1"/>
  <c r="I38" i="4"/>
  <c r="U41" i="2" s="1"/>
  <c r="I262" i="1"/>
  <c r="I40" i="13" s="1"/>
  <c r="I39" i="13"/>
  <c r="L50" i="7"/>
  <c r="K18" i="10"/>
  <c r="K19" i="10" s="1"/>
  <c r="L109" i="7"/>
  <c r="K28" i="10"/>
  <c r="K29" i="10" s="1"/>
  <c r="J44" i="4" s="1"/>
  <c r="K122" i="1"/>
  <c r="L106" i="1"/>
  <c r="L109" i="1" s="1"/>
  <c r="M44" i="7"/>
  <c r="M49" i="7" s="1"/>
  <c r="J126" i="1"/>
  <c r="J261" i="1" s="1"/>
  <c r="H32" i="2"/>
  <c r="I20" i="4"/>
  <c r="U15" i="2"/>
  <c r="U18" i="2" s="1"/>
  <c r="U28" i="2"/>
  <c r="I68" i="3"/>
  <c r="I72" i="3" s="1"/>
  <c r="H68" i="3"/>
  <c r="H72" i="3" s="1"/>
  <c r="T28" i="2"/>
  <c r="J19" i="10"/>
  <c r="J29" i="10"/>
  <c r="I44" i="4" s="1"/>
  <c r="K31" i="10" l="1"/>
  <c r="J43" i="4"/>
  <c r="J20" i="4"/>
  <c r="V15" i="2"/>
  <c r="V18" i="2" s="1"/>
  <c r="I32" i="2"/>
  <c r="K126" i="1"/>
  <c r="K261" i="1" s="1"/>
  <c r="N44" i="7"/>
  <c r="N49" i="7" s="1"/>
  <c r="L122" i="1"/>
  <c r="M106" i="1"/>
  <c r="M109" i="1" s="1"/>
  <c r="M122" i="1" s="1"/>
  <c r="L18" i="10"/>
  <c r="L19" i="10" s="1"/>
  <c r="M109" i="7"/>
  <c r="M50" i="7"/>
  <c r="L28" i="10"/>
  <c r="L29" i="10" s="1"/>
  <c r="K44" i="4" s="1"/>
  <c r="J39" i="13"/>
  <c r="J262" i="1"/>
  <c r="J40" i="13" s="1"/>
  <c r="I29" i="4"/>
  <c r="U38" i="2" s="1"/>
  <c r="I27" i="4"/>
  <c r="I28" i="4"/>
  <c r="I22" i="4"/>
  <c r="I30" i="4" s="1"/>
  <c r="J31" i="10"/>
  <c r="I43" i="4"/>
  <c r="J45" i="4" l="1"/>
  <c r="K36" i="10"/>
  <c r="J29" i="4"/>
  <c r="V38" i="2" s="1"/>
  <c r="J22" i="4"/>
  <c r="J30" i="4" s="1"/>
  <c r="J28" i="4"/>
  <c r="J27" i="4"/>
  <c r="K262" i="1"/>
  <c r="K40" i="13" s="1"/>
  <c r="K39" i="13"/>
  <c r="N109" i="7"/>
  <c r="M18" i="10"/>
  <c r="M19" i="10" s="1"/>
  <c r="M28" i="10"/>
  <c r="M29" i="10" s="1"/>
  <c r="L44" i="4" s="1"/>
  <c r="N50" i="7"/>
  <c r="L126" i="1"/>
  <c r="L261" i="1" s="1"/>
  <c r="O44" i="7"/>
  <c r="O49" i="7" s="1"/>
  <c r="M126" i="1"/>
  <c r="M261" i="1" s="1"/>
  <c r="P44" i="7"/>
  <c r="P49" i="7" s="1"/>
  <c r="L31" i="10"/>
  <c r="K43" i="4"/>
  <c r="J32" i="2"/>
  <c r="K20" i="4"/>
  <c r="W15" i="2"/>
  <c r="W18" i="2" s="1"/>
  <c r="J36" i="10"/>
  <c r="I45" i="4"/>
  <c r="X15" i="2" l="1"/>
  <c r="X18" i="2" s="1"/>
  <c r="L20" i="4"/>
  <c r="K32" i="2"/>
  <c r="M31" i="10"/>
  <c r="L43" i="4"/>
  <c r="L39" i="13"/>
  <c r="L262" i="1"/>
  <c r="L40" i="13" s="1"/>
  <c r="O50" i="7"/>
  <c r="O109" i="7"/>
  <c r="N28" i="10"/>
  <c r="N29" i="10" s="1"/>
  <c r="M44" i="4" s="1"/>
  <c r="N18" i="10"/>
  <c r="N19" i="10" s="1"/>
  <c r="M39" i="13"/>
  <c r="M262" i="1"/>
  <c r="M40" i="13" s="1"/>
  <c r="P50" i="7"/>
  <c r="O18" i="10"/>
  <c r="O19" i="10" s="1"/>
  <c r="P109" i="7"/>
  <c r="O28" i="10"/>
  <c r="O29" i="10" s="1"/>
  <c r="N44" i="4" s="1"/>
  <c r="K45" i="4"/>
  <c r="L36" i="10"/>
  <c r="K22" i="4"/>
  <c r="K30" i="4" s="1"/>
  <c r="K29" i="4"/>
  <c r="W38" i="2" s="1"/>
  <c r="K27" i="4"/>
  <c r="K28" i="4"/>
  <c r="L22" i="4" l="1"/>
  <c r="L30" i="4" s="1"/>
  <c r="L27" i="4"/>
  <c r="L29" i="4"/>
  <c r="X38" i="2" s="1"/>
  <c r="L28" i="4"/>
  <c r="L45" i="4"/>
  <c r="M36" i="10"/>
  <c r="M20" i="4"/>
  <c r="Y15" i="2"/>
  <c r="Y18" i="2" s="1"/>
  <c r="L32" i="2"/>
  <c r="N31" i="10"/>
  <c r="M43" i="4"/>
  <c r="N43" i="4"/>
  <c r="O31" i="10"/>
  <c r="N20" i="4"/>
  <c r="M32" i="2"/>
  <c r="Z15" i="2"/>
  <c r="Z18" i="2" s="1"/>
  <c r="M27" i="4" l="1"/>
  <c r="M29" i="4"/>
  <c r="Y38" i="2" s="1"/>
  <c r="M22" i="4"/>
  <c r="M30" i="4" s="1"/>
  <c r="M28" i="4"/>
  <c r="N36" i="10"/>
  <c r="M45" i="4"/>
  <c r="N45" i="4"/>
  <c r="O36" i="10"/>
  <c r="N28" i="4"/>
  <c r="N29" i="4"/>
  <c r="Z38" i="2" s="1"/>
  <c r="N27" i="4"/>
  <c r="N22" i="4"/>
  <c r="N30" i="4" s="1"/>
</calcChain>
</file>

<file path=xl/sharedStrings.xml><?xml version="1.0" encoding="utf-8"?>
<sst xmlns="http://schemas.openxmlformats.org/spreadsheetml/2006/main" count="859" uniqueCount="590">
  <si>
    <t>Audited</t>
  </si>
  <si>
    <t>Provisionals</t>
  </si>
  <si>
    <t>Projected</t>
  </si>
  <si>
    <t>Qualified</t>
  </si>
  <si>
    <t>Unqualified</t>
  </si>
  <si>
    <t>Name of the customer</t>
  </si>
  <si>
    <t>Year</t>
  </si>
  <si>
    <t>Number of months</t>
  </si>
  <si>
    <t>Nature of Financials</t>
  </si>
  <si>
    <t>Financial Year ending</t>
  </si>
  <si>
    <t>31st March</t>
  </si>
  <si>
    <t>Currency</t>
  </si>
  <si>
    <t>Units</t>
  </si>
  <si>
    <t>Auditors</t>
  </si>
  <si>
    <t>Auditors Opinion</t>
  </si>
  <si>
    <t xml:space="preserve">Profit and Loss </t>
  </si>
  <si>
    <t xml:space="preserve">Income </t>
  </si>
  <si>
    <t>Sales</t>
  </si>
  <si>
    <t>Domestic</t>
  </si>
  <si>
    <t>Exports</t>
  </si>
  <si>
    <t>Sub Total</t>
  </si>
  <si>
    <t>Less Excise Duty and Cess</t>
  </si>
  <si>
    <t>Net Sales</t>
  </si>
  <si>
    <t xml:space="preserve">Non Operating Income </t>
  </si>
  <si>
    <t>Interest Received</t>
  </si>
  <si>
    <t>Profit on sale of fixed assets / Investments</t>
  </si>
  <si>
    <t>Gain on Exchange Fluctuations</t>
  </si>
  <si>
    <t>Extraordinary income</t>
  </si>
  <si>
    <t>Others</t>
  </si>
  <si>
    <t>Total</t>
  </si>
  <si>
    <t>Expenditure</t>
  </si>
  <si>
    <t>Manufacturing Expenses</t>
  </si>
  <si>
    <t>Raw Materials Consumed ( Imported)</t>
  </si>
  <si>
    <t>Raw Materials Consumed ( Indigenous)</t>
  </si>
  <si>
    <t>Stores and spares consumed ( Imported)</t>
  </si>
  <si>
    <t>Stores and spares consumed ( Indigenous)</t>
  </si>
  <si>
    <t xml:space="preserve">Wages </t>
  </si>
  <si>
    <t>Processing / Job Work Charges</t>
  </si>
  <si>
    <t>Freight and Transportation Charges</t>
  </si>
  <si>
    <t>Power, Coal, Fuel and Water</t>
  </si>
  <si>
    <t>Stock in process Opening Balance</t>
  </si>
  <si>
    <t>Stock in process Closing Balance</t>
  </si>
  <si>
    <t>Sub total  -- WIP change in stock</t>
  </si>
  <si>
    <t>Depreciation</t>
  </si>
  <si>
    <t>Cost Of Production</t>
  </si>
  <si>
    <t>Finished Goods Opening Balance</t>
  </si>
  <si>
    <t>Finished Goods Closing Balance</t>
  </si>
  <si>
    <t>Sub total  -- Finished goods change in stock</t>
  </si>
  <si>
    <t>Cost Of Sales</t>
  </si>
  <si>
    <t>Manufacturing Expenses ( for CMA purpose)</t>
  </si>
  <si>
    <t>Other Manufacturing Exp</t>
  </si>
  <si>
    <t>Administrative and Selling Expenses</t>
  </si>
  <si>
    <t xml:space="preserve">Salary and staff expenses </t>
  </si>
  <si>
    <t>Rent , Rates and Taxes</t>
  </si>
  <si>
    <t>Bad Debts</t>
  </si>
  <si>
    <t>Advertisements and Sales Promotions</t>
  </si>
  <si>
    <t>Miscellaneous Expenses written off</t>
  </si>
  <si>
    <t>Deferred Revenue Expenditures</t>
  </si>
  <si>
    <t>Other Amortisations</t>
  </si>
  <si>
    <t xml:space="preserve">Finance Charges </t>
  </si>
  <si>
    <t>Interest on Fixed Loans / Term loans</t>
  </si>
  <si>
    <t>Interest on Working capital loans</t>
  </si>
  <si>
    <t>Bank Charges</t>
  </si>
  <si>
    <t xml:space="preserve">Non Operating Expenses </t>
  </si>
  <si>
    <t>Loss on sale of fixed assets / Investments</t>
  </si>
  <si>
    <t>Sundry Balances Written off</t>
  </si>
  <si>
    <t>Loss on Exchange Fluctuations</t>
  </si>
  <si>
    <t>Extraordinary losses</t>
  </si>
  <si>
    <t>Profit Before Tax</t>
  </si>
  <si>
    <t>Tax</t>
  </si>
  <si>
    <t>Income Tax  provision</t>
  </si>
  <si>
    <t>Deferred Tax Liability</t>
  </si>
  <si>
    <t>Deferred Tax Asset</t>
  </si>
  <si>
    <t>Net Profit for the year ( PAT)</t>
  </si>
  <si>
    <t>Brought forward from previous year</t>
  </si>
  <si>
    <t>Dividend ( Final + Interim , Including Dividend Tax )</t>
  </si>
  <si>
    <t>Other Appropriation of profit</t>
  </si>
  <si>
    <t>Balance carried to Balance Sheet</t>
  </si>
  <si>
    <t xml:space="preserve">Balance Sheet </t>
  </si>
  <si>
    <t>Share Capital</t>
  </si>
  <si>
    <t>Issued, Subscribed and Paid up</t>
  </si>
  <si>
    <t>Share Application Money</t>
  </si>
  <si>
    <t>Reserves and Surplus</t>
  </si>
  <si>
    <t>General Reserve</t>
  </si>
  <si>
    <t>Balance transferred from profit and loss a/c</t>
  </si>
  <si>
    <t>Share Premium A/c</t>
  </si>
  <si>
    <t xml:space="preserve">Revaluation Reserve </t>
  </si>
  <si>
    <t>Other Reserve</t>
  </si>
  <si>
    <t>Secured and Unsecured Loans</t>
  </si>
  <si>
    <t>Working Capital Bank Finance</t>
  </si>
  <si>
    <t>(o/s bill discounting balance to be included)</t>
  </si>
  <si>
    <t xml:space="preserve">Term Loans </t>
  </si>
  <si>
    <t>Term Loan Repayable in next one year</t>
  </si>
  <si>
    <t>Balance Repayable after one year</t>
  </si>
  <si>
    <t>Debentures</t>
  </si>
  <si>
    <t>Repayable in next one year</t>
  </si>
  <si>
    <t>Preference Shares</t>
  </si>
  <si>
    <t xml:space="preserve"> </t>
  </si>
  <si>
    <t>Other Debts</t>
  </si>
  <si>
    <t>Debts Repayable in Next One year</t>
  </si>
  <si>
    <t>Balance Other Debts</t>
  </si>
  <si>
    <t>Unsecured Loans</t>
  </si>
  <si>
    <t>As Quasi Equity</t>
  </si>
  <si>
    <t>As Long Term Debt</t>
  </si>
  <si>
    <t>As Short Term Debt</t>
  </si>
  <si>
    <t>Deferred tax liability</t>
  </si>
  <si>
    <t>Fixed Assets</t>
  </si>
  <si>
    <t>Gross Block</t>
  </si>
  <si>
    <t>Less Accumulated Depreciation</t>
  </si>
  <si>
    <t>Net Block</t>
  </si>
  <si>
    <t>Add : Capital Work in Progress</t>
  </si>
  <si>
    <t xml:space="preserve">Intangibles </t>
  </si>
  <si>
    <t>Patents / goodwill / copyrights etc</t>
  </si>
  <si>
    <t>Misc Expenditure ( to the extent not w/o)</t>
  </si>
  <si>
    <t>Other Intangible assets</t>
  </si>
  <si>
    <t xml:space="preserve">Total </t>
  </si>
  <si>
    <t xml:space="preserve">Additions to Fixed Assets </t>
  </si>
  <si>
    <t>Sale of  Fixed assets WDV of asset sold</t>
  </si>
  <si>
    <t>Profit on sale of Fixed assets / Investments</t>
  </si>
  <si>
    <t>Loss on sale of Fixed assets / Investments</t>
  </si>
  <si>
    <t xml:space="preserve">Investments </t>
  </si>
  <si>
    <t>Investment in Govt. Securities ( Current )</t>
  </si>
  <si>
    <t>Investment in Govt. Securities ( Non Current )</t>
  </si>
  <si>
    <t>Other current investments</t>
  </si>
  <si>
    <t>Other non current investments</t>
  </si>
  <si>
    <t>Investment in group companies / subsidiaries</t>
  </si>
  <si>
    <t>Inventories</t>
  </si>
  <si>
    <t>Raw Material</t>
  </si>
  <si>
    <t>Imported</t>
  </si>
  <si>
    <t>Indigenous</t>
  </si>
  <si>
    <t>Stores and Spares</t>
  </si>
  <si>
    <t>Stocks-in-process</t>
  </si>
  <si>
    <t>Finished Goods</t>
  </si>
  <si>
    <t>Sundry Debtors</t>
  </si>
  <si>
    <t>Domestic Receivables ( including bills purchased and discounted)</t>
  </si>
  <si>
    <t>Export Receivables ( including bills purchased and discounted)</t>
  </si>
  <si>
    <t>Debtors more than 6 months</t>
  </si>
  <si>
    <t>Cash and Bank Balances</t>
  </si>
  <si>
    <t>Cash on Hand</t>
  </si>
  <si>
    <t xml:space="preserve">Bank Balances </t>
  </si>
  <si>
    <t>Fixed Deposit under lien</t>
  </si>
  <si>
    <t>Other Fixed Deposits</t>
  </si>
  <si>
    <t>Loans and Advances</t>
  </si>
  <si>
    <t xml:space="preserve">Advances recoverable in cash or in kind </t>
  </si>
  <si>
    <t>Advances to suppliers of raw materials</t>
  </si>
  <si>
    <t>Advance Income Tax</t>
  </si>
  <si>
    <t>Prepaid Expenses</t>
  </si>
  <si>
    <t>Other Advances / current asset</t>
  </si>
  <si>
    <t>Advances to group / subsidiaries companies</t>
  </si>
  <si>
    <t>Non Current Assets</t>
  </si>
  <si>
    <t>Exposure in group companies</t>
  </si>
  <si>
    <t>Investments</t>
  </si>
  <si>
    <t>Advances</t>
  </si>
  <si>
    <t>Debtors more than six months</t>
  </si>
  <si>
    <t>Fixed Deposits ( Non Current )</t>
  </si>
  <si>
    <t>Dues from directors / partners / promoters</t>
  </si>
  <si>
    <t>Advances to suppliers of capital goods</t>
  </si>
  <si>
    <t>Security deposits with government departments</t>
  </si>
  <si>
    <t>Other non current assets</t>
  </si>
  <si>
    <t>Total Non Current Assets</t>
  </si>
  <si>
    <t>Current Liabilities</t>
  </si>
  <si>
    <t>Sundry Creditors for goods</t>
  </si>
  <si>
    <t xml:space="preserve">Advance received from customers </t>
  </si>
  <si>
    <t>Provision for Taxation</t>
  </si>
  <si>
    <t>Dividend payable</t>
  </si>
  <si>
    <t>Other statutory liabilities (due within 1 year)</t>
  </si>
  <si>
    <t>Interest Accrued but not due</t>
  </si>
  <si>
    <t>Interest Accrued and due</t>
  </si>
  <si>
    <t>Creditors for Expenses</t>
  </si>
  <si>
    <t>Other current liabilities</t>
  </si>
  <si>
    <t>Contingent Liabilities:</t>
  </si>
  <si>
    <t>Arrears of cumulative dividends</t>
  </si>
  <si>
    <t>Gratuity liability not provided for</t>
  </si>
  <si>
    <t>Disputed excise / customs / tax liabilities</t>
  </si>
  <si>
    <t>Bank guarantee / Letter of credit outstanding</t>
  </si>
  <si>
    <t>Other contingent liabilities</t>
  </si>
  <si>
    <t>Total Assets</t>
  </si>
  <si>
    <t>Total Liabilities</t>
  </si>
  <si>
    <t>Check</t>
  </si>
  <si>
    <t>Name of the customer :</t>
  </si>
  <si>
    <t>Financial Year End :</t>
  </si>
  <si>
    <t>BALANCE SHEET : ASSETS</t>
  </si>
  <si>
    <t>BALANCE SHEET : LIABILITIES</t>
  </si>
  <si>
    <t xml:space="preserve">Cash and Marketable Securities </t>
  </si>
  <si>
    <t>Short Term Debts</t>
  </si>
  <si>
    <t>Debtors</t>
  </si>
  <si>
    <t>Creditors</t>
  </si>
  <si>
    <t>Inventory</t>
  </si>
  <si>
    <t>Other Current Assets</t>
  </si>
  <si>
    <t>Other Current Liabilities</t>
  </si>
  <si>
    <t>CURRENT ASSETS</t>
  </si>
  <si>
    <t>CURRENT LIABILITIES</t>
  </si>
  <si>
    <t>Net Fixed Assets</t>
  </si>
  <si>
    <t>Tangible Net Worth</t>
  </si>
  <si>
    <t>Long Term Debt</t>
  </si>
  <si>
    <t>TOTAL ASSETS</t>
  </si>
  <si>
    <t>TOTAL LIABILITIES</t>
  </si>
  <si>
    <t>PROFIT &amp; LOSS</t>
  </si>
  <si>
    <t>CASH FLOWS</t>
  </si>
  <si>
    <t>SALES</t>
  </si>
  <si>
    <t>NET CASH ACCRUALS</t>
  </si>
  <si>
    <t>COST OF SALES</t>
  </si>
  <si>
    <t>SELLING AND ADMINISTRATION</t>
  </si>
  <si>
    <t xml:space="preserve">OPERATING ACTIVITIES </t>
  </si>
  <si>
    <t>EBIDTA</t>
  </si>
  <si>
    <t>INVESTING ACTIVITIES</t>
  </si>
  <si>
    <t>INTEREST</t>
  </si>
  <si>
    <t>FINANCING ACTIVITIES</t>
  </si>
  <si>
    <t>DEPRECIATION</t>
  </si>
  <si>
    <t>OPERATING PROFIT</t>
  </si>
  <si>
    <t>NET CHANGE IN CASH</t>
  </si>
  <si>
    <t>PBT</t>
  </si>
  <si>
    <t>PAT</t>
  </si>
  <si>
    <t>CHANGE IN TNW</t>
  </si>
  <si>
    <t>RATIOS</t>
  </si>
  <si>
    <t>EBIDTA Margins</t>
  </si>
  <si>
    <t>Total Debt</t>
  </si>
  <si>
    <t>PAT Margins</t>
  </si>
  <si>
    <t>Total Debt / NCA</t>
  </si>
  <si>
    <t>Growth in Sales</t>
  </si>
  <si>
    <t>Total Debt / EBIDTA</t>
  </si>
  <si>
    <t>TOL / TNW</t>
  </si>
  <si>
    <t>Days Payable</t>
  </si>
  <si>
    <t>Days Receivable</t>
  </si>
  <si>
    <t>Interest Coverage</t>
  </si>
  <si>
    <t>Days Inventory</t>
  </si>
  <si>
    <t>DSCR</t>
  </si>
  <si>
    <t>CASH FLOW STATEMENT</t>
  </si>
  <si>
    <t>No of months</t>
  </si>
  <si>
    <t>Cash Flows from Operating activities</t>
  </si>
  <si>
    <t>Net profit before taxation</t>
  </si>
  <si>
    <t>Adjustment for :</t>
  </si>
  <si>
    <t>Dividend Received</t>
  </si>
  <si>
    <t>Interest expenses</t>
  </si>
  <si>
    <t>Profit / Loss on sale of fixed assets / investments</t>
  </si>
  <si>
    <t>Extraordinary income / expenses</t>
  </si>
  <si>
    <t xml:space="preserve">Operating profit before working capital changes </t>
  </si>
  <si>
    <r>
      <t xml:space="preserve">Changes in current assets </t>
    </r>
    <r>
      <rPr>
        <i/>
        <sz val="10"/>
        <rFont val="Arial"/>
        <family val="2"/>
      </rPr>
      <t>( exclud cash and bank balances)</t>
    </r>
  </si>
  <si>
    <t>Change in Debtors</t>
  </si>
  <si>
    <t>Change in Stock</t>
  </si>
  <si>
    <t>Change in other current assets</t>
  </si>
  <si>
    <r>
      <t>Changes in current liabilities</t>
    </r>
    <r>
      <rPr>
        <i/>
        <sz val="10"/>
        <rFont val="Arial"/>
        <family val="2"/>
      </rPr>
      <t>( exclud div and debts)</t>
    </r>
  </si>
  <si>
    <t>Change in creditors</t>
  </si>
  <si>
    <t>Change in bank finance</t>
  </si>
  <si>
    <t>Change in other current liabilities</t>
  </si>
  <si>
    <t>Cash generated from operations</t>
  </si>
  <si>
    <t>Income tax for the current year ( excluding deferred tax)</t>
  </si>
  <si>
    <t>Cash from opeartions before extraordinary items</t>
  </si>
  <si>
    <t>Extraordinary items</t>
  </si>
  <si>
    <t>Net cash from operating activities ( 1 )</t>
  </si>
  <si>
    <t>Cash Flows from Investing activities</t>
  </si>
  <si>
    <t>Purchase / Sale of Fixed Assets</t>
  </si>
  <si>
    <t>Purchase / Sale of Intangible Assets</t>
  </si>
  <si>
    <t xml:space="preserve">Change in Non current assets </t>
  </si>
  <si>
    <t>Net cash from investing activities ( 2 )</t>
  </si>
  <si>
    <t>Cash Flows from Financing activities</t>
  </si>
  <si>
    <t>Dividend paid</t>
  </si>
  <si>
    <t>Increase / Decrease in Share Capital</t>
  </si>
  <si>
    <t xml:space="preserve">Change in Share Premium </t>
  </si>
  <si>
    <t>Change in Debentures / Preference Shares</t>
  </si>
  <si>
    <t>Change in Term Debt</t>
  </si>
  <si>
    <t>Change in other short / long term debts</t>
  </si>
  <si>
    <t>Net cash from financing activities ( 3 )</t>
  </si>
  <si>
    <t xml:space="preserve">Net increase in cash / bank balance ( 4 ) = ( 1 ) + ( 2 ) + ( 3 ) </t>
  </si>
  <si>
    <t>Cash / Bank Balance at the beginning of period ( 5 )</t>
  </si>
  <si>
    <t>Cash / Bank Balance at the end of period ( 4 ) + ( 5 )</t>
  </si>
  <si>
    <t>Cash / Bank Balance at the end of period ( As per input sheet )</t>
  </si>
  <si>
    <t>KEY FINANCIAL INDICATORS</t>
  </si>
  <si>
    <t>Sr. No.</t>
  </si>
  <si>
    <t>Parameters</t>
  </si>
  <si>
    <t>Total Operating Income(TOI)</t>
  </si>
  <si>
    <t>E B I D T A</t>
  </si>
  <si>
    <t>E B I D T A/ TOI (%)</t>
  </si>
  <si>
    <t>Interest</t>
  </si>
  <si>
    <t xml:space="preserve">Depreciation </t>
  </si>
  <si>
    <t>Operating Profit after Dep.&amp; Int.</t>
  </si>
  <si>
    <t>Non Operating Income/Exps.</t>
  </si>
  <si>
    <t>P B T</t>
  </si>
  <si>
    <t>P A T</t>
  </si>
  <si>
    <t>PAT/ TOI (%)</t>
  </si>
  <si>
    <t>Net Cash Accruals (NCA)</t>
  </si>
  <si>
    <t>Gross Fixed Assets</t>
  </si>
  <si>
    <t>Tangible Networth (TNW)</t>
  </si>
  <si>
    <t>Exposure in Group Co./Sub.</t>
  </si>
  <si>
    <t>Adjusted T N W (ATNW)</t>
  </si>
  <si>
    <t>Long Term Debt (LTD)</t>
  </si>
  <si>
    <t>Short Term Debt (STD)</t>
  </si>
  <si>
    <t>Working Cap. Bank Finance</t>
  </si>
  <si>
    <t>Total Debt/ TNW</t>
  </si>
  <si>
    <t>L T D / T N W</t>
  </si>
  <si>
    <t>T O L / T N W</t>
  </si>
  <si>
    <t>T O L / A T N W</t>
  </si>
  <si>
    <t>Total Current Assets</t>
  </si>
  <si>
    <t>Total Current Liabilities</t>
  </si>
  <si>
    <t>Net Working Capital</t>
  </si>
  <si>
    <t>Current Ratio</t>
  </si>
  <si>
    <t>R O C E (%)</t>
  </si>
  <si>
    <t>Interest Coverage Ratio</t>
  </si>
  <si>
    <t>Total Debt/Net Cash Accrual</t>
  </si>
  <si>
    <t>Gross Profit Ratio</t>
  </si>
  <si>
    <t>Fund Flow Analysis</t>
  </si>
  <si>
    <t>Financial Year</t>
  </si>
  <si>
    <t>Long Term Sources</t>
  </si>
  <si>
    <t xml:space="preserve">Long Term uses </t>
  </si>
  <si>
    <t>Surplus/Deficit</t>
  </si>
  <si>
    <t>Surplus / Incremental build up of current assets (%)</t>
  </si>
  <si>
    <t>Pattern of TCA Funding</t>
  </si>
  <si>
    <t>Year ended / Ending March 31</t>
  </si>
  <si>
    <t>Sundry Creditors</t>
  </si>
  <si>
    <t>Bank Borrowings</t>
  </si>
  <si>
    <t>Long Term funds</t>
  </si>
  <si>
    <t xml:space="preserve">Trend Analysis of Components of Cost </t>
  </si>
  <si>
    <t>Sales growth</t>
  </si>
  <si>
    <t>% growth in sales</t>
  </si>
  <si>
    <t>RM Consumed</t>
  </si>
  <si>
    <t xml:space="preserve">Spares consumed </t>
  </si>
  <si>
    <t xml:space="preserve">Other Manufacturing Exp </t>
  </si>
  <si>
    <t>Change in WIP</t>
  </si>
  <si>
    <t xml:space="preserve">Change in Finished goods </t>
  </si>
  <si>
    <t xml:space="preserve">Administartive and Selling Exp </t>
  </si>
  <si>
    <t>Operating Profit</t>
  </si>
  <si>
    <t>Non Operating Income</t>
  </si>
  <si>
    <t>Non Operating Expenses</t>
  </si>
  <si>
    <t>ASSESSMENT OF WORKING CAPITAL REQUIREMENTS</t>
  </si>
  <si>
    <t>FORM II - OPERATING STATEMENT</t>
  </si>
  <si>
    <t>Name :</t>
  </si>
  <si>
    <t>i.</t>
  </si>
  <si>
    <t>Domestic Sales</t>
  </si>
  <si>
    <t>ii.</t>
  </si>
  <si>
    <t>Export Sales</t>
  </si>
  <si>
    <t xml:space="preserve">Gross Sales </t>
  </si>
  <si>
    <t>Less : Excise Duty</t>
  </si>
  <si>
    <t xml:space="preserve">Net Sales </t>
  </si>
  <si>
    <t>% age rise (+) or fall (-) in net sales</t>
  </si>
  <si>
    <t>Cost of Sales</t>
  </si>
  <si>
    <t xml:space="preserve">Raw materials </t>
  </si>
  <si>
    <t>a.</t>
  </si>
  <si>
    <t>b.</t>
  </si>
  <si>
    <t>Other Spares</t>
  </si>
  <si>
    <t>iii.</t>
  </si>
  <si>
    <t>iv.</t>
  </si>
  <si>
    <t>v</t>
  </si>
  <si>
    <t xml:space="preserve">Sub-total </t>
  </si>
  <si>
    <t>vi.</t>
  </si>
  <si>
    <t>Add: Opening Stock-in-process</t>
  </si>
  <si>
    <t>vii</t>
  </si>
  <si>
    <t>viii</t>
  </si>
  <si>
    <t>Deduct: Closing Stock-in-process</t>
  </si>
  <si>
    <t>ix</t>
  </si>
  <si>
    <t>Cost of Production</t>
  </si>
  <si>
    <t>x</t>
  </si>
  <si>
    <t>Add: Opening Stock of finished goods</t>
  </si>
  <si>
    <t>xi</t>
  </si>
  <si>
    <t>xii</t>
  </si>
  <si>
    <t>Deduct: Closing Stock of finished goods</t>
  </si>
  <si>
    <r>
      <t>Sub-total</t>
    </r>
    <r>
      <rPr>
        <b/>
        <sz val="10"/>
        <rFont val="Arial"/>
        <family val="2"/>
      </rPr>
      <t>(Total Cost of Sales)</t>
    </r>
  </si>
  <si>
    <t>Selling, general and administrative expenses</t>
  </si>
  <si>
    <t>Operating Profit before Interest</t>
  </si>
  <si>
    <t>Other Int</t>
  </si>
  <si>
    <t>Operating Profit after Interest</t>
  </si>
  <si>
    <t>Add: Other non-operating Income</t>
  </si>
  <si>
    <t>Deduct: Other non-operating expenses</t>
  </si>
  <si>
    <t>Net of other non-operating income / expenses</t>
  </si>
  <si>
    <t>Profit before tax/loss</t>
  </si>
  <si>
    <t>Provision for taxes</t>
  </si>
  <si>
    <t>Net Profit / Loss</t>
  </si>
  <si>
    <t>Equity dividend paid / proposed amount</t>
  </si>
  <si>
    <t>(Interim Div paid + Final Div proposed)</t>
  </si>
  <si>
    <t>Dividend Rate (% age)</t>
  </si>
  <si>
    <t>Retained Profit</t>
  </si>
  <si>
    <t>Retained Profit / Net Profit (% age)</t>
  </si>
  <si>
    <t>FORM III - ANALYSIS OF BALANCE SHEET</t>
  </si>
  <si>
    <t>LIABILITIES</t>
  </si>
  <si>
    <t xml:space="preserve">Short-term borrowing from banks </t>
  </si>
  <si>
    <t>From applicant banks</t>
  </si>
  <si>
    <t>From other banks</t>
  </si>
  <si>
    <t>(of which BP &amp; BD)</t>
  </si>
  <si>
    <r>
      <t>Sub-total</t>
    </r>
    <r>
      <rPr>
        <sz val="8"/>
        <rFont val="Arial"/>
        <family val="2"/>
      </rPr>
      <t xml:space="preserve">[i + ii] </t>
    </r>
    <r>
      <rPr>
        <sz val="10"/>
        <rFont val="Arial"/>
      </rPr>
      <t xml:space="preserve"> (A)</t>
    </r>
  </si>
  <si>
    <t>Short term borrowings from others</t>
  </si>
  <si>
    <t>Instalments of term loans / debentures etc. (due within 1 year)</t>
  </si>
  <si>
    <t>Other current liabilities &amp; provisions</t>
  </si>
  <si>
    <t>c.</t>
  </si>
  <si>
    <t>d.</t>
  </si>
  <si>
    <r>
      <t xml:space="preserve">Sub total </t>
    </r>
    <r>
      <rPr>
        <sz val="8"/>
        <rFont val="Arial"/>
        <family val="2"/>
      </rPr>
      <t>[2 to 9]</t>
    </r>
    <r>
      <rPr>
        <sz val="10"/>
        <rFont val="Arial"/>
      </rPr>
      <t xml:space="preserve"> (B)</t>
    </r>
  </si>
  <si>
    <r>
      <t>Total current liabilities</t>
    </r>
    <r>
      <rPr>
        <sz val="10"/>
        <rFont val="Arial"/>
      </rPr>
      <t>[A + B]</t>
    </r>
  </si>
  <si>
    <t>TERM LIABILITIES</t>
  </si>
  <si>
    <t>Debentures (not maturing within 1 year)</t>
  </si>
  <si>
    <t>Preference Shares (redeemable after 1 year)</t>
  </si>
  <si>
    <t xml:space="preserve">Term loans </t>
  </si>
  <si>
    <t>Defferd Tax Liability</t>
  </si>
  <si>
    <t>Other term liabilities</t>
  </si>
  <si>
    <r>
      <t>Total Term Liabilities</t>
    </r>
    <r>
      <rPr>
        <sz val="10"/>
        <rFont val="Arial"/>
      </rPr>
      <t>[11 to 15]</t>
    </r>
  </si>
  <si>
    <r>
      <t>Total Outside Liabilities</t>
    </r>
    <r>
      <rPr>
        <sz val="10"/>
        <rFont val="Arial"/>
      </rPr>
      <t>[10 + 16]</t>
    </r>
  </si>
  <si>
    <t>NET WORTH</t>
  </si>
  <si>
    <t>Ordinary Share Capital</t>
  </si>
  <si>
    <t>Balnce in profit and loss a/c</t>
  </si>
  <si>
    <t>Share Premium</t>
  </si>
  <si>
    <t>Revaluation Reserve</t>
  </si>
  <si>
    <t xml:space="preserve">Other Reserves </t>
  </si>
  <si>
    <t xml:space="preserve">Quasi Equity </t>
  </si>
  <si>
    <t>Net Worth</t>
  </si>
  <si>
    <r>
      <t>TOTAL LIABILITIES</t>
    </r>
    <r>
      <rPr>
        <sz val="10"/>
        <rFont val="Arial"/>
      </rPr>
      <t>[17 + 26]</t>
    </r>
  </si>
  <si>
    <t>Cash and Bank Balance</t>
  </si>
  <si>
    <t>Cash Balance</t>
  </si>
  <si>
    <t>Bank Balance</t>
  </si>
  <si>
    <t>Investments (other than long term)</t>
  </si>
  <si>
    <t>Govt. and other trustee securities</t>
  </si>
  <si>
    <t>Fixed Deposits with banks</t>
  </si>
  <si>
    <r>
      <t xml:space="preserve">Other current assets </t>
    </r>
    <r>
      <rPr>
        <sz val="8"/>
        <rFont val="Arial"/>
        <family val="2"/>
      </rPr>
      <t>(specify major items)</t>
    </r>
  </si>
  <si>
    <r>
      <t xml:space="preserve">Total Current Assets </t>
    </r>
    <r>
      <rPr>
        <sz val="8"/>
        <rFont val="Arial"/>
        <family val="2"/>
      </rPr>
      <t>(1 to 10)</t>
    </r>
  </si>
  <si>
    <t>FIXED ASSETS</t>
  </si>
  <si>
    <t>14..</t>
  </si>
  <si>
    <t>Net Block (13-14)</t>
  </si>
  <si>
    <t>OTHER NON-CURRENT ASSETS</t>
  </si>
  <si>
    <r>
      <t>Total Other Non-current Assets</t>
    </r>
    <r>
      <rPr>
        <sz val="8"/>
        <rFont val="Arial"/>
        <family val="2"/>
      </rPr>
      <t>(15 to 19)</t>
    </r>
  </si>
  <si>
    <t xml:space="preserve">Intangible Assets </t>
  </si>
  <si>
    <r>
      <t xml:space="preserve">Total Assets </t>
    </r>
    <r>
      <rPr>
        <sz val="8"/>
        <rFont val="Arial"/>
        <family val="2"/>
      </rPr>
      <t>(10+14+20+21)</t>
    </r>
  </si>
  <si>
    <t xml:space="preserve">Current Ratio </t>
  </si>
  <si>
    <t>Total Term Liabilities / TNW</t>
  </si>
  <si>
    <t>ADDITIONAL INFORMATION</t>
  </si>
  <si>
    <t>v.</t>
  </si>
  <si>
    <t>FORM IV</t>
  </si>
  <si>
    <t>COMPARATIVE STATEMENT OF CURRENT ASSETS AND CURRENT LIABILITIES</t>
  </si>
  <si>
    <t>A. CURRENT ASSETS</t>
  </si>
  <si>
    <t>1.</t>
  </si>
  <si>
    <t>Month's Consumption</t>
  </si>
  <si>
    <t xml:space="preserve">Indigenous </t>
  </si>
  <si>
    <t>2.</t>
  </si>
  <si>
    <t>3.</t>
  </si>
  <si>
    <t>Month's cost of production</t>
  </si>
  <si>
    <t>4.</t>
  </si>
  <si>
    <t>Month's cost of sales</t>
  </si>
  <si>
    <t>5.</t>
  </si>
  <si>
    <t>Month's domestic sales</t>
  </si>
  <si>
    <t>6.</t>
  </si>
  <si>
    <t>Month's export sales</t>
  </si>
  <si>
    <t>7.</t>
  </si>
  <si>
    <t>8.</t>
  </si>
  <si>
    <t>9.</t>
  </si>
  <si>
    <t xml:space="preserve">Other current assets incl. cash &amp; bank balances </t>
  </si>
  <si>
    <t>B. CURRENT LIABILITIES</t>
  </si>
  <si>
    <t>(Other than bank borrowings for working capital)</t>
  </si>
  <si>
    <t>10.</t>
  </si>
  <si>
    <t>Month's purchases</t>
  </si>
  <si>
    <t>11.</t>
  </si>
  <si>
    <t>12.</t>
  </si>
  <si>
    <t>14.</t>
  </si>
  <si>
    <t>15.</t>
  </si>
  <si>
    <t>16</t>
  </si>
  <si>
    <t>17</t>
  </si>
  <si>
    <t>b</t>
  </si>
  <si>
    <t>c</t>
  </si>
  <si>
    <t>d</t>
  </si>
  <si>
    <t>18.</t>
  </si>
  <si>
    <t>FORM V</t>
  </si>
  <si>
    <t>COMPUTATION OF MAXIMUM PERMISSIBLE BANK FINANCE FOR WORKING CAPITAL</t>
  </si>
  <si>
    <t>First Method of Lending</t>
  </si>
  <si>
    <r>
      <t xml:space="preserve">Total Current Assets </t>
    </r>
    <r>
      <rPr>
        <sz val="8"/>
        <rFont val="Arial"/>
        <family val="2"/>
      </rPr>
      <t>(Form-IV-10)</t>
    </r>
  </si>
  <si>
    <t>Other Current Liabilities (other than bank borrowings (Form-IV-18)</t>
  </si>
  <si>
    <r>
      <t xml:space="preserve">Working Capital Gap (WCG) </t>
    </r>
    <r>
      <rPr>
        <sz val="8"/>
        <rFont val="Arial"/>
        <family val="2"/>
      </rPr>
      <t>(1-2)</t>
    </r>
  </si>
  <si>
    <t>Min. stipulated net working capital (25% of WCG excluding export receivables)</t>
  </si>
  <si>
    <t>Actual / Projected net working capital</t>
  </si>
  <si>
    <t>Item-3 minus Item-4</t>
  </si>
  <si>
    <t>Item-3 minus Item-5</t>
  </si>
  <si>
    <t>Max. permissible bank finance (item-6 or 7, whichever is lower)</t>
  </si>
  <si>
    <t>Excess borrowings representing shortfall in NWC (4 - 5)</t>
  </si>
  <si>
    <t>Second Method of Lending</t>
  </si>
  <si>
    <t>Min. stipulated net working capital ( 25% of total Current Assets excluding export receivables)</t>
  </si>
  <si>
    <t>FORM VI</t>
  </si>
  <si>
    <t>FUNDS FLOW STATEMENT</t>
  </si>
  <si>
    <t>SOURCES</t>
  </si>
  <si>
    <t>Net Profit</t>
  </si>
  <si>
    <t>Increase in Capital</t>
  </si>
  <si>
    <t>Increase in Term Liabilities</t>
  </si>
  <si>
    <t>e.</t>
  </si>
  <si>
    <t xml:space="preserve">Decrease in </t>
  </si>
  <si>
    <t>Other non-current Assets</t>
  </si>
  <si>
    <t>f.</t>
  </si>
  <si>
    <t>g.</t>
  </si>
  <si>
    <t>TOTAL</t>
  </si>
  <si>
    <t>USES</t>
  </si>
  <si>
    <t>Net loss</t>
  </si>
  <si>
    <t>Decrease in Term Liabilities</t>
  </si>
  <si>
    <t>Increase in</t>
  </si>
  <si>
    <t>Dividend Payments</t>
  </si>
  <si>
    <r>
      <t xml:space="preserve">Long Term Surplus (+) / Deficit (-) </t>
    </r>
    <r>
      <rPr>
        <sz val="8"/>
        <rFont val="Arial"/>
        <family val="2"/>
      </rPr>
      <t>[1-2]</t>
    </r>
  </si>
  <si>
    <t>Increase/decrease in current assets</t>
  </si>
  <si>
    <t>* (as per details given below)</t>
  </si>
  <si>
    <t>Increase/decrease in current liabilities other than bank borrowings</t>
  </si>
  <si>
    <t>Increase/decrease in working capital gap</t>
  </si>
  <si>
    <t>Net Surplus / Deficit (-) [3-6]</t>
  </si>
  <si>
    <t>Increase/decrease in bank borrowings</t>
  </si>
  <si>
    <t>Increase/decrease in NET SALES</t>
  </si>
  <si>
    <t>* Break up of item-4</t>
  </si>
  <si>
    <t>Increase/decrease in Raw Materials</t>
  </si>
  <si>
    <t>Increase/decrease in Stocks-in-Process</t>
  </si>
  <si>
    <t>Increase/decrease in Finished Goods</t>
  </si>
  <si>
    <t>Increase/decrease in Receivables</t>
  </si>
  <si>
    <t>a)</t>
  </si>
  <si>
    <t>b)</t>
  </si>
  <si>
    <t>Export</t>
  </si>
  <si>
    <t>Increase/decrease in Stores &amp; Spares</t>
  </si>
  <si>
    <t>Increase/decrease in other current assets</t>
  </si>
  <si>
    <t>Year Ending March 31st,</t>
  </si>
  <si>
    <t>Actuals</t>
  </si>
  <si>
    <t>Estimates</t>
  </si>
  <si>
    <t>Net sales</t>
  </si>
  <si>
    <t>PBILDT</t>
  </si>
  <si>
    <t>Profit before tax</t>
  </si>
  <si>
    <t>Profit after tax (PAT)</t>
  </si>
  <si>
    <t>Net cash accruals</t>
  </si>
  <si>
    <t>PBILDT / Sales  (%)</t>
  </si>
  <si>
    <t>PBILDT/Net Sales (%)</t>
  </si>
  <si>
    <t>PAT / Sales (%)</t>
  </si>
  <si>
    <t>PAT/Net Sales (%)</t>
  </si>
  <si>
    <t>Dividend / PAT (%)</t>
  </si>
  <si>
    <t>Gross block</t>
  </si>
  <si>
    <t>Net block</t>
  </si>
  <si>
    <t>Paid-up Capital</t>
  </si>
  <si>
    <t>TNW</t>
  </si>
  <si>
    <t>Group Investments</t>
  </si>
  <si>
    <t>Adjusted TNW</t>
  </si>
  <si>
    <t>LTD / TNW</t>
  </si>
  <si>
    <t>DFS / TNW</t>
  </si>
  <si>
    <t>Current Assets</t>
  </si>
  <si>
    <t>Abridged Fund Flow Statement</t>
  </si>
  <si>
    <t>Long Term Uses</t>
  </si>
  <si>
    <t>Surplus/Incremental buildup of Current Assets</t>
  </si>
  <si>
    <t>Bank Borrowing</t>
  </si>
  <si>
    <t>Depreciation Check</t>
  </si>
  <si>
    <t>Dep as per P&amp; L</t>
  </si>
  <si>
    <t>Dep as per B/S</t>
  </si>
  <si>
    <t>Difference</t>
  </si>
  <si>
    <t>Reserves Check</t>
  </si>
  <si>
    <t>Retained Profits</t>
  </si>
  <si>
    <t>Increase in Reserves</t>
  </si>
  <si>
    <t>INR</t>
  </si>
  <si>
    <t>Increase in Sales</t>
  </si>
  <si>
    <t>Total Sales</t>
  </si>
  <si>
    <t>Less: Excise duty</t>
  </si>
  <si>
    <t>Proposed EBIDTA %</t>
  </si>
  <si>
    <t>EBIDTA %</t>
  </si>
  <si>
    <t>Add to Expense</t>
  </si>
  <si>
    <t>RM - Indigenous in months</t>
  </si>
  <si>
    <t>As per Form IV</t>
  </si>
  <si>
    <t>WIP in months</t>
  </si>
  <si>
    <t>FG in months</t>
  </si>
  <si>
    <t>Domestic receivables in months</t>
  </si>
  <si>
    <t>Export receivables in months</t>
  </si>
  <si>
    <t>Sundry Creditors in months</t>
  </si>
  <si>
    <t>Excess borrowings</t>
  </si>
  <si>
    <t>Balance sheet tallying</t>
  </si>
  <si>
    <t>Payment</t>
  </si>
  <si>
    <t>Interest rate</t>
  </si>
  <si>
    <t>OB</t>
  </si>
  <si>
    <t>CB</t>
  </si>
  <si>
    <t>Additions</t>
  </si>
  <si>
    <t>Repairs &amp; Maintenance</t>
  </si>
  <si>
    <t>Audit Fees &amp; Directors Remuneration</t>
  </si>
  <si>
    <t>Security Service Charges</t>
  </si>
  <si>
    <t>No. of working days per month</t>
  </si>
  <si>
    <t>No. of months</t>
  </si>
  <si>
    <t>Installed Capacity (In tons)</t>
  </si>
  <si>
    <t>Capacity Utilisation</t>
  </si>
  <si>
    <t>Production (in tons)</t>
  </si>
  <si>
    <t>Sales price Rs per ton</t>
  </si>
  <si>
    <t>YOY increase</t>
  </si>
  <si>
    <t>Sales Value</t>
  </si>
  <si>
    <t>Components of Raw Materials</t>
  </si>
  <si>
    <t>PVC</t>
  </si>
  <si>
    <t>Rice Husk</t>
  </si>
  <si>
    <t>Additives and Lubricants</t>
  </si>
  <si>
    <t>Calcium Carbonate</t>
  </si>
  <si>
    <t>Scrap (26%)</t>
  </si>
  <si>
    <t>Cost per ton</t>
  </si>
  <si>
    <t>Raw material cost</t>
  </si>
  <si>
    <t>Total raw material cost per ton</t>
  </si>
  <si>
    <t>Dividends received from Mutual Funds</t>
  </si>
  <si>
    <t>From Indian Bank</t>
  </si>
  <si>
    <t>From Indian Overseas Bank</t>
  </si>
  <si>
    <t>Calculation of Debt Service Coverage Ratio</t>
  </si>
  <si>
    <t>Net Cash Accrual</t>
  </si>
  <si>
    <t>Term Loan Interest</t>
  </si>
  <si>
    <t>Amount Available for Debt Service</t>
  </si>
  <si>
    <t>Principle Repayment</t>
  </si>
  <si>
    <t>Debt Service</t>
  </si>
  <si>
    <t xml:space="preserve">In </t>
  </si>
  <si>
    <t>Term Loan</t>
  </si>
  <si>
    <t>Working Capital Loan</t>
  </si>
  <si>
    <t>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</si>
</sst>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"/>
    <numFmt numFmtId="166" formatCode="0.0%"/>
    <numFmt numFmtId="167" formatCode="#,##0.00\ ;&quot; (&quot;#,##0.00\);&quot; -&quot;#\ ;@\ "/>
    <numFmt numFmtId="168" formatCode="#,##0.0\ ;&quot; (&quot;#,##0.0\);&quot; -&quot;#\ ;@\ "/>
    <numFmt numFmtId="169" formatCode="0\ ;\(0\)"/>
    <numFmt numFmtId="170" formatCode="0.0\ ;[Red]\(0.0\)"/>
    <numFmt numFmtId="171" formatCode="0.0\ ;\(0.0\)"/>
    <numFmt numFmtId="172" formatCode="#,##0.00\ ;&quot; (&quot;#,##0.00\);&quot; - &quot;;@\ "/>
    <numFmt numFmtId="173" formatCode="#,##0\ ;&quot; (&quot;#,##0\);&quot; - &quot;;@\ "/>
    <numFmt numFmtId="174" formatCode="0.000000"/>
    <numFmt numFmtId="175" formatCode="#,##0\ ;&quot; (&quot;#,##0\);&quot; -&quot;#\ ;@\ "/>
    <numFmt numFmtId="176" formatCode="0.0000000"/>
    <numFmt numFmtId="177" formatCode="0.00000000"/>
    <numFmt numFmtId="178" formatCode="0.000000000"/>
  </numFmts>
  <fonts count="30">
    <font>
      <sz val="10"/>
      <name val="Arial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1"/>
      <name val="Zurich Blk BT"/>
      <family val="2"/>
    </font>
    <font>
      <sz val="11"/>
      <name val="Zurich BT"/>
      <family val="2"/>
    </font>
    <font>
      <sz val="10"/>
      <name val="Zurich BT"/>
      <family val="2"/>
    </font>
    <font>
      <b/>
      <i/>
      <sz val="9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9"/>
      <color rgb="FF33993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</borders>
  <cellStyleXfs count="3">
    <xf numFmtId="0" fontId="0" fillId="0" borderId="0"/>
    <xf numFmtId="167" fontId="23" fillId="0" borderId="0" applyFill="0" applyAlignment="0" applyProtection="0"/>
    <xf numFmtId="9" fontId="23" fillId="0" borderId="0" applyFill="0" applyAlignment="0" applyProtection="0"/>
  </cellStyleXfs>
  <cellXfs count="434">
    <xf numFmtId="0" fontId="0" fillId="0" borderId="0" xfId="0"/>
    <xf numFmtId="165" fontId="0" fillId="0" borderId="0" xfId="0" applyNumberFormat="1" applyProtection="1">
      <protection locked="0"/>
    </xf>
    <xf numFmtId="1" fontId="0" fillId="2" borderId="1" xfId="0" applyNumberFormat="1" applyFill="1" applyBorder="1" applyProtection="1">
      <protection locked="0"/>
    </xf>
    <xf numFmtId="1" fontId="0" fillId="2" borderId="2" xfId="0" applyNumberFormat="1" applyFill="1" applyBorder="1" applyProtection="1">
      <protection locked="0"/>
    </xf>
    <xf numFmtId="1" fontId="1" fillId="2" borderId="3" xfId="0" applyNumberFormat="1" applyFont="1" applyFill="1" applyBorder="1" applyAlignment="1" applyProtection="1">
      <alignment horizontal="left"/>
      <protection locked="0"/>
    </xf>
    <xf numFmtId="1" fontId="1" fillId="2" borderId="0" xfId="0" applyNumberFormat="1" applyFont="1" applyFill="1" applyAlignment="1" applyProtection="1">
      <alignment horizontal="center"/>
      <protection locked="0"/>
    </xf>
    <xf numFmtId="1" fontId="1" fillId="2" borderId="3" xfId="0" applyNumberFormat="1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left"/>
      <protection locked="0"/>
    </xf>
    <xf numFmtId="1" fontId="1" fillId="2" borderId="4" xfId="0" applyNumberFormat="1" applyFont="1" applyFill="1" applyBorder="1" applyAlignment="1" applyProtection="1">
      <alignment horizontal="left"/>
      <protection locked="0"/>
    </xf>
    <xf numFmtId="1" fontId="1" fillId="2" borderId="5" xfId="0" applyNumberFormat="1" applyFont="1" applyFill="1" applyBorder="1" applyAlignment="1" applyProtection="1">
      <alignment horizontal="left"/>
      <protection locked="0"/>
    </xf>
    <xf numFmtId="165" fontId="0" fillId="0" borderId="6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165" fontId="0" fillId="0" borderId="2" xfId="0" applyNumberFormat="1" applyBorder="1" applyProtection="1">
      <protection locked="0"/>
    </xf>
    <xf numFmtId="165" fontId="1" fillId="0" borderId="7" xfId="0" applyNumberFormat="1" applyFont="1" applyBorder="1" applyProtection="1">
      <protection locked="0"/>
    </xf>
    <xf numFmtId="165" fontId="1" fillId="0" borderId="0" xfId="0" applyNumberFormat="1" applyFont="1" applyAlignment="1" applyProtection="1">
      <alignment horizontal="center"/>
      <protection locked="0"/>
    </xf>
    <xf numFmtId="165" fontId="1" fillId="0" borderId="3" xfId="0" applyNumberFormat="1" applyFont="1" applyBorder="1" applyAlignment="1" applyProtection="1">
      <alignment horizontal="center"/>
      <protection locked="0"/>
    </xf>
    <xf numFmtId="165" fontId="1" fillId="0" borderId="8" xfId="0" applyNumberFormat="1" applyFont="1" applyBorder="1" applyAlignment="1" applyProtection="1">
      <alignment horizontal="center"/>
      <protection locked="0"/>
    </xf>
    <xf numFmtId="165" fontId="2" fillId="0" borderId="9" xfId="0" applyNumberFormat="1" applyFont="1" applyBorder="1" applyProtection="1">
      <protection locked="0"/>
    </xf>
    <xf numFmtId="165" fontId="0" fillId="0" borderId="10" xfId="0" applyNumberFormat="1" applyBorder="1" applyProtection="1">
      <protection locked="0"/>
    </xf>
    <xf numFmtId="165" fontId="1" fillId="0" borderId="9" xfId="0" applyNumberFormat="1" applyFont="1" applyBorder="1" applyProtection="1">
      <protection locked="0"/>
    </xf>
    <xf numFmtId="165" fontId="1" fillId="0" borderId="10" xfId="0" applyNumberFormat="1" applyFont="1" applyBorder="1" applyAlignment="1" applyProtection="1">
      <alignment horizontal="center"/>
      <protection locked="0"/>
    </xf>
    <xf numFmtId="165" fontId="3" fillId="0" borderId="9" xfId="0" applyNumberFormat="1" applyFont="1" applyBorder="1" applyProtection="1">
      <protection locked="0"/>
    </xf>
    <xf numFmtId="165" fontId="0" fillId="2" borderId="10" xfId="0" applyNumberFormat="1" applyFill="1" applyBorder="1" applyProtection="1">
      <protection locked="0"/>
    </xf>
    <xf numFmtId="165" fontId="4" fillId="0" borderId="9" xfId="0" applyNumberFormat="1" applyFont="1" applyBorder="1" applyProtection="1">
      <protection locked="0"/>
    </xf>
    <xf numFmtId="165" fontId="0" fillId="3" borderId="10" xfId="0" applyNumberFormat="1" applyFill="1" applyBorder="1"/>
    <xf numFmtId="165" fontId="1" fillId="3" borderId="10" xfId="0" applyNumberFormat="1" applyFont="1" applyFill="1" applyBorder="1"/>
    <xf numFmtId="165" fontId="1" fillId="3" borderId="11" xfId="0" applyNumberFormat="1" applyFont="1" applyFill="1" applyBorder="1"/>
    <xf numFmtId="165" fontId="0" fillId="0" borderId="9" xfId="0" applyNumberFormat="1" applyBorder="1" applyProtection="1">
      <protection locked="0"/>
    </xf>
    <xf numFmtId="165" fontId="3" fillId="3" borderId="11" xfId="0" applyNumberFormat="1" applyFont="1" applyFill="1" applyBorder="1"/>
    <xf numFmtId="165" fontId="3" fillId="3" borderId="10" xfId="0" applyNumberFormat="1" applyFont="1" applyFill="1" applyBorder="1"/>
    <xf numFmtId="165" fontId="3" fillId="2" borderId="10" xfId="0" applyNumberFormat="1" applyFont="1" applyFill="1" applyBorder="1" applyProtection="1">
      <protection locked="0"/>
    </xf>
    <xf numFmtId="165" fontId="1" fillId="0" borderId="10" xfId="0" applyNumberFormat="1" applyFon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/>
    <xf numFmtId="165" fontId="1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165" fontId="5" fillId="0" borderId="0" xfId="0" applyNumberFormat="1" applyFont="1" applyProtection="1">
      <protection locked="0"/>
    </xf>
    <xf numFmtId="1" fontId="1" fillId="0" borderId="6" xfId="0" applyNumberFormat="1" applyFont="1" applyBorder="1" applyProtection="1"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2" xfId="0" applyNumberFormat="1" applyFont="1" applyBorder="1" applyAlignment="1" applyProtection="1">
      <alignment horizontal="center"/>
      <protection locked="0"/>
    </xf>
    <xf numFmtId="1" fontId="1" fillId="0" borderId="14" xfId="0" applyNumberFormat="1" applyFont="1" applyBorder="1" applyAlignment="1" applyProtection="1">
      <alignment vertical="center" wrapText="1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1" fontId="1" fillId="0" borderId="5" xfId="0" applyNumberFormat="1" applyFont="1" applyBorder="1" applyAlignment="1" applyProtection="1">
      <alignment horizontal="center"/>
      <protection locked="0"/>
    </xf>
    <xf numFmtId="165" fontId="1" fillId="0" borderId="15" xfId="0" applyNumberFormat="1" applyFont="1" applyBorder="1" applyAlignment="1" applyProtection="1">
      <alignment vertical="center" wrapText="1"/>
      <protection locked="0"/>
    </xf>
    <xf numFmtId="165" fontId="3" fillId="0" borderId="11" xfId="0" applyNumberFormat="1" applyFont="1" applyBorder="1" applyProtection="1">
      <protection locked="0"/>
    </xf>
    <xf numFmtId="165" fontId="3" fillId="0" borderId="0" xfId="0" applyNumberFormat="1" applyFont="1" applyProtection="1">
      <protection locked="0"/>
    </xf>
    <xf numFmtId="165" fontId="3" fillId="0" borderId="10" xfId="0" applyNumberFormat="1" applyFont="1" applyBorder="1" applyProtection="1">
      <protection locked="0"/>
    </xf>
    <xf numFmtId="165" fontId="0" fillId="0" borderId="9" xfId="0" applyNumberFormat="1" applyBorder="1" applyAlignment="1" applyProtection="1">
      <alignment vertical="center" wrapText="1"/>
      <protection locked="0"/>
    </xf>
    <xf numFmtId="165" fontId="3" fillId="2" borderId="0" xfId="0" applyNumberFormat="1" applyFont="1" applyFill="1" applyProtection="1">
      <protection locked="0"/>
    </xf>
    <xf numFmtId="165" fontId="1" fillId="0" borderId="9" xfId="0" applyNumberFormat="1" applyFont="1" applyBorder="1" applyAlignment="1" applyProtection="1">
      <alignment vertical="center" wrapText="1"/>
      <protection locked="0"/>
    </xf>
    <xf numFmtId="165" fontId="2" fillId="0" borderId="9" xfId="0" applyNumberFormat="1" applyFont="1" applyBorder="1" applyAlignment="1" applyProtection="1">
      <alignment vertical="center" wrapText="1"/>
      <protection locked="0"/>
    </xf>
    <xf numFmtId="165" fontId="1" fillId="3" borderId="0" xfId="0" applyNumberFormat="1" applyFont="1" applyFill="1"/>
    <xf numFmtId="165" fontId="6" fillId="0" borderId="9" xfId="0" applyNumberFormat="1" applyFont="1" applyBorder="1" applyProtection="1">
      <protection locked="0"/>
    </xf>
    <xf numFmtId="165" fontId="3" fillId="0" borderId="9" xfId="0" applyNumberFormat="1" applyFont="1" applyBorder="1" applyAlignment="1" applyProtection="1">
      <alignment vertical="center" wrapText="1"/>
      <protection locked="0"/>
    </xf>
    <xf numFmtId="165" fontId="3" fillId="3" borderId="0" xfId="0" applyNumberFormat="1" applyFont="1" applyFill="1"/>
    <xf numFmtId="165" fontId="5" fillId="0" borderId="9" xfId="0" applyNumberFormat="1" applyFont="1" applyBorder="1" applyProtection="1">
      <protection locked="0"/>
    </xf>
    <xf numFmtId="165" fontId="3" fillId="0" borderId="9" xfId="0" applyNumberFormat="1" applyFont="1" applyBorder="1" applyAlignment="1" applyProtection="1">
      <alignment wrapText="1"/>
      <protection locked="0"/>
    </xf>
    <xf numFmtId="165" fontId="1" fillId="0" borderId="12" xfId="0" applyNumberFormat="1" applyFont="1" applyBorder="1" applyProtection="1">
      <protection locked="0"/>
    </xf>
    <xf numFmtId="165" fontId="3" fillId="3" borderId="16" xfId="0" applyNumberFormat="1" applyFont="1" applyFill="1" applyBorder="1"/>
    <xf numFmtId="165" fontId="3" fillId="3" borderId="17" xfId="0" applyNumberFormat="1" applyFont="1" applyFill="1" applyBorder="1"/>
    <xf numFmtId="165" fontId="3" fillId="3" borderId="13" xfId="0" applyNumberFormat="1" applyFont="1" applyFill="1" applyBorder="1"/>
    <xf numFmtId="0" fontId="0" fillId="4" borderId="0" xfId="0" applyFill="1"/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/>
    <xf numFmtId="0" fontId="7" fillId="3" borderId="18" xfId="0" applyFont="1" applyFill="1" applyBorder="1"/>
    <xf numFmtId="1" fontId="1" fillId="3" borderId="19" xfId="0" applyNumberFormat="1" applyFont="1" applyFill="1" applyBorder="1" applyAlignment="1">
      <alignment horizontal="center"/>
    </xf>
    <xf numFmtId="0" fontId="7" fillId="3" borderId="20" xfId="0" applyFont="1" applyFill="1" applyBorder="1"/>
    <xf numFmtId="0" fontId="1" fillId="3" borderId="18" xfId="0" applyFont="1" applyFill="1" applyBorder="1"/>
    <xf numFmtId="0" fontId="0" fillId="4" borderId="21" xfId="0" applyFill="1" applyBorder="1"/>
    <xf numFmtId="165" fontId="0" fillId="4" borderId="22" xfId="0" applyNumberFormat="1" applyFill="1" applyBorder="1"/>
    <xf numFmtId="0" fontId="0" fillId="4" borderId="23" xfId="0" applyFill="1" applyBorder="1"/>
    <xf numFmtId="0" fontId="0" fillId="4" borderId="24" xfId="0" applyFill="1" applyBorder="1"/>
    <xf numFmtId="165" fontId="0" fillId="4" borderId="10" xfId="0" applyNumberFormat="1" applyFill="1" applyBorder="1"/>
    <xf numFmtId="165" fontId="0" fillId="4" borderId="13" xfId="0" applyNumberFormat="1" applyFill="1" applyBorder="1"/>
    <xf numFmtId="0" fontId="1" fillId="4" borderId="24" xfId="0" applyFont="1" applyFill="1" applyBorder="1"/>
    <xf numFmtId="165" fontId="1" fillId="4" borderId="19" xfId="0" applyNumberFormat="1" applyFont="1" applyFill="1" applyBorder="1"/>
    <xf numFmtId="0" fontId="0" fillId="4" borderId="25" xfId="0" applyFill="1" applyBorder="1"/>
    <xf numFmtId="0" fontId="0" fillId="4" borderId="13" xfId="0" applyFill="1" applyBorder="1"/>
    <xf numFmtId="0" fontId="0" fillId="4" borderId="17" xfId="0" applyFill="1" applyBorder="1"/>
    <xf numFmtId="0" fontId="1" fillId="4" borderId="21" xfId="0" applyFont="1" applyFill="1" applyBorder="1"/>
    <xf numFmtId="0" fontId="1" fillId="4" borderId="22" xfId="0" applyFont="1" applyFill="1" applyBorder="1"/>
    <xf numFmtId="0" fontId="1" fillId="4" borderId="23" xfId="0" applyFont="1" applyFill="1" applyBorder="1"/>
    <xf numFmtId="0" fontId="3" fillId="4" borderId="22" xfId="0" applyFont="1" applyFill="1" applyBorder="1"/>
    <xf numFmtId="165" fontId="3" fillId="4" borderId="10" xfId="0" applyNumberFormat="1" applyFont="1" applyFill="1" applyBorder="1"/>
    <xf numFmtId="165" fontId="3" fillId="4" borderId="26" xfId="0" applyNumberFormat="1" applyFont="1" applyFill="1" applyBorder="1"/>
    <xf numFmtId="0" fontId="0" fillId="0" borderId="27" xfId="0" applyBorder="1"/>
    <xf numFmtId="0" fontId="0" fillId="0" borderId="26" xfId="0" applyBorder="1"/>
    <xf numFmtId="0" fontId="1" fillId="4" borderId="10" xfId="0" applyFont="1" applyFill="1" applyBorder="1"/>
    <xf numFmtId="0" fontId="1" fillId="4" borderId="25" xfId="0" applyFont="1" applyFill="1" applyBorder="1"/>
    <xf numFmtId="0" fontId="1" fillId="4" borderId="13" xfId="0" applyFont="1" applyFill="1" applyBorder="1"/>
    <xf numFmtId="0" fontId="1" fillId="4" borderId="28" xfId="0" applyFont="1" applyFill="1" applyBorder="1"/>
    <xf numFmtId="0" fontId="1" fillId="4" borderId="29" xfId="0" applyFont="1" applyFill="1" applyBorder="1"/>
    <xf numFmtId="1" fontId="1" fillId="3" borderId="30" xfId="0" applyNumberFormat="1" applyFont="1" applyFill="1" applyBorder="1" applyAlignment="1">
      <alignment horizontal="center"/>
    </xf>
    <xf numFmtId="166" fontId="0" fillId="4" borderId="21" xfId="2" applyNumberFormat="1" applyFont="1" applyFill="1" applyBorder="1" applyAlignment="1" applyProtection="1"/>
    <xf numFmtId="166" fontId="0" fillId="4" borderId="22" xfId="2" applyNumberFormat="1" applyFont="1" applyFill="1" applyBorder="1" applyAlignment="1" applyProtection="1"/>
    <xf numFmtId="166" fontId="0" fillId="4" borderId="23" xfId="2" applyNumberFormat="1" applyFont="1" applyFill="1" applyBorder="1" applyAlignment="1" applyProtection="1"/>
    <xf numFmtId="166" fontId="0" fillId="4" borderId="31" xfId="2" applyNumberFormat="1" applyFont="1" applyFill="1" applyBorder="1" applyAlignment="1" applyProtection="1"/>
    <xf numFmtId="0" fontId="0" fillId="4" borderId="22" xfId="0" applyFill="1" applyBorder="1"/>
    <xf numFmtId="166" fontId="0" fillId="4" borderId="24" xfId="2" applyNumberFormat="1" applyFont="1" applyFill="1" applyBorder="1" applyAlignment="1" applyProtection="1"/>
    <xf numFmtId="166" fontId="0" fillId="4" borderId="10" xfId="2" applyNumberFormat="1" applyFont="1" applyFill="1" applyBorder="1" applyAlignment="1" applyProtection="1"/>
    <xf numFmtId="166" fontId="0" fillId="4" borderId="0" xfId="2" applyNumberFormat="1" applyFont="1" applyFill="1" applyAlignment="1" applyProtection="1"/>
    <xf numFmtId="166" fontId="0" fillId="4" borderId="26" xfId="2" applyNumberFormat="1" applyFont="1" applyFill="1" applyBorder="1" applyAlignment="1" applyProtection="1"/>
    <xf numFmtId="0" fontId="0" fillId="4" borderId="10" xfId="0" applyFill="1" applyBorder="1"/>
    <xf numFmtId="0" fontId="0" fillId="4" borderId="26" xfId="0" applyFill="1" applyBorder="1"/>
    <xf numFmtId="1" fontId="0" fillId="4" borderId="24" xfId="0" applyNumberFormat="1" applyFill="1" applyBorder="1"/>
    <xf numFmtId="1" fontId="0" fillId="4" borderId="10" xfId="0" applyNumberFormat="1" applyFill="1" applyBorder="1"/>
    <xf numFmtId="1" fontId="0" fillId="4" borderId="0" xfId="0" applyNumberFormat="1" applyFill="1"/>
    <xf numFmtId="1" fontId="0" fillId="4" borderId="26" xfId="0" applyNumberFormat="1" applyFill="1" applyBorder="1"/>
    <xf numFmtId="0" fontId="0" fillId="4" borderId="32" xfId="0" applyFill="1" applyBorder="1"/>
    <xf numFmtId="0" fontId="3" fillId="4" borderId="0" xfId="0" applyFont="1" applyFill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right"/>
    </xf>
    <xf numFmtId="0" fontId="2" fillId="4" borderId="22" xfId="0" applyFont="1" applyFill="1" applyBorder="1" applyAlignment="1">
      <alignment horizontal="right"/>
    </xf>
    <xf numFmtId="0" fontId="1" fillId="3" borderId="1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right"/>
    </xf>
    <xf numFmtId="0" fontId="3" fillId="4" borderId="13" xfId="0" applyFont="1" applyFill="1" applyBorder="1"/>
    <xf numFmtId="0" fontId="3" fillId="4" borderId="10" xfId="0" applyFont="1" applyFill="1" applyBorder="1"/>
    <xf numFmtId="0" fontId="1" fillId="3" borderId="19" xfId="0" applyFont="1" applyFill="1" applyBorder="1"/>
    <xf numFmtId="0" fontId="3" fillId="4" borderId="24" xfId="0" applyFont="1" applyFill="1" applyBorder="1"/>
    <xf numFmtId="0" fontId="4" fillId="4" borderId="24" xfId="0" applyFont="1" applyFill="1" applyBorder="1"/>
    <xf numFmtId="165" fontId="1" fillId="4" borderId="10" xfId="0" applyNumberFormat="1" applyFont="1" applyFill="1" applyBorder="1"/>
    <xf numFmtId="165" fontId="4" fillId="4" borderId="10" xfId="0" applyNumberFormat="1" applyFont="1" applyFill="1" applyBorder="1"/>
    <xf numFmtId="165" fontId="4" fillId="4" borderId="24" xfId="0" applyNumberFormat="1" applyFont="1" applyFill="1" applyBorder="1"/>
    <xf numFmtId="165" fontId="1" fillId="4" borderId="24" xfId="0" applyNumberFormat="1" applyFont="1" applyFill="1" applyBorder="1"/>
    <xf numFmtId="0" fontId="1" fillId="0" borderId="24" xfId="0" applyFont="1" applyBorder="1"/>
    <xf numFmtId="165" fontId="1" fillId="0" borderId="24" xfId="0" applyNumberFormat="1" applyFont="1" applyBorder="1"/>
    <xf numFmtId="165" fontId="1" fillId="0" borderId="10" xfId="0" applyNumberFormat="1" applyFont="1" applyBorder="1"/>
    <xf numFmtId="165" fontId="3" fillId="4" borderId="24" xfId="0" applyNumberFormat="1" applyFont="1" applyFill="1" applyBorder="1"/>
    <xf numFmtId="165" fontId="1" fillId="3" borderId="18" xfId="0" applyNumberFormat="1" applyFont="1" applyFill="1" applyBorder="1"/>
    <xf numFmtId="165" fontId="1" fillId="3" borderId="19" xfId="0" applyNumberFormat="1" applyFont="1" applyFill="1" applyBorder="1"/>
    <xf numFmtId="0" fontId="3" fillId="4" borderId="21" xfId="0" applyFont="1" applyFill="1" applyBorder="1"/>
    <xf numFmtId="165" fontId="1" fillId="4" borderId="22" xfId="0" applyNumberFormat="1" applyFont="1" applyFill="1" applyBorder="1"/>
    <xf numFmtId="165" fontId="1" fillId="4" borderId="13" xfId="0" applyNumberFormat="1" applyFont="1" applyFill="1" applyBorder="1"/>
    <xf numFmtId="0" fontId="1" fillId="0" borderId="14" xfId="0" applyFont="1" applyBorder="1"/>
    <xf numFmtId="0" fontId="0" fillId="0" borderId="5" xfId="0" applyBorder="1"/>
    <xf numFmtId="1" fontId="9" fillId="3" borderId="33" xfId="0" applyNumberFormat="1" applyFont="1" applyFill="1" applyBorder="1" applyAlignment="1">
      <alignment horizontal="right"/>
    </xf>
    <xf numFmtId="1" fontId="9" fillId="3" borderId="34" xfId="0" applyNumberFormat="1" applyFont="1" applyFill="1" applyBorder="1" applyAlignment="1">
      <alignment horizontal="right"/>
    </xf>
    <xf numFmtId="1" fontId="9" fillId="3" borderId="19" xfId="0" applyNumberFormat="1" applyFont="1" applyFill="1" applyBorder="1" applyAlignment="1">
      <alignment horizontal="center"/>
    </xf>
    <xf numFmtId="1" fontId="9" fillId="3" borderId="35" xfId="0" applyNumberFormat="1" applyFont="1" applyFill="1" applyBorder="1" applyAlignment="1">
      <alignment horizontal="center"/>
    </xf>
    <xf numFmtId="0" fontId="9" fillId="3" borderId="36" xfId="0" applyFont="1" applyFill="1" applyBorder="1" applyAlignment="1">
      <alignment horizontal="center" vertical="top" wrapText="1"/>
    </xf>
    <xf numFmtId="0" fontId="9" fillId="3" borderId="37" xfId="0" applyFont="1" applyFill="1" applyBorder="1" applyAlignment="1">
      <alignment vertical="top" wrapText="1"/>
    </xf>
    <xf numFmtId="1" fontId="9" fillId="3" borderId="37" xfId="0" applyNumberFormat="1" applyFont="1" applyFill="1" applyBorder="1" applyAlignment="1">
      <alignment horizontal="center"/>
    </xf>
    <xf numFmtId="1" fontId="9" fillId="3" borderId="38" xfId="0" applyNumberFormat="1" applyFont="1" applyFill="1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166" fontId="10" fillId="0" borderId="10" xfId="2" applyNumberFormat="1" applyFont="1" applyFill="1" applyBorder="1" applyAlignment="1" applyProtection="1">
      <alignment vertical="center"/>
    </xf>
    <xf numFmtId="0" fontId="10" fillId="0" borderId="24" xfId="0" applyFont="1" applyBorder="1" applyAlignment="1">
      <alignment horizontal="center" vertical="center"/>
    </xf>
    <xf numFmtId="165" fontId="10" fillId="0" borderId="24" xfId="0" applyNumberFormat="1" applyFont="1" applyBorder="1" applyAlignment="1">
      <alignment vertical="center"/>
    </xf>
    <xf numFmtId="166" fontId="10" fillId="0" borderId="24" xfId="2" applyNumberFormat="1" applyFont="1" applyFill="1" applyBorder="1" applyAlignment="1" applyProtection="1">
      <alignment vertical="center"/>
    </xf>
    <xf numFmtId="0" fontId="10" fillId="4" borderId="10" xfId="0" applyFont="1" applyFill="1" applyBorder="1" applyAlignment="1">
      <alignment vertical="center"/>
    </xf>
    <xf numFmtId="165" fontId="10" fillId="4" borderId="24" xfId="0" applyNumberFormat="1" applyFont="1" applyFill="1" applyBorder="1" applyAlignment="1">
      <alignment vertical="center"/>
    </xf>
    <xf numFmtId="165" fontId="10" fillId="4" borderId="10" xfId="0" applyNumberFormat="1" applyFont="1" applyFill="1" applyBorder="1" applyAlignment="1">
      <alignment vertical="center"/>
    </xf>
    <xf numFmtId="0" fontId="10" fillId="0" borderId="10" xfId="0" applyFont="1" applyBorder="1"/>
    <xf numFmtId="168" fontId="10" fillId="0" borderId="24" xfId="1" applyNumberFormat="1" applyFont="1" applyFill="1" applyBorder="1" applyAlignment="1" applyProtection="1"/>
    <xf numFmtId="168" fontId="10" fillId="0" borderId="10" xfId="1" applyNumberFormat="1" applyFont="1" applyFill="1" applyBorder="1" applyAlignment="1" applyProtection="1"/>
    <xf numFmtId="0" fontId="10" fillId="0" borderId="24" xfId="0" applyFont="1" applyBorder="1" applyAlignment="1">
      <alignment vertical="center"/>
    </xf>
    <xf numFmtId="0" fontId="10" fillId="0" borderId="24" xfId="0" applyFont="1" applyBorder="1" applyAlignment="1">
      <alignment vertical="center" wrapText="1"/>
    </xf>
    <xf numFmtId="0" fontId="10" fillId="4" borderId="24" xfId="0" applyFont="1" applyFill="1" applyBorder="1" applyAlignment="1">
      <alignment vertical="center" wrapText="1"/>
    </xf>
    <xf numFmtId="0" fontId="10" fillId="4" borderId="24" xfId="0" applyFont="1" applyFill="1" applyBorder="1" applyAlignment="1">
      <alignment vertical="center"/>
    </xf>
    <xf numFmtId="0" fontId="10" fillId="0" borderId="25" xfId="0" applyFont="1" applyBorder="1" applyAlignment="1">
      <alignment horizontal="center" vertical="center"/>
    </xf>
    <xf numFmtId="0" fontId="10" fillId="4" borderId="25" xfId="0" applyFont="1" applyFill="1" applyBorder="1" applyAlignment="1">
      <alignment vertical="center"/>
    </xf>
    <xf numFmtId="166" fontId="10" fillId="4" borderId="25" xfId="2" applyNumberFormat="1" applyFont="1" applyFill="1" applyBorder="1" applyAlignment="1" applyProtection="1">
      <alignment vertical="center"/>
    </xf>
    <xf numFmtId="166" fontId="10" fillId="4" borderId="13" xfId="2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center" vertical="center"/>
    </xf>
    <xf numFmtId="0" fontId="10" fillId="4" borderId="0" xfId="0" applyFont="1" applyFill="1" applyAlignment="1">
      <alignment vertical="center"/>
    </xf>
    <xf numFmtId="165" fontId="10" fillId="4" borderId="0" xfId="0" applyNumberFormat="1" applyFont="1" applyFill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2" fontId="10" fillId="0" borderId="0" xfId="0" applyNumberFormat="1" applyFont="1" applyAlignment="1">
      <alignment vertical="center"/>
    </xf>
    <xf numFmtId="169" fontId="9" fillId="3" borderId="19" xfId="0" applyNumberFormat="1" applyFont="1" applyFill="1" applyBorder="1" applyAlignment="1">
      <alignment horizontal="right" vertical="center"/>
    </xf>
    <xf numFmtId="169" fontId="9" fillId="3" borderId="20" xfId="0" applyNumberFormat="1" applyFont="1" applyFill="1" applyBorder="1" applyAlignment="1">
      <alignment horizontal="right" vertical="center"/>
    </xf>
    <xf numFmtId="169" fontId="9" fillId="3" borderId="39" xfId="0" applyNumberFormat="1" applyFont="1" applyFill="1" applyBorder="1" applyAlignment="1">
      <alignment horizontal="right" vertical="center"/>
    </xf>
    <xf numFmtId="165" fontId="10" fillId="0" borderId="0" xfId="0" applyNumberFormat="1" applyFont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6" fontId="10" fillId="0" borderId="13" xfId="2" applyNumberFormat="1" applyFont="1" applyFill="1" applyBorder="1" applyAlignment="1" applyProtection="1">
      <alignment vertical="center"/>
    </xf>
    <xf numFmtId="166" fontId="10" fillId="0" borderId="17" xfId="2" applyNumberFormat="1" applyFont="1" applyFill="1" applyBorder="1" applyAlignment="1" applyProtection="1">
      <alignment vertical="center"/>
    </xf>
    <xf numFmtId="166" fontId="10" fillId="0" borderId="16" xfId="2" applyNumberFormat="1" applyFont="1" applyFill="1" applyBorder="1" applyAlignment="1" applyProtection="1">
      <alignment vertical="center"/>
    </xf>
    <xf numFmtId="0" fontId="11" fillId="0" borderId="0" xfId="0" applyFont="1"/>
    <xf numFmtId="0" fontId="9" fillId="0" borderId="0" xfId="0" applyFont="1"/>
    <xf numFmtId="0" fontId="10" fillId="0" borderId="0" xfId="0" applyFont="1"/>
    <xf numFmtId="0" fontId="10" fillId="0" borderId="18" xfId="0" applyFont="1" applyBorder="1"/>
    <xf numFmtId="0" fontId="10" fillId="0" borderId="20" xfId="0" applyFont="1" applyBorder="1"/>
    <xf numFmtId="169" fontId="9" fillId="0" borderId="19" xfId="0" applyNumberFormat="1" applyFont="1" applyBorder="1" applyAlignment="1">
      <alignment horizontal="right" vertical="center"/>
    </xf>
    <xf numFmtId="169" fontId="9" fillId="0" borderId="20" xfId="0" applyNumberFormat="1" applyFont="1" applyBorder="1" applyAlignment="1">
      <alignment horizontal="right" vertical="center"/>
    </xf>
    <xf numFmtId="169" fontId="9" fillId="0" borderId="39" xfId="0" applyNumberFormat="1" applyFont="1" applyBorder="1" applyAlignment="1">
      <alignment horizontal="right" vertical="center"/>
    </xf>
    <xf numFmtId="0" fontId="10" fillId="0" borderId="24" xfId="0" applyFont="1" applyBorder="1"/>
    <xf numFmtId="166" fontId="10" fillId="0" borderId="10" xfId="2" applyNumberFormat="1" applyFont="1" applyFill="1" applyBorder="1" applyAlignment="1" applyProtection="1"/>
    <xf numFmtId="166" fontId="10" fillId="0" borderId="0" xfId="2" applyNumberFormat="1" applyFont="1" applyFill="1" applyAlignment="1" applyProtection="1"/>
    <xf numFmtId="166" fontId="10" fillId="0" borderId="11" xfId="2" applyNumberFormat="1" applyFont="1" applyFill="1" applyBorder="1" applyAlignment="1" applyProtection="1"/>
    <xf numFmtId="166" fontId="10" fillId="0" borderId="10" xfId="0" applyNumberFormat="1" applyFont="1" applyBorder="1"/>
    <xf numFmtId="166" fontId="10" fillId="0" borderId="0" xfId="0" applyNumberFormat="1" applyFont="1"/>
    <xf numFmtId="166" fontId="10" fillId="0" borderId="11" xfId="0" applyNumberFormat="1" applyFont="1" applyBorder="1"/>
    <xf numFmtId="166" fontId="10" fillId="0" borderId="13" xfId="0" applyNumberFormat="1" applyFont="1" applyBorder="1"/>
    <xf numFmtId="166" fontId="10" fillId="0" borderId="17" xfId="0" applyNumberFormat="1" applyFont="1" applyBorder="1"/>
    <xf numFmtId="166" fontId="10" fillId="0" borderId="16" xfId="0" applyNumberFormat="1" applyFont="1" applyBorder="1"/>
    <xf numFmtId="0" fontId="10" fillId="0" borderId="0" xfId="0" applyFont="1" applyAlignment="1">
      <alignment horizontal="left"/>
    </xf>
    <xf numFmtId="1" fontId="12" fillId="4" borderId="6" xfId="0" applyNumberFormat="1" applyFont="1" applyFill="1" applyBorder="1" applyAlignment="1">
      <alignment horizontal="right"/>
    </xf>
    <xf numFmtId="1" fontId="1" fillId="3" borderId="40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2" fillId="4" borderId="7" xfId="0" applyNumberFormat="1" applyFont="1" applyFill="1" applyBorder="1" applyAlignment="1">
      <alignment horizontal="right"/>
    </xf>
    <xf numFmtId="1" fontId="1" fillId="3" borderId="10" xfId="0" applyNumberFormat="1" applyFont="1" applyFill="1" applyBorder="1" applyAlignment="1">
      <alignment horizontal="center"/>
    </xf>
    <xf numFmtId="1" fontId="1" fillId="3" borderId="3" xfId="0" applyNumberFormat="1" applyFont="1" applyFill="1" applyBorder="1" applyAlignment="1">
      <alignment horizontal="center"/>
    </xf>
    <xf numFmtId="0" fontId="0" fillId="4" borderId="14" xfId="0" applyFill="1" applyBorder="1"/>
    <xf numFmtId="1" fontId="1" fillId="3" borderId="41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0" fontId="0" fillId="4" borderId="7" xfId="0" applyFill="1" applyBorder="1"/>
    <xf numFmtId="0" fontId="0" fillId="4" borderId="3" xfId="0" applyFill="1" applyBorder="1"/>
    <xf numFmtId="0" fontId="7" fillId="4" borderId="7" xfId="0" applyFont="1" applyFill="1" applyBorder="1"/>
    <xf numFmtId="165" fontId="0" fillId="4" borderId="0" xfId="0" applyNumberFormat="1" applyFill="1"/>
    <xf numFmtId="165" fontId="0" fillId="4" borderId="3" xfId="0" applyNumberFormat="1" applyFill="1" applyBorder="1"/>
    <xf numFmtId="0" fontId="1" fillId="3" borderId="42" xfId="0" applyFont="1" applyFill="1" applyBorder="1"/>
    <xf numFmtId="166" fontId="1" fillId="3" borderId="20" xfId="0" applyNumberFormat="1" applyFont="1" applyFill="1" applyBorder="1"/>
    <xf numFmtId="0" fontId="1" fillId="3" borderId="7" xfId="0" applyFont="1" applyFill="1" applyBorder="1"/>
    <xf numFmtId="166" fontId="1" fillId="3" borderId="10" xfId="0" applyNumberFormat="1" applyFont="1" applyFill="1" applyBorder="1"/>
    <xf numFmtId="166" fontId="0" fillId="4" borderId="10" xfId="0" applyNumberFormat="1" applyFill="1" applyBorder="1"/>
    <xf numFmtId="0" fontId="1" fillId="3" borderId="14" xfId="0" applyFont="1" applyFill="1" applyBorder="1"/>
    <xf numFmtId="166" fontId="1" fillId="3" borderId="41" xfId="0" applyNumberFormat="1" applyFont="1" applyFill="1" applyBorder="1"/>
    <xf numFmtId="0" fontId="1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3" fillId="0" borderId="0" xfId="0" applyFont="1"/>
    <xf numFmtId="0" fontId="13" fillId="0" borderId="0" xfId="0" applyFont="1" applyAlignment="1">
      <alignment horizontal="right"/>
    </xf>
    <xf numFmtId="0" fontId="0" fillId="3" borderId="19" xfId="0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165" fontId="0" fillId="0" borderId="22" xfId="0" applyNumberFormat="1" applyBorder="1"/>
    <xf numFmtId="0" fontId="0" fillId="0" borderId="0" xfId="0" applyAlignment="1">
      <alignment horizontal="left"/>
    </xf>
    <xf numFmtId="165" fontId="11" fillId="0" borderId="10" xfId="0" applyNumberFormat="1" applyFont="1" applyBorder="1"/>
    <xf numFmtId="165" fontId="0" fillId="0" borderId="10" xfId="0" applyNumberFormat="1" applyBorder="1"/>
    <xf numFmtId="165" fontId="0" fillId="3" borderId="18" xfId="0" applyNumberFormat="1" applyFill="1" applyBorder="1"/>
    <xf numFmtId="165" fontId="0" fillId="3" borderId="19" xfId="0" applyNumberFormat="1" applyFill="1" applyBorder="1"/>
    <xf numFmtId="165" fontId="0" fillId="3" borderId="39" xfId="0" applyNumberFormat="1" applyFill="1" applyBorder="1"/>
    <xf numFmtId="166" fontId="0" fillId="0" borderId="24" xfId="2" applyNumberFormat="1" applyFont="1" applyFill="1" applyBorder="1" applyAlignment="1" applyProtection="1">
      <alignment horizontal="right"/>
    </xf>
    <xf numFmtId="166" fontId="0" fillId="0" borderId="10" xfId="2" applyNumberFormat="1" applyFont="1" applyFill="1" applyBorder="1" applyAlignment="1" applyProtection="1">
      <alignment horizontal="right"/>
    </xf>
    <xf numFmtId="166" fontId="0" fillId="0" borderId="0" xfId="2" applyNumberFormat="1" applyFont="1" applyFill="1" applyAlignment="1" applyProtection="1">
      <alignment horizontal="right"/>
    </xf>
    <xf numFmtId="166" fontId="0" fillId="0" borderId="22" xfId="2" applyNumberFormat="1" applyFont="1" applyFill="1" applyBorder="1" applyAlignment="1" applyProtection="1">
      <alignment horizontal="right"/>
    </xf>
    <xf numFmtId="165" fontId="0" fillId="0" borderId="24" xfId="0" applyNumberFormat="1" applyBorder="1"/>
    <xf numFmtId="165" fontId="0" fillId="0" borderId="0" xfId="0" applyNumberFormat="1"/>
    <xf numFmtId="165" fontId="0" fillId="3" borderId="24" xfId="0" applyNumberFormat="1" applyFill="1" applyBorder="1"/>
    <xf numFmtId="165" fontId="0" fillId="3" borderId="0" xfId="0" applyNumberFormat="1" applyFill="1"/>
    <xf numFmtId="165" fontId="15" fillId="0" borderId="24" xfId="0" applyNumberFormat="1" applyFont="1" applyBorder="1"/>
    <xf numFmtId="165" fontId="15" fillId="0" borderId="10" xfId="0" applyNumberFormat="1" applyFont="1" applyBorder="1"/>
    <xf numFmtId="165" fontId="15" fillId="0" borderId="0" xfId="0" applyNumberFormat="1" applyFont="1"/>
    <xf numFmtId="165" fontId="0" fillId="0" borderId="24" xfId="2" applyNumberFormat="1" applyFont="1" applyFill="1" applyBorder="1" applyAlignment="1" applyProtection="1"/>
    <xf numFmtId="165" fontId="0" fillId="0" borderId="10" xfId="2" applyNumberFormat="1" applyFont="1" applyFill="1" applyBorder="1" applyAlignment="1" applyProtection="1"/>
    <xf numFmtId="165" fontId="0" fillId="0" borderId="0" xfId="2" applyNumberFormat="1" applyFont="1" applyFill="1" applyAlignment="1" applyProtection="1"/>
    <xf numFmtId="165" fontId="11" fillId="0" borderId="24" xfId="0" applyNumberFormat="1" applyFont="1" applyBorder="1"/>
    <xf numFmtId="165" fontId="11" fillId="0" borderId="0" xfId="0" applyNumberFormat="1" applyFont="1"/>
    <xf numFmtId="165" fontId="3" fillId="0" borderId="24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165" fontId="0" fillId="0" borderId="13" xfId="0" applyNumberFormat="1" applyBorder="1"/>
    <xf numFmtId="165" fontId="13" fillId="3" borderId="19" xfId="0" applyNumberFormat="1" applyFont="1" applyFill="1" applyBorder="1"/>
    <xf numFmtId="165" fontId="13" fillId="3" borderId="10" xfId="0" applyNumberFormat="1" applyFont="1" applyFill="1" applyBorder="1"/>
    <xf numFmtId="165" fontId="11" fillId="3" borderId="10" xfId="0" applyNumberFormat="1" applyFont="1" applyFill="1" applyBorder="1"/>
    <xf numFmtId="165" fontId="13" fillId="3" borderId="0" xfId="0" applyNumberFormat="1" applyFont="1" applyFill="1"/>
    <xf numFmtId="166" fontId="1" fillId="3" borderId="19" xfId="2" applyNumberFormat="1" applyFont="1" applyFill="1" applyBorder="1" applyAlignment="1" applyProtection="1"/>
    <xf numFmtId="166" fontId="1" fillId="3" borderId="20" xfId="2" applyNumberFormat="1" applyFont="1" applyFill="1" applyBorder="1" applyAlignment="1" applyProtection="1"/>
    <xf numFmtId="167" fontId="0" fillId="0" borderId="0" xfId="0" applyNumberFormat="1"/>
    <xf numFmtId="0" fontId="16" fillId="0" borderId="0" xfId="0" applyFont="1"/>
    <xf numFmtId="0" fontId="17" fillId="0" borderId="0" xfId="0" applyFont="1" applyAlignment="1">
      <alignment horizontal="left"/>
    </xf>
    <xf numFmtId="0" fontId="0" fillId="3" borderId="19" xfId="0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65" fontId="0" fillId="0" borderId="21" xfId="0" applyNumberFormat="1" applyBorder="1"/>
    <xf numFmtId="165" fontId="11" fillId="0" borderId="10" xfId="0" applyNumberFormat="1" applyFont="1" applyBorder="1" applyAlignment="1">
      <alignment horizontal="right"/>
    </xf>
    <xf numFmtId="165" fontId="11" fillId="0" borderId="24" xfId="0" applyNumberFormat="1" applyFont="1" applyBorder="1" applyAlignment="1">
      <alignment horizontal="right"/>
    </xf>
    <xf numFmtId="0" fontId="0" fillId="0" borderId="0" xfId="0" applyProtection="1">
      <protection locked="0"/>
    </xf>
    <xf numFmtId="0" fontId="3" fillId="0" borderId="0" xfId="0" applyFont="1"/>
    <xf numFmtId="165" fontId="13" fillId="3" borderId="18" xfId="0" applyNumberFormat="1" applyFont="1" applyFill="1" applyBorder="1"/>
    <xf numFmtId="165" fontId="13" fillId="0" borderId="0" xfId="0" applyNumberFormat="1" applyFont="1"/>
    <xf numFmtId="2" fontId="0" fillId="3" borderId="19" xfId="0" applyNumberFormat="1" applyFill="1" applyBorder="1" applyAlignment="1">
      <alignment horizontal="center"/>
    </xf>
    <xf numFmtId="0" fontId="3" fillId="0" borderId="0" xfId="0" applyFont="1" applyAlignment="1">
      <alignment horizontal="left"/>
    </xf>
    <xf numFmtId="165" fontId="15" fillId="3" borderId="10" xfId="0" applyNumberFormat="1" applyFont="1" applyFill="1" applyBorder="1"/>
    <xf numFmtId="165" fontId="11" fillId="0" borderId="0" xfId="0" applyNumberFormat="1" applyFont="1" applyProtection="1">
      <protection locked="0"/>
    </xf>
    <xf numFmtId="165" fontId="11" fillId="3" borderId="19" xfId="0" applyNumberFormat="1" applyFont="1" applyFill="1" applyBorder="1"/>
    <xf numFmtId="165" fontId="13" fillId="3" borderId="19" xfId="0" applyNumberFormat="1" applyFont="1" applyFill="1" applyBorder="1" applyAlignment="1">
      <alignment horizontal="right"/>
    </xf>
    <xf numFmtId="165" fontId="13" fillId="3" borderId="20" xfId="0" applyNumberFormat="1" applyFont="1" applyFill="1" applyBorder="1"/>
    <xf numFmtId="165" fontId="13" fillId="0" borderId="10" xfId="0" applyNumberFormat="1" applyFont="1" applyBorder="1"/>
    <xf numFmtId="165" fontId="13" fillId="0" borderId="24" xfId="0" applyNumberFormat="1" applyFont="1" applyBorder="1"/>
    <xf numFmtId="165" fontId="13" fillId="0" borderId="10" xfId="0" applyNumberFormat="1" applyFont="1" applyBorder="1" applyAlignment="1">
      <alignment horizontal="right"/>
    </xf>
    <xf numFmtId="165" fontId="13" fillId="0" borderId="0" xfId="0" applyNumberFormat="1" applyFont="1" applyAlignment="1">
      <alignment horizontal="right"/>
    </xf>
    <xf numFmtId="165" fontId="13" fillId="0" borderId="24" xfId="0" applyNumberFormat="1" applyFont="1" applyBorder="1" applyAlignment="1">
      <alignment horizontal="right"/>
    </xf>
    <xf numFmtId="165" fontId="0" fillId="0" borderId="25" xfId="0" applyNumberFormat="1" applyBorder="1"/>
    <xf numFmtId="0" fontId="3" fillId="3" borderId="19" xfId="0" applyFont="1" applyFill="1" applyBorder="1" applyAlignment="1" applyProtection="1">
      <alignment horizontal="center"/>
      <protection locked="0"/>
    </xf>
    <xf numFmtId="0" fontId="20" fillId="0" borderId="0" xfId="0" applyFont="1" applyAlignment="1">
      <alignment horizontal="right"/>
    </xf>
    <xf numFmtId="165" fontId="3" fillId="0" borderId="22" xfId="0" applyNumberFormat="1" applyFont="1" applyBorder="1"/>
    <xf numFmtId="49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right"/>
    </xf>
    <xf numFmtId="170" fontId="3" fillId="0" borderId="10" xfId="0" applyNumberFormat="1" applyFont="1" applyBorder="1"/>
    <xf numFmtId="171" fontId="3" fillId="0" borderId="10" xfId="0" applyNumberFormat="1" applyFont="1" applyBorder="1"/>
    <xf numFmtId="1" fontId="3" fillId="0" borderId="0" xfId="0" applyNumberFormat="1" applyFont="1"/>
    <xf numFmtId="49" fontId="1" fillId="0" borderId="0" xfId="0" applyNumberFormat="1" applyFont="1" applyAlignment="1">
      <alignment horizontal="right"/>
    </xf>
    <xf numFmtId="165" fontId="1" fillId="0" borderId="19" xfId="0" applyNumberFormat="1" applyFont="1" applyBorder="1"/>
    <xf numFmtId="165" fontId="1" fillId="0" borderId="0" xfId="0" applyNumberFormat="1" applyFont="1"/>
    <xf numFmtId="0" fontId="18" fillId="0" borderId="0" xfId="0" applyFont="1"/>
    <xf numFmtId="165" fontId="12" fillId="0" borderId="0" xfId="0" applyNumberFormat="1" applyFont="1"/>
    <xf numFmtId="0" fontId="4" fillId="0" borderId="0" xfId="0" applyFont="1"/>
    <xf numFmtId="165" fontId="3" fillId="5" borderId="10" xfId="0" applyNumberFormat="1" applyFont="1" applyFill="1" applyBorder="1"/>
    <xf numFmtId="2" fontId="3" fillId="0" borderId="10" xfId="0" applyNumberFormat="1" applyFont="1" applyBorder="1"/>
    <xf numFmtId="0" fontId="21" fillId="0" borderId="0" xfId="0" applyFont="1"/>
    <xf numFmtId="49" fontId="0" fillId="0" borderId="0" xfId="0" applyNumberFormat="1" applyAlignment="1">
      <alignment horizontal="right"/>
    </xf>
    <xf numFmtId="0" fontId="0" fillId="3" borderId="19" xfId="0" applyFill="1" applyBorder="1"/>
    <xf numFmtId="0" fontId="3" fillId="3" borderId="19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0" fillId="0" borderId="18" xfId="0" applyNumberFormat="1" applyBorder="1"/>
    <xf numFmtId="165" fontId="0" fillId="0" borderId="19" xfId="0" applyNumberFormat="1" applyBorder="1"/>
    <xf numFmtId="165" fontId="0" fillId="0" borderId="10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49" fontId="22" fillId="0" borderId="0" xfId="0" applyNumberFormat="1" applyFont="1" applyAlignment="1">
      <alignment horizontal="left"/>
    </xf>
    <xf numFmtId="165" fontId="0" fillId="0" borderId="20" xfId="0" applyNumberFormat="1" applyBorder="1"/>
    <xf numFmtId="2" fontId="0" fillId="0" borderId="0" xfId="0" applyNumberFormat="1"/>
    <xf numFmtId="0" fontId="0" fillId="0" borderId="19" xfId="0" applyBorder="1" applyAlignment="1">
      <alignment horizontal="left"/>
    </xf>
    <xf numFmtId="0" fontId="0" fillId="0" borderId="19" xfId="0" applyBorder="1"/>
    <xf numFmtId="0" fontId="0" fillId="0" borderId="19" xfId="0" applyBorder="1" applyAlignment="1">
      <alignment horizontal="right"/>
    </xf>
    <xf numFmtId="2" fontId="0" fillId="0" borderId="19" xfId="0" applyNumberFormat="1" applyBorder="1"/>
    <xf numFmtId="172" fontId="0" fillId="0" borderId="19" xfId="0" applyNumberFormat="1" applyBorder="1"/>
    <xf numFmtId="173" fontId="0" fillId="0" borderId="19" xfId="0" applyNumberFormat="1" applyBorder="1"/>
    <xf numFmtId="167" fontId="0" fillId="0" borderId="19" xfId="0" applyNumberFormat="1" applyBorder="1"/>
    <xf numFmtId="10" fontId="0" fillId="0" borderId="19" xfId="2" applyNumberFormat="1" applyFont="1" applyFill="1" applyBorder="1" applyAlignment="1" applyProtection="1"/>
    <xf numFmtId="10" fontId="0" fillId="0" borderId="19" xfId="0" applyNumberFormat="1" applyBorder="1"/>
    <xf numFmtId="0" fontId="3" fillId="0" borderId="19" xfId="0" applyFont="1" applyBorder="1"/>
    <xf numFmtId="0" fontId="24" fillId="0" borderId="0" xfId="0" applyFont="1"/>
    <xf numFmtId="0" fontId="25" fillId="0" borderId="0" xfId="0" applyFont="1" applyAlignment="1">
      <alignment horizontal="center"/>
    </xf>
    <xf numFmtId="166" fontId="26" fillId="6" borderId="0" xfId="2" applyNumberFormat="1" applyFont="1" applyFill="1" applyAlignment="1">
      <alignment horizontal="center"/>
    </xf>
    <xf numFmtId="166" fontId="26" fillId="6" borderId="0" xfId="2" applyNumberFormat="1" applyFont="1" applyFill="1" applyAlignment="1">
      <alignment horizontal="right"/>
    </xf>
    <xf numFmtId="166" fontId="24" fillId="7" borderId="0" xfId="0" applyNumberFormat="1" applyFont="1" applyFill="1"/>
    <xf numFmtId="167" fontId="24" fillId="0" borderId="0" xfId="1" applyFont="1" applyAlignment="1"/>
    <xf numFmtId="0" fontId="27" fillId="0" borderId="0" xfId="0" applyFont="1"/>
    <xf numFmtId="167" fontId="25" fillId="0" borderId="0" xfId="1" applyFont="1" applyAlignment="1"/>
    <xf numFmtId="10" fontId="24" fillId="0" borderId="0" xfId="0" applyNumberFormat="1" applyFont="1"/>
    <xf numFmtId="10" fontId="24" fillId="7" borderId="0" xfId="0" applyNumberFormat="1" applyFont="1" applyFill="1"/>
    <xf numFmtId="10" fontId="24" fillId="6" borderId="0" xfId="0" applyNumberFormat="1" applyFont="1" applyFill="1"/>
    <xf numFmtId="164" fontId="24" fillId="0" borderId="0" xfId="1" applyNumberFormat="1" applyFont="1" applyAlignment="1"/>
    <xf numFmtId="167" fontId="24" fillId="7" borderId="0" xfId="1" applyFont="1" applyFill="1" applyAlignment="1"/>
    <xf numFmtId="167" fontId="24" fillId="6" borderId="0" xfId="1" applyFont="1" applyFill="1" applyAlignment="1"/>
    <xf numFmtId="165" fontId="24" fillId="0" borderId="0" xfId="0" applyNumberFormat="1" applyFont="1"/>
    <xf numFmtId="0" fontId="25" fillId="0" borderId="0" xfId="0" applyFont="1"/>
    <xf numFmtId="0" fontId="28" fillId="0" borderId="0" xfId="0" applyFont="1"/>
    <xf numFmtId="167" fontId="3" fillId="2" borderId="43" xfId="1" applyFont="1" applyFill="1" applyBorder="1" applyProtection="1">
      <protection locked="0"/>
    </xf>
    <xf numFmtId="165" fontId="3" fillId="2" borderId="43" xfId="1" applyNumberFormat="1" applyFont="1" applyFill="1" applyBorder="1" applyProtection="1">
      <protection locked="0"/>
    </xf>
    <xf numFmtId="15" fontId="24" fillId="0" borderId="0" xfId="0" applyNumberFormat="1" applyFont="1"/>
    <xf numFmtId="15" fontId="25" fillId="0" borderId="0" xfId="0" applyNumberFormat="1" applyFont="1" applyAlignment="1">
      <alignment horizontal="center"/>
    </xf>
    <xf numFmtId="0" fontId="25" fillId="0" borderId="43" xfId="0" applyFont="1" applyBorder="1" applyAlignment="1">
      <alignment horizontal="center"/>
    </xf>
    <xf numFmtId="15" fontId="25" fillId="0" borderId="0" xfId="0" applyNumberFormat="1" applyFont="1"/>
    <xf numFmtId="166" fontId="24" fillId="7" borderId="0" xfId="2" applyNumberFormat="1" applyFont="1" applyFill="1"/>
    <xf numFmtId="166" fontId="24" fillId="7" borderId="43" xfId="2" applyNumberFormat="1" applyFont="1" applyFill="1" applyBorder="1"/>
    <xf numFmtId="175" fontId="24" fillId="0" borderId="0" xfId="1" applyNumberFormat="1" applyFont="1"/>
    <xf numFmtId="175" fontId="24" fillId="0" borderId="43" xfId="1" applyNumberFormat="1" applyFont="1" applyBorder="1"/>
    <xf numFmtId="177" fontId="1" fillId="0" borderId="10" xfId="0" applyNumberFormat="1" applyFont="1" applyBorder="1" applyProtection="1">
      <protection locked="0"/>
    </xf>
    <xf numFmtId="175" fontId="24" fillId="7" borderId="0" xfId="1" applyNumberFormat="1" applyFont="1" applyFill="1"/>
    <xf numFmtId="9" fontId="23" fillId="0" borderId="0" xfId="2"/>
    <xf numFmtId="9" fontId="4" fillId="0" borderId="0" xfId="2" applyFont="1"/>
    <xf numFmtId="168" fontId="23" fillId="0" borderId="0" xfId="1" applyNumberFormat="1"/>
    <xf numFmtId="175" fontId="23" fillId="0" borderId="0" xfId="1" applyNumberFormat="1"/>
    <xf numFmtId="166" fontId="23" fillId="0" borderId="0" xfId="2" applyNumberFormat="1"/>
    <xf numFmtId="166" fontId="1" fillId="0" borderId="0" xfId="2" applyNumberFormat="1" applyFont="1"/>
    <xf numFmtId="175" fontId="1" fillId="0" borderId="0" xfId="1" applyNumberFormat="1" applyFont="1"/>
    <xf numFmtId="174" fontId="1" fillId="0" borderId="10" xfId="0" applyNumberFormat="1" applyFont="1" applyBorder="1" applyProtection="1">
      <protection locked="0"/>
    </xf>
    <xf numFmtId="165" fontId="1" fillId="0" borderId="44" xfId="0" applyNumberFormat="1" applyFont="1" applyBorder="1" applyProtection="1">
      <protection locked="0"/>
    </xf>
    <xf numFmtId="165" fontId="1" fillId="0" borderId="45" xfId="0" applyNumberFormat="1" applyFont="1" applyBorder="1" applyAlignment="1" applyProtection="1">
      <alignment horizontal="center"/>
      <protection locked="0"/>
    </xf>
    <xf numFmtId="177" fontId="0" fillId="0" borderId="10" xfId="0" applyNumberFormat="1" applyBorder="1" applyProtection="1">
      <protection locked="0"/>
    </xf>
    <xf numFmtId="176" fontId="0" fillId="0" borderId="10" xfId="0" applyNumberFormat="1" applyBorder="1" applyProtection="1">
      <protection locked="0"/>
    </xf>
    <xf numFmtId="178" fontId="1" fillId="0" borderId="0" xfId="0" applyNumberFormat="1" applyFont="1" applyProtection="1">
      <protection locked="0"/>
    </xf>
    <xf numFmtId="176" fontId="3" fillId="0" borderId="10" xfId="0" applyNumberFormat="1" applyFont="1" applyBorder="1" applyProtection="1">
      <protection locked="0"/>
    </xf>
    <xf numFmtId="176" fontId="3" fillId="0" borderId="0" xfId="0" applyNumberFormat="1" applyFont="1" applyProtection="1">
      <protection locked="0"/>
    </xf>
    <xf numFmtId="166" fontId="24" fillId="0" borderId="0" xfId="2" applyNumberFormat="1" applyFont="1" applyFill="1"/>
    <xf numFmtId="175" fontId="24" fillId="0" borderId="0" xfId="1" applyNumberFormat="1" applyFont="1" applyFill="1"/>
    <xf numFmtId="167" fontId="23" fillId="0" borderId="0" xfId="1"/>
    <xf numFmtId="0" fontId="3" fillId="0" borderId="46" xfId="0" applyFont="1" applyBorder="1"/>
    <xf numFmtId="0" fontId="0" fillId="0" borderId="46" xfId="0" applyBorder="1"/>
    <xf numFmtId="167" fontId="23" fillId="0" borderId="46" xfId="1" applyBorder="1"/>
    <xf numFmtId="0" fontId="1" fillId="0" borderId="46" xfId="0" applyFont="1" applyBorder="1"/>
    <xf numFmtId="167" fontId="1" fillId="0" borderId="46" xfId="1" applyFont="1" applyBorder="1"/>
    <xf numFmtId="2" fontId="10" fillId="0" borderId="24" xfId="0" applyNumberFormat="1" applyFont="1" applyBorder="1" applyAlignment="1">
      <alignment vertical="center"/>
    </xf>
    <xf numFmtId="2" fontId="10" fillId="0" borderId="10" xfId="0" applyNumberFormat="1" applyFont="1" applyBorder="1" applyAlignment="1">
      <alignment vertical="center"/>
    </xf>
    <xf numFmtId="165" fontId="3" fillId="2" borderId="47" xfId="0" applyNumberFormat="1" applyFont="1" applyFill="1" applyBorder="1" applyProtection="1">
      <protection locked="0"/>
    </xf>
    <xf numFmtId="166" fontId="24" fillId="6" borderId="0" xfId="0" applyNumberFormat="1" applyFont="1" applyFill="1"/>
    <xf numFmtId="166" fontId="26" fillId="7" borderId="0" xfId="2" applyNumberFormat="1" applyFont="1" applyFill="1" applyAlignment="1">
      <alignment horizontal="right"/>
    </xf>
    <xf numFmtId="165" fontId="0" fillId="2" borderId="2" xfId="0" applyNumberFormat="1" applyFill="1" applyBorder="1" applyProtection="1">
      <protection locked="0"/>
    </xf>
    <xf numFmtId="165" fontId="1" fillId="2" borderId="3" xfId="0" applyNumberFormat="1" applyFont="1" applyFill="1" applyBorder="1" applyAlignment="1" applyProtection="1">
      <alignment horizontal="center"/>
      <protection locked="0"/>
    </xf>
    <xf numFmtId="165" fontId="1" fillId="2" borderId="3" xfId="0" applyNumberFormat="1" applyFont="1" applyFill="1" applyBorder="1" applyAlignment="1" applyProtection="1">
      <alignment horizontal="left"/>
      <protection locked="0"/>
    </xf>
    <xf numFmtId="165" fontId="1" fillId="2" borderId="5" xfId="0" applyNumberFormat="1" applyFont="1" applyFill="1" applyBorder="1" applyAlignment="1" applyProtection="1">
      <alignment horizontal="left"/>
      <protection locked="0"/>
    </xf>
    <xf numFmtId="165" fontId="1" fillId="0" borderId="5" xfId="0" applyNumberFormat="1" applyFont="1" applyBorder="1" applyAlignment="1" applyProtection="1">
      <alignment horizontal="center"/>
      <protection locked="0"/>
    </xf>
    <xf numFmtId="2" fontId="1" fillId="3" borderId="10" xfId="0" applyNumberFormat="1" applyFont="1" applyFill="1" applyBorder="1"/>
    <xf numFmtId="1" fontId="1" fillId="2" borderId="0" xfId="0" applyNumberFormat="1" applyFont="1" applyFill="1" applyProtection="1">
      <protection locked="0"/>
    </xf>
    <xf numFmtId="1" fontId="1" fillId="2" borderId="3" xfId="0" applyNumberFormat="1" applyFont="1" applyFill="1" applyBorder="1" applyProtection="1">
      <protection locked="0"/>
    </xf>
    <xf numFmtId="1" fontId="0" fillId="3" borderId="6" xfId="0" applyNumberFormat="1" applyFill="1" applyBorder="1"/>
    <xf numFmtId="1" fontId="1" fillId="3" borderId="7" xfId="0" applyNumberFormat="1" applyFont="1" applyFill="1" applyBorder="1"/>
    <xf numFmtId="1" fontId="1" fillId="3" borderId="14" xfId="0" applyNumberFormat="1" applyFont="1" applyFill="1" applyBorder="1"/>
    <xf numFmtId="165" fontId="0" fillId="0" borderId="3" xfId="0" applyNumberFormat="1" applyBorder="1" applyProtection="1">
      <protection locked="0"/>
    </xf>
    <xf numFmtId="1" fontId="0" fillId="2" borderId="48" xfId="0" applyNumberFormat="1" applyFill="1" applyBorder="1" applyProtection="1">
      <protection locked="0"/>
    </xf>
    <xf numFmtId="1" fontId="0" fillId="2" borderId="49" xfId="0" applyNumberFormat="1" applyFill="1" applyBorder="1" applyProtection="1">
      <protection locked="0"/>
    </xf>
    <xf numFmtId="1" fontId="0" fillId="2" borderId="50" xfId="0" applyNumberFormat="1" applyFill="1" applyBorder="1" applyProtection="1">
      <protection locked="0"/>
    </xf>
    <xf numFmtId="1" fontId="1" fillId="2" borderId="51" xfId="0" applyNumberFormat="1" applyFont="1" applyFill="1" applyBorder="1" applyProtection="1">
      <protection locked="0"/>
    </xf>
    <xf numFmtId="1" fontId="1" fillId="2" borderId="52" xfId="0" applyNumberFormat="1" applyFont="1" applyFill="1" applyBorder="1" applyProtection="1">
      <protection locked="0"/>
    </xf>
    <xf numFmtId="1" fontId="1" fillId="2" borderId="51" xfId="0" applyNumberFormat="1" applyFont="1" applyFill="1" applyBorder="1" applyAlignment="1" applyProtection="1">
      <alignment horizontal="center"/>
      <protection locked="0"/>
    </xf>
    <xf numFmtId="1" fontId="1" fillId="2" borderId="52" xfId="0" applyNumberFormat="1" applyFont="1" applyFill="1" applyBorder="1" applyAlignment="1" applyProtection="1">
      <alignment horizontal="center"/>
      <protection locked="0"/>
    </xf>
    <xf numFmtId="1" fontId="1" fillId="2" borderId="51" xfId="0" applyNumberFormat="1" applyFont="1" applyFill="1" applyBorder="1" applyAlignment="1" applyProtection="1">
      <alignment horizontal="left"/>
      <protection locked="0"/>
    </xf>
    <xf numFmtId="1" fontId="1" fillId="2" borderId="52" xfId="0" applyNumberFormat="1" applyFont="1" applyFill="1" applyBorder="1" applyAlignment="1" applyProtection="1">
      <alignment horizontal="left"/>
      <protection locked="0"/>
    </xf>
    <xf numFmtId="1" fontId="1" fillId="2" borderId="53" xfId="0" applyNumberFormat="1" applyFont="1" applyFill="1" applyBorder="1" applyAlignment="1" applyProtection="1">
      <alignment horizontal="left"/>
      <protection locked="0"/>
    </xf>
    <xf numFmtId="1" fontId="1" fillId="2" borderId="54" xfId="0" applyNumberFormat="1" applyFont="1" applyFill="1" applyBorder="1" applyAlignment="1" applyProtection="1">
      <alignment horizontal="left"/>
      <protection locked="0"/>
    </xf>
    <xf numFmtId="1" fontId="1" fillId="2" borderId="55" xfId="0" applyNumberFormat="1" applyFont="1" applyFill="1" applyBorder="1" applyAlignment="1" applyProtection="1">
      <alignment horizontal="left"/>
      <protection locked="0"/>
    </xf>
    <xf numFmtId="1" fontId="25" fillId="0" borderId="0" xfId="0" applyNumberFormat="1" applyFont="1" applyAlignment="1">
      <alignment horizontal="left"/>
    </xf>
    <xf numFmtId="175" fontId="24" fillId="0" borderId="43" xfId="1" applyNumberFormat="1" applyFont="1" applyFill="1" applyBorder="1"/>
    <xf numFmtId="0" fontId="25" fillId="0" borderId="0" xfId="0" applyFont="1" applyAlignment="1">
      <alignment horizontal="center"/>
    </xf>
    <xf numFmtId="0" fontId="25" fillId="0" borderId="43" xfId="0" applyFont="1" applyBorder="1" applyAlignment="1">
      <alignment horizontal="center"/>
    </xf>
    <xf numFmtId="1" fontId="7" fillId="0" borderId="0" xfId="0" applyNumberFormat="1" applyFont="1" applyAlignment="1">
      <alignment horizontal="left"/>
    </xf>
    <xf numFmtId="0" fontId="1" fillId="3" borderId="6" xfId="0" applyFont="1" applyFill="1" applyBorder="1"/>
    <xf numFmtId="0" fontId="1" fillId="3" borderId="14" xfId="0" applyFont="1" applyFill="1" applyBorder="1" applyAlignment="1">
      <alignment horizontal="left"/>
    </xf>
    <xf numFmtId="0" fontId="1" fillId="4" borderId="0" xfId="0" applyFont="1" applyFill="1" applyAlignment="1">
      <alignment horizontal="center"/>
    </xf>
    <xf numFmtId="0" fontId="10" fillId="0" borderId="25" xfId="0" applyFont="1" applyBorder="1" applyAlignment="1">
      <alignment horizontal="left"/>
    </xf>
    <xf numFmtId="0" fontId="10" fillId="0" borderId="24" xfId="0" applyFont="1" applyBorder="1" applyAlignment="1">
      <alignment vertical="center"/>
    </xf>
    <xf numFmtId="0" fontId="10" fillId="0" borderId="25" xfId="0" applyFont="1" applyBorder="1" applyAlignment="1">
      <alignment vertical="center" wrapText="1"/>
    </xf>
    <xf numFmtId="0" fontId="8" fillId="0" borderId="15" xfId="0" applyFont="1" applyBorder="1" applyAlignment="1">
      <alignment horizontal="center"/>
    </xf>
    <xf numFmtId="0" fontId="9" fillId="3" borderId="56" xfId="0" applyFont="1" applyFill="1" applyBorder="1" applyAlignment="1">
      <alignment horizontal="center" vertical="top" wrapText="1"/>
    </xf>
    <xf numFmtId="0" fontId="9" fillId="3" borderId="33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121</xdr:row>
          <xdr:rowOff>30480</xdr:rowOff>
        </xdr:from>
        <xdr:to>
          <xdr:col>7</xdr:col>
          <xdr:colOff>335280</xdr:colOff>
          <xdr:row>122</xdr:row>
          <xdr:rowOff>129540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900" b="1" i="0" u="none" strike="noStrike" baseline="0">
                  <a:solidFill>
                    <a:srgbClr val="339933"/>
                  </a:solidFill>
                  <a:latin typeface="Arial"/>
                  <a:cs typeface="Arial"/>
                </a:rPr>
                <a:t>Check for Errors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52CF-69DB-40F6-B0C4-AEABAC09BEEB}">
  <dimension ref="A1:N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defaultRowHeight="13.2" outlineLevelCol="1"/>
  <cols>
    <col min="1" max="1" width="29.88671875" bestFit="1" customWidth="1"/>
    <col min="2" max="3" width="8.44140625" bestFit="1" customWidth="1"/>
    <col min="4" max="5" width="8.5546875" bestFit="1" customWidth="1"/>
    <col min="6" max="10" width="10" bestFit="1" customWidth="1"/>
    <col min="11" max="11" width="10" customWidth="1"/>
    <col min="12" max="13" width="9.109375" hidden="1" customWidth="1" outlineLevel="1"/>
    <col min="14" max="14" width="9.109375" customWidth="1" collapsed="1"/>
  </cols>
  <sheetData>
    <row r="1" spans="1:13">
      <c r="A1" s="411">
        <f>'INPUT SHEET'!B7</f>
        <v>0</v>
      </c>
      <c r="B1" s="411"/>
      <c r="C1" s="411"/>
      <c r="D1" s="411"/>
    </row>
    <row r="3" spans="1:13" ht="14.4">
      <c r="A3" s="326"/>
      <c r="B3" s="327">
        <f>Form_IV!E8</f>
        <v>2023</v>
      </c>
      <c r="C3" s="327">
        <f>Form_IV!F8</f>
        <v>2024</v>
      </c>
      <c r="D3" s="327">
        <f>Form_IV!G8</f>
        <v>2025</v>
      </c>
      <c r="E3" s="327">
        <f>Form_IV!H8</f>
        <v>2026</v>
      </c>
      <c r="F3" s="327">
        <f>Form_IV!I8</f>
        <v>2027</v>
      </c>
      <c r="G3" s="327">
        <f>Form_IV!J8</f>
        <v>2028</v>
      </c>
      <c r="H3" s="327">
        <f>Form_IV!K8</f>
        <v>2029</v>
      </c>
      <c r="I3" s="327">
        <f>Form_IV!L8</f>
        <v>2030</v>
      </c>
      <c r="J3" s="327">
        <f>Form_IV!M8</f>
        <v>2031</v>
      </c>
      <c r="K3" s="327">
        <f>Form_IV!N8</f>
        <v>2032</v>
      </c>
      <c r="L3" s="327">
        <f>Form_IV!O8</f>
        <v>2033</v>
      </c>
      <c r="M3" s="327">
        <f>Form_IV!P8</f>
        <v>2034</v>
      </c>
    </row>
    <row r="4" spans="1:13" ht="14.4">
      <c r="A4" s="326"/>
      <c r="B4" s="327">
        <f>Form_IV!E9</f>
        <v>12</v>
      </c>
      <c r="C4" s="327">
        <f>Form_IV!F9</f>
        <v>12</v>
      </c>
      <c r="D4" s="327">
        <f>Form_IV!G9</f>
        <v>12</v>
      </c>
      <c r="E4" s="327">
        <f>Form_IV!H9</f>
        <v>12</v>
      </c>
      <c r="F4" s="327">
        <f>Form_IV!I9</f>
        <v>12</v>
      </c>
      <c r="G4" s="327">
        <f>Form_IV!J9</f>
        <v>12</v>
      </c>
      <c r="H4" s="327">
        <f>Form_IV!K9</f>
        <v>12</v>
      </c>
      <c r="I4" s="327">
        <f>Form_IV!L9</f>
        <v>12</v>
      </c>
      <c r="J4" s="327">
        <f>Form_IV!M9</f>
        <v>12</v>
      </c>
      <c r="K4" s="327">
        <f>Form_IV!N9</f>
        <v>12</v>
      </c>
      <c r="L4" s="327">
        <f>Form_IV!O9</f>
        <v>12</v>
      </c>
      <c r="M4" s="327">
        <f>Form_IV!P9</f>
        <v>12</v>
      </c>
    </row>
    <row r="5" spans="1:13" ht="14.4">
      <c r="A5" s="326"/>
      <c r="B5" s="326"/>
      <c r="C5" s="326"/>
      <c r="D5" s="326"/>
      <c r="E5" s="326"/>
      <c r="F5" s="326"/>
      <c r="G5" s="326"/>
      <c r="H5" s="326"/>
      <c r="I5" s="326"/>
      <c r="J5" s="326"/>
      <c r="K5" s="326"/>
    </row>
    <row r="6" spans="1:13" ht="14.4">
      <c r="A6" s="326" t="s">
        <v>537</v>
      </c>
      <c r="B6" s="328" t="str">
        <f>Form_II!E16</f>
        <v>N/A</v>
      </c>
      <c r="C6" s="329" t="str">
        <f>Form_II!F16</f>
        <v>N/A</v>
      </c>
      <c r="D6" s="329" t="str">
        <f>Form_II!G16</f>
        <v>N/A</v>
      </c>
      <c r="E6" s="329" t="str">
        <f>Form_II!H16</f>
        <v>N/A</v>
      </c>
      <c r="F6" s="329" t="str">
        <f>Form_II!I16</f>
        <v>N/A</v>
      </c>
      <c r="G6" s="382" t="str">
        <f>Form_II!J16</f>
        <v>N/A</v>
      </c>
      <c r="H6" s="382" t="str">
        <f>Form_II!K16</f>
        <v>N/A</v>
      </c>
      <c r="I6" s="382" t="str">
        <f>Form_II!L16</f>
        <v>N/A</v>
      </c>
      <c r="J6" s="382" t="str">
        <f>Form_II!M16</f>
        <v>N/A</v>
      </c>
      <c r="K6" s="382" t="str">
        <f>Form_II!N16</f>
        <v>N/A</v>
      </c>
      <c r="L6" s="330"/>
      <c r="M6" s="330"/>
    </row>
    <row r="7" spans="1:13" ht="14.4">
      <c r="A7" s="326" t="s">
        <v>327</v>
      </c>
      <c r="B7" s="331">
        <f>'INPUT SHEET'!B22</f>
        <v>0</v>
      </c>
      <c r="C7" s="331">
        <f>'INPUT SHEET'!C22</f>
        <v>0</v>
      </c>
      <c r="D7" s="331">
        <f>'INPUT SHEET'!D22</f>
        <v>0</v>
      </c>
      <c r="E7" s="331">
        <f>'INPUT SHEET'!E22</f>
        <v>0</v>
      </c>
      <c r="F7" s="331">
        <f>'INPUT SHEET'!F22</f>
        <v>0</v>
      </c>
      <c r="G7" s="331">
        <f>'INPUT SHEET'!G22</f>
        <v>0</v>
      </c>
      <c r="H7" s="331">
        <f>'INPUT SHEET'!H22</f>
        <v>0</v>
      </c>
      <c r="I7" s="331">
        <f>'INPUT SHEET'!I22</f>
        <v>0</v>
      </c>
      <c r="J7" s="331">
        <f>'INPUT SHEET'!J22</f>
        <v>0</v>
      </c>
      <c r="K7" s="331">
        <f>'INPUT SHEET'!K22</f>
        <v>0</v>
      </c>
      <c r="L7" s="331">
        <f>'INPUT SHEET'!L22</f>
        <v>0</v>
      </c>
      <c r="M7" s="331">
        <f>'INPUT SHEET'!M22</f>
        <v>0</v>
      </c>
    </row>
    <row r="8" spans="1:13" ht="14.4">
      <c r="A8" s="326" t="s">
        <v>329</v>
      </c>
      <c r="B8" s="331">
        <f>'INPUT SHEET'!B23</f>
        <v>0</v>
      </c>
      <c r="C8" s="331">
        <f>'INPUT SHEET'!C23</f>
        <v>0</v>
      </c>
      <c r="D8" s="331">
        <f>'INPUT SHEET'!D23</f>
        <v>0</v>
      </c>
      <c r="E8" s="331">
        <f>'INPUT SHEET'!E23</f>
        <v>0</v>
      </c>
      <c r="F8" s="331">
        <f>'INPUT SHEET'!F23</f>
        <v>0</v>
      </c>
      <c r="G8" s="331">
        <f>'INPUT SHEET'!G23</f>
        <v>0</v>
      </c>
      <c r="H8" s="331">
        <f>'INPUT SHEET'!H23</f>
        <v>0</v>
      </c>
      <c r="I8" s="331">
        <f>'INPUT SHEET'!I23</f>
        <v>0</v>
      </c>
      <c r="J8" s="331">
        <f>'INPUT SHEET'!J23</f>
        <v>0</v>
      </c>
      <c r="K8" s="331">
        <f>'INPUT SHEET'!K23</f>
        <v>0</v>
      </c>
      <c r="L8" s="331">
        <f>'INPUT SHEET'!L23</f>
        <v>0</v>
      </c>
      <c r="M8" s="331">
        <f>'INPUT SHEET'!M23</f>
        <v>0</v>
      </c>
    </row>
    <row r="9" spans="1:13" ht="14.4">
      <c r="A9" s="332" t="s">
        <v>538</v>
      </c>
      <c r="B9" s="331">
        <f t="shared" ref="B9:I9" si="0">B7+B8</f>
        <v>0</v>
      </c>
      <c r="C9" s="331">
        <f t="shared" si="0"/>
        <v>0</v>
      </c>
      <c r="D9" s="331">
        <f t="shared" si="0"/>
        <v>0</v>
      </c>
      <c r="E9" s="331">
        <f>E7+E8</f>
        <v>0</v>
      </c>
      <c r="F9" s="331">
        <f t="shared" si="0"/>
        <v>0</v>
      </c>
      <c r="G9" s="331">
        <f t="shared" si="0"/>
        <v>0</v>
      </c>
      <c r="H9" s="331">
        <f t="shared" si="0"/>
        <v>0</v>
      </c>
      <c r="I9" s="331">
        <f t="shared" si="0"/>
        <v>0</v>
      </c>
      <c r="J9" s="331">
        <f>J7+J8</f>
        <v>0</v>
      </c>
      <c r="K9" s="331">
        <f>K7+K8</f>
        <v>0</v>
      </c>
      <c r="L9" s="331">
        <f>L7+L8</f>
        <v>0</v>
      </c>
      <c r="M9" s="331">
        <f>M7+M8</f>
        <v>0</v>
      </c>
    </row>
    <row r="10" spans="1:13" ht="14.4">
      <c r="A10" s="326" t="s">
        <v>539</v>
      </c>
      <c r="B10" s="331">
        <f>'INPUT SHEET'!B25</f>
        <v>0</v>
      </c>
      <c r="C10" s="331">
        <f>'INPUT SHEET'!C25</f>
        <v>0</v>
      </c>
      <c r="D10" s="331">
        <f>'INPUT SHEET'!D25</f>
        <v>0</v>
      </c>
      <c r="E10" s="331">
        <f>'INPUT SHEET'!E25</f>
        <v>0</v>
      </c>
      <c r="F10" s="331">
        <f>'INPUT SHEET'!F25</f>
        <v>0</v>
      </c>
      <c r="G10" s="331">
        <f>'INPUT SHEET'!G25</f>
        <v>0</v>
      </c>
      <c r="H10" s="331">
        <f>'INPUT SHEET'!H25</f>
        <v>0</v>
      </c>
      <c r="I10" s="331">
        <f>'INPUT SHEET'!I25</f>
        <v>0</v>
      </c>
      <c r="J10" s="331">
        <f>'INPUT SHEET'!J25</f>
        <v>0</v>
      </c>
      <c r="K10" s="331">
        <f>'INPUT SHEET'!K25</f>
        <v>0</v>
      </c>
      <c r="L10" s="331">
        <f>'INPUT SHEET'!L25</f>
        <v>0</v>
      </c>
      <c r="M10" s="331">
        <f>'INPUT SHEET'!M25</f>
        <v>0</v>
      </c>
    </row>
    <row r="11" spans="1:13" ht="14.4">
      <c r="A11" s="332" t="s">
        <v>22</v>
      </c>
      <c r="B11" s="333">
        <f t="shared" ref="B11:I11" si="1">B9-B10</f>
        <v>0</v>
      </c>
      <c r="C11" s="333">
        <f t="shared" si="1"/>
        <v>0</v>
      </c>
      <c r="D11" s="333">
        <f t="shared" si="1"/>
        <v>0</v>
      </c>
      <c r="E11" s="333">
        <f>E9-E10</f>
        <v>0</v>
      </c>
      <c r="F11" s="333">
        <f t="shared" si="1"/>
        <v>0</v>
      </c>
      <c r="G11" s="333">
        <f t="shared" si="1"/>
        <v>0</v>
      </c>
      <c r="H11" s="333">
        <f t="shared" si="1"/>
        <v>0</v>
      </c>
      <c r="I11" s="333">
        <f t="shared" si="1"/>
        <v>0</v>
      </c>
      <c r="J11" s="333">
        <f>J9-J10</f>
        <v>0</v>
      </c>
      <c r="K11" s="333">
        <f>K9-K10</f>
        <v>0</v>
      </c>
      <c r="L11" s="333">
        <f>L9-L10</f>
        <v>0</v>
      </c>
      <c r="M11" s="333">
        <f>M9-M10</f>
        <v>0</v>
      </c>
    </row>
    <row r="12" spans="1:13" ht="14.4">
      <c r="A12" s="326"/>
      <c r="B12" s="326"/>
      <c r="C12" s="326"/>
      <c r="D12" s="326"/>
      <c r="E12" s="326"/>
      <c r="F12" s="326"/>
      <c r="G12" s="326"/>
      <c r="H12" s="326"/>
      <c r="I12" s="326"/>
      <c r="J12" s="326"/>
      <c r="K12" s="326"/>
      <c r="L12" s="326"/>
      <c r="M12" s="326"/>
    </row>
    <row r="13" spans="1:13" ht="14.4">
      <c r="A13" s="326" t="s">
        <v>540</v>
      </c>
      <c r="B13" s="334"/>
      <c r="C13" s="334"/>
      <c r="D13" s="334"/>
      <c r="E13" s="334">
        <v>0</v>
      </c>
      <c r="F13" s="330"/>
      <c r="G13" s="330">
        <v>0</v>
      </c>
      <c r="H13" s="330">
        <v>0</v>
      </c>
      <c r="I13" s="330">
        <f>H13</f>
        <v>0</v>
      </c>
      <c r="J13" s="330">
        <f>I13</f>
        <v>0</v>
      </c>
      <c r="K13" s="330">
        <v>0</v>
      </c>
      <c r="L13" s="335">
        <v>0.25</v>
      </c>
      <c r="M13" s="335">
        <v>0.25</v>
      </c>
    </row>
    <row r="14" spans="1:13" ht="14.4">
      <c r="A14" s="326" t="s">
        <v>541</v>
      </c>
      <c r="B14" s="336" t="e">
        <f>'Key Financials'!C9</f>
        <v>#DIV/0!</v>
      </c>
      <c r="C14" s="336" t="e">
        <f>'Key Financials'!D9</f>
        <v>#DIV/0!</v>
      </c>
      <c r="D14" s="336" t="e">
        <f>'Key Financials'!E9</f>
        <v>#DIV/0!</v>
      </c>
      <c r="E14" s="336" t="e">
        <f>'Key Financials'!F9</f>
        <v>#DIV/0!</v>
      </c>
      <c r="F14" s="381" t="e">
        <f>'Key Financials'!G9</f>
        <v>#DIV/0!</v>
      </c>
      <c r="G14" s="381" t="e">
        <f>'Key Financials'!H9</f>
        <v>#DIV/0!</v>
      </c>
      <c r="H14" s="381" t="e">
        <f>'Key Financials'!I9</f>
        <v>#DIV/0!</v>
      </c>
      <c r="I14" s="381" t="e">
        <f>'Key Financials'!J9</f>
        <v>#DIV/0!</v>
      </c>
      <c r="J14" s="336" t="e">
        <f>'Key Financials'!K9</f>
        <v>#DIV/0!</v>
      </c>
      <c r="K14" s="336" t="e">
        <f>'Key Financials'!L9</f>
        <v>#DIV/0!</v>
      </c>
      <c r="L14" s="336" t="e">
        <f>'Key Financials'!M9</f>
        <v>#DIV/0!</v>
      </c>
      <c r="M14" s="336" t="e">
        <f>'Key Financials'!N9</f>
        <v>#DIV/0!</v>
      </c>
    </row>
    <row r="15" spans="1:13" ht="14.4">
      <c r="A15" s="326" t="s">
        <v>542</v>
      </c>
      <c r="B15" s="326"/>
      <c r="C15" s="337"/>
      <c r="D15" s="337"/>
      <c r="E15" s="337"/>
      <c r="F15" s="337" t="e">
        <f t="shared" ref="F15:M15" si="2">F11*(F14-F13)</f>
        <v>#DIV/0!</v>
      </c>
      <c r="G15" s="337" t="e">
        <f t="shared" si="2"/>
        <v>#DIV/0!</v>
      </c>
      <c r="H15" s="337" t="e">
        <f t="shared" si="2"/>
        <v>#DIV/0!</v>
      </c>
      <c r="I15" s="337" t="e">
        <f t="shared" si="2"/>
        <v>#DIV/0!</v>
      </c>
      <c r="J15" s="337" t="e">
        <f t="shared" si="2"/>
        <v>#DIV/0!</v>
      </c>
      <c r="K15" s="337" t="e">
        <f t="shared" si="2"/>
        <v>#DIV/0!</v>
      </c>
      <c r="L15" s="337" t="e">
        <f t="shared" si="2"/>
        <v>#DIV/0!</v>
      </c>
      <c r="M15" s="337" t="e">
        <f t="shared" si="2"/>
        <v>#DIV/0!</v>
      </c>
    </row>
    <row r="16" spans="1:13" ht="14.4">
      <c r="A16" s="326"/>
      <c r="B16" s="326"/>
      <c r="C16" s="326"/>
      <c r="D16" s="326"/>
      <c r="E16" s="326"/>
      <c r="F16" s="326"/>
      <c r="G16" s="326"/>
      <c r="H16" s="326"/>
      <c r="I16" s="326"/>
      <c r="J16" s="326"/>
      <c r="K16" s="326"/>
    </row>
    <row r="17" spans="1:13" ht="14.4">
      <c r="A17" s="326" t="s">
        <v>543</v>
      </c>
      <c r="B17" s="331"/>
      <c r="C17" s="331"/>
      <c r="D17" s="331"/>
      <c r="E17" s="331"/>
      <c r="F17" s="338"/>
      <c r="G17" s="338">
        <v>0</v>
      </c>
      <c r="H17" s="338">
        <f t="shared" ref="H17:M17" si="3">G17</f>
        <v>0</v>
      </c>
      <c r="I17" s="338">
        <f t="shared" si="3"/>
        <v>0</v>
      </c>
      <c r="J17" s="338">
        <f t="shared" si="3"/>
        <v>0</v>
      </c>
      <c r="K17" s="338">
        <f t="shared" si="3"/>
        <v>0</v>
      </c>
      <c r="L17" s="338">
        <f t="shared" si="3"/>
        <v>0</v>
      </c>
      <c r="M17" s="338">
        <f t="shared" si="3"/>
        <v>0</v>
      </c>
    </row>
    <row r="18" spans="1:13" ht="14.4">
      <c r="A18" s="326" t="s">
        <v>544</v>
      </c>
      <c r="B18" s="339" t="str">
        <f>Form_IV!E15</f>
        <v/>
      </c>
      <c r="C18" s="339" t="str">
        <f>Form_IV!F15</f>
        <v/>
      </c>
      <c r="D18" s="339" t="str">
        <f>Form_IV!G15</f>
        <v/>
      </c>
      <c r="E18" s="339" t="str">
        <f>Form_IV!H15</f>
        <v/>
      </c>
      <c r="F18" s="339" t="str">
        <f>Form_IV!I15</f>
        <v/>
      </c>
      <c r="G18" s="339" t="str">
        <f>Form_IV!J15</f>
        <v/>
      </c>
      <c r="H18" s="339" t="str">
        <f>Form_IV!K15</f>
        <v/>
      </c>
      <c r="I18" s="339" t="str">
        <f>Form_IV!L15</f>
        <v/>
      </c>
      <c r="J18" s="339" t="str">
        <f>Form_IV!M15</f>
        <v/>
      </c>
      <c r="K18" s="339" t="str">
        <f>Form_IV!N15</f>
        <v/>
      </c>
      <c r="L18" s="339" t="str">
        <f>Form_IV!O15</f>
        <v/>
      </c>
      <c r="M18" s="339" t="str">
        <f>Form_IV!P15</f>
        <v/>
      </c>
    </row>
    <row r="19" spans="1:13" ht="14.4">
      <c r="A19" s="326"/>
      <c r="B19" s="331"/>
      <c r="C19" s="331"/>
      <c r="D19" s="331"/>
      <c r="E19" s="331"/>
      <c r="F19" s="331"/>
      <c r="G19" s="331"/>
      <c r="H19" s="331"/>
      <c r="I19" s="331"/>
      <c r="J19" s="331"/>
      <c r="K19" s="331"/>
    </row>
    <row r="20" spans="1:13" ht="14.4">
      <c r="A20" s="326" t="s">
        <v>545</v>
      </c>
      <c r="B20" s="331"/>
      <c r="C20" s="331"/>
      <c r="D20" s="331"/>
      <c r="E20" s="331"/>
      <c r="F20" s="338">
        <v>0</v>
      </c>
      <c r="G20" s="338">
        <v>0</v>
      </c>
      <c r="H20" s="338">
        <v>0</v>
      </c>
      <c r="I20" s="338">
        <v>0</v>
      </c>
      <c r="J20" s="338">
        <f>I20</f>
        <v>0</v>
      </c>
      <c r="K20" s="338">
        <f>J20</f>
        <v>0</v>
      </c>
      <c r="L20" s="338">
        <f>K20</f>
        <v>0</v>
      </c>
      <c r="M20" s="338">
        <f>L20</f>
        <v>0</v>
      </c>
    </row>
    <row r="21" spans="1:13" ht="14.4">
      <c r="A21" s="326" t="s">
        <v>544</v>
      </c>
      <c r="B21" s="339" t="str">
        <f>Form_IV!E22</f>
        <v/>
      </c>
      <c r="C21" s="339" t="str">
        <f>Form_IV!F22</f>
        <v/>
      </c>
      <c r="D21" s="339" t="str">
        <f>Form_IV!G22</f>
        <v/>
      </c>
      <c r="E21" s="339" t="str">
        <f>Form_IV!H22</f>
        <v/>
      </c>
      <c r="F21" s="339" t="str">
        <f>Form_IV!I22</f>
        <v/>
      </c>
      <c r="G21" s="339" t="str">
        <f>Form_IV!J22</f>
        <v/>
      </c>
      <c r="H21" s="339" t="str">
        <f>Form_IV!K22</f>
        <v/>
      </c>
      <c r="I21" s="339" t="str">
        <f>Form_IV!L22</f>
        <v/>
      </c>
      <c r="J21" s="339" t="str">
        <f>Form_IV!M22</f>
        <v/>
      </c>
      <c r="K21" s="339" t="str">
        <f>Form_IV!N22</f>
        <v/>
      </c>
      <c r="L21" s="339" t="str">
        <f>Form_IV!O22</f>
        <v/>
      </c>
      <c r="M21" s="339" t="str">
        <f>Form_IV!P22</f>
        <v/>
      </c>
    </row>
    <row r="22" spans="1:13" ht="14.4">
      <c r="A22" s="326"/>
      <c r="B22" s="331"/>
      <c r="C22" s="331"/>
      <c r="D22" s="331"/>
      <c r="E22" s="331"/>
      <c r="F22" s="331"/>
      <c r="G22" s="331"/>
      <c r="H22" s="331"/>
      <c r="I22" s="331"/>
      <c r="J22" s="331"/>
      <c r="K22" s="331"/>
    </row>
    <row r="23" spans="1:13" ht="14.4">
      <c r="A23" s="326" t="s">
        <v>546</v>
      </c>
      <c r="B23" s="331"/>
      <c r="C23" s="331"/>
      <c r="D23" s="331"/>
      <c r="E23" s="331"/>
      <c r="F23" s="338">
        <v>0</v>
      </c>
      <c r="G23" s="338">
        <v>0</v>
      </c>
      <c r="H23" s="338">
        <v>0</v>
      </c>
      <c r="I23" s="338">
        <v>0</v>
      </c>
      <c r="J23" s="338">
        <f>I23</f>
        <v>0</v>
      </c>
      <c r="K23" s="338">
        <f>J23</f>
        <v>0</v>
      </c>
      <c r="L23" s="338">
        <f>K23</f>
        <v>0</v>
      </c>
      <c r="M23" s="338">
        <f>L23</f>
        <v>0</v>
      </c>
    </row>
    <row r="24" spans="1:13" ht="14.4">
      <c r="A24" s="326" t="s">
        <v>544</v>
      </c>
      <c r="B24" s="339" t="str">
        <f>Form_IV!E24</f>
        <v/>
      </c>
      <c r="C24" s="339" t="str">
        <f>Form_IV!F24</f>
        <v/>
      </c>
      <c r="D24" s="339" t="str">
        <f>Form_IV!G24</f>
        <v/>
      </c>
      <c r="E24" s="339" t="str">
        <f>Form_IV!H24</f>
        <v/>
      </c>
      <c r="F24" s="339" t="str">
        <f>Form_IV!I24</f>
        <v/>
      </c>
      <c r="G24" s="339" t="str">
        <f>Form_IV!J24</f>
        <v/>
      </c>
      <c r="H24" s="339" t="str">
        <f>Form_IV!K24</f>
        <v/>
      </c>
      <c r="I24" s="339" t="str">
        <f>Form_IV!L24</f>
        <v/>
      </c>
      <c r="J24" s="339" t="str">
        <f>Form_IV!M24</f>
        <v/>
      </c>
      <c r="K24" s="339" t="str">
        <f>Form_IV!N24</f>
        <v/>
      </c>
      <c r="L24" s="339" t="str">
        <f>Form_IV!O24</f>
        <v/>
      </c>
      <c r="M24" s="339" t="str">
        <f>Form_IV!P24</f>
        <v/>
      </c>
    </row>
    <row r="25" spans="1:13" ht="14.4">
      <c r="A25" s="326"/>
      <c r="B25" s="331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31"/>
    </row>
    <row r="26" spans="1:13" ht="14.4">
      <c r="A26" s="326" t="s">
        <v>547</v>
      </c>
      <c r="B26" s="334"/>
      <c r="C26" s="334"/>
      <c r="D26" s="334"/>
      <c r="E26" s="334"/>
      <c r="F26" s="338">
        <v>0</v>
      </c>
      <c r="G26" s="338">
        <f t="shared" ref="G26:M26" si="4">F26</f>
        <v>0</v>
      </c>
      <c r="H26" s="338">
        <f t="shared" si="4"/>
        <v>0</v>
      </c>
      <c r="I26" s="338">
        <f t="shared" si="4"/>
        <v>0</v>
      </c>
      <c r="J26" s="338">
        <f t="shared" si="4"/>
        <v>0</v>
      </c>
      <c r="K26" s="338">
        <f t="shared" si="4"/>
        <v>0</v>
      </c>
      <c r="L26" s="338">
        <f t="shared" si="4"/>
        <v>0</v>
      </c>
      <c r="M26" s="338">
        <f t="shared" si="4"/>
        <v>0</v>
      </c>
    </row>
    <row r="27" spans="1:13" ht="14.4">
      <c r="A27" s="326" t="s">
        <v>544</v>
      </c>
      <c r="B27" s="339" t="str">
        <f>Form_IV!E26</f>
        <v/>
      </c>
      <c r="C27" s="339" t="str">
        <f>Form_IV!F26</f>
        <v/>
      </c>
      <c r="D27" s="339" t="str">
        <f>Form_IV!G26</f>
        <v/>
      </c>
      <c r="E27" s="339" t="str">
        <f>Form_IV!H26</f>
        <v/>
      </c>
      <c r="F27" s="339" t="str">
        <f>Form_IV!I26</f>
        <v/>
      </c>
      <c r="G27" s="339" t="str">
        <f>Form_IV!J26</f>
        <v/>
      </c>
      <c r="H27" s="339" t="str">
        <f>Form_IV!K26</f>
        <v/>
      </c>
      <c r="I27" s="339" t="str">
        <f>Form_IV!L26</f>
        <v/>
      </c>
      <c r="J27" s="339" t="str">
        <f>Form_IV!M26</f>
        <v/>
      </c>
      <c r="K27" s="339" t="str">
        <f>Form_IV!N26</f>
        <v/>
      </c>
      <c r="L27" s="339" t="str">
        <f>Form_IV!O26</f>
        <v/>
      </c>
      <c r="M27" s="339" t="str">
        <f>Form_IV!P26</f>
        <v/>
      </c>
    </row>
    <row r="28" spans="1:13" ht="14.4">
      <c r="A28" s="326"/>
      <c r="B28" s="331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M28" s="331"/>
    </row>
    <row r="29" spans="1:13" ht="14.4">
      <c r="A29" s="326" t="s">
        <v>548</v>
      </c>
      <c r="B29" s="334"/>
      <c r="C29" s="334"/>
      <c r="D29" s="334"/>
      <c r="E29" s="334"/>
      <c r="F29" s="338"/>
      <c r="G29" s="338"/>
      <c r="H29" s="338"/>
      <c r="I29" s="338"/>
      <c r="J29" s="338"/>
      <c r="K29" s="338"/>
      <c r="L29" s="338"/>
      <c r="M29" s="338"/>
    </row>
    <row r="30" spans="1:13" ht="14.4">
      <c r="A30" s="326" t="s">
        <v>544</v>
      </c>
      <c r="B30" s="339" t="str">
        <f>Form_IV!E28</f>
        <v/>
      </c>
      <c r="C30" s="339" t="str">
        <f>Form_IV!F28</f>
        <v/>
      </c>
      <c r="D30" s="339" t="str">
        <f>Form_IV!G28</f>
        <v/>
      </c>
      <c r="E30" s="339" t="str">
        <f>Form_IV!H28</f>
        <v/>
      </c>
      <c r="F30" s="339" t="str">
        <f>Form_IV!I28</f>
        <v/>
      </c>
      <c r="G30" s="339" t="str">
        <f>Form_IV!J28</f>
        <v/>
      </c>
      <c r="H30" s="339" t="str">
        <f>Form_IV!K28</f>
        <v/>
      </c>
      <c r="I30" s="339" t="str">
        <f>Form_IV!L28</f>
        <v/>
      </c>
      <c r="J30" s="339" t="str">
        <f>Form_IV!M28</f>
        <v/>
      </c>
      <c r="K30" s="339" t="str">
        <f>Form_IV!N28</f>
        <v/>
      </c>
      <c r="L30" s="339" t="str">
        <f>Form_IV!O28</f>
        <v/>
      </c>
      <c r="M30" s="339" t="str">
        <f>Form_IV!P28</f>
        <v/>
      </c>
    </row>
    <row r="31" spans="1:13" ht="14.4">
      <c r="A31" s="326"/>
      <c r="B31" s="331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1"/>
    </row>
    <row r="32" spans="1:13" ht="14.4">
      <c r="A32" s="326" t="s">
        <v>549</v>
      </c>
      <c r="B32" s="334"/>
      <c r="C32" s="334"/>
      <c r="D32" s="334"/>
      <c r="E32" s="334"/>
      <c r="F32" s="338">
        <v>0</v>
      </c>
      <c r="G32" s="338">
        <v>0</v>
      </c>
      <c r="H32" s="338">
        <v>0</v>
      </c>
      <c r="I32" s="338">
        <v>0</v>
      </c>
      <c r="J32" s="338">
        <v>0</v>
      </c>
      <c r="K32" s="338">
        <f>J32</f>
        <v>0</v>
      </c>
      <c r="L32" s="338">
        <f>K32</f>
        <v>0</v>
      </c>
      <c r="M32" s="338">
        <f>L32</f>
        <v>0</v>
      </c>
    </row>
    <row r="33" spans="1:13" ht="14.4">
      <c r="A33" s="326" t="s">
        <v>544</v>
      </c>
      <c r="B33" s="339">
        <f>Form_IV!E51</f>
        <v>0</v>
      </c>
      <c r="C33" s="339" t="str">
        <f>Form_IV!F51</f>
        <v/>
      </c>
      <c r="D33" s="339" t="str">
        <f>Form_IV!G51</f>
        <v/>
      </c>
      <c r="E33" s="339" t="str">
        <f>Form_IV!H51</f>
        <v/>
      </c>
      <c r="F33" s="339" t="str">
        <f>Form_IV!I51</f>
        <v/>
      </c>
      <c r="G33" s="339" t="str">
        <f>Form_IV!J51</f>
        <v/>
      </c>
      <c r="H33" s="339" t="str">
        <f>Form_IV!K51</f>
        <v/>
      </c>
      <c r="I33" s="339" t="str">
        <f>Form_IV!L51</f>
        <v/>
      </c>
      <c r="J33" s="339" t="str">
        <f>Form_IV!M51</f>
        <v/>
      </c>
      <c r="K33" s="339" t="str">
        <f>Form_IV!N51</f>
        <v/>
      </c>
      <c r="L33" s="339" t="str">
        <f>Form_IV!O51</f>
        <v/>
      </c>
      <c r="M33" s="339" t="str">
        <f>Form_IV!P51</f>
        <v/>
      </c>
    </row>
    <row r="34" spans="1:13" ht="14.4">
      <c r="A34" s="326"/>
      <c r="B34" s="326"/>
      <c r="C34" s="326"/>
      <c r="D34" s="326"/>
      <c r="E34" s="326"/>
      <c r="F34" s="326"/>
      <c r="G34" s="326"/>
      <c r="H34" s="326"/>
      <c r="I34" s="326"/>
      <c r="J34" s="326"/>
      <c r="K34" s="326"/>
      <c r="L34" s="326"/>
      <c r="M34" s="326"/>
    </row>
    <row r="35" spans="1:13" ht="14.4">
      <c r="A35" s="326" t="s">
        <v>550</v>
      </c>
      <c r="B35" s="340" t="e">
        <f>Form_V!E30-'Key Financials'!C24</f>
        <v>#VALUE!</v>
      </c>
      <c r="C35" s="340" t="e">
        <f>Form_V!F30-'Key Financials'!D24</f>
        <v>#VALUE!</v>
      </c>
      <c r="D35" s="340" t="e">
        <f>Form_V!G30-'Key Financials'!E24</f>
        <v>#VALUE!</v>
      </c>
      <c r="E35" s="340" t="e">
        <f>Form_V!H30-'Key Financials'!F24</f>
        <v>#VALUE!</v>
      </c>
      <c r="F35" s="340" t="e">
        <f>Form_V!I30-'Key Financials'!G24</f>
        <v>#VALUE!</v>
      </c>
      <c r="G35" s="340" t="e">
        <f>Form_V!J30-'Key Financials'!H24</f>
        <v>#VALUE!</v>
      </c>
      <c r="H35" s="340" t="e">
        <f>Form_V!K30-'Key Financials'!I24</f>
        <v>#VALUE!</v>
      </c>
      <c r="I35" s="340" t="e">
        <f>Form_V!L30-'Key Financials'!J24</f>
        <v>#VALUE!</v>
      </c>
      <c r="J35" s="340" t="e">
        <f>Form_V!M30-'Key Financials'!K24</f>
        <v>#VALUE!</v>
      </c>
      <c r="K35" s="340" t="e">
        <f>Form_V!N30-'Key Financials'!L24</f>
        <v>#VALUE!</v>
      </c>
      <c r="L35" s="340" t="e">
        <f>Form_V!O30-'Key Financials'!M24</f>
        <v>#VALUE!</v>
      </c>
      <c r="M35" s="340" t="e">
        <f>Form_V!P30-'Key Financials'!N24</f>
        <v>#VALUE!</v>
      </c>
    </row>
    <row r="36" spans="1:13" ht="14.4">
      <c r="A36" s="326"/>
      <c r="B36" s="326"/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</row>
    <row r="37" spans="1:13" ht="14.4">
      <c r="A37" s="341" t="s">
        <v>551</v>
      </c>
      <c r="B37" s="326"/>
      <c r="C37" s="326"/>
      <c r="D37" s="326"/>
      <c r="E37" s="326"/>
      <c r="F37" s="326"/>
      <c r="G37" s="326"/>
      <c r="H37" s="326"/>
      <c r="I37" s="326"/>
      <c r="J37" s="326"/>
      <c r="K37" s="326"/>
      <c r="L37" s="326"/>
      <c r="M37" s="326"/>
    </row>
    <row r="38" spans="1:13" ht="14.4">
      <c r="A38" s="326" t="s">
        <v>176</v>
      </c>
      <c r="B38" s="331">
        <f>'INPUT SHEET'!B260</f>
        <v>0</v>
      </c>
      <c r="C38" s="331">
        <f>'INPUT SHEET'!C260</f>
        <v>0</v>
      </c>
      <c r="D38" s="331">
        <f>'INPUT SHEET'!D260</f>
        <v>0</v>
      </c>
      <c r="E38" s="331">
        <f>'INPUT SHEET'!E260</f>
        <v>0</v>
      </c>
      <c r="F38" s="331">
        <f>'INPUT SHEET'!F260</f>
        <v>0</v>
      </c>
      <c r="G38" s="331">
        <f>'INPUT SHEET'!G260</f>
        <v>0</v>
      </c>
      <c r="H38" s="331">
        <f>'INPUT SHEET'!H260</f>
        <v>0</v>
      </c>
      <c r="I38" s="331">
        <f>'INPUT SHEET'!I260</f>
        <v>2.5000000000000001E-3</v>
      </c>
      <c r="J38" s="331">
        <f>'INPUT SHEET'!J260</f>
        <v>0</v>
      </c>
      <c r="K38" s="331">
        <f>'INPUT SHEET'!K260</f>
        <v>0</v>
      </c>
      <c r="L38" s="331">
        <f>'INPUT SHEET'!L260</f>
        <v>1</v>
      </c>
      <c r="M38" s="331">
        <f>'INPUT SHEET'!M260</f>
        <v>0</v>
      </c>
    </row>
    <row r="39" spans="1:13" ht="14.4">
      <c r="A39" s="326" t="s">
        <v>177</v>
      </c>
      <c r="B39" s="331">
        <f>'INPUT SHEET'!B261</f>
        <v>0</v>
      </c>
      <c r="C39" s="331">
        <f>'INPUT SHEET'!C261</f>
        <v>0</v>
      </c>
      <c r="D39" s="331">
        <f>'INPUT SHEET'!D261</f>
        <v>0</v>
      </c>
      <c r="E39" s="331">
        <f>'INPUT SHEET'!E261</f>
        <v>0</v>
      </c>
      <c r="F39" s="331">
        <f>'INPUT SHEET'!F261</f>
        <v>0</v>
      </c>
      <c r="G39" s="331">
        <f>'INPUT SHEET'!G261</f>
        <v>0</v>
      </c>
      <c r="H39" s="331">
        <f>'INPUT SHEET'!H261</f>
        <v>0</v>
      </c>
      <c r="I39" s="331">
        <f>'INPUT SHEET'!I261</f>
        <v>0.01</v>
      </c>
      <c r="J39" s="331">
        <f>'INPUT SHEET'!J261</f>
        <v>7.4999999999999997E-3</v>
      </c>
      <c r="K39" s="331">
        <f>'INPUT SHEET'!K261</f>
        <v>7.4999999999999997E-3</v>
      </c>
      <c r="L39" s="331">
        <f>'INPUT SHEET'!L261</f>
        <v>7.4999999999999997E-3</v>
      </c>
      <c r="M39" s="331">
        <f>'INPUT SHEET'!M261</f>
        <v>7.4999999999999997E-3</v>
      </c>
    </row>
    <row r="40" spans="1:13" ht="14.4">
      <c r="A40" s="342" t="s">
        <v>532</v>
      </c>
      <c r="B40" s="331">
        <f>'INPUT SHEET'!B262</f>
        <v>0</v>
      </c>
      <c r="C40" s="331">
        <f>'INPUT SHEET'!C262</f>
        <v>0</v>
      </c>
      <c r="D40" s="331">
        <f>'INPUT SHEET'!D262</f>
        <v>0</v>
      </c>
      <c r="E40" s="331">
        <f>'INPUT SHEET'!E262</f>
        <v>0</v>
      </c>
      <c r="F40" s="331">
        <f>'INPUT SHEET'!F262</f>
        <v>0</v>
      </c>
      <c r="G40" s="331">
        <f>'INPUT SHEET'!G262</f>
        <v>0</v>
      </c>
      <c r="H40" s="331">
        <f>'INPUT SHEET'!H262</f>
        <v>0</v>
      </c>
      <c r="I40" s="331">
        <f>'INPUT SHEET'!I262</f>
        <v>-7.4999999999999997E-3</v>
      </c>
      <c r="J40" s="331">
        <f>'INPUT SHEET'!J262</f>
        <v>-7.4999999999999997E-3</v>
      </c>
      <c r="K40" s="331">
        <f>'INPUT SHEET'!K262</f>
        <v>-7.4999999999999997E-3</v>
      </c>
      <c r="L40" s="331">
        <f>'INPUT SHEET'!L262</f>
        <v>0.99250000000000005</v>
      </c>
      <c r="M40" s="331">
        <f>'INPUT SHEET'!M262</f>
        <v>-7.4999999999999997E-3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95B7D-43ED-4DAA-BE31-C83AF47E83E6}">
  <dimension ref="A1"/>
  <sheetViews>
    <sheetView workbookViewId="0"/>
  </sheetViews>
  <sheetFormatPr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841EF-F4FE-4225-8E57-D2CF87E2104D}"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defaultRowHeight="13.2"/>
  <cols>
    <col min="1" max="1" width="12.109375" bestFit="1" customWidth="1"/>
    <col min="2" max="2" width="12.6640625" bestFit="1" customWidth="1"/>
    <col min="3" max="3" width="11.33203125" bestFit="1" customWidth="1"/>
    <col min="4" max="4" width="12.6640625" bestFit="1" customWidth="1"/>
    <col min="5" max="5" width="9.6640625" bestFit="1" customWidth="1"/>
    <col min="6" max="6" width="12.6640625" bestFit="1" customWidth="1"/>
    <col min="7" max="7" width="11.88671875" customWidth="1"/>
    <col min="8" max="8" width="12.6640625" bestFit="1" customWidth="1"/>
    <col min="9" max="9" width="9.88671875" bestFit="1" customWidth="1"/>
  </cols>
  <sheetData>
    <row r="1" spans="1:9" ht="14.4">
      <c r="A1" s="407">
        <f>'INPUT SHEET'!B7</f>
        <v>0</v>
      </c>
    </row>
    <row r="2" spans="1:9" ht="14.4">
      <c r="A2" s="345"/>
      <c r="B2" s="409" t="s">
        <v>587</v>
      </c>
      <c r="C2" s="409"/>
      <c r="D2" s="409"/>
      <c r="E2" s="410"/>
      <c r="F2" s="409" t="s">
        <v>588</v>
      </c>
      <c r="G2" s="409"/>
      <c r="H2" s="409"/>
      <c r="I2" s="410"/>
    </row>
    <row r="3" spans="1:9" ht="14.4">
      <c r="A3" s="346"/>
      <c r="B3" s="327" t="s">
        <v>554</v>
      </c>
      <c r="C3" s="327" t="s">
        <v>552</v>
      </c>
      <c r="D3" s="327" t="s">
        <v>555</v>
      </c>
      <c r="E3" s="347" t="s">
        <v>273</v>
      </c>
      <c r="F3" s="327" t="s">
        <v>554</v>
      </c>
      <c r="G3" s="327" t="s">
        <v>556</v>
      </c>
      <c r="H3" s="327" t="s">
        <v>555</v>
      </c>
      <c r="I3" s="347" t="s">
        <v>273</v>
      </c>
    </row>
    <row r="4" spans="1:9" ht="14.4">
      <c r="A4" s="348" t="s">
        <v>553</v>
      </c>
      <c r="B4" s="370"/>
      <c r="C4" s="349"/>
      <c r="D4" s="370"/>
      <c r="E4" s="350"/>
      <c r="F4" s="370"/>
      <c r="G4" s="370"/>
      <c r="H4" s="370"/>
      <c r="I4" s="350"/>
    </row>
    <row r="5" spans="1:9" ht="14.4">
      <c r="A5" s="345">
        <v>45747</v>
      </c>
      <c r="B5" s="351"/>
      <c r="C5" s="351"/>
      <c r="D5" s="354">
        <f>0</f>
        <v>0</v>
      </c>
      <c r="E5" s="408"/>
      <c r="F5" s="351"/>
      <c r="G5" s="351"/>
      <c r="H5" s="354">
        <f>0</f>
        <v>0</v>
      </c>
      <c r="I5" s="408"/>
    </row>
    <row r="6" spans="1:9" ht="14.4">
      <c r="A6" s="345">
        <v>45777</v>
      </c>
      <c r="B6" s="351">
        <f>D5</f>
        <v>0</v>
      </c>
      <c r="C6" s="371">
        <f>$C$4-E6</f>
        <v>0</v>
      </c>
      <c r="D6" s="371">
        <f>B6-C6</f>
        <v>0</v>
      </c>
      <c r="E6" s="408">
        <f>0</f>
        <v>0</v>
      </c>
      <c r="F6" s="351">
        <f>H5</f>
        <v>0</v>
      </c>
      <c r="G6" s="371">
        <f>0</f>
        <v>0</v>
      </c>
      <c r="H6" s="351">
        <f>F6+G6</f>
        <v>0</v>
      </c>
      <c r="I6" s="352" t="s">
        <v>589</v>
      </c>
    </row>
    <row r="7" spans="1:9" ht="14.4">
      <c r="A7" s="345">
        <v>45808</v>
      </c>
      <c r="B7" s="351">
        <f t="shared" ref="B7:B34" si="0">D6</f>
        <v>0</v>
      </c>
      <c r="C7" s="371">
        <f>$C$4-E7</f>
        <v>0</v>
      </c>
      <c r="D7" s="371">
        <f>B7-C7</f>
        <v>0</v>
      </c>
      <c r="E7" s="408">
        <f>0</f>
        <v>0</v>
      </c>
      <c r="F7" s="351">
        <f>H6</f>
        <v>0</v>
      </c>
      <c r="G7" s="351">
        <f>0</f>
        <v>0</v>
      </c>
      <c r="H7" s="351">
        <f t="shared" ref="H7:H53" si="1">F7+G7</f>
        <v>0</v>
      </c>
      <c r="I7" s="352">
        <f t="shared" ref="I7:I53" si="2">H7*$I$4/12</f>
        <v>0</v>
      </c>
    </row>
    <row r="8" spans="1:9" ht="14.4">
      <c r="A8" s="345">
        <v>45838</v>
      </c>
      <c r="B8" s="351">
        <f t="shared" si="0"/>
        <v>0</v>
      </c>
      <c r="C8" s="371">
        <f t="shared" ref="C8:C53" si="3">$C$4-E8</f>
        <v>0</v>
      </c>
      <c r="D8" s="371">
        <f t="shared" ref="D8:D53" si="4">B8-C8</f>
        <v>0</v>
      </c>
      <c r="E8" s="408">
        <f>0</f>
        <v>0</v>
      </c>
      <c r="F8" s="351">
        <f t="shared" ref="F8:F53" si="5">H7</f>
        <v>0</v>
      </c>
      <c r="G8" s="351">
        <f>0</f>
        <v>0</v>
      </c>
      <c r="H8" s="351">
        <f t="shared" si="1"/>
        <v>0</v>
      </c>
      <c r="I8" s="352">
        <f t="shared" si="2"/>
        <v>0</v>
      </c>
    </row>
    <row r="9" spans="1:9" ht="14.4">
      <c r="A9" s="345">
        <v>45869</v>
      </c>
      <c r="B9" s="351">
        <f t="shared" si="0"/>
        <v>0</v>
      </c>
      <c r="C9" s="371">
        <f t="shared" si="3"/>
        <v>0</v>
      </c>
      <c r="D9" s="371">
        <f t="shared" si="4"/>
        <v>0</v>
      </c>
      <c r="E9" s="408">
        <f>0</f>
        <v>0</v>
      </c>
      <c r="F9" s="351">
        <f t="shared" si="5"/>
        <v>0</v>
      </c>
      <c r="G9" s="351">
        <f>0</f>
        <v>0</v>
      </c>
      <c r="H9" s="351">
        <f t="shared" si="1"/>
        <v>0</v>
      </c>
      <c r="I9" s="352">
        <f t="shared" si="2"/>
        <v>0</v>
      </c>
    </row>
    <row r="10" spans="1:9" ht="14.4">
      <c r="A10" s="345">
        <v>45900</v>
      </c>
      <c r="B10" s="351">
        <f t="shared" si="0"/>
        <v>0</v>
      </c>
      <c r="C10" s="371">
        <f t="shared" si="3"/>
        <v>0</v>
      </c>
      <c r="D10" s="371">
        <f t="shared" si="4"/>
        <v>0</v>
      </c>
      <c r="E10" s="408">
        <f>0</f>
        <v>0</v>
      </c>
      <c r="F10" s="351">
        <f t="shared" si="5"/>
        <v>0</v>
      </c>
      <c r="G10" s="351">
        <f>0</f>
        <v>0</v>
      </c>
      <c r="H10" s="351">
        <f t="shared" si="1"/>
        <v>0</v>
      </c>
      <c r="I10" s="352">
        <f t="shared" si="2"/>
        <v>0</v>
      </c>
    </row>
    <row r="11" spans="1:9" ht="14.4">
      <c r="A11" s="345">
        <v>45930</v>
      </c>
      <c r="B11" s="351">
        <f t="shared" si="0"/>
        <v>0</v>
      </c>
      <c r="C11" s="371">
        <f t="shared" si="3"/>
        <v>0</v>
      </c>
      <c r="D11" s="371">
        <f t="shared" si="4"/>
        <v>0</v>
      </c>
      <c r="E11" s="408">
        <f>0</f>
        <v>0</v>
      </c>
      <c r="F11" s="351">
        <f t="shared" si="5"/>
        <v>0</v>
      </c>
      <c r="G11" s="351">
        <f>0</f>
        <v>0</v>
      </c>
      <c r="H11" s="351">
        <f t="shared" si="1"/>
        <v>0</v>
      </c>
      <c r="I11" s="352">
        <f t="shared" si="2"/>
        <v>0</v>
      </c>
    </row>
    <row r="12" spans="1:9" ht="14.4">
      <c r="A12" s="345">
        <v>45961</v>
      </c>
      <c r="B12" s="351">
        <f t="shared" si="0"/>
        <v>0</v>
      </c>
      <c r="C12" s="371">
        <f t="shared" si="3"/>
        <v>0</v>
      </c>
      <c r="D12" s="371">
        <f t="shared" si="4"/>
        <v>0</v>
      </c>
      <c r="E12" s="408">
        <f>0</f>
        <v>0</v>
      </c>
      <c r="F12" s="351">
        <f t="shared" si="5"/>
        <v>0</v>
      </c>
      <c r="G12" s="351">
        <f>0</f>
        <v>0</v>
      </c>
      <c r="H12" s="351">
        <f t="shared" si="1"/>
        <v>0</v>
      </c>
      <c r="I12" s="352">
        <f t="shared" si="2"/>
        <v>0</v>
      </c>
    </row>
    <row r="13" spans="1:9" ht="14.4">
      <c r="A13" s="345">
        <v>45991</v>
      </c>
      <c r="B13" s="351">
        <f t="shared" si="0"/>
        <v>0</v>
      </c>
      <c r="C13" s="371">
        <f t="shared" si="3"/>
        <v>0</v>
      </c>
      <c r="D13" s="371">
        <f t="shared" si="4"/>
        <v>0</v>
      </c>
      <c r="E13" s="408">
        <f>0</f>
        <v>0</v>
      </c>
      <c r="F13" s="351">
        <f t="shared" si="5"/>
        <v>0</v>
      </c>
      <c r="G13" s="351">
        <f>0</f>
        <v>0</v>
      </c>
      <c r="H13" s="351">
        <f t="shared" si="1"/>
        <v>0</v>
      </c>
      <c r="I13" s="352">
        <f t="shared" si="2"/>
        <v>0</v>
      </c>
    </row>
    <row r="14" spans="1:9" ht="14.4">
      <c r="A14" s="345">
        <v>46022</v>
      </c>
      <c r="B14" s="351">
        <f t="shared" si="0"/>
        <v>0</v>
      </c>
      <c r="C14" s="371">
        <f t="shared" si="3"/>
        <v>0</v>
      </c>
      <c r="D14" s="371">
        <f t="shared" si="4"/>
        <v>0</v>
      </c>
      <c r="E14" s="408">
        <f>0</f>
        <v>0</v>
      </c>
      <c r="F14" s="351">
        <f t="shared" si="5"/>
        <v>0</v>
      </c>
      <c r="G14" s="351">
        <f>0</f>
        <v>0</v>
      </c>
      <c r="H14" s="351">
        <f t="shared" si="1"/>
        <v>0</v>
      </c>
      <c r="I14" s="352">
        <f t="shared" si="2"/>
        <v>0</v>
      </c>
    </row>
    <row r="15" spans="1:9" ht="14.4">
      <c r="A15" s="345">
        <v>46053</v>
      </c>
      <c r="B15" s="351">
        <f t="shared" si="0"/>
        <v>0</v>
      </c>
      <c r="C15" s="371">
        <f t="shared" si="3"/>
        <v>0</v>
      </c>
      <c r="D15" s="371">
        <f t="shared" si="4"/>
        <v>0</v>
      </c>
      <c r="E15" s="408">
        <f>0</f>
        <v>0</v>
      </c>
      <c r="F15" s="351">
        <f t="shared" si="5"/>
        <v>0</v>
      </c>
      <c r="G15" s="351">
        <f>0</f>
        <v>0</v>
      </c>
      <c r="H15" s="351">
        <f t="shared" si="1"/>
        <v>0</v>
      </c>
      <c r="I15" s="352">
        <f t="shared" si="2"/>
        <v>0</v>
      </c>
    </row>
    <row r="16" spans="1:9" ht="14.4">
      <c r="A16" s="345">
        <v>46081</v>
      </c>
      <c r="B16" s="351">
        <f t="shared" si="0"/>
        <v>0</v>
      </c>
      <c r="C16" s="371">
        <f t="shared" si="3"/>
        <v>0</v>
      </c>
      <c r="D16" s="371">
        <f t="shared" si="4"/>
        <v>0</v>
      </c>
      <c r="E16" s="408">
        <f>0</f>
        <v>0</v>
      </c>
      <c r="F16" s="351">
        <f t="shared" si="5"/>
        <v>0</v>
      </c>
      <c r="G16" s="351">
        <f>0</f>
        <v>0</v>
      </c>
      <c r="H16" s="351">
        <f t="shared" si="1"/>
        <v>0</v>
      </c>
      <c r="I16" s="352">
        <f t="shared" si="2"/>
        <v>0</v>
      </c>
    </row>
    <row r="17" spans="1:9" ht="14.4">
      <c r="A17" s="345">
        <v>46112</v>
      </c>
      <c r="B17" s="351">
        <f t="shared" si="0"/>
        <v>0</v>
      </c>
      <c r="C17" s="371">
        <f t="shared" si="3"/>
        <v>0</v>
      </c>
      <c r="D17" s="371">
        <f t="shared" si="4"/>
        <v>0</v>
      </c>
      <c r="E17" s="408">
        <f>0</f>
        <v>0</v>
      </c>
      <c r="F17" s="351">
        <f t="shared" si="5"/>
        <v>0</v>
      </c>
      <c r="G17" s="351">
        <f>0</f>
        <v>0</v>
      </c>
      <c r="H17" s="351">
        <f t="shared" si="1"/>
        <v>0</v>
      </c>
      <c r="I17" s="352">
        <f t="shared" si="2"/>
        <v>0</v>
      </c>
    </row>
    <row r="18" spans="1:9" ht="14.4">
      <c r="A18" s="345">
        <v>46142</v>
      </c>
      <c r="B18" s="351">
        <f t="shared" si="0"/>
        <v>0</v>
      </c>
      <c r="C18" s="371">
        <f t="shared" si="3"/>
        <v>0</v>
      </c>
      <c r="D18" s="371">
        <f t="shared" si="4"/>
        <v>0</v>
      </c>
      <c r="E18" s="408">
        <f>0</f>
        <v>0</v>
      </c>
      <c r="F18" s="351">
        <f t="shared" si="5"/>
        <v>0</v>
      </c>
      <c r="G18" s="351">
        <f>0</f>
        <v>0</v>
      </c>
      <c r="H18" s="351">
        <f t="shared" si="1"/>
        <v>0</v>
      </c>
      <c r="I18" s="352">
        <f t="shared" si="2"/>
        <v>0</v>
      </c>
    </row>
    <row r="19" spans="1:9" ht="14.4">
      <c r="A19" s="345">
        <v>46173</v>
      </c>
      <c r="B19" s="351">
        <f t="shared" si="0"/>
        <v>0</v>
      </c>
      <c r="C19" s="371">
        <f t="shared" si="3"/>
        <v>0</v>
      </c>
      <c r="D19" s="371">
        <f t="shared" si="4"/>
        <v>0</v>
      </c>
      <c r="E19" s="408">
        <f>0</f>
        <v>0</v>
      </c>
      <c r="F19" s="351">
        <f t="shared" si="5"/>
        <v>0</v>
      </c>
      <c r="G19" s="351">
        <f>0</f>
        <v>0</v>
      </c>
      <c r="H19" s="351">
        <f t="shared" si="1"/>
        <v>0</v>
      </c>
      <c r="I19" s="352">
        <f t="shared" si="2"/>
        <v>0</v>
      </c>
    </row>
    <row r="20" spans="1:9" ht="14.4">
      <c r="A20" s="345">
        <v>46203</v>
      </c>
      <c r="B20" s="351">
        <f t="shared" si="0"/>
        <v>0</v>
      </c>
      <c r="C20" s="371">
        <f t="shared" si="3"/>
        <v>0</v>
      </c>
      <c r="D20" s="371">
        <f t="shared" si="4"/>
        <v>0</v>
      </c>
      <c r="E20" s="408">
        <f>0</f>
        <v>0</v>
      </c>
      <c r="F20" s="351">
        <f t="shared" si="5"/>
        <v>0</v>
      </c>
      <c r="G20" s="351">
        <f>0</f>
        <v>0</v>
      </c>
      <c r="H20" s="351">
        <f t="shared" si="1"/>
        <v>0</v>
      </c>
      <c r="I20" s="352">
        <f t="shared" si="2"/>
        <v>0</v>
      </c>
    </row>
    <row r="21" spans="1:9" ht="14.4">
      <c r="A21" s="345">
        <v>46234</v>
      </c>
      <c r="B21" s="351">
        <f t="shared" si="0"/>
        <v>0</v>
      </c>
      <c r="C21" s="371">
        <f t="shared" si="3"/>
        <v>0</v>
      </c>
      <c r="D21" s="371">
        <f t="shared" si="4"/>
        <v>0</v>
      </c>
      <c r="E21" s="408">
        <f>0</f>
        <v>0</v>
      </c>
      <c r="F21" s="351">
        <f t="shared" si="5"/>
        <v>0</v>
      </c>
      <c r="G21" s="351">
        <f>0</f>
        <v>0</v>
      </c>
      <c r="H21" s="351">
        <f t="shared" si="1"/>
        <v>0</v>
      </c>
      <c r="I21" s="352">
        <f t="shared" si="2"/>
        <v>0</v>
      </c>
    </row>
    <row r="22" spans="1:9" ht="14.4">
      <c r="A22" s="345">
        <v>46265</v>
      </c>
      <c r="B22" s="351">
        <f t="shared" si="0"/>
        <v>0</v>
      </c>
      <c r="C22" s="371">
        <f t="shared" si="3"/>
        <v>0</v>
      </c>
      <c r="D22" s="371">
        <f t="shared" si="4"/>
        <v>0</v>
      </c>
      <c r="E22" s="408">
        <f>0</f>
        <v>0</v>
      </c>
      <c r="F22" s="351">
        <f t="shared" si="5"/>
        <v>0</v>
      </c>
      <c r="G22" s="351">
        <f>0</f>
        <v>0</v>
      </c>
      <c r="H22" s="351">
        <f t="shared" si="1"/>
        <v>0</v>
      </c>
      <c r="I22" s="352">
        <f t="shared" si="2"/>
        <v>0</v>
      </c>
    </row>
    <row r="23" spans="1:9" ht="14.4">
      <c r="A23" s="345">
        <v>46295</v>
      </c>
      <c r="B23" s="351">
        <f t="shared" si="0"/>
        <v>0</v>
      </c>
      <c r="C23" s="371">
        <f t="shared" si="3"/>
        <v>0</v>
      </c>
      <c r="D23" s="371">
        <f t="shared" si="4"/>
        <v>0</v>
      </c>
      <c r="E23" s="408">
        <f>0</f>
        <v>0</v>
      </c>
      <c r="F23" s="351">
        <f t="shared" si="5"/>
        <v>0</v>
      </c>
      <c r="G23" s="351">
        <f>0</f>
        <v>0</v>
      </c>
      <c r="H23" s="351">
        <f t="shared" si="1"/>
        <v>0</v>
      </c>
      <c r="I23" s="352">
        <f t="shared" si="2"/>
        <v>0</v>
      </c>
    </row>
    <row r="24" spans="1:9" ht="14.4">
      <c r="A24" s="345">
        <v>46326</v>
      </c>
      <c r="B24" s="351">
        <f t="shared" si="0"/>
        <v>0</v>
      </c>
      <c r="C24" s="371">
        <f t="shared" si="3"/>
        <v>0</v>
      </c>
      <c r="D24" s="371">
        <f t="shared" si="4"/>
        <v>0</v>
      </c>
      <c r="E24" s="408">
        <f>0</f>
        <v>0</v>
      </c>
      <c r="F24" s="351">
        <f t="shared" si="5"/>
        <v>0</v>
      </c>
      <c r="G24" s="351">
        <f>0</f>
        <v>0</v>
      </c>
      <c r="H24" s="351">
        <f t="shared" si="1"/>
        <v>0</v>
      </c>
      <c r="I24" s="352">
        <f t="shared" si="2"/>
        <v>0</v>
      </c>
    </row>
    <row r="25" spans="1:9" ht="14.4">
      <c r="A25" s="345">
        <v>46356</v>
      </c>
      <c r="B25" s="351">
        <f t="shared" si="0"/>
        <v>0</v>
      </c>
      <c r="C25" s="371">
        <f t="shared" si="3"/>
        <v>0</v>
      </c>
      <c r="D25" s="371">
        <f t="shared" si="4"/>
        <v>0</v>
      </c>
      <c r="E25" s="408">
        <f>0</f>
        <v>0</v>
      </c>
      <c r="F25" s="351">
        <f t="shared" si="5"/>
        <v>0</v>
      </c>
      <c r="G25" s="351">
        <f>0</f>
        <v>0</v>
      </c>
      <c r="H25" s="351">
        <f t="shared" si="1"/>
        <v>0</v>
      </c>
      <c r="I25" s="352">
        <f t="shared" si="2"/>
        <v>0</v>
      </c>
    </row>
    <row r="26" spans="1:9" ht="14.4">
      <c r="A26" s="345">
        <v>46387</v>
      </c>
      <c r="B26" s="351">
        <f t="shared" si="0"/>
        <v>0</v>
      </c>
      <c r="C26" s="371">
        <f t="shared" si="3"/>
        <v>0</v>
      </c>
      <c r="D26" s="371">
        <f t="shared" si="4"/>
        <v>0</v>
      </c>
      <c r="E26" s="408">
        <f>0</f>
        <v>0</v>
      </c>
      <c r="F26" s="351">
        <f t="shared" si="5"/>
        <v>0</v>
      </c>
      <c r="G26" s="351">
        <f>0</f>
        <v>0</v>
      </c>
      <c r="H26" s="351">
        <f t="shared" si="1"/>
        <v>0</v>
      </c>
      <c r="I26" s="352">
        <f t="shared" si="2"/>
        <v>0</v>
      </c>
    </row>
    <row r="27" spans="1:9" ht="14.4">
      <c r="A27" s="345">
        <v>46418</v>
      </c>
      <c r="B27" s="351">
        <f t="shared" si="0"/>
        <v>0</v>
      </c>
      <c r="C27" s="371">
        <f t="shared" si="3"/>
        <v>0</v>
      </c>
      <c r="D27" s="371">
        <f t="shared" si="4"/>
        <v>0</v>
      </c>
      <c r="E27" s="408">
        <f>0</f>
        <v>0</v>
      </c>
      <c r="F27" s="351">
        <f t="shared" si="5"/>
        <v>0</v>
      </c>
      <c r="G27" s="351">
        <f>0</f>
        <v>0</v>
      </c>
      <c r="H27" s="351">
        <f t="shared" si="1"/>
        <v>0</v>
      </c>
      <c r="I27" s="352">
        <f t="shared" si="2"/>
        <v>0</v>
      </c>
    </row>
    <row r="28" spans="1:9" ht="14.4">
      <c r="A28" s="345">
        <v>46446</v>
      </c>
      <c r="B28" s="351">
        <f t="shared" si="0"/>
        <v>0</v>
      </c>
      <c r="C28" s="371">
        <f t="shared" si="3"/>
        <v>0</v>
      </c>
      <c r="D28" s="371">
        <f t="shared" si="4"/>
        <v>0</v>
      </c>
      <c r="E28" s="408">
        <f>0</f>
        <v>0</v>
      </c>
      <c r="F28" s="351">
        <f t="shared" si="5"/>
        <v>0</v>
      </c>
      <c r="G28" s="351">
        <f>0</f>
        <v>0</v>
      </c>
      <c r="H28" s="351">
        <f t="shared" si="1"/>
        <v>0</v>
      </c>
      <c r="I28" s="352">
        <f t="shared" si="2"/>
        <v>0</v>
      </c>
    </row>
    <row r="29" spans="1:9" ht="14.4">
      <c r="A29" s="345">
        <v>46477</v>
      </c>
      <c r="B29" s="351">
        <f t="shared" si="0"/>
        <v>0</v>
      </c>
      <c r="C29" s="371">
        <f t="shared" si="3"/>
        <v>0</v>
      </c>
      <c r="D29" s="371">
        <f t="shared" si="4"/>
        <v>0</v>
      </c>
      <c r="E29" s="408">
        <f>0</f>
        <v>0</v>
      </c>
      <c r="F29" s="351">
        <f t="shared" si="5"/>
        <v>0</v>
      </c>
      <c r="G29" s="351">
        <f>0</f>
        <v>0</v>
      </c>
      <c r="H29" s="351">
        <f t="shared" si="1"/>
        <v>0</v>
      </c>
      <c r="I29" s="352">
        <f t="shared" si="2"/>
        <v>0</v>
      </c>
    </row>
    <row r="30" spans="1:9" ht="14.4">
      <c r="A30" s="345">
        <v>46507</v>
      </c>
      <c r="B30" s="351">
        <f t="shared" si="0"/>
        <v>0</v>
      </c>
      <c r="C30" s="371">
        <f t="shared" si="3"/>
        <v>0</v>
      </c>
      <c r="D30" s="371">
        <f t="shared" si="4"/>
        <v>0</v>
      </c>
      <c r="E30" s="408">
        <f>0</f>
        <v>0</v>
      </c>
      <c r="F30" s="351">
        <f t="shared" si="5"/>
        <v>0</v>
      </c>
      <c r="G30" s="351">
        <f>0</f>
        <v>0</v>
      </c>
      <c r="H30" s="351">
        <f t="shared" si="1"/>
        <v>0</v>
      </c>
      <c r="I30" s="352">
        <f t="shared" si="2"/>
        <v>0</v>
      </c>
    </row>
    <row r="31" spans="1:9" ht="14.4">
      <c r="A31" s="345">
        <v>46538</v>
      </c>
      <c r="B31" s="351">
        <f t="shared" si="0"/>
        <v>0</v>
      </c>
      <c r="C31" s="371">
        <f t="shared" si="3"/>
        <v>0</v>
      </c>
      <c r="D31" s="371">
        <f t="shared" si="4"/>
        <v>0</v>
      </c>
      <c r="E31" s="408">
        <f>0</f>
        <v>0</v>
      </c>
      <c r="F31" s="351">
        <f t="shared" si="5"/>
        <v>0</v>
      </c>
      <c r="G31" s="351">
        <f>0</f>
        <v>0</v>
      </c>
      <c r="H31" s="351">
        <f t="shared" si="1"/>
        <v>0</v>
      </c>
      <c r="I31" s="352">
        <f t="shared" si="2"/>
        <v>0</v>
      </c>
    </row>
    <row r="32" spans="1:9" ht="14.4">
      <c r="A32" s="345">
        <v>46568</v>
      </c>
      <c r="B32" s="351">
        <f t="shared" si="0"/>
        <v>0</v>
      </c>
      <c r="C32" s="371">
        <f t="shared" si="3"/>
        <v>0</v>
      </c>
      <c r="D32" s="371">
        <f t="shared" si="4"/>
        <v>0</v>
      </c>
      <c r="E32" s="408">
        <f>0</f>
        <v>0</v>
      </c>
      <c r="F32" s="351">
        <f t="shared" si="5"/>
        <v>0</v>
      </c>
      <c r="G32" s="351">
        <f>0</f>
        <v>0</v>
      </c>
      <c r="H32" s="351">
        <f t="shared" si="1"/>
        <v>0</v>
      </c>
      <c r="I32" s="352">
        <f t="shared" si="2"/>
        <v>0</v>
      </c>
    </row>
    <row r="33" spans="1:9" ht="14.4">
      <c r="A33" s="345">
        <v>46599</v>
      </c>
      <c r="B33" s="351">
        <f t="shared" si="0"/>
        <v>0</v>
      </c>
      <c r="C33" s="371">
        <f t="shared" si="3"/>
        <v>0</v>
      </c>
      <c r="D33" s="371">
        <f t="shared" si="4"/>
        <v>0</v>
      </c>
      <c r="E33" s="408">
        <f>0</f>
        <v>0</v>
      </c>
      <c r="F33" s="351">
        <f t="shared" si="5"/>
        <v>0</v>
      </c>
      <c r="G33" s="351">
        <f>0</f>
        <v>0</v>
      </c>
      <c r="H33" s="351">
        <f t="shared" si="1"/>
        <v>0</v>
      </c>
      <c r="I33" s="352">
        <f t="shared" si="2"/>
        <v>0</v>
      </c>
    </row>
    <row r="34" spans="1:9" ht="14.4">
      <c r="A34" s="345">
        <v>46630</v>
      </c>
      <c r="B34" s="351">
        <f t="shared" si="0"/>
        <v>0</v>
      </c>
      <c r="C34" s="371">
        <f t="shared" si="3"/>
        <v>0</v>
      </c>
      <c r="D34" s="371">
        <f t="shared" si="4"/>
        <v>0</v>
      </c>
      <c r="E34" s="408">
        <f>0</f>
        <v>0</v>
      </c>
      <c r="F34" s="351">
        <f t="shared" si="5"/>
        <v>0</v>
      </c>
      <c r="G34" s="351">
        <f>0</f>
        <v>0</v>
      </c>
      <c r="H34" s="351">
        <f t="shared" si="1"/>
        <v>0</v>
      </c>
      <c r="I34" s="352">
        <f t="shared" si="2"/>
        <v>0</v>
      </c>
    </row>
    <row r="35" spans="1:9" ht="14.4">
      <c r="A35" s="345">
        <v>46660</v>
      </c>
      <c r="B35" s="351">
        <f t="shared" ref="B35:B53" si="6">D34</f>
        <v>0</v>
      </c>
      <c r="C35" s="371">
        <f t="shared" si="3"/>
        <v>0</v>
      </c>
      <c r="D35" s="371">
        <f t="shared" si="4"/>
        <v>0</v>
      </c>
      <c r="E35" s="408">
        <f>0</f>
        <v>0</v>
      </c>
      <c r="F35" s="351">
        <f t="shared" si="5"/>
        <v>0</v>
      </c>
      <c r="G35" s="351">
        <f>0</f>
        <v>0</v>
      </c>
      <c r="H35" s="351">
        <f t="shared" si="1"/>
        <v>0</v>
      </c>
      <c r="I35" s="352">
        <f t="shared" si="2"/>
        <v>0</v>
      </c>
    </row>
    <row r="36" spans="1:9" ht="14.4">
      <c r="A36" s="345">
        <v>46691</v>
      </c>
      <c r="B36" s="351">
        <f t="shared" si="6"/>
        <v>0</v>
      </c>
      <c r="C36" s="371">
        <f t="shared" si="3"/>
        <v>0</v>
      </c>
      <c r="D36" s="371">
        <f t="shared" si="4"/>
        <v>0</v>
      </c>
      <c r="E36" s="408">
        <f>0</f>
        <v>0</v>
      </c>
      <c r="F36" s="351">
        <f t="shared" si="5"/>
        <v>0</v>
      </c>
      <c r="G36" s="351">
        <f>0</f>
        <v>0</v>
      </c>
      <c r="H36" s="351">
        <f t="shared" si="1"/>
        <v>0</v>
      </c>
      <c r="I36" s="352">
        <f t="shared" si="2"/>
        <v>0</v>
      </c>
    </row>
    <row r="37" spans="1:9" ht="14.4">
      <c r="A37" s="345">
        <v>46721</v>
      </c>
      <c r="B37" s="351">
        <f t="shared" si="6"/>
        <v>0</v>
      </c>
      <c r="C37" s="371">
        <f t="shared" si="3"/>
        <v>0</v>
      </c>
      <c r="D37" s="371">
        <f t="shared" si="4"/>
        <v>0</v>
      </c>
      <c r="E37" s="408">
        <f>0</f>
        <v>0</v>
      </c>
      <c r="F37" s="351">
        <f t="shared" si="5"/>
        <v>0</v>
      </c>
      <c r="G37" s="351">
        <f>0</f>
        <v>0</v>
      </c>
      <c r="H37" s="351">
        <f t="shared" si="1"/>
        <v>0</v>
      </c>
      <c r="I37" s="352">
        <f t="shared" si="2"/>
        <v>0</v>
      </c>
    </row>
    <row r="38" spans="1:9" ht="14.4">
      <c r="A38" s="345">
        <v>46752</v>
      </c>
      <c r="B38" s="351">
        <f t="shared" si="6"/>
        <v>0</v>
      </c>
      <c r="C38" s="371">
        <f t="shared" si="3"/>
        <v>0</v>
      </c>
      <c r="D38" s="371">
        <f t="shared" si="4"/>
        <v>0</v>
      </c>
      <c r="E38" s="408">
        <f>0</f>
        <v>0</v>
      </c>
      <c r="F38" s="351">
        <f t="shared" si="5"/>
        <v>0</v>
      </c>
      <c r="G38" s="351">
        <f>0</f>
        <v>0</v>
      </c>
      <c r="H38" s="351">
        <f t="shared" si="1"/>
        <v>0</v>
      </c>
      <c r="I38" s="352">
        <f t="shared" si="2"/>
        <v>0</v>
      </c>
    </row>
    <row r="39" spans="1:9" ht="14.4">
      <c r="A39" s="345">
        <v>46783</v>
      </c>
      <c r="B39" s="351">
        <f t="shared" si="6"/>
        <v>0</v>
      </c>
      <c r="C39" s="371">
        <f t="shared" si="3"/>
        <v>0</v>
      </c>
      <c r="D39" s="371">
        <f t="shared" si="4"/>
        <v>0</v>
      </c>
      <c r="E39" s="408">
        <f>0</f>
        <v>0</v>
      </c>
      <c r="F39" s="351">
        <f t="shared" si="5"/>
        <v>0</v>
      </c>
      <c r="G39" s="351">
        <f>0</f>
        <v>0</v>
      </c>
      <c r="H39" s="351">
        <f t="shared" si="1"/>
        <v>0</v>
      </c>
      <c r="I39" s="352">
        <f t="shared" si="2"/>
        <v>0</v>
      </c>
    </row>
    <row r="40" spans="1:9" ht="14.4">
      <c r="A40" s="345">
        <v>46812</v>
      </c>
      <c r="B40" s="351">
        <f t="shared" si="6"/>
        <v>0</v>
      </c>
      <c r="C40" s="371">
        <f t="shared" si="3"/>
        <v>0</v>
      </c>
      <c r="D40" s="371">
        <f t="shared" si="4"/>
        <v>0</v>
      </c>
      <c r="E40" s="408">
        <f>0</f>
        <v>0</v>
      </c>
      <c r="F40" s="351">
        <f t="shared" si="5"/>
        <v>0</v>
      </c>
      <c r="G40" s="351">
        <f>0</f>
        <v>0</v>
      </c>
      <c r="H40" s="351">
        <f t="shared" si="1"/>
        <v>0</v>
      </c>
      <c r="I40" s="352">
        <f t="shared" si="2"/>
        <v>0</v>
      </c>
    </row>
    <row r="41" spans="1:9" ht="14.4">
      <c r="A41" s="345">
        <v>46843</v>
      </c>
      <c r="B41" s="351">
        <f t="shared" si="6"/>
        <v>0</v>
      </c>
      <c r="C41" s="371">
        <f t="shared" si="3"/>
        <v>0</v>
      </c>
      <c r="D41" s="371">
        <f t="shared" si="4"/>
        <v>0</v>
      </c>
      <c r="E41" s="408">
        <f>0</f>
        <v>0</v>
      </c>
      <c r="F41" s="351">
        <f t="shared" si="5"/>
        <v>0</v>
      </c>
      <c r="G41" s="351">
        <f>0</f>
        <v>0</v>
      </c>
      <c r="H41" s="351">
        <f t="shared" si="1"/>
        <v>0</v>
      </c>
      <c r="I41" s="352">
        <f t="shared" si="2"/>
        <v>0</v>
      </c>
    </row>
    <row r="42" spans="1:9" ht="14.4">
      <c r="A42" s="345">
        <v>46873</v>
      </c>
      <c r="B42" s="351">
        <f t="shared" si="6"/>
        <v>0</v>
      </c>
      <c r="C42" s="371">
        <f t="shared" si="3"/>
        <v>0</v>
      </c>
      <c r="D42" s="371">
        <f t="shared" si="4"/>
        <v>0</v>
      </c>
      <c r="E42" s="408">
        <f>0</f>
        <v>0</v>
      </c>
      <c r="F42" s="351">
        <f t="shared" si="5"/>
        <v>0</v>
      </c>
      <c r="G42" s="351">
        <f>0</f>
        <v>0</v>
      </c>
      <c r="H42" s="351">
        <f t="shared" si="1"/>
        <v>0</v>
      </c>
      <c r="I42" s="352">
        <f t="shared" si="2"/>
        <v>0</v>
      </c>
    </row>
    <row r="43" spans="1:9" ht="14.4">
      <c r="A43" s="345">
        <v>46904</v>
      </c>
      <c r="B43" s="351">
        <f t="shared" si="6"/>
        <v>0</v>
      </c>
      <c r="C43" s="371">
        <f t="shared" si="3"/>
        <v>0</v>
      </c>
      <c r="D43" s="371">
        <f t="shared" si="4"/>
        <v>0</v>
      </c>
      <c r="E43" s="408">
        <f>0</f>
        <v>0</v>
      </c>
      <c r="F43" s="351">
        <f t="shared" si="5"/>
        <v>0</v>
      </c>
      <c r="G43" s="351">
        <f>0</f>
        <v>0</v>
      </c>
      <c r="H43" s="351">
        <f t="shared" si="1"/>
        <v>0</v>
      </c>
      <c r="I43" s="352">
        <f t="shared" si="2"/>
        <v>0</v>
      </c>
    </row>
    <row r="44" spans="1:9" ht="14.4">
      <c r="A44" s="345">
        <v>46934</v>
      </c>
      <c r="B44" s="351">
        <f t="shared" si="6"/>
        <v>0</v>
      </c>
      <c r="C44" s="371">
        <f t="shared" si="3"/>
        <v>0</v>
      </c>
      <c r="D44" s="371">
        <f t="shared" si="4"/>
        <v>0</v>
      </c>
      <c r="E44" s="408">
        <f>0</f>
        <v>0</v>
      </c>
      <c r="F44" s="351">
        <f t="shared" si="5"/>
        <v>0</v>
      </c>
      <c r="G44" s="351">
        <f>0</f>
        <v>0</v>
      </c>
      <c r="H44" s="351">
        <f t="shared" si="1"/>
        <v>0</v>
      </c>
      <c r="I44" s="352">
        <f t="shared" si="2"/>
        <v>0</v>
      </c>
    </row>
    <row r="45" spans="1:9" ht="14.4">
      <c r="A45" s="345">
        <v>46965</v>
      </c>
      <c r="B45" s="351">
        <f t="shared" si="6"/>
        <v>0</v>
      </c>
      <c r="C45" s="371">
        <f t="shared" si="3"/>
        <v>0</v>
      </c>
      <c r="D45" s="371">
        <f t="shared" si="4"/>
        <v>0</v>
      </c>
      <c r="E45" s="408">
        <f>0</f>
        <v>0</v>
      </c>
      <c r="F45" s="351">
        <f t="shared" si="5"/>
        <v>0</v>
      </c>
      <c r="G45" s="351">
        <f>0</f>
        <v>0</v>
      </c>
      <c r="H45" s="351">
        <f t="shared" si="1"/>
        <v>0</v>
      </c>
      <c r="I45" s="352">
        <f t="shared" si="2"/>
        <v>0</v>
      </c>
    </row>
    <row r="46" spans="1:9" ht="14.4">
      <c r="A46" s="345">
        <v>46996</v>
      </c>
      <c r="B46" s="351">
        <f t="shared" si="6"/>
        <v>0</v>
      </c>
      <c r="C46" s="371">
        <f t="shared" si="3"/>
        <v>0</v>
      </c>
      <c r="D46" s="371">
        <f t="shared" si="4"/>
        <v>0</v>
      </c>
      <c r="E46" s="408">
        <f>0</f>
        <v>0</v>
      </c>
      <c r="F46" s="351">
        <f t="shared" si="5"/>
        <v>0</v>
      </c>
      <c r="G46" s="351">
        <f>0</f>
        <v>0</v>
      </c>
      <c r="H46" s="351">
        <f t="shared" si="1"/>
        <v>0</v>
      </c>
      <c r="I46" s="352">
        <f t="shared" si="2"/>
        <v>0</v>
      </c>
    </row>
    <row r="47" spans="1:9" ht="14.4">
      <c r="A47" s="345">
        <v>47026</v>
      </c>
      <c r="B47" s="351">
        <f t="shared" si="6"/>
        <v>0</v>
      </c>
      <c r="C47" s="371">
        <f t="shared" si="3"/>
        <v>0</v>
      </c>
      <c r="D47" s="371">
        <f t="shared" si="4"/>
        <v>0</v>
      </c>
      <c r="E47" s="408">
        <f>0</f>
        <v>0</v>
      </c>
      <c r="F47" s="351">
        <f t="shared" si="5"/>
        <v>0</v>
      </c>
      <c r="G47" s="351">
        <f>0</f>
        <v>0</v>
      </c>
      <c r="H47" s="351">
        <f t="shared" si="1"/>
        <v>0</v>
      </c>
      <c r="I47" s="352">
        <f t="shared" si="2"/>
        <v>0</v>
      </c>
    </row>
    <row r="48" spans="1:9" ht="14.4">
      <c r="A48" s="345">
        <v>47057</v>
      </c>
      <c r="B48" s="351">
        <f t="shared" si="6"/>
        <v>0</v>
      </c>
      <c r="C48" s="371">
        <f t="shared" si="3"/>
        <v>0</v>
      </c>
      <c r="D48" s="371">
        <f t="shared" si="4"/>
        <v>0</v>
      </c>
      <c r="E48" s="408">
        <f>0</f>
        <v>0</v>
      </c>
      <c r="F48" s="351">
        <f t="shared" si="5"/>
        <v>0</v>
      </c>
      <c r="G48" s="351">
        <f>0</f>
        <v>0</v>
      </c>
      <c r="H48" s="351">
        <f t="shared" si="1"/>
        <v>0</v>
      </c>
      <c r="I48" s="352">
        <f t="shared" si="2"/>
        <v>0</v>
      </c>
    </row>
    <row r="49" spans="1:9" ht="14.4">
      <c r="A49" s="345">
        <v>47087</v>
      </c>
      <c r="B49" s="351">
        <f t="shared" si="6"/>
        <v>0</v>
      </c>
      <c r="C49" s="371">
        <f t="shared" si="3"/>
        <v>0</v>
      </c>
      <c r="D49" s="371">
        <f t="shared" si="4"/>
        <v>0</v>
      </c>
      <c r="E49" s="408">
        <f>0</f>
        <v>0</v>
      </c>
      <c r="F49" s="351">
        <f t="shared" si="5"/>
        <v>0</v>
      </c>
      <c r="G49" s="351">
        <f>0</f>
        <v>0</v>
      </c>
      <c r="H49" s="351">
        <f t="shared" si="1"/>
        <v>0</v>
      </c>
      <c r="I49" s="352">
        <f t="shared" si="2"/>
        <v>0</v>
      </c>
    </row>
    <row r="50" spans="1:9" ht="14.4">
      <c r="A50" s="345">
        <v>47118</v>
      </c>
      <c r="B50" s="351">
        <f t="shared" si="6"/>
        <v>0</v>
      </c>
      <c r="C50" s="371">
        <f t="shared" si="3"/>
        <v>0</v>
      </c>
      <c r="D50" s="371">
        <f t="shared" si="4"/>
        <v>0</v>
      </c>
      <c r="E50" s="408">
        <f>0</f>
        <v>0</v>
      </c>
      <c r="F50" s="351">
        <f t="shared" si="5"/>
        <v>0</v>
      </c>
      <c r="G50" s="351">
        <f>0</f>
        <v>0</v>
      </c>
      <c r="H50" s="351">
        <f t="shared" si="1"/>
        <v>0</v>
      </c>
      <c r="I50" s="352">
        <f t="shared" si="2"/>
        <v>0</v>
      </c>
    </row>
    <row r="51" spans="1:9" ht="14.4">
      <c r="A51" s="345">
        <v>47149</v>
      </c>
      <c r="B51" s="351">
        <f t="shared" si="6"/>
        <v>0</v>
      </c>
      <c r="C51" s="371">
        <f t="shared" si="3"/>
        <v>0</v>
      </c>
      <c r="D51" s="371">
        <f t="shared" si="4"/>
        <v>0</v>
      </c>
      <c r="E51" s="408">
        <f>0</f>
        <v>0</v>
      </c>
      <c r="F51" s="351">
        <f t="shared" si="5"/>
        <v>0</v>
      </c>
      <c r="G51" s="351">
        <f>0</f>
        <v>0</v>
      </c>
      <c r="H51" s="351">
        <f t="shared" si="1"/>
        <v>0</v>
      </c>
      <c r="I51" s="352">
        <f t="shared" si="2"/>
        <v>0</v>
      </c>
    </row>
    <row r="52" spans="1:9" ht="14.4">
      <c r="A52" s="345">
        <v>47177</v>
      </c>
      <c r="B52" s="351">
        <f t="shared" si="6"/>
        <v>0</v>
      </c>
      <c r="C52" s="371">
        <f t="shared" si="3"/>
        <v>0</v>
      </c>
      <c r="D52" s="371">
        <f t="shared" si="4"/>
        <v>0</v>
      </c>
      <c r="E52" s="408">
        <f>0</f>
        <v>0</v>
      </c>
      <c r="F52" s="351">
        <f t="shared" si="5"/>
        <v>0</v>
      </c>
      <c r="G52" s="351">
        <f>0</f>
        <v>0</v>
      </c>
      <c r="H52" s="351">
        <f t="shared" si="1"/>
        <v>0</v>
      </c>
      <c r="I52" s="352">
        <f t="shared" si="2"/>
        <v>0</v>
      </c>
    </row>
    <row r="53" spans="1:9" ht="14.4">
      <c r="A53" s="345">
        <v>47208</v>
      </c>
      <c r="B53" s="351">
        <f t="shared" si="6"/>
        <v>0</v>
      </c>
      <c r="C53" s="371">
        <f t="shared" si="3"/>
        <v>0</v>
      </c>
      <c r="D53" s="371">
        <f t="shared" si="4"/>
        <v>0</v>
      </c>
      <c r="E53" s="408">
        <f>0</f>
        <v>0</v>
      </c>
      <c r="F53" s="351">
        <f t="shared" si="5"/>
        <v>0</v>
      </c>
      <c r="G53" s="351">
        <f>0</f>
        <v>0</v>
      </c>
      <c r="H53" s="351">
        <f t="shared" si="1"/>
        <v>0</v>
      </c>
      <c r="I53" s="352">
        <f t="shared" si="2"/>
        <v>0</v>
      </c>
    </row>
    <row r="54" spans="1:9" ht="14.4">
      <c r="E54" s="371"/>
    </row>
  </sheetData>
  <mergeCells count="2">
    <mergeCell ref="F2:I2"/>
    <mergeCell ref="B2:E2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54DA-0E91-4C6D-869D-60175356BFB2}"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defaultColWidth="9.109375" defaultRowHeight="13.2" outlineLevelCol="1"/>
  <cols>
    <col min="1" max="1" width="45.109375" style="1" customWidth="1"/>
    <col min="2" max="2" width="17.6640625" style="1" customWidth="1"/>
    <col min="3" max="3" width="18.88671875" style="1" customWidth="1"/>
    <col min="4" max="4" width="14.6640625" style="1" customWidth="1"/>
    <col min="5" max="5" width="14.5546875" style="1" customWidth="1"/>
    <col min="6" max="10" width="14.6640625" style="1" customWidth="1"/>
    <col min="11" max="11" width="13.88671875" style="1" customWidth="1"/>
    <col min="12" max="13" width="14.6640625" style="1" customWidth="1" outlineLevel="1"/>
    <col min="14" max="16384" width="9.109375" style="1"/>
  </cols>
  <sheetData>
    <row r="1" spans="1:13" hidden="1">
      <c r="A1" s="1" t="s">
        <v>0</v>
      </c>
    </row>
    <row r="2" spans="1:13" hidden="1">
      <c r="A2" s="1" t="s">
        <v>1</v>
      </c>
    </row>
    <row r="3" spans="1:13" hidden="1">
      <c r="A3" s="1" t="s">
        <v>2</v>
      </c>
    </row>
    <row r="4" spans="1:13" hidden="1">
      <c r="A4" s="1" t="s">
        <v>3</v>
      </c>
    </row>
    <row r="5" spans="1:13" hidden="1">
      <c r="A5" s="1" t="s">
        <v>4</v>
      </c>
    </row>
    <row r="6" spans="1:13">
      <c r="A6" s="391"/>
      <c r="B6" s="395"/>
      <c r="C6" s="396"/>
      <c r="D6" s="397"/>
      <c r="E6" s="2"/>
      <c r="F6" s="383"/>
      <c r="G6" s="3"/>
      <c r="H6" s="3"/>
      <c r="I6" s="3"/>
      <c r="J6" s="3"/>
      <c r="K6" s="3"/>
      <c r="L6" s="3"/>
      <c r="M6" s="3"/>
    </row>
    <row r="7" spans="1:13">
      <c r="A7" s="392" t="s">
        <v>5</v>
      </c>
      <c r="B7" s="398"/>
      <c r="C7" s="389"/>
      <c r="D7" s="399"/>
      <c r="E7" s="389"/>
      <c r="F7" s="390"/>
      <c r="G7" s="4"/>
      <c r="H7" s="4"/>
      <c r="I7" s="4"/>
      <c r="J7" s="4"/>
      <c r="K7" s="4"/>
      <c r="L7" s="4"/>
      <c r="M7" s="4"/>
    </row>
    <row r="8" spans="1:13">
      <c r="A8" s="392" t="s">
        <v>6</v>
      </c>
      <c r="B8" s="400">
        <v>2023</v>
      </c>
      <c r="C8" s="5">
        <f>B8+1</f>
        <v>2024</v>
      </c>
      <c r="D8" s="401">
        <f t="shared" ref="D8:M8" si="0">C8+1</f>
        <v>2025</v>
      </c>
      <c r="E8" s="5">
        <f t="shared" si="0"/>
        <v>2026</v>
      </c>
      <c r="F8" s="6">
        <f t="shared" si="0"/>
        <v>2027</v>
      </c>
      <c r="G8" s="6">
        <f t="shared" si="0"/>
        <v>2028</v>
      </c>
      <c r="H8" s="6">
        <f t="shared" si="0"/>
        <v>2029</v>
      </c>
      <c r="I8" s="6">
        <f t="shared" si="0"/>
        <v>2030</v>
      </c>
      <c r="J8" s="6">
        <f t="shared" si="0"/>
        <v>2031</v>
      </c>
      <c r="K8" s="6">
        <f t="shared" si="0"/>
        <v>2032</v>
      </c>
      <c r="L8" s="6">
        <f t="shared" si="0"/>
        <v>2033</v>
      </c>
      <c r="M8" s="6">
        <f t="shared" si="0"/>
        <v>2034</v>
      </c>
    </row>
    <row r="9" spans="1:13">
      <c r="A9" s="392" t="s">
        <v>7</v>
      </c>
      <c r="B9" s="400">
        <v>12</v>
      </c>
      <c r="C9" s="5">
        <v>12</v>
      </c>
      <c r="D9" s="401">
        <v>12</v>
      </c>
      <c r="E9" s="5">
        <v>12</v>
      </c>
      <c r="F9" s="6">
        <v>12</v>
      </c>
      <c r="G9" s="6">
        <v>12</v>
      </c>
      <c r="H9" s="6">
        <v>12</v>
      </c>
      <c r="I9" s="6">
        <v>12</v>
      </c>
      <c r="J9" s="6">
        <v>12</v>
      </c>
      <c r="K9" s="6">
        <v>12</v>
      </c>
      <c r="L9" s="6">
        <v>12</v>
      </c>
      <c r="M9" s="6">
        <v>12</v>
      </c>
    </row>
    <row r="10" spans="1:13">
      <c r="A10" s="392" t="s">
        <v>8</v>
      </c>
      <c r="B10" s="400" t="s">
        <v>0</v>
      </c>
      <c r="C10" s="5" t="s">
        <v>0</v>
      </c>
      <c r="D10" s="401" t="s">
        <v>1</v>
      </c>
      <c r="E10" s="5" t="s">
        <v>2</v>
      </c>
      <c r="F10" s="384" t="s">
        <v>2</v>
      </c>
      <c r="G10" s="6" t="s">
        <v>2</v>
      </c>
      <c r="H10" s="6" t="s">
        <v>2</v>
      </c>
      <c r="I10" s="6" t="s">
        <v>2</v>
      </c>
      <c r="J10" s="6" t="s">
        <v>2</v>
      </c>
      <c r="K10" s="6" t="s">
        <v>2</v>
      </c>
      <c r="L10" s="6" t="s">
        <v>2</v>
      </c>
      <c r="M10" s="6" t="s">
        <v>2</v>
      </c>
    </row>
    <row r="11" spans="1:13">
      <c r="A11" s="392" t="s">
        <v>9</v>
      </c>
      <c r="B11" s="398" t="s">
        <v>10</v>
      </c>
      <c r="C11" s="389"/>
      <c r="D11" s="399"/>
      <c r="E11" s="389"/>
      <c r="F11" s="390"/>
      <c r="G11" s="4"/>
      <c r="H11" s="4"/>
      <c r="I11" s="4"/>
      <c r="J11" s="4"/>
      <c r="K11" s="4"/>
      <c r="L11" s="4"/>
      <c r="M11" s="4"/>
    </row>
    <row r="12" spans="1:13">
      <c r="A12" s="392" t="s">
        <v>11</v>
      </c>
      <c r="B12" s="398" t="s">
        <v>536</v>
      </c>
      <c r="C12" s="389"/>
      <c r="D12" s="399"/>
      <c r="E12" s="389"/>
      <c r="F12" s="390"/>
      <c r="G12" s="4"/>
      <c r="H12" s="4"/>
      <c r="I12" s="4"/>
      <c r="J12" s="4"/>
      <c r="K12" s="4"/>
      <c r="L12" s="4"/>
      <c r="M12" s="4"/>
    </row>
    <row r="13" spans="1:13">
      <c r="A13" s="392" t="s">
        <v>12</v>
      </c>
      <c r="B13" s="402" t="s">
        <v>586</v>
      </c>
      <c r="C13" s="7"/>
      <c r="D13" s="403"/>
      <c r="E13" s="7"/>
      <c r="F13" s="385"/>
      <c r="G13" s="4"/>
      <c r="H13" s="4"/>
      <c r="I13" s="4"/>
      <c r="J13" s="4"/>
      <c r="K13" s="4"/>
      <c r="L13" s="4"/>
      <c r="M13" s="4"/>
    </row>
    <row r="14" spans="1:13">
      <c r="A14" s="392" t="s">
        <v>13</v>
      </c>
      <c r="B14" s="398"/>
      <c r="C14" s="389"/>
      <c r="D14" s="399"/>
      <c r="E14" s="389"/>
      <c r="F14" s="390"/>
      <c r="G14" s="4"/>
      <c r="H14" s="4"/>
      <c r="I14" s="4"/>
      <c r="J14" s="4"/>
      <c r="K14" s="4"/>
      <c r="L14" s="4"/>
      <c r="M14" s="4"/>
    </row>
    <row r="15" spans="1:13">
      <c r="A15" s="393" t="s">
        <v>14</v>
      </c>
      <c r="B15" s="404" t="s">
        <v>4</v>
      </c>
      <c r="C15" s="405"/>
      <c r="D15" s="406"/>
      <c r="E15" s="8"/>
      <c r="F15" s="386"/>
      <c r="G15" s="9"/>
      <c r="H15" s="9"/>
      <c r="I15" s="9"/>
      <c r="J15" s="9"/>
      <c r="K15" s="9"/>
      <c r="L15" s="9"/>
      <c r="M15" s="9"/>
    </row>
    <row r="16" spans="1:13">
      <c r="A16" s="10"/>
      <c r="D16" s="394"/>
      <c r="E16" s="11"/>
      <c r="F16" s="12"/>
      <c r="G16" s="12"/>
      <c r="H16" s="12"/>
      <c r="I16" s="12"/>
      <c r="J16" s="12"/>
      <c r="K16" s="12"/>
      <c r="L16" s="12"/>
      <c r="M16" s="12"/>
    </row>
    <row r="17" spans="1:13">
      <c r="A17" s="13" t="s">
        <v>15</v>
      </c>
      <c r="B17" s="14"/>
      <c r="C17" s="14"/>
      <c r="D17" s="15"/>
      <c r="E17" s="14"/>
      <c r="F17" s="15"/>
      <c r="G17" s="15"/>
      <c r="H17" s="15"/>
      <c r="I17" s="15"/>
      <c r="J17" s="15"/>
      <c r="K17" s="15"/>
      <c r="L17" s="15"/>
      <c r="M17" s="15"/>
    </row>
    <row r="18" spans="1:13">
      <c r="A18" s="363"/>
      <c r="B18" s="364"/>
      <c r="C18" s="364"/>
      <c r="D18" s="16"/>
      <c r="E18" s="16">
        <f>1.05</f>
        <v>1.05</v>
      </c>
      <c r="F18" s="16">
        <v>1.05</v>
      </c>
      <c r="G18" s="16">
        <v>1.05</v>
      </c>
      <c r="H18" s="16">
        <v>1.05</v>
      </c>
      <c r="I18" s="16">
        <v>1.05</v>
      </c>
      <c r="J18" s="16">
        <v>1.05</v>
      </c>
      <c r="K18" s="16">
        <v>1.05</v>
      </c>
      <c r="L18" s="16">
        <v>1.05</v>
      </c>
      <c r="M18" s="16">
        <v>1.05</v>
      </c>
    </row>
    <row r="19" spans="1:13" ht="12" customHeight="1">
      <c r="A19" s="17" t="s">
        <v>16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>
      <c r="A20" s="19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>
      <c r="A21" s="19" t="s">
        <v>17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>
      <c r="A22" s="21" t="s">
        <v>18</v>
      </c>
      <c r="B22" s="22">
        <f>0</f>
        <v>0</v>
      </c>
      <c r="C22" s="22">
        <f>0</f>
        <v>0</v>
      </c>
      <c r="D22" s="22">
        <f>0</f>
        <v>0</v>
      </c>
      <c r="E22" s="22">
        <v>0</v>
      </c>
      <c r="F22" s="22">
        <v>0</v>
      </c>
      <c r="G22" s="22">
        <v>0</v>
      </c>
      <c r="H22" s="22">
        <v>0</v>
      </c>
      <c r="I22" s="22">
        <f>H22*I$18</f>
        <v>0</v>
      </c>
      <c r="J22" s="22">
        <v>0</v>
      </c>
      <c r="K22" s="22">
        <v>0</v>
      </c>
      <c r="L22" s="22">
        <v>0</v>
      </c>
      <c r="M22" s="22">
        <v>0</v>
      </c>
    </row>
    <row r="23" spans="1:13">
      <c r="A23" s="21" t="s">
        <v>19</v>
      </c>
      <c r="B23" s="343"/>
      <c r="C23" s="343">
        <f>B23*1.05</f>
        <v>0</v>
      </c>
      <c r="D23" s="343">
        <v>0</v>
      </c>
      <c r="E23" s="343">
        <f>D23*1.05</f>
        <v>0</v>
      </c>
      <c r="F23" s="343">
        <f>E23*1.05</f>
        <v>0</v>
      </c>
      <c r="G23" s="343">
        <f>F23*1.05</f>
        <v>0</v>
      </c>
      <c r="H23" s="343">
        <v>0</v>
      </c>
      <c r="I23" s="343">
        <f>H23*1.05</f>
        <v>0</v>
      </c>
      <c r="J23" s="343">
        <v>0</v>
      </c>
      <c r="K23" s="343">
        <v>0</v>
      </c>
      <c r="L23" s="343">
        <v>0</v>
      </c>
      <c r="M23" s="343">
        <v>0</v>
      </c>
    </row>
    <row r="24" spans="1:13">
      <c r="A24" s="23" t="s">
        <v>20</v>
      </c>
      <c r="B24" s="24">
        <f>SUM(B22:B23)</f>
        <v>0</v>
      </c>
      <c r="C24" s="24">
        <f>SUM(C22:C23)</f>
        <v>0</v>
      </c>
      <c r="D24" s="24">
        <f>SUM(D22:D23)</f>
        <v>0</v>
      </c>
      <c r="E24" s="24">
        <f t="shared" ref="E24:J24" si="1">SUM(E22:E23)</f>
        <v>0</v>
      </c>
      <c r="F24" s="24">
        <f t="shared" si="1"/>
        <v>0</v>
      </c>
      <c r="G24" s="24">
        <f t="shared" si="1"/>
        <v>0</v>
      </c>
      <c r="H24" s="24">
        <f t="shared" si="1"/>
        <v>0</v>
      </c>
      <c r="I24" s="24">
        <f t="shared" si="1"/>
        <v>0</v>
      </c>
      <c r="J24" s="24">
        <f t="shared" si="1"/>
        <v>0</v>
      </c>
      <c r="K24" s="24">
        <f>SUM(K22:K23)</f>
        <v>0</v>
      </c>
      <c r="L24" s="24">
        <f>SUM(L22:L23)</f>
        <v>0</v>
      </c>
      <c r="M24" s="24">
        <f>SUM(M22:M23)</f>
        <v>0</v>
      </c>
    </row>
    <row r="25" spans="1:13">
      <c r="A25" s="21" t="s">
        <v>21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>
      <c r="A26" s="19" t="s">
        <v>22</v>
      </c>
      <c r="B26" s="25">
        <f t="shared" ref="B26:J26" si="2">B24-B25</f>
        <v>0</v>
      </c>
      <c r="C26" s="25">
        <f t="shared" si="2"/>
        <v>0</v>
      </c>
      <c r="D26" s="25">
        <f>D24-D25</f>
        <v>0</v>
      </c>
      <c r="E26" s="25">
        <f t="shared" si="2"/>
        <v>0</v>
      </c>
      <c r="F26" s="25">
        <f t="shared" si="2"/>
        <v>0</v>
      </c>
      <c r="G26" s="25">
        <f t="shared" si="2"/>
        <v>0</v>
      </c>
      <c r="H26" s="25">
        <f t="shared" si="2"/>
        <v>0</v>
      </c>
      <c r="I26" s="25">
        <f t="shared" si="2"/>
        <v>0</v>
      </c>
      <c r="J26" s="25">
        <f t="shared" si="2"/>
        <v>0</v>
      </c>
      <c r="K26" s="25">
        <f>K24-K25</f>
        <v>0</v>
      </c>
      <c r="L26" s="25">
        <f>L24-L25</f>
        <v>0</v>
      </c>
      <c r="M26" s="25">
        <f>M24-M25</f>
        <v>0</v>
      </c>
    </row>
    <row r="27" spans="1:13">
      <c r="A27" s="21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</row>
    <row r="28" spans="1:13">
      <c r="A28" s="19" t="s">
        <v>23</v>
      </c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1:13">
      <c r="A29" s="21" t="s">
        <v>577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>
      <c r="A30" s="21" t="s">
        <v>24</v>
      </c>
      <c r="B30" s="22">
        <v>0</v>
      </c>
      <c r="C30" s="22">
        <v>0</v>
      </c>
      <c r="D30" s="22">
        <v>0</v>
      </c>
      <c r="E30" s="22">
        <f>D30</f>
        <v>0</v>
      </c>
      <c r="F30" s="22">
        <v>0</v>
      </c>
      <c r="G30" s="22">
        <f>F30</f>
        <v>0</v>
      </c>
      <c r="H30" s="22"/>
      <c r="I30" s="22"/>
      <c r="J30" s="22"/>
      <c r="K30" s="22"/>
      <c r="L30" s="22"/>
      <c r="M30" s="22"/>
    </row>
    <row r="31" spans="1:13">
      <c r="A31" s="21" t="s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>
      <c r="A32" s="21" t="s">
        <v>26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>
      <c r="A33" s="21" t="s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>
      <c r="A34" s="21" t="s">
        <v>28</v>
      </c>
      <c r="B34" s="22">
        <v>0</v>
      </c>
      <c r="C34" s="22">
        <v>0</v>
      </c>
      <c r="D34" s="22">
        <v>0</v>
      </c>
      <c r="E34" s="22">
        <f>0</f>
        <v>0</v>
      </c>
      <c r="F34" s="22">
        <v>0</v>
      </c>
      <c r="G34" s="22">
        <v>0</v>
      </c>
      <c r="H34" s="22"/>
      <c r="I34" s="22"/>
      <c r="J34" s="22"/>
      <c r="K34" s="22"/>
      <c r="L34" s="22"/>
      <c r="M34" s="22"/>
    </row>
    <row r="35" spans="1:13">
      <c r="A35" s="19" t="s">
        <v>29</v>
      </c>
      <c r="B35" s="25">
        <f t="shared" ref="B35:J35" si="3">SUM(B29:B34)</f>
        <v>0</v>
      </c>
      <c r="C35" s="25">
        <f t="shared" si="3"/>
        <v>0</v>
      </c>
      <c r="D35" s="25">
        <f>SUM(D29:D34)</f>
        <v>0</v>
      </c>
      <c r="E35" s="25">
        <f t="shared" si="3"/>
        <v>0</v>
      </c>
      <c r="F35" s="25">
        <f t="shared" si="3"/>
        <v>0</v>
      </c>
      <c r="G35" s="25">
        <f t="shared" si="3"/>
        <v>0</v>
      </c>
      <c r="H35" s="25">
        <f t="shared" si="3"/>
        <v>0</v>
      </c>
      <c r="I35" s="25">
        <f t="shared" si="3"/>
        <v>0</v>
      </c>
      <c r="J35" s="25">
        <f t="shared" si="3"/>
        <v>0</v>
      </c>
      <c r="K35" s="25">
        <f>SUM(K29:K34)</f>
        <v>0</v>
      </c>
      <c r="L35" s="25">
        <f>SUM(L29:L34)</f>
        <v>0</v>
      </c>
      <c r="M35" s="25">
        <f>SUM(M29:M34)</f>
        <v>0</v>
      </c>
    </row>
    <row r="36" spans="1:13">
      <c r="A36" s="2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1:13">
      <c r="A37" s="2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1:13">
      <c r="A38" s="17" t="s">
        <v>30</v>
      </c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1:13">
      <c r="A39" s="2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</row>
    <row r="40" spans="1:13">
      <c r="A40" s="19" t="s">
        <v>31</v>
      </c>
      <c r="B40" s="366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1:13">
      <c r="A41" s="27" t="s">
        <v>32</v>
      </c>
      <c r="B41" s="22">
        <f>0</f>
        <v>0</v>
      </c>
      <c r="C41" s="22">
        <f>0</f>
        <v>0</v>
      </c>
      <c r="D41" s="22">
        <f>0</f>
        <v>0</v>
      </c>
      <c r="E41" s="344">
        <f>D41*E18</f>
        <v>0</v>
      </c>
      <c r="F41" s="344">
        <f>E41*F18</f>
        <v>0</v>
      </c>
      <c r="G41" s="344">
        <f>F41*G18</f>
        <v>0</v>
      </c>
      <c r="H41" s="344">
        <v>0</v>
      </c>
      <c r="I41" s="344">
        <f>H41*I$18</f>
        <v>0</v>
      </c>
      <c r="J41" s="344">
        <v>0</v>
      </c>
      <c r="K41" s="344">
        <v>0</v>
      </c>
      <c r="L41" s="344">
        <v>0</v>
      </c>
      <c r="M41" s="344">
        <v>0</v>
      </c>
    </row>
    <row r="42" spans="1:13">
      <c r="A42" s="27" t="s">
        <v>33</v>
      </c>
      <c r="B42" s="22">
        <f>0</f>
        <v>0</v>
      </c>
      <c r="C42" s="22">
        <f>0</f>
        <v>0</v>
      </c>
      <c r="D42" s="22">
        <f>0</f>
        <v>0</v>
      </c>
      <c r="E42" s="344">
        <f>D42*E18</f>
        <v>0</v>
      </c>
      <c r="F42" s="344">
        <f>E42*F18</f>
        <v>0</v>
      </c>
      <c r="G42" s="344">
        <f>F42*G18</f>
        <v>0</v>
      </c>
      <c r="H42" s="344">
        <v>0</v>
      </c>
      <c r="I42" s="344">
        <f>H42*I$18-0.01</f>
        <v>-0.01</v>
      </c>
      <c r="J42" s="344">
        <v>0</v>
      </c>
      <c r="K42" s="344">
        <v>0</v>
      </c>
      <c r="L42" s="344">
        <v>0</v>
      </c>
      <c r="M42" s="344">
        <v>0</v>
      </c>
    </row>
    <row r="43" spans="1:13">
      <c r="A43" s="27" t="s">
        <v>34</v>
      </c>
      <c r="B43" s="22">
        <f>0</f>
        <v>0</v>
      </c>
      <c r="C43" s="22">
        <f>0</f>
        <v>0</v>
      </c>
      <c r="D43" s="22">
        <f>0</f>
        <v>0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>
      <c r="A44" s="27" t="s">
        <v>35</v>
      </c>
      <c r="B44" s="22">
        <f>0</f>
        <v>0</v>
      </c>
      <c r="C44" s="22">
        <f>0</f>
        <v>0</v>
      </c>
      <c r="D44" s="22">
        <f>0</f>
        <v>0</v>
      </c>
      <c r="E44" s="344">
        <f>D44*E18</f>
        <v>0</v>
      </c>
      <c r="F44" s="344">
        <f>E44*F18</f>
        <v>0</v>
      </c>
      <c r="G44" s="344">
        <f>F44*G18</f>
        <v>0</v>
      </c>
      <c r="H44" s="344">
        <v>0</v>
      </c>
      <c r="I44" s="344">
        <f t="shared" ref="I44:I51" si="4">H44*I$18</f>
        <v>0</v>
      </c>
      <c r="J44" s="344">
        <v>0</v>
      </c>
      <c r="K44" s="344">
        <v>0</v>
      </c>
      <c r="L44" s="344">
        <v>0</v>
      </c>
      <c r="M44" s="344">
        <v>0</v>
      </c>
    </row>
    <row r="45" spans="1:13">
      <c r="A45" s="27" t="s">
        <v>36</v>
      </c>
      <c r="B45" s="22">
        <f>0</f>
        <v>0</v>
      </c>
      <c r="C45" s="22">
        <f>0</f>
        <v>0</v>
      </c>
      <c r="D45" s="22">
        <f>0</f>
        <v>0</v>
      </c>
      <c r="E45" s="344">
        <f>D45*E18</f>
        <v>0</v>
      </c>
      <c r="F45" s="344">
        <f>E45*F18</f>
        <v>0</v>
      </c>
      <c r="G45" s="344">
        <f>F45*G18</f>
        <v>0</v>
      </c>
      <c r="H45" s="344">
        <v>0</v>
      </c>
      <c r="I45" s="344">
        <f t="shared" si="4"/>
        <v>0</v>
      </c>
      <c r="J45" s="344">
        <v>0</v>
      </c>
      <c r="K45" s="344">
        <v>0</v>
      </c>
      <c r="L45" s="344">
        <v>0</v>
      </c>
      <c r="M45" s="344">
        <v>0</v>
      </c>
    </row>
    <row r="46" spans="1:13">
      <c r="A46" s="27" t="s">
        <v>37</v>
      </c>
      <c r="B46" s="22">
        <f>0</f>
        <v>0</v>
      </c>
      <c r="C46" s="22">
        <f>0</f>
        <v>0</v>
      </c>
      <c r="D46" s="22">
        <f>0</f>
        <v>0</v>
      </c>
      <c r="E46" s="344">
        <f>D46*E18</f>
        <v>0</v>
      </c>
      <c r="F46" s="344">
        <f>E46*F18</f>
        <v>0</v>
      </c>
      <c r="G46" s="344">
        <f>F46*G18</f>
        <v>0</v>
      </c>
      <c r="H46" s="344">
        <v>0</v>
      </c>
      <c r="I46" s="344">
        <f t="shared" si="4"/>
        <v>0</v>
      </c>
      <c r="J46" s="344">
        <v>0</v>
      </c>
      <c r="K46" s="344">
        <v>0</v>
      </c>
      <c r="L46" s="344">
        <v>0</v>
      </c>
      <c r="M46" s="344">
        <v>0</v>
      </c>
    </row>
    <row r="47" spans="1:13">
      <c r="A47" s="27" t="s">
        <v>38</v>
      </c>
      <c r="B47" s="22">
        <f>0</f>
        <v>0</v>
      </c>
      <c r="C47" s="22">
        <f>0</f>
        <v>0</v>
      </c>
      <c r="D47" s="22">
        <f>0</f>
        <v>0</v>
      </c>
      <c r="E47" s="344">
        <f>D47*E18</f>
        <v>0</v>
      </c>
      <c r="F47" s="344">
        <f>E47*F18</f>
        <v>0</v>
      </c>
      <c r="G47" s="344">
        <f>F47*G18</f>
        <v>0</v>
      </c>
      <c r="H47" s="344">
        <v>0</v>
      </c>
      <c r="I47" s="344">
        <f t="shared" si="4"/>
        <v>0</v>
      </c>
      <c r="J47" s="344">
        <v>0</v>
      </c>
      <c r="K47" s="344">
        <v>0</v>
      </c>
      <c r="L47" s="344">
        <v>0</v>
      </c>
      <c r="M47" s="344">
        <v>0</v>
      </c>
    </row>
    <row r="48" spans="1:13">
      <c r="A48" s="27" t="s">
        <v>39</v>
      </c>
      <c r="B48" s="22">
        <f>0</f>
        <v>0</v>
      </c>
      <c r="C48" s="22">
        <f>0</f>
        <v>0</v>
      </c>
      <c r="D48" s="22">
        <f>0</f>
        <v>0</v>
      </c>
      <c r="E48" s="344">
        <f>D48*E18</f>
        <v>0</v>
      </c>
      <c r="F48" s="344">
        <f>E48*F18</f>
        <v>0</v>
      </c>
      <c r="G48" s="344">
        <f>F48*G18</f>
        <v>0</v>
      </c>
      <c r="H48" s="344">
        <v>0</v>
      </c>
      <c r="I48" s="344">
        <f t="shared" si="4"/>
        <v>0</v>
      </c>
      <c r="J48" s="344">
        <v>0</v>
      </c>
      <c r="K48" s="344">
        <v>0</v>
      </c>
      <c r="L48" s="344">
        <v>0</v>
      </c>
      <c r="M48" s="344">
        <v>0</v>
      </c>
    </row>
    <row r="49" spans="1:13">
      <c r="A49" s="27" t="s">
        <v>28</v>
      </c>
      <c r="B49" s="22">
        <f>0</f>
        <v>0</v>
      </c>
      <c r="C49" s="22">
        <f>0</f>
        <v>0</v>
      </c>
      <c r="D49" s="22">
        <f>0</f>
        <v>0</v>
      </c>
      <c r="E49" s="344">
        <f>D49*E18</f>
        <v>0</v>
      </c>
      <c r="F49" s="344">
        <f>E49*F18</f>
        <v>0</v>
      </c>
      <c r="G49" s="344">
        <f>F49*G18</f>
        <v>0</v>
      </c>
      <c r="H49" s="344">
        <v>0</v>
      </c>
      <c r="I49" s="344">
        <f t="shared" si="4"/>
        <v>0</v>
      </c>
      <c r="J49" s="344">
        <v>0</v>
      </c>
      <c r="K49" s="344">
        <v>0</v>
      </c>
      <c r="L49" s="344">
        <v>0</v>
      </c>
      <c r="M49" s="344">
        <v>0</v>
      </c>
    </row>
    <row r="50" spans="1:13">
      <c r="A50" s="27" t="s">
        <v>557</v>
      </c>
      <c r="B50" s="22">
        <f>0</f>
        <v>0</v>
      </c>
      <c r="C50" s="22">
        <f>0</f>
        <v>0</v>
      </c>
      <c r="D50" s="22">
        <f>0</f>
        <v>0</v>
      </c>
      <c r="E50" s="344">
        <f>D50*E18</f>
        <v>0</v>
      </c>
      <c r="F50" s="344">
        <f>E50*F18</f>
        <v>0</v>
      </c>
      <c r="G50" s="344">
        <f>F50*G18</f>
        <v>0</v>
      </c>
      <c r="H50" s="344">
        <v>0</v>
      </c>
      <c r="I50" s="344">
        <f t="shared" si="4"/>
        <v>0</v>
      </c>
      <c r="J50" s="344">
        <v>0</v>
      </c>
      <c r="K50" s="344">
        <v>0</v>
      </c>
      <c r="L50" s="344">
        <v>0</v>
      </c>
      <c r="M50" s="344">
        <v>0</v>
      </c>
    </row>
    <row r="51" spans="1:13">
      <c r="A51" s="27" t="s">
        <v>559</v>
      </c>
      <c r="B51" s="22">
        <f>0</f>
        <v>0</v>
      </c>
      <c r="C51" s="22">
        <f>0</f>
        <v>0</v>
      </c>
      <c r="D51" s="22">
        <f>0</f>
        <v>0</v>
      </c>
      <c r="E51" s="344">
        <f>D51*E18</f>
        <v>0</v>
      </c>
      <c r="F51" s="344">
        <f>E51*F18</f>
        <v>0</v>
      </c>
      <c r="G51" s="344">
        <f>F51*G18</f>
        <v>0</v>
      </c>
      <c r="H51" s="344">
        <v>0</v>
      </c>
      <c r="I51" s="344">
        <f t="shared" si="4"/>
        <v>0</v>
      </c>
      <c r="J51" s="344">
        <v>0</v>
      </c>
      <c r="K51" s="344">
        <v>0</v>
      </c>
      <c r="L51" s="344">
        <v>0</v>
      </c>
      <c r="M51" s="344">
        <v>0</v>
      </c>
    </row>
    <row r="52" spans="1:13">
      <c r="A52" s="17" t="s">
        <v>20</v>
      </c>
      <c r="B52" s="26">
        <f t="shared" ref="B52:J52" si="5">SUM(B41:B51)</f>
        <v>0</v>
      </c>
      <c r="C52" s="25">
        <f t="shared" si="5"/>
        <v>0</v>
      </c>
      <c r="D52" s="25">
        <f>SUM(D41:D51)</f>
        <v>0</v>
      </c>
      <c r="E52" s="25">
        <f t="shared" si="5"/>
        <v>0</v>
      </c>
      <c r="F52" s="25">
        <f t="shared" si="5"/>
        <v>0</v>
      </c>
      <c r="G52" s="25">
        <f t="shared" si="5"/>
        <v>0</v>
      </c>
      <c r="H52" s="25">
        <f t="shared" si="5"/>
        <v>0</v>
      </c>
      <c r="I52" s="25">
        <f t="shared" si="5"/>
        <v>-0.01</v>
      </c>
      <c r="J52" s="25">
        <f t="shared" si="5"/>
        <v>0</v>
      </c>
      <c r="K52" s="25">
        <f>SUM(K41:K51)</f>
        <v>0</v>
      </c>
      <c r="L52" s="25">
        <f>SUM(L41:L51)</f>
        <v>0</v>
      </c>
      <c r="M52" s="25">
        <f>SUM(M41:M51)</f>
        <v>0</v>
      </c>
    </row>
    <row r="53" spans="1:13">
      <c r="A53" s="27" t="s">
        <v>40</v>
      </c>
      <c r="B53" s="22">
        <v>0</v>
      </c>
      <c r="C53" s="24">
        <f t="shared" ref="C53:M53" si="6">B54</f>
        <v>0</v>
      </c>
      <c r="D53" s="24">
        <f t="shared" si="6"/>
        <v>0</v>
      </c>
      <c r="E53" s="24">
        <f t="shared" si="6"/>
        <v>0</v>
      </c>
      <c r="F53" s="24">
        <f t="shared" si="6"/>
        <v>0</v>
      </c>
      <c r="G53" s="24">
        <f t="shared" si="6"/>
        <v>0</v>
      </c>
      <c r="H53" s="24">
        <f t="shared" si="6"/>
        <v>0</v>
      </c>
      <c r="I53" s="24">
        <f t="shared" si="6"/>
        <v>0</v>
      </c>
      <c r="J53" s="24">
        <f t="shared" si="6"/>
        <v>0</v>
      </c>
      <c r="K53" s="24">
        <f t="shared" si="6"/>
        <v>0</v>
      </c>
      <c r="L53" s="24">
        <f t="shared" si="6"/>
        <v>0</v>
      </c>
      <c r="M53" s="24">
        <f t="shared" si="6"/>
        <v>0</v>
      </c>
    </row>
    <row r="54" spans="1:13">
      <c r="A54" s="27" t="s">
        <v>41</v>
      </c>
      <c r="B54" s="22">
        <f>0</f>
        <v>0</v>
      </c>
      <c r="C54" s="22">
        <f>0</f>
        <v>0</v>
      </c>
      <c r="D54" s="22">
        <f>0</f>
        <v>0</v>
      </c>
      <c r="E54" s="22">
        <f>(E52+E56)/E9*Details!E20</f>
        <v>0</v>
      </c>
      <c r="F54" s="22">
        <f>(F52+F56)/F9*Details!F20</f>
        <v>0</v>
      </c>
      <c r="G54" s="22">
        <f>(G52+G56)/G9*Details!G20</f>
        <v>0</v>
      </c>
      <c r="H54" s="22">
        <v>0</v>
      </c>
      <c r="I54" s="22">
        <f>(I52+I56)/I9*Details!I20</f>
        <v>0</v>
      </c>
      <c r="J54" s="22">
        <f>(J52+J56)/J9*Details!J20</f>
        <v>0</v>
      </c>
      <c r="K54" s="22">
        <v>0</v>
      </c>
      <c r="L54" s="22">
        <f>(L52+L56)/L9*Details!L20</f>
        <v>0</v>
      </c>
      <c r="M54" s="22">
        <v>0</v>
      </c>
    </row>
    <row r="55" spans="1:13">
      <c r="A55" s="17" t="s">
        <v>42</v>
      </c>
      <c r="B55" s="25">
        <f t="shared" ref="B55:J55" si="7">B53-B54</f>
        <v>0</v>
      </c>
      <c r="C55" s="25">
        <f t="shared" si="7"/>
        <v>0</v>
      </c>
      <c r="D55" s="25">
        <f>D53-D54</f>
        <v>0</v>
      </c>
      <c r="E55" s="25">
        <f t="shared" si="7"/>
        <v>0</v>
      </c>
      <c r="F55" s="25">
        <f t="shared" si="7"/>
        <v>0</v>
      </c>
      <c r="G55" s="25">
        <f t="shared" si="7"/>
        <v>0</v>
      </c>
      <c r="H55" s="25">
        <f t="shared" si="7"/>
        <v>0</v>
      </c>
      <c r="I55" s="25">
        <f t="shared" si="7"/>
        <v>0</v>
      </c>
      <c r="J55" s="25">
        <f t="shared" si="7"/>
        <v>0</v>
      </c>
      <c r="K55" s="25">
        <f>K53-K54</f>
        <v>0</v>
      </c>
      <c r="L55" s="25">
        <f>L53-L54</f>
        <v>0</v>
      </c>
      <c r="M55" s="25">
        <f>M53-M54</f>
        <v>0</v>
      </c>
    </row>
    <row r="56" spans="1:13">
      <c r="A56" s="21" t="s">
        <v>43</v>
      </c>
      <c r="B56" s="22">
        <f>0</f>
        <v>0</v>
      </c>
      <c r="C56" s="22">
        <f>0</f>
        <v>0</v>
      </c>
      <c r="D56" s="22">
        <f>0</f>
        <v>0</v>
      </c>
      <c r="E56" s="22">
        <f>D56</f>
        <v>0</v>
      </c>
      <c r="F56" s="22">
        <f>E56</f>
        <v>0</v>
      </c>
      <c r="G56" s="22">
        <f>F56</f>
        <v>0</v>
      </c>
      <c r="H56" s="22">
        <v>0</v>
      </c>
      <c r="I56" s="22">
        <v>0</v>
      </c>
      <c r="J56" s="22">
        <f>I56</f>
        <v>0</v>
      </c>
      <c r="K56" s="22">
        <v>0</v>
      </c>
      <c r="L56" s="22">
        <f>K56</f>
        <v>0</v>
      </c>
      <c r="M56" s="22">
        <v>0</v>
      </c>
    </row>
    <row r="57" spans="1:13">
      <c r="A57" s="17" t="s">
        <v>44</v>
      </c>
      <c r="B57" s="25">
        <f t="shared" ref="B57:J57" si="8">B52+B55+B56</f>
        <v>0</v>
      </c>
      <c r="C57" s="25">
        <f t="shared" si="8"/>
        <v>0</v>
      </c>
      <c r="D57" s="25">
        <f>D52+D55+D56</f>
        <v>0</v>
      </c>
      <c r="E57" s="25">
        <f t="shared" si="8"/>
        <v>0</v>
      </c>
      <c r="F57" s="25">
        <f t="shared" si="8"/>
        <v>0</v>
      </c>
      <c r="G57" s="25">
        <f t="shared" si="8"/>
        <v>0</v>
      </c>
      <c r="H57" s="25">
        <f t="shared" si="8"/>
        <v>0</v>
      </c>
      <c r="I57" s="25">
        <f t="shared" si="8"/>
        <v>-0.01</v>
      </c>
      <c r="J57" s="25">
        <f t="shared" si="8"/>
        <v>0</v>
      </c>
      <c r="K57" s="25">
        <f>K52+K55+K56</f>
        <v>0</v>
      </c>
      <c r="L57" s="25">
        <f>L52+L55+L56</f>
        <v>0</v>
      </c>
      <c r="M57" s="25">
        <f>M52+M55+M56</f>
        <v>0</v>
      </c>
    </row>
    <row r="58" spans="1:13">
      <c r="A58" s="27" t="s">
        <v>45</v>
      </c>
      <c r="B58" s="22">
        <v>0</v>
      </c>
      <c r="C58" s="24">
        <f t="shared" ref="C58:M58" si="9">B59</f>
        <v>0</v>
      </c>
      <c r="D58" s="24">
        <f t="shared" si="9"/>
        <v>0</v>
      </c>
      <c r="E58" s="24">
        <f t="shared" si="9"/>
        <v>0</v>
      </c>
      <c r="F58" s="24">
        <f t="shared" si="9"/>
        <v>0</v>
      </c>
      <c r="G58" s="24">
        <f t="shared" si="9"/>
        <v>0</v>
      </c>
      <c r="H58" s="24">
        <f t="shared" si="9"/>
        <v>0</v>
      </c>
      <c r="I58" s="24">
        <f t="shared" si="9"/>
        <v>0</v>
      </c>
      <c r="J58" s="24">
        <f t="shared" si="9"/>
        <v>0</v>
      </c>
      <c r="K58" s="24">
        <f t="shared" si="9"/>
        <v>0</v>
      </c>
      <c r="L58" s="24">
        <f t="shared" si="9"/>
        <v>0</v>
      </c>
      <c r="M58" s="24">
        <f t="shared" si="9"/>
        <v>0</v>
      </c>
    </row>
    <row r="59" spans="1:13">
      <c r="A59" s="27" t="s">
        <v>46</v>
      </c>
      <c r="B59" s="22">
        <v>0</v>
      </c>
      <c r="C59" s="22">
        <v>0</v>
      </c>
      <c r="D59" s="22">
        <f>0</f>
        <v>0</v>
      </c>
      <c r="E59" s="22">
        <f>(E52+E56)/E9*Details!E23</f>
        <v>0</v>
      </c>
      <c r="F59" s="22">
        <f>(F52+F56)/F9*Details!F23</f>
        <v>0</v>
      </c>
      <c r="G59" s="22">
        <f>(G52+G56)/G9*Details!G23</f>
        <v>0</v>
      </c>
      <c r="H59" s="22">
        <v>0</v>
      </c>
      <c r="I59" s="22">
        <v>0</v>
      </c>
      <c r="J59" s="22">
        <f>(J52+J56)/J9*Details!J23</f>
        <v>0</v>
      </c>
      <c r="K59" s="22">
        <v>0</v>
      </c>
      <c r="L59" s="22">
        <f>(L52+L56)/L9*Details!L23</f>
        <v>0</v>
      </c>
      <c r="M59" s="22">
        <v>0</v>
      </c>
    </row>
    <row r="60" spans="1:13">
      <c r="A60" s="17" t="s">
        <v>47</v>
      </c>
      <c r="B60" s="25">
        <f>B58-B59</f>
        <v>0</v>
      </c>
      <c r="C60" s="25">
        <f>C58-C59</f>
        <v>0</v>
      </c>
      <c r="D60" s="25">
        <f>D58-D59</f>
        <v>0</v>
      </c>
      <c r="E60" s="25">
        <f t="shared" ref="E60:J60" si="10">E58-E59</f>
        <v>0</v>
      </c>
      <c r="F60" s="25">
        <f t="shared" si="10"/>
        <v>0</v>
      </c>
      <c r="G60" s="25">
        <f t="shared" si="10"/>
        <v>0</v>
      </c>
      <c r="H60" s="25">
        <f t="shared" si="10"/>
        <v>0</v>
      </c>
      <c r="I60" s="25">
        <f t="shared" si="10"/>
        <v>0</v>
      </c>
      <c r="J60" s="25">
        <f t="shared" si="10"/>
        <v>0</v>
      </c>
      <c r="K60" s="25">
        <f>K58-K59</f>
        <v>0</v>
      </c>
      <c r="L60" s="25">
        <f>L58-L59</f>
        <v>0</v>
      </c>
      <c r="M60" s="25">
        <f>M58-M59</f>
        <v>0</v>
      </c>
    </row>
    <row r="61" spans="1:13">
      <c r="A61" s="17" t="s">
        <v>48</v>
      </c>
      <c r="B61" s="25">
        <f>B57+B60</f>
        <v>0</v>
      </c>
      <c r="C61" s="25">
        <f>C57+C60</f>
        <v>0</v>
      </c>
      <c r="D61" s="25">
        <f>D57+D60</f>
        <v>0</v>
      </c>
      <c r="E61" s="25">
        <f t="shared" ref="E61:J61" si="11">E57+E60</f>
        <v>0</v>
      </c>
      <c r="F61" s="25">
        <f t="shared" si="11"/>
        <v>0</v>
      </c>
      <c r="G61" s="25">
        <f t="shared" si="11"/>
        <v>0</v>
      </c>
      <c r="H61" s="25">
        <f t="shared" si="11"/>
        <v>0</v>
      </c>
      <c r="I61" s="25">
        <f t="shared" si="11"/>
        <v>-0.01</v>
      </c>
      <c r="J61" s="25">
        <f t="shared" si="11"/>
        <v>0</v>
      </c>
      <c r="K61" s="25">
        <f>K57+K60</f>
        <v>0</v>
      </c>
      <c r="L61" s="25">
        <f>L57+L60</f>
        <v>0</v>
      </c>
      <c r="M61" s="25">
        <f>M57+M60</f>
        <v>0</v>
      </c>
    </row>
    <row r="62" spans="1:13">
      <c r="A62" s="17" t="s">
        <v>49</v>
      </c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1:13">
      <c r="A63" s="21" t="s">
        <v>43</v>
      </c>
      <c r="B63" s="29">
        <f t="shared" ref="B63:J63" si="12">B56</f>
        <v>0</v>
      </c>
      <c r="C63" s="29">
        <f t="shared" si="12"/>
        <v>0</v>
      </c>
      <c r="D63" s="29">
        <f>D56</f>
        <v>0</v>
      </c>
      <c r="E63" s="29">
        <f t="shared" si="12"/>
        <v>0</v>
      </c>
      <c r="F63" s="29">
        <f t="shared" si="12"/>
        <v>0</v>
      </c>
      <c r="G63" s="29">
        <f t="shared" si="12"/>
        <v>0</v>
      </c>
      <c r="H63" s="29">
        <f t="shared" si="12"/>
        <v>0</v>
      </c>
      <c r="I63" s="29">
        <f t="shared" si="12"/>
        <v>0</v>
      </c>
      <c r="J63" s="29">
        <f t="shared" si="12"/>
        <v>0</v>
      </c>
      <c r="K63" s="29">
        <f>K56</f>
        <v>0</v>
      </c>
      <c r="L63" s="29">
        <f>L56</f>
        <v>0</v>
      </c>
      <c r="M63" s="29">
        <f>M56</f>
        <v>0</v>
      </c>
    </row>
    <row r="64" spans="1:13">
      <c r="A64" s="21" t="s">
        <v>50</v>
      </c>
      <c r="B64" s="29">
        <f t="shared" ref="B64:J64" si="13">B52-B41-B42-B43-B44</f>
        <v>0</v>
      </c>
      <c r="C64" s="29">
        <f t="shared" si="13"/>
        <v>0</v>
      </c>
      <c r="D64" s="29">
        <f>D52-D41-D42-D43-D44</f>
        <v>0</v>
      </c>
      <c r="E64" s="29">
        <f t="shared" si="13"/>
        <v>0</v>
      </c>
      <c r="F64" s="29">
        <f t="shared" si="13"/>
        <v>0</v>
      </c>
      <c r="G64" s="29">
        <f t="shared" si="13"/>
        <v>0</v>
      </c>
      <c r="H64" s="29">
        <f t="shared" si="13"/>
        <v>0</v>
      </c>
      <c r="I64" s="29">
        <f t="shared" si="13"/>
        <v>0</v>
      </c>
      <c r="J64" s="29">
        <f t="shared" si="13"/>
        <v>0</v>
      </c>
      <c r="K64" s="29">
        <f>K52-K41-K42-K43-K44</f>
        <v>0</v>
      </c>
      <c r="L64" s="29">
        <f>L52-L41-L42-L43-L44</f>
        <v>0</v>
      </c>
      <c r="M64" s="29">
        <f>M52-M41-M42-M43-M44</f>
        <v>0</v>
      </c>
    </row>
    <row r="65" spans="1:13">
      <c r="A65" s="2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1:13">
      <c r="A66" s="19" t="s">
        <v>51</v>
      </c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1:13">
      <c r="A67" s="21" t="s">
        <v>52</v>
      </c>
      <c r="B67" s="22">
        <f>0</f>
        <v>0</v>
      </c>
      <c r="C67" s="22">
        <f>0</f>
        <v>0</v>
      </c>
      <c r="D67" s="22">
        <f>0</f>
        <v>0</v>
      </c>
      <c r="E67" s="344">
        <f t="shared" ref="E67:E73" si="14">D67*1.05</f>
        <v>0</v>
      </c>
      <c r="F67" s="344">
        <f t="shared" ref="F67:F73" si="15">E67*1.05</f>
        <v>0</v>
      </c>
      <c r="G67" s="344">
        <f t="shared" ref="G67:G73" si="16">F67*1.05</f>
        <v>0</v>
      </c>
      <c r="H67" s="344">
        <f t="shared" ref="H67:H73" si="17">G67*1.05</f>
        <v>0</v>
      </c>
      <c r="I67" s="344">
        <f t="shared" ref="I67:I73" si="18">H67*1.05</f>
        <v>0</v>
      </c>
      <c r="J67" s="344">
        <f t="shared" ref="J67:J73" si="19">I67*1.05</f>
        <v>0</v>
      </c>
      <c r="K67" s="344">
        <v>0</v>
      </c>
      <c r="L67" s="344">
        <f t="shared" ref="L67:L73" si="20">K67*1.05</f>
        <v>0</v>
      </c>
      <c r="M67" s="344">
        <v>0</v>
      </c>
    </row>
    <row r="68" spans="1:13">
      <c r="A68" s="21" t="s">
        <v>53</v>
      </c>
      <c r="B68" s="22">
        <f>0</f>
        <v>0</v>
      </c>
      <c r="C68" s="22">
        <f>0</f>
        <v>0</v>
      </c>
      <c r="D68" s="22">
        <f>0</f>
        <v>0</v>
      </c>
      <c r="E68" s="344">
        <f t="shared" si="14"/>
        <v>0</v>
      </c>
      <c r="F68" s="344">
        <f t="shared" si="15"/>
        <v>0</v>
      </c>
      <c r="G68" s="344">
        <f t="shared" si="16"/>
        <v>0</v>
      </c>
      <c r="H68" s="344">
        <f t="shared" si="17"/>
        <v>0</v>
      </c>
      <c r="I68" s="344">
        <f t="shared" si="18"/>
        <v>0</v>
      </c>
      <c r="J68" s="344">
        <f t="shared" si="19"/>
        <v>0</v>
      </c>
      <c r="K68" s="344">
        <v>0</v>
      </c>
      <c r="L68" s="344">
        <f t="shared" si="20"/>
        <v>0</v>
      </c>
      <c r="M68" s="344">
        <v>0</v>
      </c>
    </row>
    <row r="69" spans="1:13">
      <c r="A69" s="21" t="s">
        <v>54</v>
      </c>
      <c r="B69" s="22">
        <f>0</f>
        <v>0</v>
      </c>
      <c r="C69" s="22">
        <f>0</f>
        <v>0</v>
      </c>
      <c r="D69" s="22">
        <f>0</f>
        <v>0</v>
      </c>
      <c r="E69" s="344">
        <f t="shared" si="14"/>
        <v>0</v>
      </c>
      <c r="F69" s="344">
        <f t="shared" si="15"/>
        <v>0</v>
      </c>
      <c r="G69" s="344">
        <f t="shared" si="16"/>
        <v>0</v>
      </c>
      <c r="H69" s="344">
        <f t="shared" si="17"/>
        <v>0</v>
      </c>
      <c r="I69" s="344">
        <f t="shared" si="18"/>
        <v>0</v>
      </c>
      <c r="J69" s="344">
        <f t="shared" si="19"/>
        <v>0</v>
      </c>
      <c r="K69" s="344">
        <v>0</v>
      </c>
      <c r="L69" s="344">
        <f t="shared" si="20"/>
        <v>0</v>
      </c>
      <c r="M69" s="344">
        <v>0</v>
      </c>
    </row>
    <row r="70" spans="1:13">
      <c r="A70" s="21" t="s">
        <v>55</v>
      </c>
      <c r="B70" s="22">
        <f>0</f>
        <v>0</v>
      </c>
      <c r="C70" s="22">
        <f>0</f>
        <v>0</v>
      </c>
      <c r="D70" s="22">
        <f>0</f>
        <v>0</v>
      </c>
      <c r="E70" s="344">
        <f t="shared" si="14"/>
        <v>0</v>
      </c>
      <c r="F70" s="344">
        <f t="shared" si="15"/>
        <v>0</v>
      </c>
      <c r="G70" s="344">
        <f t="shared" si="16"/>
        <v>0</v>
      </c>
      <c r="H70" s="344">
        <f t="shared" si="17"/>
        <v>0</v>
      </c>
      <c r="I70" s="344">
        <f t="shared" si="18"/>
        <v>0</v>
      </c>
      <c r="J70" s="344">
        <f t="shared" si="19"/>
        <v>0</v>
      </c>
      <c r="K70" s="344">
        <v>0</v>
      </c>
      <c r="L70" s="344">
        <f t="shared" si="20"/>
        <v>0</v>
      </c>
      <c r="M70" s="344">
        <v>0</v>
      </c>
    </row>
    <row r="71" spans="1:13">
      <c r="A71" s="21" t="s">
        <v>28</v>
      </c>
      <c r="B71" s="22">
        <f>0</f>
        <v>0</v>
      </c>
      <c r="C71" s="22">
        <f>0</f>
        <v>0</v>
      </c>
      <c r="D71" s="22">
        <f>0</f>
        <v>0</v>
      </c>
      <c r="E71" s="344">
        <f t="shared" si="14"/>
        <v>0</v>
      </c>
      <c r="F71" s="344">
        <f t="shared" si="15"/>
        <v>0</v>
      </c>
      <c r="G71" s="344">
        <f t="shared" si="16"/>
        <v>0</v>
      </c>
      <c r="H71" s="344">
        <f t="shared" si="17"/>
        <v>0</v>
      </c>
      <c r="I71" s="344">
        <f t="shared" si="18"/>
        <v>0</v>
      </c>
      <c r="J71" s="344">
        <f t="shared" si="19"/>
        <v>0</v>
      </c>
      <c r="K71" s="344">
        <v>0</v>
      </c>
      <c r="L71" s="344">
        <f t="shared" si="20"/>
        <v>0</v>
      </c>
      <c r="M71" s="344">
        <v>0</v>
      </c>
    </row>
    <row r="72" spans="1:13">
      <c r="A72" s="23" t="s">
        <v>557</v>
      </c>
      <c r="B72" s="22">
        <f>0</f>
        <v>0</v>
      </c>
      <c r="C72" s="22">
        <f>0</f>
        <v>0</v>
      </c>
      <c r="D72" s="22">
        <f>0</f>
        <v>0</v>
      </c>
      <c r="E72" s="344">
        <f t="shared" si="14"/>
        <v>0</v>
      </c>
      <c r="F72" s="344">
        <f t="shared" si="15"/>
        <v>0</v>
      </c>
      <c r="G72" s="344">
        <f t="shared" si="16"/>
        <v>0</v>
      </c>
      <c r="H72" s="344">
        <f t="shared" si="17"/>
        <v>0</v>
      </c>
      <c r="I72" s="344">
        <f t="shared" si="18"/>
        <v>0</v>
      </c>
      <c r="J72" s="344">
        <f t="shared" si="19"/>
        <v>0</v>
      </c>
      <c r="K72" s="344">
        <v>0</v>
      </c>
      <c r="L72" s="344">
        <f t="shared" si="20"/>
        <v>0</v>
      </c>
      <c r="M72" s="344">
        <v>0</v>
      </c>
    </row>
    <row r="73" spans="1:13">
      <c r="A73" s="23" t="s">
        <v>558</v>
      </c>
      <c r="B73" s="22">
        <f>0</f>
        <v>0</v>
      </c>
      <c r="C73" s="22">
        <f>0</f>
        <v>0</v>
      </c>
      <c r="D73" s="22">
        <f>0</f>
        <v>0</v>
      </c>
      <c r="E73" s="344">
        <f t="shared" si="14"/>
        <v>0</v>
      </c>
      <c r="F73" s="344">
        <f t="shared" si="15"/>
        <v>0</v>
      </c>
      <c r="G73" s="344">
        <f t="shared" si="16"/>
        <v>0</v>
      </c>
      <c r="H73" s="344">
        <f t="shared" si="17"/>
        <v>0</v>
      </c>
      <c r="I73" s="344">
        <f t="shared" si="18"/>
        <v>0</v>
      </c>
      <c r="J73" s="344">
        <f t="shared" si="19"/>
        <v>0</v>
      </c>
      <c r="K73" s="344">
        <v>0</v>
      </c>
      <c r="L73" s="344">
        <f t="shared" si="20"/>
        <v>0</v>
      </c>
      <c r="M73" s="344">
        <v>0</v>
      </c>
    </row>
    <row r="74" spans="1:13">
      <c r="A74" s="17" t="s">
        <v>20</v>
      </c>
      <c r="B74" s="26">
        <f t="shared" ref="B74:J74" si="21">SUM(B67:B73)</f>
        <v>0</v>
      </c>
      <c r="C74" s="25">
        <f t="shared" si="21"/>
        <v>0</v>
      </c>
      <c r="D74" s="25">
        <f>SUM(D67:D73)</f>
        <v>0</v>
      </c>
      <c r="E74" s="25">
        <f t="shared" si="21"/>
        <v>0</v>
      </c>
      <c r="F74" s="25">
        <f t="shared" si="21"/>
        <v>0</v>
      </c>
      <c r="G74" s="25">
        <f t="shared" si="21"/>
        <v>0</v>
      </c>
      <c r="H74" s="25">
        <f t="shared" si="21"/>
        <v>0</v>
      </c>
      <c r="I74" s="25">
        <f t="shared" si="21"/>
        <v>0</v>
      </c>
      <c r="J74" s="25">
        <f t="shared" si="21"/>
        <v>0</v>
      </c>
      <c r="K74" s="25">
        <f>SUM(K67:K73)</f>
        <v>0</v>
      </c>
      <c r="L74" s="25">
        <f>SUM(L67:L73)</f>
        <v>0</v>
      </c>
      <c r="M74" s="25">
        <f>SUM(M67:M73)</f>
        <v>0</v>
      </c>
    </row>
    <row r="75" spans="1:13">
      <c r="A75" s="27" t="s">
        <v>56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>
      <c r="A76" s="27" t="s">
        <v>57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>
      <c r="A77" s="21" t="s">
        <v>58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>
      <c r="A78" s="17" t="s">
        <v>20</v>
      </c>
      <c r="B78" s="25">
        <f t="shared" ref="B78:J78" si="22">SUM(B75:B77)</f>
        <v>0</v>
      </c>
      <c r="C78" s="25">
        <f t="shared" si="22"/>
        <v>0</v>
      </c>
      <c r="D78" s="25">
        <f>SUM(D75:D77)</f>
        <v>0</v>
      </c>
      <c r="E78" s="25">
        <f t="shared" si="22"/>
        <v>0</v>
      </c>
      <c r="F78" s="25">
        <f t="shared" si="22"/>
        <v>0</v>
      </c>
      <c r="G78" s="25">
        <f t="shared" si="22"/>
        <v>0</v>
      </c>
      <c r="H78" s="25">
        <f t="shared" si="22"/>
        <v>0</v>
      </c>
      <c r="I78" s="25">
        <f t="shared" si="22"/>
        <v>0</v>
      </c>
      <c r="J78" s="25">
        <f t="shared" si="22"/>
        <v>0</v>
      </c>
      <c r="K78" s="25">
        <f>SUM(K75:K77)</f>
        <v>0</v>
      </c>
      <c r="L78" s="25">
        <f>SUM(L75:L77)</f>
        <v>0</v>
      </c>
      <c r="M78" s="25">
        <f>SUM(M75:M77)</f>
        <v>0</v>
      </c>
    </row>
    <row r="79" spans="1:13">
      <c r="A79" s="2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1:13">
      <c r="A80" s="19" t="s">
        <v>29</v>
      </c>
      <c r="B80" s="25">
        <f t="shared" ref="B80:J80" si="23">B74+B78</f>
        <v>0</v>
      </c>
      <c r="C80" s="25">
        <f t="shared" si="23"/>
        <v>0</v>
      </c>
      <c r="D80" s="25">
        <f>D74+D78</f>
        <v>0</v>
      </c>
      <c r="E80" s="25">
        <f t="shared" si="23"/>
        <v>0</v>
      </c>
      <c r="F80" s="25">
        <f t="shared" si="23"/>
        <v>0</v>
      </c>
      <c r="G80" s="25">
        <f t="shared" si="23"/>
        <v>0</v>
      </c>
      <c r="H80" s="25">
        <f t="shared" si="23"/>
        <v>0</v>
      </c>
      <c r="I80" s="25">
        <f t="shared" si="23"/>
        <v>0</v>
      </c>
      <c r="J80" s="25">
        <f t="shared" si="23"/>
        <v>0</v>
      </c>
      <c r="K80" s="25">
        <f>K74+K78</f>
        <v>0</v>
      </c>
      <c r="L80" s="25">
        <f>L74+L78</f>
        <v>0</v>
      </c>
      <c r="M80" s="25">
        <f>M74+M78</f>
        <v>0</v>
      </c>
    </row>
    <row r="81" spans="1:13">
      <c r="A81" s="27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1:13">
      <c r="A82" s="19" t="s">
        <v>59</v>
      </c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1:13">
      <c r="A83" s="27" t="s">
        <v>60</v>
      </c>
      <c r="B83" s="22">
        <f>0</f>
        <v>0</v>
      </c>
      <c r="C83" s="22">
        <f>0</f>
        <v>0</v>
      </c>
      <c r="D83" s="22">
        <f>0</f>
        <v>0</v>
      </c>
      <c r="E83" s="22">
        <f>SUM(TL!$E$6:$E$17)/10^7</f>
        <v>0</v>
      </c>
      <c r="F83" s="22">
        <f>SUM(TL!$E$18:$E$29)/10^7</f>
        <v>0</v>
      </c>
      <c r="G83" s="22">
        <f>SUM(TL!$E$30:$E$41)/10^7</f>
        <v>0</v>
      </c>
      <c r="H83" s="22">
        <f>SUM(TL!$E$42:$E$53)/10^7</f>
        <v>0</v>
      </c>
      <c r="I83" s="22">
        <f>SUM(TL!$E$54:$E$65)/10^7</f>
        <v>0</v>
      </c>
      <c r="J83" s="22"/>
      <c r="K83" s="22"/>
      <c r="L83" s="22"/>
      <c r="M83" s="22"/>
    </row>
    <row r="84" spans="1:13">
      <c r="A84" s="27" t="s">
        <v>61</v>
      </c>
      <c r="B84" s="22">
        <f>0</f>
        <v>0</v>
      </c>
      <c r="C84" s="22">
        <f>0</f>
        <v>0</v>
      </c>
      <c r="D84" s="22">
        <f>0</f>
        <v>0</v>
      </c>
      <c r="E84" s="22">
        <f>SUM(TL!$I$6:$I$17)/10^7</f>
        <v>0</v>
      </c>
      <c r="F84" s="22">
        <f>SUM(TL!$I$18:$I$29)/10^7</f>
        <v>0</v>
      </c>
      <c r="G84" s="22">
        <f>SUM(TL!$I$30:$I$41)/10^7</f>
        <v>0</v>
      </c>
      <c r="H84" s="22">
        <f>SUM(TL!$I$42:$I$53)/10^7</f>
        <v>0</v>
      </c>
      <c r="I84" s="22">
        <f>SUM(TL!$I$54:$I$65)/10^7</f>
        <v>0</v>
      </c>
      <c r="J84" s="22"/>
      <c r="K84" s="22"/>
      <c r="L84" s="22"/>
      <c r="M84" s="22"/>
    </row>
    <row r="85" spans="1:13">
      <c r="A85" s="27" t="s">
        <v>62</v>
      </c>
      <c r="B85" s="22">
        <f>0</f>
        <v>0</v>
      </c>
      <c r="C85" s="22">
        <f>0</f>
        <v>0</v>
      </c>
      <c r="D85" s="22">
        <f>0</f>
        <v>0</v>
      </c>
      <c r="E85" s="22">
        <f>D85</f>
        <v>0</v>
      </c>
      <c r="F85" s="22">
        <f>E85</f>
        <v>0</v>
      </c>
      <c r="G85" s="22">
        <f>F85</f>
        <v>0</v>
      </c>
      <c r="H85" s="22">
        <v>0</v>
      </c>
      <c r="I85" s="22">
        <f>H85</f>
        <v>0</v>
      </c>
      <c r="J85" s="22">
        <v>0</v>
      </c>
      <c r="K85" s="22">
        <v>0</v>
      </c>
      <c r="L85" s="22">
        <v>0</v>
      </c>
      <c r="M85" s="22">
        <v>0</v>
      </c>
    </row>
    <row r="86" spans="1:13">
      <c r="A86" s="19" t="s">
        <v>29</v>
      </c>
      <c r="B86" s="25">
        <f>SUM(B83:B85)</f>
        <v>0</v>
      </c>
      <c r="C86" s="25">
        <f t="shared" ref="C86:J86" si="24">SUM(C83:C85)</f>
        <v>0</v>
      </c>
      <c r="D86" s="25">
        <f>SUM(D83:D85)</f>
        <v>0</v>
      </c>
      <c r="E86" s="25">
        <f t="shared" si="24"/>
        <v>0</v>
      </c>
      <c r="F86" s="25">
        <f t="shared" si="24"/>
        <v>0</v>
      </c>
      <c r="G86" s="25">
        <f t="shared" si="24"/>
        <v>0</v>
      </c>
      <c r="H86" s="25">
        <f t="shared" si="24"/>
        <v>0</v>
      </c>
      <c r="I86" s="25">
        <f t="shared" si="24"/>
        <v>0</v>
      </c>
      <c r="J86" s="25">
        <f t="shared" si="24"/>
        <v>0</v>
      </c>
      <c r="K86" s="25">
        <f>SUM(K83:K85)</f>
        <v>0</v>
      </c>
      <c r="L86" s="25">
        <f>SUM(L83:L85)</f>
        <v>0</v>
      </c>
      <c r="M86" s="25">
        <f>SUM(M83:M85)</f>
        <v>0</v>
      </c>
    </row>
    <row r="87" spans="1:13">
      <c r="A87" s="27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1:13">
      <c r="A88" s="19" t="s">
        <v>63</v>
      </c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1:13">
      <c r="A89" s="21" t="s">
        <v>64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>
      <c r="A90" s="21" t="s">
        <v>65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>
      <c r="A91" s="21" t="s">
        <v>66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>
      <c r="A92" s="21" t="s">
        <v>67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>
      <c r="A93" s="21" t="s">
        <v>28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>
      <c r="A94" s="19" t="s">
        <v>29</v>
      </c>
      <c r="B94" s="25">
        <f>SUM(B89:B93)</f>
        <v>0</v>
      </c>
      <c r="C94" s="25">
        <f t="shared" ref="C94:J94" si="25">SUM(C89:C93)</f>
        <v>0</v>
      </c>
      <c r="D94" s="25">
        <f>SUM(D89:D93)</f>
        <v>0</v>
      </c>
      <c r="E94" s="25">
        <f t="shared" si="25"/>
        <v>0</v>
      </c>
      <c r="F94" s="25">
        <f t="shared" si="25"/>
        <v>0</v>
      </c>
      <c r="G94" s="25">
        <f t="shared" si="25"/>
        <v>0</v>
      </c>
      <c r="H94" s="25">
        <f t="shared" si="25"/>
        <v>0</v>
      </c>
      <c r="I94" s="25">
        <f t="shared" si="25"/>
        <v>0</v>
      </c>
      <c r="J94" s="25">
        <f t="shared" si="25"/>
        <v>0</v>
      </c>
      <c r="K94" s="25">
        <f>SUM(K89:K93)</f>
        <v>0</v>
      </c>
      <c r="L94" s="25">
        <f>SUM(L89:L93)</f>
        <v>0</v>
      </c>
      <c r="M94" s="25">
        <f>SUM(M89:M93)</f>
        <v>0</v>
      </c>
    </row>
    <row r="95" spans="1:13">
      <c r="A95" s="19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1:13">
      <c r="A96" s="19" t="s">
        <v>68</v>
      </c>
      <c r="B96" s="25">
        <f t="shared" ref="B96:J96" si="26">B26+B35-B61-B80-B86-B94</f>
        <v>0</v>
      </c>
      <c r="C96" s="25">
        <f t="shared" si="26"/>
        <v>0</v>
      </c>
      <c r="D96" s="25">
        <f>D26+D35-D61-D80-D86-D94</f>
        <v>0</v>
      </c>
      <c r="E96" s="25">
        <f t="shared" si="26"/>
        <v>0</v>
      </c>
      <c r="F96" s="388">
        <f t="shared" si="26"/>
        <v>0</v>
      </c>
      <c r="G96" s="25">
        <f t="shared" si="26"/>
        <v>0</v>
      </c>
      <c r="H96" s="25">
        <f t="shared" si="26"/>
        <v>0</v>
      </c>
      <c r="I96" s="25">
        <f t="shared" si="26"/>
        <v>0.01</v>
      </c>
      <c r="J96" s="25">
        <f t="shared" si="26"/>
        <v>0</v>
      </c>
      <c r="K96" s="25">
        <f>K26+K35-K61-K80-K86-K94</f>
        <v>0</v>
      </c>
      <c r="L96" s="25">
        <f>L26+L35-L61-L80-L86-L94</f>
        <v>0</v>
      </c>
      <c r="M96" s="25">
        <f>M26+M35-M61-M80-M86-M94</f>
        <v>0</v>
      </c>
    </row>
    <row r="97" spans="1:13">
      <c r="A97" s="19"/>
      <c r="B97" s="365"/>
      <c r="C97" s="366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1:13">
      <c r="A98" s="19" t="s">
        <v>69</v>
      </c>
      <c r="B98" s="365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1:13">
      <c r="A99" s="21" t="s">
        <v>70</v>
      </c>
      <c r="B99" s="22">
        <f>0</f>
        <v>0</v>
      </c>
      <c r="C99" s="22">
        <f>0</f>
        <v>0</v>
      </c>
      <c r="D99" s="22">
        <f>0</f>
        <v>0</v>
      </c>
      <c r="E99" s="22">
        <f>IF(E96&gt;0,(E96*0.25),0)</f>
        <v>0</v>
      </c>
      <c r="F99" s="22">
        <f>IF(F96&gt;0,(F96*0.25),0)</f>
        <v>0</v>
      </c>
      <c r="G99" s="22">
        <f>IF(G96&gt;0,(G96*0.25),0)</f>
        <v>0</v>
      </c>
      <c r="H99" s="22">
        <v>0</v>
      </c>
      <c r="I99" s="22">
        <f>IF(I96&gt;0,(I96*0.25),0)</f>
        <v>2.5000000000000001E-3</v>
      </c>
      <c r="J99" s="22">
        <v>0</v>
      </c>
      <c r="K99" s="22">
        <v>0</v>
      </c>
      <c r="L99" s="22">
        <v>0</v>
      </c>
      <c r="M99" s="22">
        <v>0</v>
      </c>
    </row>
    <row r="100" spans="1:13">
      <c r="A100" s="21" t="s">
        <v>71</v>
      </c>
      <c r="B100" s="22">
        <f>0</f>
        <v>0</v>
      </c>
      <c r="C100" s="22">
        <f>0</f>
        <v>0</v>
      </c>
      <c r="D100" s="22">
        <f>0</f>
        <v>0</v>
      </c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>
      <c r="A101" s="21" t="s">
        <v>72</v>
      </c>
      <c r="B101" s="22">
        <f>0</f>
        <v>0</v>
      </c>
      <c r="C101" s="22">
        <f>0</f>
        <v>0</v>
      </c>
      <c r="D101" s="22">
        <f>0</f>
        <v>0</v>
      </c>
      <c r="E101" s="30"/>
      <c r="F101" s="30"/>
      <c r="G101" s="30"/>
      <c r="H101" s="30"/>
      <c r="I101" s="30"/>
      <c r="J101" s="30"/>
      <c r="K101" s="30"/>
      <c r="L101" s="30"/>
      <c r="M101" s="30"/>
    </row>
    <row r="102" spans="1:13">
      <c r="A102" s="19" t="s">
        <v>29</v>
      </c>
      <c r="B102" s="26">
        <f t="shared" ref="B102:J102" si="27">B99+B100-B101</f>
        <v>0</v>
      </c>
      <c r="C102" s="25">
        <f t="shared" si="27"/>
        <v>0</v>
      </c>
      <c r="D102" s="25">
        <f>D99+D100-D101</f>
        <v>0</v>
      </c>
      <c r="E102" s="25">
        <f t="shared" si="27"/>
        <v>0</v>
      </c>
      <c r="F102" s="25">
        <f t="shared" si="27"/>
        <v>0</v>
      </c>
      <c r="G102" s="25">
        <f t="shared" si="27"/>
        <v>0</v>
      </c>
      <c r="H102" s="25">
        <f t="shared" si="27"/>
        <v>0</v>
      </c>
      <c r="I102" s="25">
        <f t="shared" si="27"/>
        <v>2.5000000000000001E-3</v>
      </c>
      <c r="J102" s="25">
        <f t="shared" si="27"/>
        <v>0</v>
      </c>
      <c r="K102" s="25">
        <f>K99+K100-K101</f>
        <v>0</v>
      </c>
      <c r="L102" s="25">
        <f>L99+L100-L101</f>
        <v>0</v>
      </c>
      <c r="M102" s="25">
        <f>M99+M100-M101</f>
        <v>0</v>
      </c>
    </row>
    <row r="103" spans="1:13">
      <c r="A103" s="19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1:13">
      <c r="A104" s="19" t="s">
        <v>73</v>
      </c>
      <c r="B104" s="25">
        <f t="shared" ref="B104:J104" si="28">B96-B102</f>
        <v>0</v>
      </c>
      <c r="C104" s="25">
        <f t="shared" si="28"/>
        <v>0</v>
      </c>
      <c r="D104" s="25">
        <f>D96-D102</f>
        <v>0</v>
      </c>
      <c r="E104" s="25">
        <f t="shared" si="28"/>
        <v>0</v>
      </c>
      <c r="F104" s="25">
        <f>F96-F102</f>
        <v>0</v>
      </c>
      <c r="G104" s="25">
        <f t="shared" si="28"/>
        <v>0</v>
      </c>
      <c r="H104" s="25">
        <f t="shared" si="28"/>
        <v>0</v>
      </c>
      <c r="I104" s="25">
        <f t="shared" si="28"/>
        <v>7.4999999999999997E-3</v>
      </c>
      <c r="J104" s="25">
        <f t="shared" si="28"/>
        <v>0</v>
      </c>
      <c r="K104" s="25">
        <f>K96-K102</f>
        <v>0</v>
      </c>
      <c r="L104" s="25">
        <f>L96-L102</f>
        <v>0</v>
      </c>
      <c r="M104" s="25">
        <f>M96-M102</f>
        <v>0</v>
      </c>
    </row>
    <row r="105" spans="1:13">
      <c r="A105" s="19"/>
      <c r="B105" s="353"/>
      <c r="C105" s="31"/>
      <c r="D105" s="31"/>
      <c r="E105" s="362"/>
      <c r="F105" s="31"/>
      <c r="G105" s="31"/>
      <c r="H105" s="31"/>
      <c r="I105" s="31"/>
      <c r="J105" s="31"/>
      <c r="K105" s="31"/>
      <c r="L105" s="31"/>
      <c r="M105" s="31"/>
    </row>
    <row r="106" spans="1:13">
      <c r="A106" s="27" t="s">
        <v>74</v>
      </c>
      <c r="B106" s="22">
        <v>0</v>
      </c>
      <c r="C106" s="24">
        <f t="shared" ref="C106:M106" si="29">B109</f>
        <v>0</v>
      </c>
      <c r="D106" s="24">
        <f t="shared" si="29"/>
        <v>0</v>
      </c>
      <c r="E106" s="24">
        <f t="shared" si="29"/>
        <v>0</v>
      </c>
      <c r="F106" s="24">
        <f t="shared" si="29"/>
        <v>0</v>
      </c>
      <c r="G106" s="24">
        <f t="shared" si="29"/>
        <v>0</v>
      </c>
      <c r="H106" s="24">
        <f t="shared" si="29"/>
        <v>0</v>
      </c>
      <c r="I106" s="24">
        <f t="shared" si="29"/>
        <v>0</v>
      </c>
      <c r="J106" s="24">
        <f t="shared" si="29"/>
        <v>7.4999999999999997E-3</v>
      </c>
      <c r="K106" s="24">
        <f t="shared" si="29"/>
        <v>7.4999999999999997E-3</v>
      </c>
      <c r="L106" s="24">
        <f t="shared" si="29"/>
        <v>7.4999999999999997E-3</v>
      </c>
      <c r="M106" s="24">
        <f t="shared" si="29"/>
        <v>7.4999999999999997E-3</v>
      </c>
    </row>
    <row r="107" spans="1:13">
      <c r="A107" s="27" t="s">
        <v>75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>
      <c r="A108" s="27" t="s">
        <v>76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>
      <c r="A109" s="32" t="s">
        <v>77</v>
      </c>
      <c r="B109" s="33">
        <f t="shared" ref="B109:J109" si="30">B104+B106-B107-B108</f>
        <v>0</v>
      </c>
      <c r="C109" s="33">
        <f t="shared" si="30"/>
        <v>0</v>
      </c>
      <c r="D109" s="33">
        <f>D104+D106-D107-D108</f>
        <v>0</v>
      </c>
      <c r="E109" s="33">
        <f t="shared" si="30"/>
        <v>0</v>
      </c>
      <c r="F109" s="33">
        <f t="shared" si="30"/>
        <v>0</v>
      </c>
      <c r="G109" s="33">
        <f t="shared" si="30"/>
        <v>0</v>
      </c>
      <c r="H109" s="33">
        <f t="shared" si="30"/>
        <v>0</v>
      </c>
      <c r="I109" s="33">
        <f t="shared" si="30"/>
        <v>7.4999999999999997E-3</v>
      </c>
      <c r="J109" s="33">
        <f t="shared" si="30"/>
        <v>7.4999999999999997E-3</v>
      </c>
      <c r="K109" s="33">
        <f>K104+K106-K107-K108</f>
        <v>7.4999999999999997E-3</v>
      </c>
      <c r="L109" s="33">
        <f>L104+L106-L107-L108</f>
        <v>7.4999999999999997E-3</v>
      </c>
      <c r="M109" s="33">
        <f>M104+M106-M107-M108</f>
        <v>7.4999999999999997E-3</v>
      </c>
    </row>
    <row r="110" spans="1:13">
      <c r="A110" s="34"/>
    </row>
    <row r="111" spans="1:13" s="36" customFormat="1">
      <c r="A111" s="35" t="s">
        <v>78</v>
      </c>
    </row>
    <row r="112" spans="1:13" s="36" customFormat="1"/>
    <row r="113" spans="1:13">
      <c r="A113" s="37" t="str">
        <f>A8</f>
        <v>Year</v>
      </c>
      <c r="B113" s="38">
        <f t="shared" ref="B113:J113" si="31">B8</f>
        <v>2023</v>
      </c>
      <c r="C113" s="38">
        <f t="shared" si="31"/>
        <v>2024</v>
      </c>
      <c r="D113" s="39">
        <f>D8</f>
        <v>2025</v>
      </c>
      <c r="E113" s="39">
        <f t="shared" si="31"/>
        <v>2026</v>
      </c>
      <c r="F113" s="39">
        <f t="shared" si="31"/>
        <v>2027</v>
      </c>
      <c r="G113" s="39">
        <f t="shared" si="31"/>
        <v>2028</v>
      </c>
      <c r="H113" s="39">
        <f t="shared" si="31"/>
        <v>2029</v>
      </c>
      <c r="I113" s="39">
        <f t="shared" si="31"/>
        <v>2030</v>
      </c>
      <c r="J113" s="39">
        <f t="shared" si="31"/>
        <v>2031</v>
      </c>
      <c r="K113" s="39">
        <f>K8</f>
        <v>2032</v>
      </c>
      <c r="L113" s="39">
        <f>L8</f>
        <v>2033</v>
      </c>
      <c r="M113" s="39">
        <f>M8</f>
        <v>2034</v>
      </c>
    </row>
    <row r="114" spans="1:13" s="36" customFormat="1">
      <c r="A114" s="40" t="str">
        <f>A10</f>
        <v>Nature of Financials</v>
      </c>
      <c r="B114" s="41" t="str">
        <f t="shared" ref="B114:J114" si="32">B10</f>
        <v>Audited</v>
      </c>
      <c r="C114" s="41" t="str">
        <f t="shared" si="32"/>
        <v>Audited</v>
      </c>
      <c r="D114" s="42" t="str">
        <f>D10</f>
        <v>Provisionals</v>
      </c>
      <c r="E114" s="42" t="str">
        <f t="shared" si="32"/>
        <v>Projected</v>
      </c>
      <c r="F114" s="387" t="str">
        <f t="shared" si="32"/>
        <v>Projected</v>
      </c>
      <c r="G114" s="42" t="str">
        <f t="shared" si="32"/>
        <v>Projected</v>
      </c>
      <c r="H114" s="42" t="str">
        <f t="shared" si="32"/>
        <v>Projected</v>
      </c>
      <c r="I114" s="42" t="str">
        <f t="shared" si="32"/>
        <v>Projected</v>
      </c>
      <c r="J114" s="42" t="str">
        <f t="shared" si="32"/>
        <v>Projected</v>
      </c>
      <c r="K114" s="42" t="str">
        <f>K10</f>
        <v>Projected</v>
      </c>
      <c r="L114" s="42" t="str">
        <f>L10</f>
        <v>Projected</v>
      </c>
      <c r="M114" s="42" t="str">
        <f>M10</f>
        <v>Projected</v>
      </c>
    </row>
    <row r="115" spans="1:13" s="36" customFormat="1">
      <c r="A115" s="43" t="s">
        <v>79</v>
      </c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</row>
    <row r="116" spans="1:13" s="36" customFormat="1">
      <c r="A116" s="47" t="s">
        <v>80</v>
      </c>
      <c r="B116" s="22">
        <v>0</v>
      </c>
      <c r="C116" s="22">
        <v>0</v>
      </c>
      <c r="D116" s="22">
        <v>0</v>
      </c>
      <c r="E116" s="22">
        <f>D116</f>
        <v>0</v>
      </c>
      <c r="F116" s="22">
        <f>E116</f>
        <v>0</v>
      </c>
      <c r="G116" s="22">
        <f>F116</f>
        <v>0</v>
      </c>
      <c r="H116" s="22">
        <v>0</v>
      </c>
      <c r="I116" s="22">
        <f>H116</f>
        <v>0</v>
      </c>
      <c r="J116" s="22">
        <v>0</v>
      </c>
      <c r="K116" s="22">
        <v>0</v>
      </c>
      <c r="L116" s="22">
        <v>0</v>
      </c>
      <c r="M116" s="22">
        <v>0</v>
      </c>
    </row>
    <row r="117" spans="1:13" s="36" customFormat="1">
      <c r="A117" s="47" t="s">
        <v>81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s="36" customFormat="1">
      <c r="A118" s="49" t="s">
        <v>29</v>
      </c>
      <c r="B118" s="26">
        <f t="shared" ref="B118:J118" si="33">SUM(B116:B117)</f>
        <v>0</v>
      </c>
      <c r="C118" s="26">
        <f t="shared" si="33"/>
        <v>0</v>
      </c>
      <c r="D118" s="26">
        <f>SUM(D116:D117)</f>
        <v>0</v>
      </c>
      <c r="E118" s="26">
        <f t="shared" si="33"/>
        <v>0</v>
      </c>
      <c r="F118" s="26">
        <f t="shared" si="33"/>
        <v>0</v>
      </c>
      <c r="G118" s="26">
        <f t="shared" si="33"/>
        <v>0</v>
      </c>
      <c r="H118" s="26">
        <f t="shared" si="33"/>
        <v>0</v>
      </c>
      <c r="I118" s="26">
        <f t="shared" si="33"/>
        <v>0</v>
      </c>
      <c r="J118" s="26">
        <f t="shared" si="33"/>
        <v>0</v>
      </c>
      <c r="K118" s="26">
        <f>SUM(K116:K117)</f>
        <v>0</v>
      </c>
      <c r="L118" s="26">
        <f>SUM(L116:L117)</f>
        <v>0</v>
      </c>
      <c r="M118" s="26">
        <f>SUM(M116:M117)</f>
        <v>0</v>
      </c>
    </row>
    <row r="119" spans="1:13" s="36" customFormat="1">
      <c r="A119" s="47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</row>
    <row r="120" spans="1:13" s="36" customFormat="1">
      <c r="A120" s="49" t="s">
        <v>82</v>
      </c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</row>
    <row r="121" spans="1:13" s="36" customFormat="1">
      <c r="A121" s="47" t="s">
        <v>83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s="36" customFormat="1">
      <c r="A122" s="47" t="s">
        <v>84</v>
      </c>
      <c r="B122" s="28">
        <f t="shared" ref="B122:J122" si="34">B109</f>
        <v>0</v>
      </c>
      <c r="C122" s="28">
        <f t="shared" si="34"/>
        <v>0</v>
      </c>
      <c r="D122" s="28">
        <f>D109</f>
        <v>0</v>
      </c>
      <c r="E122" s="28">
        <f t="shared" si="34"/>
        <v>0</v>
      </c>
      <c r="F122" s="28">
        <f t="shared" si="34"/>
        <v>0</v>
      </c>
      <c r="G122" s="28">
        <f t="shared" si="34"/>
        <v>0</v>
      </c>
      <c r="H122" s="28">
        <f t="shared" si="34"/>
        <v>0</v>
      </c>
      <c r="I122" s="28">
        <f t="shared" si="34"/>
        <v>7.4999999999999997E-3</v>
      </c>
      <c r="J122" s="28">
        <f t="shared" si="34"/>
        <v>7.4999999999999997E-3</v>
      </c>
      <c r="K122" s="28">
        <f>K109</f>
        <v>7.4999999999999997E-3</v>
      </c>
      <c r="L122" s="28">
        <f>L109</f>
        <v>7.4999999999999997E-3</v>
      </c>
      <c r="M122" s="28">
        <f>M109</f>
        <v>7.4999999999999997E-3</v>
      </c>
    </row>
    <row r="123" spans="1:13" s="36" customFormat="1">
      <c r="A123" s="47" t="s">
        <v>85</v>
      </c>
      <c r="B123" s="22">
        <v>0</v>
      </c>
      <c r="C123" s="22">
        <v>0</v>
      </c>
      <c r="D123" s="22">
        <v>0</v>
      </c>
      <c r="E123" s="22">
        <f>D123</f>
        <v>0</v>
      </c>
      <c r="F123" s="22">
        <f>E123</f>
        <v>0</v>
      </c>
      <c r="G123" s="22">
        <f>F123</f>
        <v>0</v>
      </c>
      <c r="H123" s="22">
        <f>G123</f>
        <v>0</v>
      </c>
      <c r="I123" s="22">
        <f>H123</f>
        <v>0</v>
      </c>
      <c r="J123" s="22">
        <v>0</v>
      </c>
      <c r="K123" s="22">
        <v>0</v>
      </c>
      <c r="L123" s="22">
        <v>0</v>
      </c>
      <c r="M123" s="22">
        <v>0</v>
      </c>
    </row>
    <row r="124" spans="1:13" s="36" customFormat="1">
      <c r="A124" s="47" t="s">
        <v>86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s="36" customFormat="1">
      <c r="A125" s="47" t="s">
        <v>87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s="36" customFormat="1">
      <c r="A126" s="49" t="s">
        <v>29</v>
      </c>
      <c r="B126" s="26">
        <f t="shared" ref="B126:J126" si="35">SUM(B121:B125)</f>
        <v>0</v>
      </c>
      <c r="C126" s="26">
        <f t="shared" si="35"/>
        <v>0</v>
      </c>
      <c r="D126" s="26">
        <f>SUM(D121:D125)</f>
        <v>0</v>
      </c>
      <c r="E126" s="26">
        <f t="shared" si="35"/>
        <v>0</v>
      </c>
      <c r="F126" s="26">
        <f t="shared" si="35"/>
        <v>0</v>
      </c>
      <c r="G126" s="26">
        <f t="shared" si="35"/>
        <v>0</v>
      </c>
      <c r="H126" s="26">
        <f t="shared" si="35"/>
        <v>0</v>
      </c>
      <c r="I126" s="26">
        <f t="shared" si="35"/>
        <v>7.4999999999999997E-3</v>
      </c>
      <c r="J126" s="26">
        <f t="shared" si="35"/>
        <v>7.4999999999999997E-3</v>
      </c>
      <c r="K126" s="26">
        <f>SUM(K121:K125)</f>
        <v>7.4999999999999997E-3</v>
      </c>
      <c r="L126" s="26">
        <f>SUM(L121:L125)</f>
        <v>7.4999999999999997E-3</v>
      </c>
      <c r="M126" s="26">
        <f>SUM(M121:M125)</f>
        <v>7.4999999999999997E-3</v>
      </c>
    </row>
    <row r="127" spans="1:13" s="36" customFormat="1">
      <c r="A127" s="47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</row>
    <row r="128" spans="1:13" s="36" customFormat="1">
      <c r="A128" s="49" t="s">
        <v>88</v>
      </c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</row>
    <row r="129" spans="1:13" s="36" customFormat="1">
      <c r="A129" s="47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</row>
    <row r="130" spans="1:13" s="36" customFormat="1">
      <c r="A130" s="50" t="s">
        <v>89</v>
      </c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</row>
    <row r="131" spans="1:13" s="36" customFormat="1">
      <c r="A131" s="53" t="s">
        <v>578</v>
      </c>
      <c r="B131" s="22">
        <v>0</v>
      </c>
      <c r="C131" s="22">
        <v>0</v>
      </c>
      <c r="D131" s="22">
        <v>0</v>
      </c>
      <c r="E131" s="22">
        <f>TL!$H$17/10^7</f>
        <v>0</v>
      </c>
      <c r="F131" s="22">
        <f>TL!$H$29/10^7</f>
        <v>0</v>
      </c>
      <c r="G131" s="22">
        <f>TL!$H$41/10^7</f>
        <v>0</v>
      </c>
      <c r="H131" s="22">
        <f>TL!$H$53/10^7</f>
        <v>0</v>
      </c>
      <c r="I131" s="22">
        <f>TL!$H$65/10^7</f>
        <v>0</v>
      </c>
      <c r="J131" s="22"/>
      <c r="K131" s="22"/>
      <c r="L131" s="22"/>
      <c r="M131" s="22"/>
    </row>
    <row r="132" spans="1:13" s="36" customFormat="1">
      <c r="A132" s="47" t="s">
        <v>579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s="36" customFormat="1">
      <c r="A133" s="50" t="s">
        <v>90</v>
      </c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</row>
    <row r="134" spans="1:13" s="36" customFormat="1">
      <c r="A134" s="50" t="s">
        <v>20</v>
      </c>
      <c r="B134" s="26">
        <f t="shared" ref="B134:J134" si="36">SUM(B131:B132)</f>
        <v>0</v>
      </c>
      <c r="C134" s="26">
        <f t="shared" si="36"/>
        <v>0</v>
      </c>
      <c r="D134" s="26">
        <f>SUM(D131:D132)</f>
        <v>0</v>
      </c>
      <c r="E134" s="26">
        <f t="shared" si="36"/>
        <v>0</v>
      </c>
      <c r="F134" s="26">
        <f t="shared" si="36"/>
        <v>0</v>
      </c>
      <c r="G134" s="26">
        <f t="shared" si="36"/>
        <v>0</v>
      </c>
      <c r="H134" s="26">
        <f t="shared" si="36"/>
        <v>0</v>
      </c>
      <c r="I134" s="26">
        <f t="shared" si="36"/>
        <v>0</v>
      </c>
      <c r="J134" s="26">
        <f t="shared" si="36"/>
        <v>0</v>
      </c>
      <c r="K134" s="26">
        <f>SUM(K131:K132)</f>
        <v>0</v>
      </c>
      <c r="L134" s="26">
        <f>SUM(L131:L132)</f>
        <v>0</v>
      </c>
      <c r="M134" s="26">
        <f>SUM(M131:M132)</f>
        <v>0</v>
      </c>
    </row>
    <row r="135" spans="1:13" s="36" customFormat="1">
      <c r="A135" s="50" t="s">
        <v>91</v>
      </c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</row>
    <row r="136" spans="1:13" s="36" customFormat="1">
      <c r="A136" s="47" t="s">
        <v>92</v>
      </c>
      <c r="B136" s="22">
        <v>0</v>
      </c>
      <c r="C136" s="22">
        <v>0</v>
      </c>
      <c r="D136" s="22">
        <v>0</v>
      </c>
      <c r="E136" s="22">
        <f>SUM(TL!C18:C29)/10^7</f>
        <v>0</v>
      </c>
      <c r="F136" s="22">
        <f>SUM(TL!C30:C41)/10^7</f>
        <v>0</v>
      </c>
      <c r="G136" s="22">
        <f>SUM(TL!C42:C53)/10^7</f>
        <v>0</v>
      </c>
      <c r="H136" s="22">
        <f>0</f>
        <v>0</v>
      </c>
      <c r="I136" s="22">
        <f>0</f>
        <v>0</v>
      </c>
      <c r="J136" s="22"/>
      <c r="K136" s="22"/>
      <c r="L136" s="22"/>
      <c r="M136" s="22"/>
    </row>
    <row r="137" spans="1:13" s="36" customFormat="1">
      <c r="A137" s="47" t="s">
        <v>93</v>
      </c>
      <c r="B137" s="22">
        <v>0</v>
      </c>
      <c r="C137" s="22">
        <v>0</v>
      </c>
      <c r="D137" s="22">
        <v>0</v>
      </c>
      <c r="E137" s="22">
        <f>TL!D17/10^7-E136</f>
        <v>0</v>
      </c>
      <c r="F137" s="22">
        <f>TL!D29/10^7-F136</f>
        <v>0</v>
      </c>
      <c r="G137" s="22">
        <f>TL!D41/10^7-G136</f>
        <v>0</v>
      </c>
      <c r="H137" s="22">
        <f>TL!D53/10^7-H136</f>
        <v>0</v>
      </c>
      <c r="I137" s="22">
        <f>0</f>
        <v>0</v>
      </c>
      <c r="J137" s="22">
        <v>0</v>
      </c>
      <c r="K137" s="22">
        <v>0</v>
      </c>
      <c r="L137" s="22">
        <v>0</v>
      </c>
      <c r="M137" s="22">
        <v>0</v>
      </c>
    </row>
    <row r="138" spans="1:13" s="36" customFormat="1">
      <c r="A138" s="50" t="s">
        <v>20</v>
      </c>
      <c r="B138" s="26">
        <f t="shared" ref="B138:J138" si="37">SUM(B136:B137)</f>
        <v>0</v>
      </c>
      <c r="C138" s="26">
        <f t="shared" si="37"/>
        <v>0</v>
      </c>
      <c r="D138" s="26">
        <f>SUM(D136:D137)</f>
        <v>0</v>
      </c>
      <c r="E138" s="26">
        <f t="shared" si="37"/>
        <v>0</v>
      </c>
      <c r="F138" s="26">
        <f t="shared" si="37"/>
        <v>0</v>
      </c>
      <c r="G138" s="26">
        <f t="shared" si="37"/>
        <v>0</v>
      </c>
      <c r="H138" s="26">
        <f t="shared" si="37"/>
        <v>0</v>
      </c>
      <c r="I138" s="26">
        <f t="shared" si="37"/>
        <v>0</v>
      </c>
      <c r="J138" s="26">
        <f t="shared" si="37"/>
        <v>0</v>
      </c>
      <c r="K138" s="26">
        <f>SUM(K136:K137)</f>
        <v>0</v>
      </c>
      <c r="L138" s="26">
        <f>SUM(L136:L137)</f>
        <v>0</v>
      </c>
      <c r="M138" s="26">
        <f>SUM(M136:M137)</f>
        <v>0</v>
      </c>
    </row>
    <row r="139" spans="1:13" s="36" customFormat="1">
      <c r="A139" s="50" t="s">
        <v>94</v>
      </c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</row>
    <row r="140" spans="1:13" s="36" customFormat="1">
      <c r="A140" s="53" t="s">
        <v>95</v>
      </c>
      <c r="B140" s="48">
        <v>0</v>
      </c>
      <c r="C140" s="30">
        <v>0</v>
      </c>
      <c r="D140" s="30">
        <v>0</v>
      </c>
      <c r="E140" s="30">
        <f>0</f>
        <v>0</v>
      </c>
      <c r="F140" s="30">
        <f>0</f>
        <v>0</v>
      </c>
      <c r="G140" s="30">
        <f>0</f>
        <v>0</v>
      </c>
      <c r="H140" s="30">
        <f>0</f>
        <v>0</v>
      </c>
      <c r="I140" s="30">
        <f>0</f>
        <v>0</v>
      </c>
      <c r="J140" s="30"/>
      <c r="K140" s="30"/>
      <c r="L140" s="30"/>
      <c r="M140" s="30"/>
    </row>
    <row r="141" spans="1:13" s="36" customFormat="1">
      <c r="A141" s="47" t="s">
        <v>93</v>
      </c>
      <c r="B141" s="48">
        <v>0</v>
      </c>
      <c r="C141" s="30">
        <v>0</v>
      </c>
      <c r="D141" s="30">
        <v>0</v>
      </c>
      <c r="E141" s="30">
        <f>0</f>
        <v>0</v>
      </c>
      <c r="F141" s="30">
        <f>0</f>
        <v>0</v>
      </c>
      <c r="G141" s="30">
        <f>0</f>
        <v>0</v>
      </c>
      <c r="H141" s="30">
        <f>0</f>
        <v>0</v>
      </c>
      <c r="I141" s="30">
        <f>0</f>
        <v>0</v>
      </c>
      <c r="J141" s="30"/>
      <c r="K141" s="30"/>
      <c r="L141" s="30"/>
      <c r="M141" s="30"/>
    </row>
    <row r="142" spans="1:13" s="36" customFormat="1">
      <c r="A142" s="50" t="s">
        <v>20</v>
      </c>
      <c r="B142" s="26">
        <f t="shared" ref="B142:J142" si="38">SUM(B140:B141)</f>
        <v>0</v>
      </c>
      <c r="C142" s="26">
        <f t="shared" si="38"/>
        <v>0</v>
      </c>
      <c r="D142" s="26">
        <f>SUM(D140:D141)</f>
        <v>0</v>
      </c>
      <c r="E142" s="26">
        <f t="shared" si="38"/>
        <v>0</v>
      </c>
      <c r="F142" s="26">
        <f t="shared" si="38"/>
        <v>0</v>
      </c>
      <c r="G142" s="26">
        <f t="shared" si="38"/>
        <v>0</v>
      </c>
      <c r="H142" s="26">
        <f t="shared" si="38"/>
        <v>0</v>
      </c>
      <c r="I142" s="26">
        <f t="shared" si="38"/>
        <v>0</v>
      </c>
      <c r="J142" s="26">
        <f t="shared" si="38"/>
        <v>0</v>
      </c>
      <c r="K142" s="26">
        <f>SUM(K140:K141)</f>
        <v>0</v>
      </c>
      <c r="L142" s="26">
        <f>SUM(L140:L141)</f>
        <v>0</v>
      </c>
      <c r="M142" s="26">
        <f>SUM(M140:M141)</f>
        <v>0</v>
      </c>
    </row>
    <row r="143" spans="1:13" s="36" customFormat="1">
      <c r="A143" s="50" t="s">
        <v>96</v>
      </c>
      <c r="B143" s="45" t="s">
        <v>97</v>
      </c>
      <c r="C143" s="46" t="s">
        <v>97</v>
      </c>
      <c r="D143" s="46" t="s">
        <v>97</v>
      </c>
      <c r="E143" s="46" t="s">
        <v>97</v>
      </c>
      <c r="F143" s="46" t="s">
        <v>97</v>
      </c>
      <c r="G143" s="46" t="s">
        <v>97</v>
      </c>
      <c r="H143" s="46" t="s">
        <v>97</v>
      </c>
      <c r="I143" s="46" t="s">
        <v>97</v>
      </c>
      <c r="J143" s="46" t="s">
        <v>97</v>
      </c>
      <c r="K143" s="46" t="s">
        <v>97</v>
      </c>
      <c r="L143" s="46" t="s">
        <v>97</v>
      </c>
      <c r="M143" s="46" t="s">
        <v>97</v>
      </c>
    </row>
    <row r="144" spans="1:13" s="36" customFormat="1">
      <c r="A144" s="47" t="s">
        <v>95</v>
      </c>
      <c r="B144" s="48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</row>
    <row r="145" spans="1:13" s="36" customFormat="1">
      <c r="A145" s="47" t="s">
        <v>93</v>
      </c>
      <c r="B145" s="48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</row>
    <row r="146" spans="1:13" s="36" customFormat="1">
      <c r="A146" s="50" t="s">
        <v>20</v>
      </c>
      <c r="B146" s="26">
        <f t="shared" ref="B146:J146" si="39">SUM(B144:B145)</f>
        <v>0</v>
      </c>
      <c r="C146" s="26">
        <f t="shared" si="39"/>
        <v>0</v>
      </c>
      <c r="D146" s="26">
        <f>SUM(D144:D145)</f>
        <v>0</v>
      </c>
      <c r="E146" s="26">
        <f t="shared" si="39"/>
        <v>0</v>
      </c>
      <c r="F146" s="26">
        <f t="shared" si="39"/>
        <v>0</v>
      </c>
      <c r="G146" s="26">
        <f t="shared" si="39"/>
        <v>0</v>
      </c>
      <c r="H146" s="26">
        <f t="shared" si="39"/>
        <v>0</v>
      </c>
      <c r="I146" s="26">
        <f t="shared" si="39"/>
        <v>0</v>
      </c>
      <c r="J146" s="26">
        <f t="shared" si="39"/>
        <v>0</v>
      </c>
      <c r="K146" s="26">
        <f>SUM(K144:K145)</f>
        <v>0</v>
      </c>
      <c r="L146" s="26">
        <f>SUM(L144:L145)</f>
        <v>0</v>
      </c>
      <c r="M146" s="26">
        <f>SUM(M144:M145)</f>
        <v>0</v>
      </c>
    </row>
    <row r="147" spans="1:13" s="36" customFormat="1">
      <c r="A147" s="50" t="s">
        <v>98</v>
      </c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</row>
    <row r="148" spans="1:13" s="36" customFormat="1">
      <c r="A148" s="47" t="s">
        <v>99</v>
      </c>
      <c r="B148" s="48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</row>
    <row r="149" spans="1:13" s="36" customFormat="1">
      <c r="A149" s="47" t="s">
        <v>100</v>
      </c>
      <c r="B149" s="48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</row>
    <row r="150" spans="1:13" s="36" customFormat="1">
      <c r="A150" s="50" t="s">
        <v>20</v>
      </c>
      <c r="B150" s="26">
        <f t="shared" ref="B150:J150" si="40">SUM(B148:B149)</f>
        <v>0</v>
      </c>
      <c r="C150" s="26">
        <f t="shared" si="40"/>
        <v>0</v>
      </c>
      <c r="D150" s="26">
        <f>SUM(D148:D149)</f>
        <v>0</v>
      </c>
      <c r="E150" s="26">
        <f t="shared" si="40"/>
        <v>0</v>
      </c>
      <c r="F150" s="26">
        <f t="shared" si="40"/>
        <v>0</v>
      </c>
      <c r="G150" s="26">
        <f t="shared" si="40"/>
        <v>0</v>
      </c>
      <c r="H150" s="26">
        <f t="shared" si="40"/>
        <v>0</v>
      </c>
      <c r="I150" s="26">
        <f t="shared" si="40"/>
        <v>0</v>
      </c>
      <c r="J150" s="26">
        <f t="shared" si="40"/>
        <v>0</v>
      </c>
      <c r="K150" s="26">
        <f>SUM(K148:K149)</f>
        <v>0</v>
      </c>
      <c r="L150" s="26">
        <f>SUM(L148:L149)</f>
        <v>0</v>
      </c>
      <c r="M150" s="26">
        <f>SUM(M148:M149)</f>
        <v>0</v>
      </c>
    </row>
    <row r="151" spans="1:13" s="36" customFormat="1">
      <c r="A151" s="50" t="s">
        <v>101</v>
      </c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</row>
    <row r="152" spans="1:13" s="36" customFormat="1">
      <c r="A152" s="47" t="s">
        <v>102</v>
      </c>
      <c r="B152" s="22">
        <v>0</v>
      </c>
      <c r="C152" s="22">
        <v>0</v>
      </c>
      <c r="D152" s="22">
        <v>0</v>
      </c>
      <c r="E152" s="22">
        <f t="shared" ref="E152:G154" si="41">D152</f>
        <v>0</v>
      </c>
      <c r="F152" s="22">
        <f t="shared" si="41"/>
        <v>0</v>
      </c>
      <c r="G152" s="22">
        <f t="shared" si="41"/>
        <v>0</v>
      </c>
      <c r="H152" s="22">
        <v>0</v>
      </c>
      <c r="I152" s="22">
        <f>H152</f>
        <v>0</v>
      </c>
      <c r="J152" s="22">
        <v>0</v>
      </c>
      <c r="K152" s="22">
        <v>0</v>
      </c>
      <c r="L152" s="22">
        <v>0</v>
      </c>
      <c r="M152" s="22">
        <v>0</v>
      </c>
    </row>
    <row r="153" spans="1:13" s="36" customFormat="1">
      <c r="A153" s="47" t="s">
        <v>103</v>
      </c>
      <c r="B153" s="30">
        <v>0</v>
      </c>
      <c r="C153" s="30">
        <v>0</v>
      </c>
      <c r="D153" s="22">
        <v>0</v>
      </c>
      <c r="E153" s="22">
        <f t="shared" si="41"/>
        <v>0</v>
      </c>
      <c r="F153" s="22">
        <f t="shared" si="41"/>
        <v>0</v>
      </c>
      <c r="G153" s="22">
        <f t="shared" si="41"/>
        <v>0</v>
      </c>
      <c r="H153" s="22">
        <v>0</v>
      </c>
      <c r="I153" s="22">
        <f>H153</f>
        <v>0</v>
      </c>
      <c r="J153" s="22">
        <v>0</v>
      </c>
      <c r="K153" s="22">
        <v>0</v>
      </c>
      <c r="L153" s="22">
        <v>0</v>
      </c>
      <c r="M153" s="22">
        <v>0</v>
      </c>
    </row>
    <row r="154" spans="1:13" s="36" customFormat="1">
      <c r="A154" s="47" t="s">
        <v>104</v>
      </c>
      <c r="B154" s="22"/>
      <c r="C154" s="22"/>
      <c r="D154" s="22">
        <v>0</v>
      </c>
      <c r="E154" s="22">
        <f t="shared" si="41"/>
        <v>0</v>
      </c>
      <c r="F154" s="22">
        <f t="shared" si="41"/>
        <v>0</v>
      </c>
      <c r="G154" s="22">
        <f t="shared" si="41"/>
        <v>0</v>
      </c>
      <c r="H154" s="22">
        <v>0</v>
      </c>
      <c r="I154" s="22">
        <f>H154</f>
        <v>0</v>
      </c>
      <c r="J154" s="22">
        <v>0</v>
      </c>
      <c r="K154" s="22">
        <v>0</v>
      </c>
      <c r="L154" s="22">
        <v>0</v>
      </c>
      <c r="M154" s="22">
        <v>0</v>
      </c>
    </row>
    <row r="155" spans="1:13" s="36" customFormat="1">
      <c r="A155" s="50" t="s">
        <v>20</v>
      </c>
      <c r="B155" s="26">
        <f t="shared" ref="B155:J155" si="42">SUM(B152:B154)</f>
        <v>0</v>
      </c>
      <c r="C155" s="26">
        <f t="shared" si="42"/>
        <v>0</v>
      </c>
      <c r="D155" s="26">
        <f>SUM(D152:D154)</f>
        <v>0</v>
      </c>
      <c r="E155" s="26">
        <f t="shared" si="42"/>
        <v>0</v>
      </c>
      <c r="F155" s="26">
        <f t="shared" si="42"/>
        <v>0</v>
      </c>
      <c r="G155" s="26">
        <f t="shared" si="42"/>
        <v>0</v>
      </c>
      <c r="H155" s="26">
        <f t="shared" si="42"/>
        <v>0</v>
      </c>
      <c r="I155" s="26">
        <f t="shared" si="42"/>
        <v>0</v>
      </c>
      <c r="J155" s="26">
        <f t="shared" si="42"/>
        <v>0</v>
      </c>
      <c r="K155" s="26">
        <f>SUM(K152:K154)</f>
        <v>0</v>
      </c>
      <c r="L155" s="26">
        <f>SUM(L152:L154)</f>
        <v>0</v>
      </c>
      <c r="M155" s="26">
        <f>SUM(M152:M154)</f>
        <v>0</v>
      </c>
    </row>
    <row r="156" spans="1:13" s="36" customFormat="1">
      <c r="A156" s="47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</row>
    <row r="157" spans="1:13" s="36" customFormat="1">
      <c r="A157" s="49" t="s">
        <v>29</v>
      </c>
      <c r="B157" s="51">
        <f t="shared" ref="B157:J157" si="43">SUM(B134,B138,B142,B146,B150,B155)</f>
        <v>0</v>
      </c>
      <c r="C157" s="25">
        <f t="shared" si="43"/>
        <v>0</v>
      </c>
      <c r="D157" s="25">
        <f>SUM(D134,D138,D142,D146,D150,D155)</f>
        <v>0</v>
      </c>
      <c r="E157" s="25">
        <f t="shared" si="43"/>
        <v>0</v>
      </c>
      <c r="F157" s="25">
        <f t="shared" si="43"/>
        <v>0</v>
      </c>
      <c r="G157" s="25">
        <f t="shared" si="43"/>
        <v>0</v>
      </c>
      <c r="H157" s="25">
        <f t="shared" si="43"/>
        <v>0</v>
      </c>
      <c r="I157" s="25">
        <f t="shared" si="43"/>
        <v>0</v>
      </c>
      <c r="J157" s="25">
        <f t="shared" si="43"/>
        <v>0</v>
      </c>
      <c r="K157" s="25">
        <f>SUM(K134,K138,K142,K146,K150,K155)</f>
        <v>0</v>
      </c>
      <c r="L157" s="25">
        <f>SUM(L134,L138,L142,L146,L150,L155)</f>
        <v>0</v>
      </c>
      <c r="M157" s="25">
        <f>SUM(M134,M138,M142,M146,M150,M155)</f>
        <v>0</v>
      </c>
    </row>
    <row r="158" spans="1:13" s="36" customFormat="1">
      <c r="A158" s="52"/>
      <c r="B158" s="34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</row>
    <row r="159" spans="1:13" s="36" customFormat="1">
      <c r="A159" s="53" t="s">
        <v>105</v>
      </c>
      <c r="B159" s="22">
        <v>0</v>
      </c>
      <c r="C159" s="22">
        <v>0</v>
      </c>
      <c r="D159" s="22">
        <v>0</v>
      </c>
      <c r="E159" s="22">
        <f>D159</f>
        <v>0</v>
      </c>
      <c r="F159" s="22">
        <f>E159</f>
        <v>0</v>
      </c>
      <c r="G159" s="22">
        <f>F159</f>
        <v>0</v>
      </c>
      <c r="H159" s="22">
        <v>0</v>
      </c>
      <c r="I159" s="22">
        <f>H159</f>
        <v>0</v>
      </c>
      <c r="J159" s="22">
        <v>0</v>
      </c>
      <c r="K159" s="22">
        <v>0</v>
      </c>
      <c r="L159" s="22">
        <v>0</v>
      </c>
      <c r="M159" s="22">
        <v>0</v>
      </c>
    </row>
    <row r="160" spans="1:13" s="36" customFormat="1">
      <c r="A160" s="47"/>
      <c r="B160" s="45"/>
      <c r="C160" s="46"/>
      <c r="D160" s="46"/>
      <c r="E160" s="45"/>
      <c r="F160" s="46"/>
      <c r="G160" s="46"/>
      <c r="H160" s="46"/>
      <c r="I160" s="46"/>
      <c r="J160" s="46"/>
      <c r="K160" s="46"/>
      <c r="L160" s="46"/>
      <c r="M160" s="46"/>
    </row>
    <row r="161" spans="1:13" s="36" customFormat="1">
      <c r="A161" s="49" t="s">
        <v>106</v>
      </c>
      <c r="B161" s="45"/>
      <c r="C161" s="46"/>
      <c r="D161" s="46"/>
      <c r="E161" s="45"/>
      <c r="F161" s="46"/>
      <c r="G161" s="46"/>
      <c r="H161" s="46"/>
      <c r="I161" s="46"/>
      <c r="J161" s="46"/>
      <c r="K161" s="46"/>
      <c r="L161" s="46"/>
      <c r="M161" s="46"/>
    </row>
    <row r="162" spans="1:13" s="36" customFormat="1">
      <c r="A162" s="53" t="s">
        <v>107</v>
      </c>
      <c r="B162" s="22">
        <v>0</v>
      </c>
      <c r="C162" s="22">
        <v>0</v>
      </c>
      <c r="D162" s="22">
        <v>0</v>
      </c>
      <c r="E162" s="22">
        <f>D162+D165</f>
        <v>0</v>
      </c>
      <c r="F162" s="22">
        <f>E162</f>
        <v>0</v>
      </c>
      <c r="G162" s="22">
        <f>F162</f>
        <v>0</v>
      </c>
      <c r="H162" s="22">
        <f>G162</f>
        <v>0</v>
      </c>
      <c r="I162" s="22">
        <f>H162</f>
        <v>0</v>
      </c>
      <c r="J162" s="22">
        <f>I162</f>
        <v>0</v>
      </c>
      <c r="K162" s="22">
        <v>0</v>
      </c>
      <c r="L162" s="22">
        <f>K162</f>
        <v>0</v>
      </c>
      <c r="M162" s="22">
        <v>0</v>
      </c>
    </row>
    <row r="163" spans="1:13" s="36" customFormat="1">
      <c r="A163" s="53" t="s">
        <v>108</v>
      </c>
      <c r="B163" s="22">
        <v>0</v>
      </c>
      <c r="C163" s="22">
        <v>0</v>
      </c>
      <c r="D163" s="22">
        <v>0</v>
      </c>
      <c r="E163" s="22">
        <f t="shared" ref="E163:J163" si="44">D163+E63</f>
        <v>0</v>
      </c>
      <c r="F163" s="22">
        <f t="shared" si="44"/>
        <v>0</v>
      </c>
      <c r="G163" s="22">
        <f t="shared" si="44"/>
        <v>0</v>
      </c>
      <c r="H163" s="22">
        <f t="shared" si="44"/>
        <v>0</v>
      </c>
      <c r="I163" s="22">
        <f t="shared" si="44"/>
        <v>0</v>
      </c>
      <c r="J163" s="22">
        <f t="shared" si="44"/>
        <v>0</v>
      </c>
      <c r="K163" s="22">
        <v>0</v>
      </c>
      <c r="L163" s="22">
        <f>K163+L63</f>
        <v>0</v>
      </c>
      <c r="M163" s="22">
        <v>0</v>
      </c>
    </row>
    <row r="164" spans="1:13" s="36" customFormat="1">
      <c r="A164" s="50" t="s">
        <v>109</v>
      </c>
      <c r="B164" s="26">
        <f>B162-B163</f>
        <v>0</v>
      </c>
      <c r="C164" s="26">
        <f>C162-C163</f>
        <v>0</v>
      </c>
      <c r="D164" s="26">
        <f>D162-D163</f>
        <v>0</v>
      </c>
      <c r="E164" s="26">
        <f t="shared" ref="E164:J164" si="45">E162-E163</f>
        <v>0</v>
      </c>
      <c r="F164" s="26">
        <f t="shared" si="45"/>
        <v>0</v>
      </c>
      <c r="G164" s="26">
        <f t="shared" si="45"/>
        <v>0</v>
      </c>
      <c r="H164" s="26">
        <f t="shared" si="45"/>
        <v>0</v>
      </c>
      <c r="I164" s="26">
        <f t="shared" si="45"/>
        <v>0</v>
      </c>
      <c r="J164" s="26">
        <f t="shared" si="45"/>
        <v>0</v>
      </c>
      <c r="K164" s="26">
        <f>K162-K163</f>
        <v>0</v>
      </c>
      <c r="L164" s="26">
        <f>L162-L163</f>
        <v>0</v>
      </c>
      <c r="M164" s="26">
        <f>M162-M163</f>
        <v>0</v>
      </c>
    </row>
    <row r="165" spans="1:13" s="36" customFormat="1">
      <c r="A165" s="53" t="s">
        <v>110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s="36" customFormat="1">
      <c r="A166" s="49" t="s">
        <v>29</v>
      </c>
      <c r="B166" s="26">
        <f t="shared" ref="B166:M166" si="46">SUM(B164:B165)</f>
        <v>0</v>
      </c>
      <c r="C166" s="26">
        <f t="shared" si="46"/>
        <v>0</v>
      </c>
      <c r="D166" s="26">
        <f t="shared" si="46"/>
        <v>0</v>
      </c>
      <c r="E166" s="26">
        <f t="shared" si="46"/>
        <v>0</v>
      </c>
      <c r="F166" s="26">
        <f t="shared" si="46"/>
        <v>0</v>
      </c>
      <c r="G166" s="26">
        <f t="shared" si="46"/>
        <v>0</v>
      </c>
      <c r="H166" s="26">
        <f t="shared" si="46"/>
        <v>0</v>
      </c>
      <c r="I166" s="26">
        <f t="shared" si="46"/>
        <v>0</v>
      </c>
      <c r="J166" s="26">
        <f t="shared" si="46"/>
        <v>0</v>
      </c>
      <c r="K166" s="26">
        <f t="shared" si="46"/>
        <v>0</v>
      </c>
      <c r="L166" s="26">
        <f t="shared" si="46"/>
        <v>0</v>
      </c>
      <c r="M166" s="26">
        <f t="shared" si="46"/>
        <v>0</v>
      </c>
    </row>
    <row r="167" spans="1:13" s="36" customFormat="1">
      <c r="A167" s="49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</row>
    <row r="168" spans="1:13" s="36" customFormat="1">
      <c r="A168" s="49" t="s">
        <v>111</v>
      </c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</row>
    <row r="169" spans="1:13" s="36" customFormat="1">
      <c r="A169" s="53" t="s">
        <v>112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</row>
    <row r="170" spans="1:13" s="36" customFormat="1">
      <c r="A170" s="53" t="s">
        <v>113</v>
      </c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</row>
    <row r="171" spans="1:13" s="36" customFormat="1">
      <c r="A171" s="53" t="s">
        <v>72</v>
      </c>
      <c r="B171" s="30"/>
      <c r="C171" s="48"/>
      <c r="D171" s="30"/>
      <c r="E171" s="30"/>
      <c r="F171" s="30"/>
      <c r="G171" s="30"/>
      <c r="H171" s="30"/>
      <c r="I171" s="30"/>
      <c r="J171" s="30"/>
      <c r="K171" s="30"/>
      <c r="L171" s="30"/>
      <c r="M171" s="30"/>
    </row>
    <row r="172" spans="1:13" s="36" customFormat="1">
      <c r="A172" s="53" t="s">
        <v>114</v>
      </c>
      <c r="B172" s="30"/>
      <c r="C172" s="22"/>
      <c r="D172" s="22">
        <v>0</v>
      </c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s="36" customFormat="1">
      <c r="A173" s="49" t="s">
        <v>115</v>
      </c>
      <c r="B173" s="26">
        <f t="shared" ref="B173:J173" si="47">SUM(B169:B172)</f>
        <v>0</v>
      </c>
      <c r="C173" s="26">
        <f t="shared" si="47"/>
        <v>0</v>
      </c>
      <c r="D173" s="26">
        <f>SUM(D169:D172)</f>
        <v>0</v>
      </c>
      <c r="E173" s="26">
        <f t="shared" si="47"/>
        <v>0</v>
      </c>
      <c r="F173" s="26">
        <f t="shared" si="47"/>
        <v>0</v>
      </c>
      <c r="G173" s="26">
        <f t="shared" si="47"/>
        <v>0</v>
      </c>
      <c r="H173" s="26">
        <f t="shared" si="47"/>
        <v>0</v>
      </c>
      <c r="I173" s="26">
        <f t="shared" si="47"/>
        <v>0</v>
      </c>
      <c r="J173" s="26">
        <f t="shared" si="47"/>
        <v>0</v>
      </c>
      <c r="K173" s="26">
        <f>SUM(K169:K172)</f>
        <v>0</v>
      </c>
      <c r="L173" s="26">
        <f>SUM(L169:L172)</f>
        <v>0</v>
      </c>
      <c r="M173" s="26">
        <f>SUM(M169:M172)</f>
        <v>0</v>
      </c>
    </row>
    <row r="174" spans="1:13" s="36" customFormat="1">
      <c r="A174" s="49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</row>
    <row r="175" spans="1:13" s="36" customFormat="1">
      <c r="A175" s="53" t="s">
        <v>116</v>
      </c>
      <c r="B175" s="22">
        <v>0</v>
      </c>
      <c r="C175" s="22">
        <f>C162+C165-B162-B165</f>
        <v>0</v>
      </c>
      <c r="D175" s="22">
        <v>0</v>
      </c>
      <c r="E175" s="22">
        <f>E162+E165-D162-D165</f>
        <v>0</v>
      </c>
      <c r="F175" s="22">
        <f>F162+F165-E162-E165</f>
        <v>0</v>
      </c>
      <c r="G175" s="22">
        <f>G162+G165-F162-F165</f>
        <v>0</v>
      </c>
      <c r="H175" s="22">
        <v>0</v>
      </c>
      <c r="I175" s="22">
        <f>I162+I165-H162-H165</f>
        <v>0</v>
      </c>
      <c r="J175" s="22">
        <f>J162+J165-I162-I165</f>
        <v>0</v>
      </c>
      <c r="K175" s="22">
        <v>0</v>
      </c>
      <c r="L175" s="22">
        <f>L162+L165-K162-K165</f>
        <v>0</v>
      </c>
      <c r="M175" s="22">
        <v>0</v>
      </c>
    </row>
    <row r="176" spans="1:13" s="36" customFormat="1">
      <c r="A176" s="53" t="s">
        <v>117</v>
      </c>
      <c r="B176" s="48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</row>
    <row r="177" spans="1:13" s="36" customFormat="1">
      <c r="A177" s="53" t="s">
        <v>118</v>
      </c>
      <c r="B177" s="28">
        <f t="shared" ref="B177:J177" si="48">B31</f>
        <v>0</v>
      </c>
      <c r="C177" s="28">
        <f t="shared" si="48"/>
        <v>0</v>
      </c>
      <c r="D177" s="28">
        <f>D31</f>
        <v>0</v>
      </c>
      <c r="E177" s="28">
        <f t="shared" si="48"/>
        <v>0</v>
      </c>
      <c r="F177" s="28">
        <f t="shared" si="48"/>
        <v>0</v>
      </c>
      <c r="G177" s="28">
        <f t="shared" si="48"/>
        <v>0</v>
      </c>
      <c r="H177" s="28">
        <f t="shared" si="48"/>
        <v>0</v>
      </c>
      <c r="I177" s="28">
        <f t="shared" si="48"/>
        <v>0</v>
      </c>
      <c r="J177" s="28">
        <f t="shared" si="48"/>
        <v>0</v>
      </c>
      <c r="K177" s="28">
        <f>K31</f>
        <v>0</v>
      </c>
      <c r="L177" s="28">
        <f>L31</f>
        <v>0</v>
      </c>
      <c r="M177" s="28">
        <f>M31</f>
        <v>0</v>
      </c>
    </row>
    <row r="178" spans="1:13" s="36" customFormat="1">
      <c r="A178" s="53" t="s">
        <v>119</v>
      </c>
      <c r="B178" s="28">
        <f>B89</f>
        <v>0</v>
      </c>
      <c r="C178" s="28">
        <f t="shared" ref="C178:J178" si="49">C89</f>
        <v>0</v>
      </c>
      <c r="D178" s="28">
        <f>D89</f>
        <v>0</v>
      </c>
      <c r="E178" s="28">
        <f t="shared" si="49"/>
        <v>0</v>
      </c>
      <c r="F178" s="28">
        <f t="shared" si="49"/>
        <v>0</v>
      </c>
      <c r="G178" s="28">
        <f t="shared" si="49"/>
        <v>0</v>
      </c>
      <c r="H178" s="28">
        <f t="shared" si="49"/>
        <v>0</v>
      </c>
      <c r="I178" s="28">
        <f t="shared" si="49"/>
        <v>0</v>
      </c>
      <c r="J178" s="28">
        <f t="shared" si="49"/>
        <v>0</v>
      </c>
      <c r="K178" s="28">
        <f>K89</f>
        <v>0</v>
      </c>
      <c r="L178" s="28">
        <f>L89</f>
        <v>0</v>
      </c>
      <c r="M178" s="28">
        <f>M89</f>
        <v>0</v>
      </c>
    </row>
    <row r="179" spans="1:13" s="36" customFormat="1">
      <c r="A179" s="49" t="s">
        <v>29</v>
      </c>
      <c r="B179" s="26">
        <f t="shared" ref="B179:J179" si="50">B176-B175+B177-B178</f>
        <v>0</v>
      </c>
      <c r="C179" s="26">
        <f t="shared" si="50"/>
        <v>0</v>
      </c>
      <c r="D179" s="26">
        <f>D176-D175+D177-D178</f>
        <v>0</v>
      </c>
      <c r="E179" s="26">
        <f t="shared" si="50"/>
        <v>0</v>
      </c>
      <c r="F179" s="26">
        <f t="shared" si="50"/>
        <v>0</v>
      </c>
      <c r="G179" s="26">
        <f t="shared" si="50"/>
        <v>0</v>
      </c>
      <c r="H179" s="26">
        <f t="shared" si="50"/>
        <v>0</v>
      </c>
      <c r="I179" s="26">
        <f t="shared" si="50"/>
        <v>0</v>
      </c>
      <c r="J179" s="26">
        <f t="shared" si="50"/>
        <v>0</v>
      </c>
      <c r="K179" s="26">
        <f>K176-K175+K177-K178</f>
        <v>0</v>
      </c>
      <c r="L179" s="26">
        <f>L176-L175+L177-L178</f>
        <v>0</v>
      </c>
      <c r="M179" s="26">
        <f>M176-M175+M177-M178</f>
        <v>0</v>
      </c>
    </row>
    <row r="180" spans="1:13" s="36" customFormat="1">
      <c r="A180" s="49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</row>
    <row r="181" spans="1:13" s="36" customFormat="1">
      <c r="A181" s="49" t="s">
        <v>120</v>
      </c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</row>
    <row r="182" spans="1:13" s="36" customFormat="1">
      <c r="A182" s="47" t="s">
        <v>121</v>
      </c>
      <c r="B182" s="48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</row>
    <row r="183" spans="1:13" s="36" customFormat="1">
      <c r="A183" s="47" t="s">
        <v>122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s="36" customFormat="1">
      <c r="A184" s="50" t="s">
        <v>20</v>
      </c>
      <c r="B184" s="51">
        <f t="shared" ref="B184:J184" si="51">SUM(B182:B183)</f>
        <v>0</v>
      </c>
      <c r="C184" s="25">
        <f t="shared" si="51"/>
        <v>0</v>
      </c>
      <c r="D184" s="25">
        <f>SUM(D182:D183)</f>
        <v>0</v>
      </c>
      <c r="E184" s="25">
        <f t="shared" si="51"/>
        <v>0</v>
      </c>
      <c r="F184" s="25">
        <f t="shared" si="51"/>
        <v>0</v>
      </c>
      <c r="G184" s="25">
        <f t="shared" si="51"/>
        <v>0</v>
      </c>
      <c r="H184" s="25">
        <f t="shared" si="51"/>
        <v>0</v>
      </c>
      <c r="I184" s="25">
        <f t="shared" si="51"/>
        <v>0</v>
      </c>
      <c r="J184" s="25">
        <f t="shared" si="51"/>
        <v>0</v>
      </c>
      <c r="K184" s="25">
        <f>SUM(K182:K183)</f>
        <v>0</v>
      </c>
      <c r="L184" s="25">
        <f>SUM(L182:L183)</f>
        <v>0</v>
      </c>
      <c r="M184" s="25">
        <f>SUM(M182:M183)</f>
        <v>0</v>
      </c>
    </row>
    <row r="185" spans="1:13" s="36" customFormat="1">
      <c r="A185" s="47" t="s">
        <v>123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s="36" customFormat="1">
      <c r="A186" s="47" t="s">
        <v>124</v>
      </c>
      <c r="B186" s="48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</row>
    <row r="187" spans="1:13" s="36" customFormat="1">
      <c r="A187" s="50" t="s">
        <v>20</v>
      </c>
      <c r="B187" s="51">
        <f t="shared" ref="B187:J187" si="52">SUM(B185:B186)</f>
        <v>0</v>
      </c>
      <c r="C187" s="25">
        <f t="shared" si="52"/>
        <v>0</v>
      </c>
      <c r="D187" s="25">
        <f>SUM(D185:D186)</f>
        <v>0</v>
      </c>
      <c r="E187" s="25">
        <f t="shared" si="52"/>
        <v>0</v>
      </c>
      <c r="F187" s="25">
        <f t="shared" si="52"/>
        <v>0</v>
      </c>
      <c r="G187" s="25">
        <f t="shared" si="52"/>
        <v>0</v>
      </c>
      <c r="H187" s="25">
        <f t="shared" si="52"/>
        <v>0</v>
      </c>
      <c r="I187" s="25">
        <f t="shared" si="52"/>
        <v>0</v>
      </c>
      <c r="J187" s="25">
        <f t="shared" si="52"/>
        <v>0</v>
      </c>
      <c r="K187" s="25">
        <f>SUM(K185:K186)</f>
        <v>0</v>
      </c>
      <c r="L187" s="25">
        <f>SUM(L185:L186)</f>
        <v>0</v>
      </c>
      <c r="M187" s="25">
        <f>SUM(M185:M186)</f>
        <v>0</v>
      </c>
    </row>
    <row r="188" spans="1:13" s="36" customFormat="1">
      <c r="A188" s="47" t="s">
        <v>125</v>
      </c>
      <c r="B188" s="48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</row>
    <row r="189" spans="1:13" s="36" customFormat="1">
      <c r="A189" s="49" t="s">
        <v>29</v>
      </c>
      <c r="B189" s="26">
        <f t="shared" ref="B189:J189" si="53">B184+B187+B188</f>
        <v>0</v>
      </c>
      <c r="C189" s="26">
        <f t="shared" si="53"/>
        <v>0</v>
      </c>
      <c r="D189" s="26">
        <f>D184+D187+D188</f>
        <v>0</v>
      </c>
      <c r="E189" s="26">
        <f t="shared" si="53"/>
        <v>0</v>
      </c>
      <c r="F189" s="26">
        <f t="shared" si="53"/>
        <v>0</v>
      </c>
      <c r="G189" s="26">
        <f t="shared" si="53"/>
        <v>0</v>
      </c>
      <c r="H189" s="26">
        <f t="shared" si="53"/>
        <v>0</v>
      </c>
      <c r="I189" s="26">
        <f t="shared" si="53"/>
        <v>0</v>
      </c>
      <c r="J189" s="26">
        <f t="shared" si="53"/>
        <v>0</v>
      </c>
      <c r="K189" s="26">
        <f>K184+K187+K188</f>
        <v>0</v>
      </c>
      <c r="L189" s="26">
        <f>L184+L187+L188</f>
        <v>0</v>
      </c>
      <c r="M189" s="26">
        <f>M184+M187+M188</f>
        <v>0</v>
      </c>
    </row>
    <row r="190" spans="1:13" s="36" customFormat="1">
      <c r="A190" s="47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</row>
    <row r="191" spans="1:13" s="36" customFormat="1">
      <c r="A191" s="49" t="s">
        <v>126</v>
      </c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</row>
    <row r="192" spans="1:13" s="36" customFormat="1">
      <c r="A192" s="50" t="s">
        <v>127</v>
      </c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</row>
    <row r="193" spans="1:13" s="36" customFormat="1">
      <c r="A193" s="53" t="s">
        <v>128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s="36" customFormat="1">
      <c r="A194" s="21" t="s">
        <v>129</v>
      </c>
      <c r="B194" s="22">
        <v>0</v>
      </c>
      <c r="C194" s="22">
        <v>0</v>
      </c>
      <c r="D194" s="22">
        <v>0</v>
      </c>
      <c r="E194" s="22">
        <f>(E42/E9)*Details!E17</f>
        <v>0</v>
      </c>
      <c r="F194" s="22">
        <f>(F42/F9)*Details!F17</f>
        <v>0</v>
      </c>
      <c r="G194" s="22">
        <f>(G42/G9)*Details!G17</f>
        <v>0</v>
      </c>
      <c r="H194" s="22">
        <v>0</v>
      </c>
      <c r="I194" s="22">
        <f>(I42/I9)*Details!I17</f>
        <v>0</v>
      </c>
      <c r="J194" s="22">
        <f>(J42/J9)*Details!J17</f>
        <v>0</v>
      </c>
      <c r="K194" s="22">
        <f>(K42/K9)*Details!K17</f>
        <v>0</v>
      </c>
      <c r="L194" s="22">
        <f>(L42/L9)*Details!L17</f>
        <v>0</v>
      </c>
      <c r="M194" s="22">
        <f>(M42/M9)*Details!M17</f>
        <v>0</v>
      </c>
    </row>
    <row r="195" spans="1:13" s="36" customFormat="1">
      <c r="A195" s="50" t="s">
        <v>20</v>
      </c>
      <c r="B195" s="26">
        <f t="shared" ref="B195:J195" si="54">SUM(B193:B194)</f>
        <v>0</v>
      </c>
      <c r="C195" s="26">
        <f t="shared" si="54"/>
        <v>0</v>
      </c>
      <c r="D195" s="26">
        <f>SUM(D193:D194)</f>
        <v>0</v>
      </c>
      <c r="E195" s="26">
        <f t="shared" si="54"/>
        <v>0</v>
      </c>
      <c r="F195" s="26">
        <f t="shared" si="54"/>
        <v>0</v>
      </c>
      <c r="G195" s="26">
        <f t="shared" si="54"/>
        <v>0</v>
      </c>
      <c r="H195" s="26">
        <f t="shared" si="54"/>
        <v>0</v>
      </c>
      <c r="I195" s="26">
        <f t="shared" si="54"/>
        <v>0</v>
      </c>
      <c r="J195" s="26">
        <f t="shared" si="54"/>
        <v>0</v>
      </c>
      <c r="K195" s="26">
        <f>SUM(K193:K194)</f>
        <v>0</v>
      </c>
      <c r="L195" s="26">
        <f>SUM(L193:L194)</f>
        <v>0</v>
      </c>
      <c r="M195" s="26">
        <f>SUM(M193:M194)</f>
        <v>0</v>
      </c>
    </row>
    <row r="196" spans="1:13" s="36" customFormat="1">
      <c r="A196" s="50" t="s">
        <v>130</v>
      </c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</row>
    <row r="197" spans="1:13" s="36" customFormat="1">
      <c r="A197" s="53" t="s">
        <v>128</v>
      </c>
      <c r="B197" s="48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</row>
    <row r="198" spans="1:13" s="36" customFormat="1">
      <c r="A198" s="21" t="s">
        <v>129</v>
      </c>
      <c r="B198" s="48"/>
      <c r="C198" s="30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s="36" customFormat="1">
      <c r="A199" s="50" t="s">
        <v>20</v>
      </c>
      <c r="B199" s="26">
        <f t="shared" ref="B199:J199" si="55">SUM(B197:B198)</f>
        <v>0</v>
      </c>
      <c r="C199" s="26">
        <f t="shared" si="55"/>
        <v>0</v>
      </c>
      <c r="D199" s="26">
        <f>SUM(D197:D198)</f>
        <v>0</v>
      </c>
      <c r="E199" s="26">
        <f t="shared" si="55"/>
        <v>0</v>
      </c>
      <c r="F199" s="26">
        <f t="shared" si="55"/>
        <v>0</v>
      </c>
      <c r="G199" s="26">
        <f t="shared" si="55"/>
        <v>0</v>
      </c>
      <c r="H199" s="26">
        <f t="shared" si="55"/>
        <v>0</v>
      </c>
      <c r="I199" s="26">
        <f t="shared" si="55"/>
        <v>0</v>
      </c>
      <c r="J199" s="26">
        <f t="shared" si="55"/>
        <v>0</v>
      </c>
      <c r="K199" s="26">
        <f>SUM(K197:K198)</f>
        <v>0</v>
      </c>
      <c r="L199" s="26">
        <f>SUM(L197:L198)</f>
        <v>0</v>
      </c>
      <c r="M199" s="26">
        <f>SUM(M197:M198)</f>
        <v>0</v>
      </c>
    </row>
    <row r="200" spans="1:13" s="36" customFormat="1">
      <c r="A200" s="27" t="s">
        <v>131</v>
      </c>
      <c r="B200" s="28">
        <f t="shared" ref="B200:J200" si="56">B54</f>
        <v>0</v>
      </c>
      <c r="C200" s="28">
        <f t="shared" si="56"/>
        <v>0</v>
      </c>
      <c r="D200" s="28">
        <f>D54</f>
        <v>0</v>
      </c>
      <c r="E200" s="28">
        <f t="shared" si="56"/>
        <v>0</v>
      </c>
      <c r="F200" s="28">
        <f t="shared" si="56"/>
        <v>0</v>
      </c>
      <c r="G200" s="28">
        <f t="shared" si="56"/>
        <v>0</v>
      </c>
      <c r="H200" s="28">
        <f t="shared" si="56"/>
        <v>0</v>
      </c>
      <c r="I200" s="28">
        <f t="shared" si="56"/>
        <v>0</v>
      </c>
      <c r="J200" s="28">
        <f t="shared" si="56"/>
        <v>0</v>
      </c>
      <c r="K200" s="28">
        <f>K54</f>
        <v>0</v>
      </c>
      <c r="L200" s="28">
        <f>L54</f>
        <v>0</v>
      </c>
      <c r="M200" s="28">
        <f>M54</f>
        <v>0</v>
      </c>
    </row>
    <row r="201" spans="1:13" s="36" customFormat="1">
      <c r="A201" s="53" t="s">
        <v>132</v>
      </c>
      <c r="B201" s="54">
        <f t="shared" ref="B201:J201" si="57">B59</f>
        <v>0</v>
      </c>
      <c r="C201" s="29">
        <f t="shared" si="57"/>
        <v>0</v>
      </c>
      <c r="D201" s="29">
        <f>D59</f>
        <v>0</v>
      </c>
      <c r="E201" s="29">
        <f t="shared" si="57"/>
        <v>0</v>
      </c>
      <c r="F201" s="29">
        <f t="shared" si="57"/>
        <v>0</v>
      </c>
      <c r="G201" s="29">
        <f t="shared" si="57"/>
        <v>0</v>
      </c>
      <c r="H201" s="29">
        <f t="shared" si="57"/>
        <v>0</v>
      </c>
      <c r="I201" s="29">
        <f t="shared" si="57"/>
        <v>0</v>
      </c>
      <c r="J201" s="29">
        <f t="shared" si="57"/>
        <v>0</v>
      </c>
      <c r="K201" s="29">
        <f>K59</f>
        <v>0</v>
      </c>
      <c r="L201" s="29">
        <f>L59</f>
        <v>0</v>
      </c>
      <c r="M201" s="29">
        <f>M59</f>
        <v>0</v>
      </c>
    </row>
    <row r="202" spans="1:13" s="36" customFormat="1">
      <c r="A202" s="49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</row>
    <row r="203" spans="1:13" s="36" customFormat="1">
      <c r="A203" s="49" t="s">
        <v>29</v>
      </c>
      <c r="B203" s="26">
        <f t="shared" ref="B203:J203" si="58">B195+B199+B200+B201</f>
        <v>0</v>
      </c>
      <c r="C203" s="26">
        <f t="shared" si="58"/>
        <v>0</v>
      </c>
      <c r="D203" s="26">
        <f>D195+D199+D200+D201</f>
        <v>0</v>
      </c>
      <c r="E203" s="26">
        <f t="shared" si="58"/>
        <v>0</v>
      </c>
      <c r="F203" s="26">
        <f t="shared" si="58"/>
        <v>0</v>
      </c>
      <c r="G203" s="26">
        <f t="shared" si="58"/>
        <v>0</v>
      </c>
      <c r="H203" s="26">
        <f t="shared" si="58"/>
        <v>0</v>
      </c>
      <c r="I203" s="26">
        <f t="shared" si="58"/>
        <v>0</v>
      </c>
      <c r="J203" s="26">
        <f t="shared" si="58"/>
        <v>0</v>
      </c>
      <c r="K203" s="26">
        <f>K195+K199+K200+K201</f>
        <v>0</v>
      </c>
      <c r="L203" s="26">
        <f>L195+L199+L200+L201</f>
        <v>0</v>
      </c>
      <c r="M203" s="26">
        <f>M195+M199+M200+M201</f>
        <v>0</v>
      </c>
    </row>
    <row r="204" spans="1:13" s="36" customFormat="1">
      <c r="A204" s="49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</row>
    <row r="205" spans="1:13" s="36" customFormat="1">
      <c r="A205" s="49" t="s">
        <v>133</v>
      </c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</row>
    <row r="206" spans="1:13" s="36" customFormat="1" ht="26.4">
      <c r="A206" s="47" t="s">
        <v>134</v>
      </c>
      <c r="B206" s="22">
        <v>0</v>
      </c>
      <c r="C206" s="22">
        <v>0</v>
      </c>
      <c r="D206" s="22">
        <v>0</v>
      </c>
      <c r="E206" s="22">
        <f>+E22/12*Details!E26</f>
        <v>0</v>
      </c>
      <c r="F206" s="22">
        <f>+F22/12*Details!F26</f>
        <v>0</v>
      </c>
      <c r="G206" s="22">
        <f>+G22/12*Details!G26</f>
        <v>0</v>
      </c>
      <c r="H206" s="22">
        <v>0</v>
      </c>
      <c r="I206" s="22">
        <f>+I22/12*Details!I26</f>
        <v>0</v>
      </c>
      <c r="J206" s="22">
        <f>+J22/12*Details!J26</f>
        <v>0</v>
      </c>
      <c r="K206" s="22">
        <f>+K22/12*Details!K26</f>
        <v>0</v>
      </c>
      <c r="L206" s="22">
        <f>+L22/12*Details!L26</f>
        <v>0</v>
      </c>
      <c r="M206" s="22">
        <f>+M22/12*Details!M26</f>
        <v>0</v>
      </c>
    </row>
    <row r="207" spans="1:13" s="36" customFormat="1" ht="26.4">
      <c r="A207" s="47" t="s">
        <v>135</v>
      </c>
      <c r="B207" s="22"/>
      <c r="C207" s="22"/>
      <c r="D207" s="22">
        <v>0</v>
      </c>
      <c r="E207" s="22">
        <f>+F23/12*Details!F29</f>
        <v>0</v>
      </c>
      <c r="F207" s="22">
        <f>+G23/12*Details!G29</f>
        <v>0</v>
      </c>
      <c r="G207" s="22">
        <f>+H23/12*Details!H29</f>
        <v>0</v>
      </c>
      <c r="H207" s="22">
        <v>0</v>
      </c>
      <c r="I207" s="22">
        <f>+J23/12*Details!J29</f>
        <v>0</v>
      </c>
      <c r="J207" s="22">
        <f>+K23/12*Details!K29</f>
        <v>0</v>
      </c>
      <c r="K207" s="22">
        <f>+L23/12*Details!L29</f>
        <v>0</v>
      </c>
      <c r="L207" s="22">
        <f>+M23/12*Details!M29</f>
        <v>0</v>
      </c>
      <c r="M207" s="22">
        <f>+N23/12*Details!N29</f>
        <v>0</v>
      </c>
    </row>
    <row r="208" spans="1:13" s="36" customFormat="1">
      <c r="A208" s="47" t="s">
        <v>136</v>
      </c>
      <c r="B208" s="22">
        <v>0</v>
      </c>
      <c r="C208" s="22">
        <v>0</v>
      </c>
      <c r="D208" s="22">
        <v>0</v>
      </c>
      <c r="E208" s="22">
        <f>D208</f>
        <v>0</v>
      </c>
      <c r="F208" s="22">
        <f>E208</f>
        <v>0</v>
      </c>
      <c r="G208" s="22">
        <f>F208</f>
        <v>0</v>
      </c>
      <c r="H208" s="22">
        <v>0</v>
      </c>
      <c r="I208" s="22">
        <f>H208</f>
        <v>0</v>
      </c>
      <c r="J208" s="22">
        <f>I208</f>
        <v>0</v>
      </c>
      <c r="K208" s="22">
        <f>J208</f>
        <v>0</v>
      </c>
      <c r="L208" s="22">
        <f>K208</f>
        <v>0</v>
      </c>
      <c r="M208" s="22">
        <f>L208</f>
        <v>0</v>
      </c>
    </row>
    <row r="209" spans="1:13" s="36" customFormat="1">
      <c r="A209" s="49" t="s">
        <v>29</v>
      </c>
      <c r="B209" s="26">
        <f>SUM(B206:B208)</f>
        <v>0</v>
      </c>
      <c r="C209" s="26">
        <f>SUM(C206:C208)</f>
        <v>0</v>
      </c>
      <c r="D209" s="26">
        <f>SUM(D206:D208)</f>
        <v>0</v>
      </c>
      <c r="E209" s="26">
        <f t="shared" ref="E209:J209" si="59">SUM(E206:E208)</f>
        <v>0</v>
      </c>
      <c r="F209" s="26">
        <f t="shared" si="59"/>
        <v>0</v>
      </c>
      <c r="G209" s="26">
        <f t="shared" si="59"/>
        <v>0</v>
      </c>
      <c r="H209" s="26">
        <f t="shared" si="59"/>
        <v>0</v>
      </c>
      <c r="I209" s="26">
        <f t="shared" si="59"/>
        <v>0</v>
      </c>
      <c r="J209" s="26">
        <f t="shared" si="59"/>
        <v>0</v>
      </c>
      <c r="K209" s="26">
        <f>SUM(K206:K208)</f>
        <v>0</v>
      </c>
      <c r="L209" s="26">
        <f>SUM(L206:L208)</f>
        <v>0</v>
      </c>
      <c r="M209" s="26">
        <f>SUM(M206:M208)</f>
        <v>0</v>
      </c>
    </row>
    <row r="210" spans="1:13" s="36" customFormat="1">
      <c r="A210" s="5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</row>
    <row r="211" spans="1:13" s="36" customFormat="1">
      <c r="A211" s="19" t="s">
        <v>137</v>
      </c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</row>
    <row r="212" spans="1:13" s="36" customFormat="1">
      <c r="A212" s="47" t="s">
        <v>138</v>
      </c>
      <c r="B212" s="22">
        <v>0</v>
      </c>
      <c r="C212" s="22">
        <v>0</v>
      </c>
      <c r="D212" s="22">
        <v>0</v>
      </c>
      <c r="E212" s="22">
        <f t="shared" ref="E212:G215" si="60">D212</f>
        <v>0</v>
      </c>
      <c r="F212" s="22">
        <f t="shared" si="60"/>
        <v>0</v>
      </c>
      <c r="G212" s="22">
        <f t="shared" si="60"/>
        <v>0</v>
      </c>
      <c r="H212" s="22">
        <v>0</v>
      </c>
      <c r="I212" s="22">
        <f t="shared" ref="I212:J214" si="61">H212</f>
        <v>0</v>
      </c>
      <c r="J212" s="22">
        <f t="shared" si="61"/>
        <v>0</v>
      </c>
      <c r="K212" s="22">
        <v>0</v>
      </c>
      <c r="L212" s="22">
        <f>K212</f>
        <v>0</v>
      </c>
      <c r="M212" s="22">
        <v>0</v>
      </c>
    </row>
    <row r="213" spans="1:13" s="36" customFormat="1">
      <c r="A213" s="47" t="s">
        <v>139</v>
      </c>
      <c r="B213" s="22">
        <v>0</v>
      </c>
      <c r="C213" s="22">
        <v>0</v>
      </c>
      <c r="D213" s="22">
        <v>0</v>
      </c>
      <c r="E213" s="22">
        <f t="shared" si="60"/>
        <v>0</v>
      </c>
      <c r="F213" s="22">
        <f t="shared" si="60"/>
        <v>0</v>
      </c>
      <c r="G213" s="22">
        <f t="shared" si="60"/>
        <v>0</v>
      </c>
      <c r="H213" s="22">
        <v>0</v>
      </c>
      <c r="I213" s="22">
        <f t="shared" si="61"/>
        <v>0</v>
      </c>
      <c r="J213" s="22">
        <f t="shared" si="61"/>
        <v>0</v>
      </c>
      <c r="K213" s="22">
        <v>0</v>
      </c>
      <c r="L213" s="22">
        <f>K213</f>
        <v>0</v>
      </c>
      <c r="M213" s="22">
        <v>0</v>
      </c>
    </row>
    <row r="214" spans="1:13" s="36" customFormat="1">
      <c r="A214" s="47" t="s">
        <v>140</v>
      </c>
      <c r="B214" s="22"/>
      <c r="C214" s="22"/>
      <c r="D214" s="22">
        <v>0</v>
      </c>
      <c r="E214" s="22">
        <f t="shared" si="60"/>
        <v>0</v>
      </c>
      <c r="F214" s="22">
        <f t="shared" si="60"/>
        <v>0</v>
      </c>
      <c r="G214" s="22">
        <f t="shared" si="60"/>
        <v>0</v>
      </c>
      <c r="H214" s="22">
        <v>0</v>
      </c>
      <c r="I214" s="22">
        <f t="shared" si="61"/>
        <v>0</v>
      </c>
      <c r="J214" s="22">
        <f t="shared" si="61"/>
        <v>0</v>
      </c>
      <c r="K214" s="22">
        <v>0</v>
      </c>
      <c r="L214" s="22">
        <f>K214</f>
        <v>0</v>
      </c>
      <c r="M214" s="22">
        <v>0</v>
      </c>
    </row>
    <row r="215" spans="1:13" s="36" customFormat="1">
      <c r="A215" s="47" t="s">
        <v>141</v>
      </c>
      <c r="B215" s="22"/>
      <c r="C215" s="22">
        <v>0</v>
      </c>
      <c r="D215" s="22">
        <v>0</v>
      </c>
      <c r="E215" s="22">
        <f t="shared" si="60"/>
        <v>0</v>
      </c>
      <c r="F215" s="22">
        <f t="shared" si="60"/>
        <v>0</v>
      </c>
      <c r="G215" s="22">
        <f t="shared" si="60"/>
        <v>0</v>
      </c>
      <c r="H215" s="22">
        <v>0</v>
      </c>
      <c r="I215" s="22"/>
      <c r="J215" s="22"/>
      <c r="K215" s="22"/>
      <c r="L215" s="22"/>
      <c r="M215" s="22"/>
    </row>
    <row r="216" spans="1:13" s="36" customFormat="1">
      <c r="A216" s="19" t="s">
        <v>29</v>
      </c>
      <c r="B216" s="26">
        <f t="shared" ref="B216:J216" si="62">SUM(B212:B215)</f>
        <v>0</v>
      </c>
      <c r="C216" s="26">
        <f t="shared" si="62"/>
        <v>0</v>
      </c>
      <c r="D216" s="26">
        <f>SUM(D212:D215)</f>
        <v>0</v>
      </c>
      <c r="E216" s="26">
        <f t="shared" si="62"/>
        <v>0</v>
      </c>
      <c r="F216" s="26">
        <f t="shared" si="62"/>
        <v>0</v>
      </c>
      <c r="G216" s="26">
        <f t="shared" si="62"/>
        <v>0</v>
      </c>
      <c r="H216" s="26">
        <f t="shared" si="62"/>
        <v>0</v>
      </c>
      <c r="I216" s="26">
        <f t="shared" si="62"/>
        <v>0</v>
      </c>
      <c r="J216" s="26">
        <f t="shared" si="62"/>
        <v>0</v>
      </c>
      <c r="K216" s="26">
        <f>SUM(K212:K215)</f>
        <v>0</v>
      </c>
      <c r="L216" s="26">
        <f>SUM(L212:L215)</f>
        <v>0</v>
      </c>
      <c r="M216" s="26">
        <f>SUM(M212:M215)</f>
        <v>0</v>
      </c>
    </row>
    <row r="217" spans="1:13" s="36" customFormat="1">
      <c r="A217" s="19"/>
      <c r="B217" s="34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</row>
    <row r="218" spans="1:13" s="36" customFormat="1" ht="15" customHeight="1">
      <c r="A218" s="19" t="s">
        <v>142</v>
      </c>
      <c r="B218" s="367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</row>
    <row r="219" spans="1:13" s="36" customFormat="1" ht="18" customHeight="1">
      <c r="A219" s="56" t="s">
        <v>143</v>
      </c>
      <c r="B219" s="22">
        <v>0</v>
      </c>
      <c r="C219" s="22">
        <v>0</v>
      </c>
      <c r="D219" s="22">
        <v>0</v>
      </c>
      <c r="E219" s="22">
        <f t="shared" ref="E219:G220" si="63">D219</f>
        <v>0</v>
      </c>
      <c r="F219" s="22">
        <f t="shared" si="63"/>
        <v>0</v>
      </c>
      <c r="G219" s="22">
        <f t="shared" si="63"/>
        <v>0</v>
      </c>
      <c r="H219" s="22">
        <v>0</v>
      </c>
      <c r="I219" s="22">
        <f>H219</f>
        <v>0</v>
      </c>
      <c r="J219" s="22">
        <f>I219</f>
        <v>0</v>
      </c>
      <c r="K219" s="22">
        <v>0</v>
      </c>
      <c r="L219" s="22">
        <f>K219</f>
        <v>0</v>
      </c>
      <c r="M219" s="22">
        <v>0</v>
      </c>
    </row>
    <row r="220" spans="1:13" s="36" customFormat="1">
      <c r="A220" s="21" t="s">
        <v>144</v>
      </c>
      <c r="B220" s="22"/>
      <c r="C220" s="22"/>
      <c r="D220" s="22"/>
      <c r="E220" s="22">
        <f t="shared" si="63"/>
        <v>0</v>
      </c>
      <c r="F220" s="22">
        <f t="shared" si="63"/>
        <v>0</v>
      </c>
      <c r="G220" s="22">
        <f t="shared" si="63"/>
        <v>0</v>
      </c>
      <c r="H220" s="22">
        <v>0</v>
      </c>
      <c r="I220" s="22">
        <f>H220</f>
        <v>0</v>
      </c>
      <c r="J220" s="22"/>
      <c r="K220" s="22"/>
      <c r="L220" s="22"/>
      <c r="M220" s="22"/>
    </row>
    <row r="221" spans="1:13" s="36" customFormat="1">
      <c r="A221" s="21" t="s">
        <v>145</v>
      </c>
      <c r="B221" s="22">
        <v>0</v>
      </c>
      <c r="C221" s="22">
        <v>0</v>
      </c>
      <c r="D221" s="22">
        <v>0</v>
      </c>
      <c r="E221" s="22">
        <f>E99</f>
        <v>0</v>
      </c>
      <c r="F221" s="22">
        <f>F99</f>
        <v>0</v>
      </c>
      <c r="G221" s="22">
        <f>G99</f>
        <v>0</v>
      </c>
      <c r="H221" s="22">
        <v>0</v>
      </c>
      <c r="I221" s="22">
        <f>I99</f>
        <v>2.5000000000000001E-3</v>
      </c>
      <c r="J221" s="22">
        <f>J99</f>
        <v>0</v>
      </c>
      <c r="K221" s="22">
        <v>0</v>
      </c>
      <c r="L221" s="22">
        <f>L99</f>
        <v>0</v>
      </c>
      <c r="M221" s="22">
        <v>0</v>
      </c>
    </row>
    <row r="222" spans="1:13" s="36" customFormat="1">
      <c r="A222" s="21" t="s">
        <v>146</v>
      </c>
      <c r="B222" s="22"/>
      <c r="C222" s="22"/>
      <c r="D222" s="22">
        <v>0</v>
      </c>
      <c r="E222" s="22">
        <f t="shared" ref="E222:G224" si="64">D222</f>
        <v>0</v>
      </c>
      <c r="F222" s="22">
        <f t="shared" si="64"/>
        <v>0</v>
      </c>
      <c r="G222" s="22">
        <f t="shared" si="64"/>
        <v>0</v>
      </c>
      <c r="H222" s="22">
        <v>0</v>
      </c>
      <c r="I222" s="22">
        <f t="shared" ref="I222:J224" si="65">H222</f>
        <v>0</v>
      </c>
      <c r="J222" s="22">
        <f t="shared" si="65"/>
        <v>0</v>
      </c>
      <c r="K222" s="22">
        <v>0</v>
      </c>
      <c r="L222" s="22">
        <f>K222</f>
        <v>0</v>
      </c>
      <c r="M222" s="22">
        <v>0</v>
      </c>
    </row>
    <row r="223" spans="1:13" s="36" customFormat="1">
      <c r="A223" s="21" t="s">
        <v>147</v>
      </c>
      <c r="B223" s="22">
        <v>0</v>
      </c>
      <c r="C223" s="22">
        <v>0</v>
      </c>
      <c r="D223" s="22">
        <v>0</v>
      </c>
      <c r="E223" s="22">
        <f t="shared" si="64"/>
        <v>0</v>
      </c>
      <c r="F223" s="22">
        <f t="shared" si="64"/>
        <v>0</v>
      </c>
      <c r="G223" s="22">
        <f t="shared" si="64"/>
        <v>0</v>
      </c>
      <c r="H223" s="22">
        <v>0</v>
      </c>
      <c r="I223" s="22">
        <f t="shared" si="65"/>
        <v>0</v>
      </c>
      <c r="J223" s="22">
        <f t="shared" si="65"/>
        <v>0</v>
      </c>
      <c r="K223" s="22">
        <v>0</v>
      </c>
      <c r="L223" s="22">
        <f>K223+1</f>
        <v>1</v>
      </c>
      <c r="M223" s="22">
        <v>0</v>
      </c>
    </row>
    <row r="224" spans="1:13" s="36" customFormat="1">
      <c r="A224" s="21" t="s">
        <v>148</v>
      </c>
      <c r="B224" s="22"/>
      <c r="C224" s="22"/>
      <c r="D224" s="22">
        <v>0</v>
      </c>
      <c r="E224" s="22">
        <f t="shared" si="64"/>
        <v>0</v>
      </c>
      <c r="F224" s="22">
        <f t="shared" si="64"/>
        <v>0</v>
      </c>
      <c r="G224" s="22">
        <f t="shared" si="64"/>
        <v>0</v>
      </c>
      <c r="H224" s="22">
        <v>0</v>
      </c>
      <c r="I224" s="22">
        <f t="shared" si="65"/>
        <v>0</v>
      </c>
      <c r="J224" s="22">
        <f t="shared" si="65"/>
        <v>0</v>
      </c>
      <c r="K224" s="22">
        <v>0</v>
      </c>
      <c r="L224" s="22">
        <f>K224</f>
        <v>0</v>
      </c>
      <c r="M224" s="22">
        <v>0</v>
      </c>
    </row>
    <row r="225" spans="1:13" s="36" customFormat="1">
      <c r="A225" s="19" t="s">
        <v>29</v>
      </c>
      <c r="B225" s="26">
        <f t="shared" ref="B225:J225" si="66">SUM(B219:B224)</f>
        <v>0</v>
      </c>
      <c r="C225" s="26">
        <f t="shared" si="66"/>
        <v>0</v>
      </c>
      <c r="D225" s="26">
        <f>SUM(D219:D224)</f>
        <v>0</v>
      </c>
      <c r="E225" s="26">
        <f t="shared" si="66"/>
        <v>0</v>
      </c>
      <c r="F225" s="26">
        <f t="shared" si="66"/>
        <v>0</v>
      </c>
      <c r="G225" s="26">
        <f t="shared" si="66"/>
        <v>0</v>
      </c>
      <c r="H225" s="26">
        <f t="shared" si="66"/>
        <v>0</v>
      </c>
      <c r="I225" s="26">
        <f t="shared" si="66"/>
        <v>2.5000000000000001E-3</v>
      </c>
      <c r="J225" s="26">
        <f t="shared" si="66"/>
        <v>0</v>
      </c>
      <c r="K225" s="26">
        <f>SUM(K219:K224)</f>
        <v>0</v>
      </c>
      <c r="L225" s="26">
        <f>SUM(L219:L224)</f>
        <v>1</v>
      </c>
      <c r="M225" s="26">
        <f>SUM(M219:M224)</f>
        <v>0</v>
      </c>
    </row>
    <row r="226" spans="1:13" s="36" customFormat="1">
      <c r="A226" s="19"/>
      <c r="B226" s="34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</row>
    <row r="227" spans="1:13" s="36" customFormat="1">
      <c r="A227" s="19" t="s">
        <v>149</v>
      </c>
      <c r="B227" s="34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</row>
    <row r="228" spans="1:13" s="36" customFormat="1">
      <c r="A228" s="23" t="s">
        <v>150</v>
      </c>
      <c r="B228" s="34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</row>
    <row r="229" spans="1:13">
      <c r="A229" s="21" t="s">
        <v>151</v>
      </c>
      <c r="B229" s="54">
        <f t="shared" ref="B229:J229" si="67">B188</f>
        <v>0</v>
      </c>
      <c r="C229" s="29">
        <f t="shared" si="67"/>
        <v>0</v>
      </c>
      <c r="D229" s="29">
        <f>D188</f>
        <v>0</v>
      </c>
      <c r="E229" s="29">
        <f t="shared" si="67"/>
        <v>0</v>
      </c>
      <c r="F229" s="29">
        <f t="shared" si="67"/>
        <v>0</v>
      </c>
      <c r="G229" s="29">
        <f t="shared" si="67"/>
        <v>0</v>
      </c>
      <c r="H229" s="29">
        <f t="shared" si="67"/>
        <v>0</v>
      </c>
      <c r="I229" s="29">
        <f t="shared" si="67"/>
        <v>0</v>
      </c>
      <c r="J229" s="29">
        <f t="shared" si="67"/>
        <v>0</v>
      </c>
      <c r="K229" s="29">
        <f>K188</f>
        <v>0</v>
      </c>
      <c r="L229" s="29">
        <f>L188</f>
        <v>0</v>
      </c>
      <c r="M229" s="29">
        <f>M188</f>
        <v>0</v>
      </c>
    </row>
    <row r="230" spans="1:13">
      <c r="A230" s="21" t="s">
        <v>152</v>
      </c>
      <c r="B230" s="54">
        <f t="shared" ref="B230:J230" si="68">B224</f>
        <v>0</v>
      </c>
      <c r="C230" s="29">
        <f t="shared" si="68"/>
        <v>0</v>
      </c>
      <c r="D230" s="29">
        <f>D224</f>
        <v>0</v>
      </c>
      <c r="E230" s="29">
        <f t="shared" si="68"/>
        <v>0</v>
      </c>
      <c r="F230" s="29">
        <f t="shared" si="68"/>
        <v>0</v>
      </c>
      <c r="G230" s="29">
        <f t="shared" si="68"/>
        <v>0</v>
      </c>
      <c r="H230" s="29">
        <f t="shared" si="68"/>
        <v>0</v>
      </c>
      <c r="I230" s="29">
        <f t="shared" si="68"/>
        <v>0</v>
      </c>
      <c r="J230" s="29">
        <f t="shared" si="68"/>
        <v>0</v>
      </c>
      <c r="K230" s="29">
        <f>K224</f>
        <v>0</v>
      </c>
      <c r="L230" s="29">
        <f>L224</f>
        <v>0</v>
      </c>
      <c r="M230" s="29">
        <f>M224</f>
        <v>0</v>
      </c>
    </row>
    <row r="231" spans="1:13">
      <c r="A231" s="17" t="s">
        <v>20</v>
      </c>
      <c r="B231" s="28">
        <f t="shared" ref="B231:J231" si="69">SUM(B229:B230)</f>
        <v>0</v>
      </c>
      <c r="C231" s="28">
        <f t="shared" si="69"/>
        <v>0</v>
      </c>
      <c r="D231" s="28">
        <f>SUM(D229:D230)</f>
        <v>0</v>
      </c>
      <c r="E231" s="28">
        <f t="shared" si="69"/>
        <v>0</v>
      </c>
      <c r="F231" s="28">
        <f t="shared" si="69"/>
        <v>0</v>
      </c>
      <c r="G231" s="28">
        <f t="shared" si="69"/>
        <v>0</v>
      </c>
      <c r="H231" s="28">
        <f t="shared" si="69"/>
        <v>0</v>
      </c>
      <c r="I231" s="28">
        <f t="shared" si="69"/>
        <v>0</v>
      </c>
      <c r="J231" s="28">
        <f t="shared" si="69"/>
        <v>0</v>
      </c>
      <c r="K231" s="28">
        <f>SUM(K229:K230)</f>
        <v>0</v>
      </c>
      <c r="L231" s="28">
        <f>SUM(L229:L230)</f>
        <v>0</v>
      </c>
      <c r="M231" s="28">
        <f>SUM(M229:M230)</f>
        <v>0</v>
      </c>
    </row>
    <row r="232" spans="1:13">
      <c r="A232" s="47" t="s">
        <v>153</v>
      </c>
      <c r="B232" s="28">
        <f t="shared" ref="B232:J232" si="70">B208</f>
        <v>0</v>
      </c>
      <c r="C232" s="28">
        <f t="shared" si="70"/>
        <v>0</v>
      </c>
      <c r="D232" s="28">
        <f>D208</f>
        <v>0</v>
      </c>
      <c r="E232" s="28">
        <f t="shared" si="70"/>
        <v>0</v>
      </c>
      <c r="F232" s="28">
        <f t="shared" si="70"/>
        <v>0</v>
      </c>
      <c r="G232" s="28">
        <f t="shared" si="70"/>
        <v>0</v>
      </c>
      <c r="H232" s="28">
        <f t="shared" si="70"/>
        <v>0</v>
      </c>
      <c r="I232" s="28">
        <f t="shared" si="70"/>
        <v>0</v>
      </c>
      <c r="J232" s="28">
        <f t="shared" si="70"/>
        <v>0</v>
      </c>
      <c r="K232" s="28">
        <f>K208</f>
        <v>0</v>
      </c>
      <c r="L232" s="28">
        <f>L208</f>
        <v>0</v>
      </c>
      <c r="M232" s="28">
        <f>M208</f>
        <v>0</v>
      </c>
    </row>
    <row r="233" spans="1:13">
      <c r="A233" s="47" t="s">
        <v>151</v>
      </c>
      <c r="B233" s="28">
        <f t="shared" ref="B233:J233" si="71">B183+B186</f>
        <v>0</v>
      </c>
      <c r="C233" s="28">
        <f t="shared" si="71"/>
        <v>0</v>
      </c>
      <c r="D233" s="28">
        <f>D183+D186</f>
        <v>0</v>
      </c>
      <c r="E233" s="28">
        <f t="shared" si="71"/>
        <v>0</v>
      </c>
      <c r="F233" s="28">
        <f t="shared" si="71"/>
        <v>0</v>
      </c>
      <c r="G233" s="28">
        <f t="shared" si="71"/>
        <v>0</v>
      </c>
      <c r="H233" s="28">
        <f t="shared" si="71"/>
        <v>0</v>
      </c>
      <c r="I233" s="28">
        <f t="shared" si="71"/>
        <v>0</v>
      </c>
      <c r="J233" s="28">
        <f t="shared" si="71"/>
        <v>0</v>
      </c>
      <c r="K233" s="28">
        <f>K183+K186</f>
        <v>0</v>
      </c>
      <c r="L233" s="28">
        <f>L183+L186</f>
        <v>0</v>
      </c>
      <c r="M233" s="28">
        <f>M183+M186</f>
        <v>0</v>
      </c>
    </row>
    <row r="234" spans="1:13">
      <c r="A234" s="47" t="s">
        <v>154</v>
      </c>
      <c r="B234" s="28">
        <f t="shared" ref="B234:J234" si="72">B214</f>
        <v>0</v>
      </c>
      <c r="C234" s="28">
        <f t="shared" si="72"/>
        <v>0</v>
      </c>
      <c r="D234" s="28">
        <f>D214</f>
        <v>0</v>
      </c>
      <c r="E234" s="28">
        <f t="shared" si="72"/>
        <v>0</v>
      </c>
      <c r="F234" s="28">
        <f t="shared" si="72"/>
        <v>0</v>
      </c>
      <c r="G234" s="28">
        <f t="shared" si="72"/>
        <v>0</v>
      </c>
      <c r="H234" s="28">
        <f t="shared" si="72"/>
        <v>0</v>
      </c>
      <c r="I234" s="28">
        <f t="shared" si="72"/>
        <v>0</v>
      </c>
      <c r="J234" s="28">
        <f t="shared" si="72"/>
        <v>0</v>
      </c>
      <c r="K234" s="28">
        <f>K214</f>
        <v>0</v>
      </c>
      <c r="L234" s="28">
        <f>L214</f>
        <v>0</v>
      </c>
      <c r="M234" s="28">
        <f>M214</f>
        <v>0</v>
      </c>
    </row>
    <row r="235" spans="1:13">
      <c r="A235" s="47" t="s">
        <v>155</v>
      </c>
      <c r="B235" s="48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</row>
    <row r="236" spans="1:13">
      <c r="A236" s="27" t="s">
        <v>156</v>
      </c>
      <c r="B236" s="380">
        <v>0</v>
      </c>
      <c r="C236" s="48">
        <v>0</v>
      </c>
      <c r="D236" s="30">
        <v>0</v>
      </c>
      <c r="E236" s="30"/>
      <c r="F236" s="30"/>
      <c r="G236" s="30"/>
      <c r="H236" s="30"/>
      <c r="I236" s="30"/>
      <c r="J236" s="30"/>
      <c r="K236" s="30"/>
      <c r="L236" s="30"/>
      <c r="M236" s="30"/>
    </row>
    <row r="237" spans="1:13">
      <c r="A237" s="47" t="s">
        <v>157</v>
      </c>
      <c r="B237" s="22">
        <v>0</v>
      </c>
      <c r="C237" s="22">
        <v>0</v>
      </c>
      <c r="D237" s="22">
        <v>0</v>
      </c>
      <c r="E237" s="22">
        <f t="shared" ref="E237:G238" si="73">D237</f>
        <v>0</v>
      </c>
      <c r="F237" s="22">
        <f t="shared" si="73"/>
        <v>0</v>
      </c>
      <c r="G237" s="22">
        <f t="shared" si="73"/>
        <v>0</v>
      </c>
      <c r="H237" s="22">
        <v>0</v>
      </c>
      <c r="I237" s="22">
        <f>H237</f>
        <v>0</v>
      </c>
      <c r="J237" s="22">
        <f>I237</f>
        <v>0</v>
      </c>
      <c r="K237" s="22">
        <v>0</v>
      </c>
      <c r="L237" s="22">
        <f>K237</f>
        <v>0</v>
      </c>
      <c r="M237" s="22">
        <v>0</v>
      </c>
    </row>
    <row r="238" spans="1:13">
      <c r="A238" s="47" t="s">
        <v>158</v>
      </c>
      <c r="B238" s="22"/>
      <c r="C238" s="22"/>
      <c r="D238" s="22">
        <v>0</v>
      </c>
      <c r="E238" s="22">
        <f t="shared" si="73"/>
        <v>0</v>
      </c>
      <c r="F238" s="22">
        <f t="shared" si="73"/>
        <v>0</v>
      </c>
      <c r="G238" s="22">
        <f t="shared" si="73"/>
        <v>0</v>
      </c>
      <c r="H238" s="22">
        <v>0</v>
      </c>
      <c r="I238" s="22">
        <f>H238</f>
        <v>0</v>
      </c>
      <c r="J238" s="22">
        <f>I238</f>
        <v>0</v>
      </c>
      <c r="K238" s="22">
        <v>0</v>
      </c>
      <c r="L238" s="22">
        <f>K238</f>
        <v>0</v>
      </c>
      <c r="M238" s="22">
        <v>0</v>
      </c>
    </row>
    <row r="239" spans="1:13">
      <c r="A239" s="49" t="s">
        <v>159</v>
      </c>
      <c r="B239" s="51">
        <f t="shared" ref="B239:J239" si="74">SUM(B232:B238)</f>
        <v>0</v>
      </c>
      <c r="C239" s="25">
        <f t="shared" si="74"/>
        <v>0</v>
      </c>
      <c r="D239" s="25">
        <f>SUM(D232:D238)</f>
        <v>0</v>
      </c>
      <c r="E239" s="25">
        <f t="shared" si="74"/>
        <v>0</v>
      </c>
      <c r="F239" s="25">
        <f t="shared" si="74"/>
        <v>0</v>
      </c>
      <c r="G239" s="25">
        <f t="shared" si="74"/>
        <v>0</v>
      </c>
      <c r="H239" s="25">
        <f t="shared" si="74"/>
        <v>0</v>
      </c>
      <c r="I239" s="25">
        <f t="shared" si="74"/>
        <v>0</v>
      </c>
      <c r="J239" s="25">
        <f t="shared" si="74"/>
        <v>0</v>
      </c>
      <c r="K239" s="25">
        <f>SUM(K232:K238)</f>
        <v>0</v>
      </c>
      <c r="L239" s="25">
        <f>SUM(L232:L238)</f>
        <v>0</v>
      </c>
      <c r="M239" s="25">
        <f>SUM(M232:M238)</f>
        <v>0</v>
      </c>
    </row>
    <row r="240" spans="1:13">
      <c r="A240" s="47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</row>
    <row r="241" spans="1:13">
      <c r="A241" s="49" t="s">
        <v>160</v>
      </c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</row>
    <row r="242" spans="1:13">
      <c r="A242" s="47" t="s">
        <v>161</v>
      </c>
      <c r="B242" s="22">
        <v>0</v>
      </c>
      <c r="C242" s="22">
        <v>0</v>
      </c>
      <c r="D242" s="22">
        <v>0</v>
      </c>
      <c r="E242" s="22">
        <f>((E41+E42)/E9)*Details!E32</f>
        <v>0</v>
      </c>
      <c r="F242" s="22">
        <f>((F41+F42)/F9)*Details!F32</f>
        <v>0</v>
      </c>
      <c r="G242" s="22">
        <f>((G41+G42)/G9)*Details!G32</f>
        <v>0</v>
      </c>
      <c r="H242" s="22">
        <v>0</v>
      </c>
      <c r="I242" s="22">
        <f>((I41+I42)/I9)*Details!I32</f>
        <v>0</v>
      </c>
      <c r="J242" s="22">
        <f>((J41+J42)/J9)*Details!J32</f>
        <v>0</v>
      </c>
      <c r="K242" s="22">
        <v>0</v>
      </c>
      <c r="L242" s="22">
        <f>((L41+L42)/L9)*Details!L32</f>
        <v>0</v>
      </c>
      <c r="M242" s="22">
        <v>0</v>
      </c>
    </row>
    <row r="243" spans="1:13">
      <c r="A243" s="27" t="s">
        <v>162</v>
      </c>
      <c r="B243" s="22">
        <v>0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>
      <c r="A244" s="27" t="s">
        <v>163</v>
      </c>
      <c r="B244" s="22">
        <v>0</v>
      </c>
      <c r="C244" s="22">
        <v>0</v>
      </c>
      <c r="D244" s="22">
        <v>0</v>
      </c>
      <c r="E244" s="22">
        <f>E99</f>
        <v>0</v>
      </c>
      <c r="F244" s="22">
        <f>F99</f>
        <v>0</v>
      </c>
      <c r="G244" s="22">
        <f>G99</f>
        <v>0</v>
      </c>
      <c r="H244" s="22">
        <v>0</v>
      </c>
      <c r="I244" s="22">
        <f>I99</f>
        <v>2.5000000000000001E-3</v>
      </c>
      <c r="J244" s="22">
        <f>J99</f>
        <v>0</v>
      </c>
      <c r="K244" s="22">
        <v>0</v>
      </c>
      <c r="L244" s="22">
        <f>L99</f>
        <v>0</v>
      </c>
      <c r="M244" s="22">
        <v>0</v>
      </c>
    </row>
    <row r="245" spans="1:13">
      <c r="A245" s="27" t="s">
        <v>164</v>
      </c>
      <c r="B245" s="22"/>
      <c r="C245" s="22"/>
      <c r="D245" s="22"/>
      <c r="E245" s="22"/>
      <c r="F245" s="22"/>
      <c r="G245" s="22"/>
      <c r="H245" s="22">
        <v>0</v>
      </c>
      <c r="I245" s="22"/>
      <c r="J245" s="22"/>
      <c r="K245" s="22"/>
      <c r="L245" s="22"/>
      <c r="M245" s="22"/>
    </row>
    <row r="246" spans="1:13">
      <c r="A246" s="27" t="s">
        <v>165</v>
      </c>
      <c r="B246" s="22">
        <v>0</v>
      </c>
      <c r="C246" s="22">
        <v>0</v>
      </c>
      <c r="D246" s="22">
        <v>0</v>
      </c>
      <c r="E246" s="22">
        <f>D246</f>
        <v>0</v>
      </c>
      <c r="F246" s="22">
        <f>E246</f>
        <v>0</v>
      </c>
      <c r="G246" s="22">
        <f>F246</f>
        <v>0</v>
      </c>
      <c r="H246" s="22">
        <v>0</v>
      </c>
      <c r="I246" s="22">
        <f>H246</f>
        <v>0</v>
      </c>
      <c r="J246" s="22">
        <f>I246</f>
        <v>0</v>
      </c>
      <c r="K246" s="22">
        <v>0</v>
      </c>
      <c r="L246" s="22">
        <f>K246</f>
        <v>0</v>
      </c>
      <c r="M246" s="22">
        <v>0</v>
      </c>
    </row>
    <row r="247" spans="1:13">
      <c r="A247" s="47" t="s">
        <v>166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>
      <c r="A248" s="47" t="s">
        <v>167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>
      <c r="A249" s="47" t="s">
        <v>168</v>
      </c>
      <c r="B249" s="22">
        <v>0</v>
      </c>
      <c r="C249" s="22">
        <v>0</v>
      </c>
      <c r="D249" s="22">
        <v>0</v>
      </c>
      <c r="E249" s="22">
        <f>D249</f>
        <v>0</v>
      </c>
      <c r="F249" s="22">
        <f>E249</f>
        <v>0</v>
      </c>
      <c r="G249" s="22">
        <f>F249</f>
        <v>0</v>
      </c>
      <c r="H249" s="22">
        <v>0</v>
      </c>
      <c r="I249" s="22">
        <f>H249</f>
        <v>0</v>
      </c>
      <c r="J249" s="22">
        <f>I249</f>
        <v>0</v>
      </c>
      <c r="K249" s="22">
        <v>0</v>
      </c>
      <c r="L249" s="22">
        <f>K249</f>
        <v>0</v>
      </c>
      <c r="M249" s="22">
        <v>0</v>
      </c>
    </row>
    <row r="250" spans="1:13">
      <c r="A250" s="47" t="s">
        <v>169</v>
      </c>
      <c r="B250" s="22">
        <v>0</v>
      </c>
      <c r="C250" s="22">
        <v>0</v>
      </c>
      <c r="D250" s="22">
        <v>0</v>
      </c>
      <c r="E250" s="22">
        <v>0</v>
      </c>
      <c r="F250" s="22">
        <v>0</v>
      </c>
      <c r="G250" s="22">
        <f>0</f>
        <v>0</v>
      </c>
      <c r="H250" s="22">
        <v>0</v>
      </c>
      <c r="I250" s="22">
        <v>0</v>
      </c>
      <c r="J250" s="22"/>
      <c r="K250" s="22"/>
      <c r="L250" s="22"/>
      <c r="M250" s="22"/>
    </row>
    <row r="251" spans="1:13">
      <c r="A251" s="49" t="s">
        <v>29</v>
      </c>
      <c r="B251" s="51">
        <f t="shared" ref="B251:J251" si="75">SUM(B242:B250)</f>
        <v>0</v>
      </c>
      <c r="C251" s="25">
        <f t="shared" si="75"/>
        <v>0</v>
      </c>
      <c r="D251" s="25">
        <f>SUM(D242:D250)</f>
        <v>0</v>
      </c>
      <c r="E251" s="25">
        <f t="shared" si="75"/>
        <v>0</v>
      </c>
      <c r="F251" s="25">
        <f t="shared" si="75"/>
        <v>0</v>
      </c>
      <c r="G251" s="25">
        <f t="shared" si="75"/>
        <v>0</v>
      </c>
      <c r="H251" s="25">
        <f t="shared" si="75"/>
        <v>0</v>
      </c>
      <c r="I251" s="25">
        <f t="shared" si="75"/>
        <v>2.5000000000000001E-3</v>
      </c>
      <c r="J251" s="25">
        <f t="shared" si="75"/>
        <v>0</v>
      </c>
      <c r="K251" s="25">
        <f>SUM(K242:K250)</f>
        <v>0</v>
      </c>
      <c r="L251" s="25">
        <f>SUM(L242:L250)</f>
        <v>0</v>
      </c>
      <c r="M251" s="25">
        <f>SUM(M242:M250)</f>
        <v>0</v>
      </c>
    </row>
    <row r="252" spans="1:13">
      <c r="A252" s="47"/>
      <c r="B252" s="45"/>
      <c r="C252" s="368"/>
      <c r="D252" s="46"/>
      <c r="E252" s="46"/>
      <c r="F252" s="46"/>
      <c r="G252" s="46"/>
      <c r="H252" s="46"/>
      <c r="I252" s="46"/>
      <c r="J252" s="46"/>
      <c r="K252" s="46"/>
      <c r="L252" s="46"/>
      <c r="M252" s="46"/>
    </row>
    <row r="253" spans="1:13">
      <c r="A253" s="49" t="s">
        <v>170</v>
      </c>
      <c r="B253" s="45"/>
      <c r="C253" s="368"/>
      <c r="D253" s="46"/>
      <c r="E253" s="46"/>
      <c r="F253" s="46"/>
      <c r="G253" s="46"/>
      <c r="H253" s="46"/>
      <c r="I253" s="46"/>
      <c r="J253" s="46"/>
      <c r="K253" s="46"/>
      <c r="L253" s="46"/>
      <c r="M253" s="46"/>
    </row>
    <row r="254" spans="1:13">
      <c r="A254" s="27" t="s">
        <v>171</v>
      </c>
      <c r="B254" s="48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</row>
    <row r="255" spans="1:13">
      <c r="A255" s="27" t="s">
        <v>172</v>
      </c>
      <c r="B255" s="48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</row>
    <row r="256" spans="1:13">
      <c r="A256" s="27" t="s">
        <v>173</v>
      </c>
      <c r="B256" s="48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</row>
    <row r="257" spans="1:13">
      <c r="A257" s="27" t="s">
        <v>174</v>
      </c>
      <c r="B257" s="48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</row>
    <row r="258" spans="1:13">
      <c r="A258" s="27" t="s">
        <v>175</v>
      </c>
      <c r="B258" s="48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</row>
    <row r="259" spans="1:13">
      <c r="A259" s="27"/>
      <c r="B259" s="44"/>
      <c r="C259" s="45"/>
      <c r="D259" s="46"/>
      <c r="E259" s="45"/>
      <c r="F259" s="46"/>
      <c r="G259" s="46"/>
      <c r="H259" s="46"/>
      <c r="I259" s="46"/>
      <c r="J259" s="46"/>
      <c r="K259" s="46"/>
      <c r="L259" s="46"/>
      <c r="M259" s="46"/>
    </row>
    <row r="260" spans="1:13">
      <c r="A260" s="19" t="s">
        <v>176</v>
      </c>
      <c r="B260" s="26">
        <f t="shared" ref="B260:M260" si="76">B166+B173+B189+B203+B209+B216+B225+B235+B236+B237+B238</f>
        <v>0</v>
      </c>
      <c r="C260" s="26">
        <f t="shared" si="76"/>
        <v>0</v>
      </c>
      <c r="D260" s="26">
        <f>D166+D173+D189+D203+D209+D216+D225+D235+D236+D237+D238</f>
        <v>0</v>
      </c>
      <c r="E260" s="26">
        <f t="shared" si="76"/>
        <v>0</v>
      </c>
      <c r="F260" s="26">
        <f t="shared" si="76"/>
        <v>0</v>
      </c>
      <c r="G260" s="26">
        <f t="shared" si="76"/>
        <v>0</v>
      </c>
      <c r="H260" s="26">
        <f t="shared" si="76"/>
        <v>0</v>
      </c>
      <c r="I260" s="26">
        <f t="shared" si="76"/>
        <v>2.5000000000000001E-3</v>
      </c>
      <c r="J260" s="26">
        <f t="shared" si="76"/>
        <v>0</v>
      </c>
      <c r="K260" s="26">
        <f t="shared" si="76"/>
        <v>0</v>
      </c>
      <c r="L260" s="26">
        <f t="shared" si="76"/>
        <v>1</v>
      </c>
      <c r="M260" s="26">
        <f t="shared" si="76"/>
        <v>0</v>
      </c>
    </row>
    <row r="261" spans="1:13">
      <c r="A261" s="19" t="s">
        <v>177</v>
      </c>
      <c r="B261" s="26">
        <f t="shared" ref="B261:M261" si="77">B118+B126+B157+B159+B251</f>
        <v>0</v>
      </c>
      <c r="C261" s="26">
        <f t="shared" si="77"/>
        <v>0</v>
      </c>
      <c r="D261" s="26">
        <f>D118+D126+D157+D159+D251</f>
        <v>0</v>
      </c>
      <c r="E261" s="26">
        <f t="shared" si="77"/>
        <v>0</v>
      </c>
      <c r="F261" s="26">
        <f t="shared" si="77"/>
        <v>0</v>
      </c>
      <c r="G261" s="26">
        <f>G118+G126+G157+G159+G251</f>
        <v>0</v>
      </c>
      <c r="H261" s="26">
        <f t="shared" si="77"/>
        <v>0</v>
      </c>
      <c r="I261" s="26">
        <f t="shared" si="77"/>
        <v>0.01</v>
      </c>
      <c r="J261" s="26">
        <f t="shared" si="77"/>
        <v>7.4999999999999997E-3</v>
      </c>
      <c r="K261" s="26">
        <f t="shared" si="77"/>
        <v>7.4999999999999997E-3</v>
      </c>
      <c r="L261" s="26">
        <f t="shared" si="77"/>
        <v>7.4999999999999997E-3</v>
      </c>
      <c r="M261" s="26">
        <f t="shared" si="77"/>
        <v>7.4999999999999997E-3</v>
      </c>
    </row>
    <row r="262" spans="1:13">
      <c r="A262" s="57" t="s">
        <v>178</v>
      </c>
      <c r="B262" s="58">
        <f t="shared" ref="B262:M262" si="78">B260-B261</f>
        <v>0</v>
      </c>
      <c r="C262" s="59">
        <f t="shared" si="78"/>
        <v>0</v>
      </c>
      <c r="D262" s="60">
        <f>D260-D261</f>
        <v>0</v>
      </c>
      <c r="E262" s="60">
        <f t="shared" si="78"/>
        <v>0</v>
      </c>
      <c r="F262" s="60">
        <f t="shared" si="78"/>
        <v>0</v>
      </c>
      <c r="G262" s="60">
        <f t="shared" si="78"/>
        <v>0</v>
      </c>
      <c r="H262" s="60">
        <f t="shared" si="78"/>
        <v>0</v>
      </c>
      <c r="I262" s="60">
        <f t="shared" si="78"/>
        <v>-7.4999999999999997E-3</v>
      </c>
      <c r="J262" s="60">
        <f t="shared" si="78"/>
        <v>-7.4999999999999997E-3</v>
      </c>
      <c r="K262" s="60">
        <f t="shared" si="78"/>
        <v>-7.4999999999999997E-3</v>
      </c>
      <c r="L262" s="60">
        <f t="shared" si="78"/>
        <v>0.99250000000000005</v>
      </c>
      <c r="M262" s="60">
        <f t="shared" si="78"/>
        <v>-7.4999999999999997E-3</v>
      </c>
    </row>
    <row r="263" spans="1:13"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</row>
    <row r="264" spans="1:13">
      <c r="B264" s="45"/>
      <c r="C264" s="45"/>
      <c r="D264" s="45"/>
      <c r="E264" s="369"/>
      <c r="F264" s="45"/>
      <c r="G264" s="45"/>
      <c r="H264" s="45"/>
      <c r="I264" s="45"/>
      <c r="J264" s="45"/>
      <c r="K264" s="45"/>
      <c r="L264" s="45"/>
      <c r="M264" s="45"/>
    </row>
    <row r="265" spans="1:13"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</row>
    <row r="266" spans="1:13"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</row>
    <row r="267" spans="1:13"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</row>
    <row r="268" spans="1:13"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</row>
    <row r="269" spans="1:13"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</row>
    <row r="270" spans="1:13"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</row>
    <row r="271" spans="1:13"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</row>
    <row r="272" spans="1:13"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</row>
    <row r="273" spans="2:13"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</row>
    <row r="274" spans="2:13"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</row>
    <row r="275" spans="2:13"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</row>
    <row r="276" spans="2:13"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</row>
    <row r="277" spans="2:13"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</row>
    <row r="278" spans="2:13"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</row>
    <row r="279" spans="2:13"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</row>
    <row r="280" spans="2:13"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</row>
    <row r="281" spans="2:13"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</row>
    <row r="282" spans="2:13"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</row>
    <row r="283" spans="2:13"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</row>
    <row r="284" spans="2:13"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</row>
    <row r="285" spans="2:13"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</row>
    <row r="286" spans="2:13"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</row>
    <row r="287" spans="2:13"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</row>
    <row r="288" spans="2:13"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</row>
    <row r="289" spans="2:13"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</row>
  </sheetData>
  <phoneticPr fontId="19" type="noConversion"/>
  <dataValidations count="2">
    <dataValidation type="list" operator="equal" allowBlank="1" showErrorMessage="1" sqref="B10:M10" xr:uid="{9964A023-325F-4460-9027-63DDE2C3E3FE}">
      <formula1>$A$1:$A$3</formula1>
      <formula2>0</formula2>
    </dataValidation>
    <dataValidation type="list" operator="equal" allowBlank="1" showErrorMessage="1" sqref="B15" xr:uid="{FB27E68F-4E9D-4C1B-9A96-37D9E45E569A}">
      <formula1>$A$4:$A$5</formula1>
      <formula2>0</formula2>
    </dataValidation>
  </dataValidations>
  <pageMargins left="0.74791666666666667" right="0.74791666666666667" top="0.98402777777777783" bottom="0.98402777777777783" header="0.51180555555555562" footer="0.51180555555555562"/>
  <pageSetup paperSize="9" scale="89" firstPageNumber="0" orientation="landscape" horizontalDpi="300" verticalDpi="300" r:id="rId1"/>
  <headerFooter alignWithMargins="0"/>
  <ignoredErrors>
    <ignoredError sqref="A1:C6 A68:A72 A67 A74:A81 A73 A9:C9 A7 C7 A16:C17 A14 C14 A15 C15 A24 A22:A23 A26:A28 A25 L25:IV25 A35:A39 A29:A34 L29:IV34 A52 A41:A51 A57 A56 N56:IV56 A60:A66 A58:A59 K58:IV58 L59 A86:A88 A83:A85 A94 A89:A93 L89:IV93 A102:A104 A99:A101 M100:IV101 A109 A106:A108 K106:IV106 K108:IV108 A117:A118 A116 A133:A135 A138:A139 A136:A137 M136:IV136 A150:A151 A149 L149:IV149 A155:A158 A152:A154 A164 A162:A163 A173:A174 A171 L171:IV171 A176:A184 A175 N175:IV175 A186:A192 A185 K185:IV185 A209:A211 A206:A208 M208:IV208 A216:A217 A212:A215 N213:IV213 A225 A219:A224 A239:A241 A237 N237:IV237 A251 A242:A250 M243:IV243 A55 A54 L54 A98 A97 K98:IV98 A195:A197 A194 M194:IV194 A166:A168 A165 L165:IV165 A40 K40:IV40 L132:IV132 A160:A161 A159 A236 M236:IV236 A218 K218:IV218 A259:C262 A252 K252:IV252 A253 K253:IV253 A172 N172:IV172 N162:IV162 N163:IV163 N215:IV215 N222:IV222 N220:IV220 N219:IV219 A238 N238:IV238 N250:IV250 A105 K105:IV105 A126:A130 A123 N123:IV123 A267:C65536 A263 I263:IV263 A264 I264:IV264 A112:A115 A111 K111:IV111 A19:A21 A18 N18:IV18 M43:IV43 A142:A148 A141 N141:IV141 A140 N137:IV137 M140:IV140 N42:IV42 N152:IV152 N224:IV224 N223:IV223 N214:IV214 N212:IV212 A53 K53:IV53 A110 K110:IV110 K107:IV107 A121:A122 A119 K119:IV119 A124:A125 M124:IV125 A169:A170 L169:IV170 A193 L193:IV193 A235 M235:IV235 A8 A96 A95 K95:IV95 K164:IV164 A228:A234 A226 K226:IV226 A227 K227:IV227 A11:C12 A10:C10 G10:IV10 A199:A205 A198 L198:IV198 K97:IV97 A265 I265:IV265 A82 K82:IV82 A266 I266:IV266 A120 K120:IV120 N69:IV69 K74:IV74 K24:IV24 K26:IV28 K35:IV39 K52:IV52 K57:IV57 K60:IV66 K86:IV88 K94:IV94 K102:IV104 K109:IV109 K118:IV118 K133:IV135 K138:IV139 K150:IV151 K155:IV158 K173:IV174 K177:IV184 K186:IV192 K209:IV211 K216:IV217 K225:IV225 K239:IV241 K251:IV251 K55:IV55 K195:IV196 K166:IV168 K160:IV161 A254:A258 K254:IV258 K126:IV130 K112:IV115 K142:IV143 K122:IV122 K96:IV96 K228:IV234 K199:IV205 M206:IV206 M207:IV207 N221:IV221 N242:IV242 M247:IV248 N244:IV244 M245:IV245 N246:IV246 N249:IV249 N83:IV83 N84:IV84 N131:IV131 N22:IV22 N23:IV23 N41:IV41 N44:IV44 N45:IV45 N46:IV46 N47:IV47 N48:IV48 N49:IV49 N50:IV50 N51:IV51 N54:IV54 N59:IV59 N67:IV67 N68:IV68 N70:IV70 N71:IV71 N72:IV72 N73:IV73 N85:IV85 N99:IV99 N116:IV116 N153:IV153 N154:IV154 N159:IV159 M19:IV21 E1:IV6 E9:IV9 E7:IV7 E16:IV17 E14:IV14 E15:IV15 E259:IV260 E267:IV65536 E8:IV8 E11:IV13 K78:IV81 L75:IV77 L117:IV117 L121:IV121 K146:IV147 L144:IV145 L148:IV148 L176:IV176 L197:IV197 A13 C13 E262:IV262 E261:F261 H261:IV261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C36C-870C-468D-A20D-2639C91AFAF7}">
  <dimension ref="A1:IT42"/>
  <sheetViews>
    <sheetView showGridLines="0" topLeftCell="L10" zoomScale="90" zoomScaleNormal="90" workbookViewId="0">
      <selection activeCell="Q36" sqref="Q36"/>
    </sheetView>
  </sheetViews>
  <sheetFormatPr defaultRowHeight="13.2"/>
  <cols>
    <col min="1" max="1" width="30" style="61" customWidth="1"/>
    <col min="2" max="3" width="9.44140625" style="61" customWidth="1"/>
    <col min="4" max="13" width="8.6640625" style="61" customWidth="1"/>
    <col min="14" max="14" width="27" style="61" customWidth="1"/>
    <col min="15" max="16" width="9.109375" style="61" customWidth="1"/>
    <col min="17" max="17" width="8.33203125" style="61" customWidth="1"/>
    <col min="18" max="254" width="9.109375" style="61" customWidth="1"/>
  </cols>
  <sheetData>
    <row r="1" spans="1:26">
      <c r="A1" s="62" t="s">
        <v>179</v>
      </c>
      <c r="B1" s="412">
        <f>'INPUT SHEET'!B7</f>
        <v>0</v>
      </c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</row>
    <row r="2" spans="1:26">
      <c r="A2" s="63" t="s">
        <v>180</v>
      </c>
      <c r="B2" s="413" t="str">
        <f>'INPUT SHEET'!B11</f>
        <v>31st March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64"/>
      <c r="P2" s="64"/>
    </row>
    <row r="3" spans="1:26" ht="8.25" customHeight="1"/>
    <row r="4" spans="1:26" ht="8.25" customHeight="1"/>
    <row r="5" spans="1:26" ht="17.25" customHeight="1">
      <c r="A5" s="65"/>
      <c r="B5" s="65"/>
    </row>
    <row r="6" spans="1:26" ht="24" customHeight="1">
      <c r="A6" s="66" t="s">
        <v>181</v>
      </c>
      <c r="B6" s="67">
        <f>'INPUT SHEET'!B8</f>
        <v>2023</v>
      </c>
      <c r="C6" s="67">
        <f>'INPUT SHEET'!C8</f>
        <v>2024</v>
      </c>
      <c r="D6" s="67">
        <f>'INPUT SHEET'!D8</f>
        <v>2025</v>
      </c>
      <c r="E6" s="67">
        <f>'INPUT SHEET'!E8</f>
        <v>2026</v>
      </c>
      <c r="F6" s="67">
        <f>'INPUT SHEET'!F8</f>
        <v>2027</v>
      </c>
      <c r="G6" s="67">
        <f>'INPUT SHEET'!G8</f>
        <v>2028</v>
      </c>
      <c r="H6" s="67">
        <f>'INPUT SHEET'!H8</f>
        <v>2029</v>
      </c>
      <c r="I6" s="67">
        <f>'INPUT SHEET'!I8</f>
        <v>2030</v>
      </c>
      <c r="J6" s="67">
        <f>'INPUT SHEET'!J8</f>
        <v>2031</v>
      </c>
      <c r="K6" s="67">
        <f>'INPUT SHEET'!K8</f>
        <v>2032</v>
      </c>
      <c r="L6" s="67">
        <f>'INPUT SHEET'!L8</f>
        <v>2033</v>
      </c>
      <c r="M6" s="67">
        <f>'INPUT SHEET'!M8</f>
        <v>2034</v>
      </c>
      <c r="N6" s="68" t="s">
        <v>182</v>
      </c>
      <c r="O6" s="67">
        <f t="shared" ref="O6:Z6" si="0">B6</f>
        <v>2023</v>
      </c>
      <c r="P6" s="67">
        <f t="shared" si="0"/>
        <v>2024</v>
      </c>
      <c r="Q6" s="67">
        <f t="shared" si="0"/>
        <v>2025</v>
      </c>
      <c r="R6" s="67">
        <f t="shared" si="0"/>
        <v>2026</v>
      </c>
      <c r="S6" s="67">
        <f t="shared" si="0"/>
        <v>2027</v>
      </c>
      <c r="T6" s="67">
        <f t="shared" si="0"/>
        <v>2028</v>
      </c>
      <c r="U6" s="67">
        <f t="shared" si="0"/>
        <v>2029</v>
      </c>
      <c r="V6" s="67">
        <f t="shared" si="0"/>
        <v>2030</v>
      </c>
      <c r="W6" s="67">
        <f t="shared" si="0"/>
        <v>2031</v>
      </c>
      <c r="X6" s="67">
        <f t="shared" si="0"/>
        <v>2032</v>
      </c>
      <c r="Y6" s="67">
        <f t="shared" si="0"/>
        <v>2033</v>
      </c>
      <c r="Z6" s="67">
        <f t="shared" si="0"/>
        <v>2034</v>
      </c>
    </row>
    <row r="7" spans="1:26" ht="24" customHeight="1">
      <c r="A7" s="69" t="s">
        <v>7</v>
      </c>
      <c r="B7" s="67">
        <f>'INPUT SHEET'!B9</f>
        <v>12</v>
      </c>
      <c r="C7" s="67">
        <f>'INPUT SHEET'!C9</f>
        <v>12</v>
      </c>
      <c r="D7" s="67">
        <f>'INPUT SHEET'!D9</f>
        <v>12</v>
      </c>
      <c r="E7" s="67">
        <f>'INPUT SHEET'!E9</f>
        <v>12</v>
      </c>
      <c r="F7" s="67">
        <f>'INPUT SHEET'!F9</f>
        <v>12</v>
      </c>
      <c r="G7" s="67">
        <f>'INPUT SHEET'!G9</f>
        <v>12</v>
      </c>
      <c r="H7" s="67">
        <f>'INPUT SHEET'!H9</f>
        <v>12</v>
      </c>
      <c r="I7" s="67">
        <f>'INPUT SHEET'!I9</f>
        <v>12</v>
      </c>
      <c r="J7" s="67">
        <f>'INPUT SHEET'!J9</f>
        <v>12</v>
      </c>
      <c r="K7" s="67">
        <f>'INPUT SHEET'!K9</f>
        <v>12</v>
      </c>
      <c r="L7" s="67">
        <f>'INPUT SHEET'!L9</f>
        <v>12</v>
      </c>
      <c r="M7" s="67">
        <f>'INPUT SHEET'!M9</f>
        <v>12</v>
      </c>
      <c r="N7" s="69" t="s">
        <v>7</v>
      </c>
      <c r="O7" s="67">
        <f>'INPUT SHEET'!B9</f>
        <v>12</v>
      </c>
      <c r="P7" s="67">
        <f>'INPUT SHEET'!C9</f>
        <v>12</v>
      </c>
      <c r="Q7" s="67">
        <f>'INPUT SHEET'!D9</f>
        <v>12</v>
      </c>
      <c r="R7" s="67">
        <f>'INPUT SHEET'!E9</f>
        <v>12</v>
      </c>
      <c r="S7" s="67">
        <f>'INPUT SHEET'!F9</f>
        <v>12</v>
      </c>
      <c r="T7" s="67">
        <f>'INPUT SHEET'!G9</f>
        <v>12</v>
      </c>
      <c r="U7" s="67">
        <f>'INPUT SHEET'!H9</f>
        <v>12</v>
      </c>
      <c r="V7" s="67">
        <f>'INPUT SHEET'!I9</f>
        <v>12</v>
      </c>
      <c r="W7" s="67">
        <f>'INPUT SHEET'!J9</f>
        <v>12</v>
      </c>
      <c r="X7" s="67">
        <f>'INPUT SHEET'!K9</f>
        <v>12</v>
      </c>
      <c r="Y7" s="67">
        <f>'INPUT SHEET'!L9</f>
        <v>12</v>
      </c>
      <c r="Z7" s="67">
        <f>'INPUT SHEET'!M9</f>
        <v>12</v>
      </c>
    </row>
    <row r="8" spans="1:26">
      <c r="A8" s="70" t="s">
        <v>183</v>
      </c>
      <c r="B8" s="71">
        <f>Form_III!E59+Form_III!E62</f>
        <v>0</v>
      </c>
      <c r="C8" s="71">
        <f>Form_III!F59+Form_III!F62</f>
        <v>0</v>
      </c>
      <c r="D8" s="71">
        <f>Form_III!G59+Form_III!G62</f>
        <v>0</v>
      </c>
      <c r="E8" s="71">
        <f>Form_III!H59+Form_III!H62</f>
        <v>0</v>
      </c>
      <c r="F8" s="71">
        <f>Form_III!I59+Form_III!I62</f>
        <v>0</v>
      </c>
      <c r="G8" s="71">
        <f>Form_III!J59+Form_III!J62</f>
        <v>0</v>
      </c>
      <c r="H8" s="71">
        <f>Form_III!K59+Form_III!K62</f>
        <v>0</v>
      </c>
      <c r="I8" s="71">
        <f>Form_III!L59+Form_III!L62</f>
        <v>0</v>
      </c>
      <c r="J8" s="71">
        <f>Form_III!M59+Form_III!M62</f>
        <v>0</v>
      </c>
      <c r="K8" s="71">
        <f>Form_III!N59+Form_III!N62</f>
        <v>0</v>
      </c>
      <c r="L8" s="71">
        <f>Form_III!O59+Form_III!O62</f>
        <v>0</v>
      </c>
      <c r="M8" s="71">
        <f>Form_III!P59+Form_III!P62</f>
        <v>0</v>
      </c>
      <c r="N8" s="72" t="s">
        <v>184</v>
      </c>
      <c r="O8" s="71">
        <f>Form_III!E16+Form_III!E22</f>
        <v>0</v>
      </c>
      <c r="P8" s="71">
        <f>Form_III!F16+Form_III!F22</f>
        <v>0</v>
      </c>
      <c r="Q8" s="71">
        <f>Form_III!G16+Form_III!G22</f>
        <v>0</v>
      </c>
      <c r="R8" s="71">
        <f>Form_III!H16+Form_III!H22</f>
        <v>0</v>
      </c>
      <c r="S8" s="71">
        <f>Form_III!I16+Form_III!I22</f>
        <v>0</v>
      </c>
      <c r="T8" s="71">
        <f>Form_III!J16+Form_III!J22</f>
        <v>0</v>
      </c>
      <c r="U8" s="71">
        <f>Form_III!K16+Form_III!K22</f>
        <v>0</v>
      </c>
      <c r="V8" s="71">
        <f>Form_III!L16+Form_III!L22</f>
        <v>0</v>
      </c>
      <c r="W8" s="71">
        <f>Form_III!M16+Form_III!M22</f>
        <v>0</v>
      </c>
      <c r="X8" s="71">
        <f>Form_III!N16+Form_III!N22</f>
        <v>0</v>
      </c>
      <c r="Y8" s="71">
        <f>Form_III!O16+Form_III!O22</f>
        <v>0</v>
      </c>
      <c r="Z8" s="71">
        <f>Form_III!P16+Form_III!P22</f>
        <v>0</v>
      </c>
    </row>
    <row r="9" spans="1:26">
      <c r="A9" s="73" t="s">
        <v>185</v>
      </c>
      <c r="B9" s="74">
        <f>Form_III!E65</f>
        <v>0</v>
      </c>
      <c r="C9" s="74">
        <f>Form_III!F65</f>
        <v>0</v>
      </c>
      <c r="D9" s="74">
        <f>Form_III!G65</f>
        <v>0</v>
      </c>
      <c r="E9" s="74">
        <f>Form_III!H65</f>
        <v>0</v>
      </c>
      <c r="F9" s="74">
        <f>Form_III!I65</f>
        <v>0</v>
      </c>
      <c r="G9" s="74">
        <f>Form_III!J65</f>
        <v>0</v>
      </c>
      <c r="H9" s="74">
        <f>Form_III!K65</f>
        <v>0</v>
      </c>
      <c r="I9" s="74">
        <f>Form_III!L65</f>
        <v>0</v>
      </c>
      <c r="J9" s="74">
        <f>Form_III!M65</f>
        <v>0</v>
      </c>
      <c r="K9" s="74">
        <f>Form_III!N65</f>
        <v>0</v>
      </c>
      <c r="L9" s="74">
        <f>Form_III!O65</f>
        <v>0</v>
      </c>
      <c r="M9" s="74">
        <f>Form_III!P65</f>
        <v>0</v>
      </c>
      <c r="N9" s="61" t="s">
        <v>186</v>
      </c>
      <c r="O9" s="74">
        <f>Form_III!E17</f>
        <v>0</v>
      </c>
      <c r="P9" s="74">
        <f>Form_III!F17</f>
        <v>0</v>
      </c>
      <c r="Q9" s="74">
        <f>Form_III!G17</f>
        <v>0</v>
      </c>
      <c r="R9" s="74">
        <f>Form_III!H17</f>
        <v>0</v>
      </c>
      <c r="S9" s="74">
        <f>Form_III!I17</f>
        <v>0</v>
      </c>
      <c r="T9" s="74">
        <f>Form_III!J17</f>
        <v>0</v>
      </c>
      <c r="U9" s="74">
        <f>Form_III!K17</f>
        <v>0</v>
      </c>
      <c r="V9" s="74">
        <f>Form_III!L17</f>
        <v>0</v>
      </c>
      <c r="W9" s="74">
        <f>Form_III!M17</f>
        <v>0</v>
      </c>
      <c r="X9" s="74">
        <f>Form_III!N17</f>
        <v>0</v>
      </c>
      <c r="Y9" s="74">
        <f>Form_III!O17</f>
        <v>0</v>
      </c>
      <c r="Z9" s="74">
        <f>Form_III!P17</f>
        <v>0</v>
      </c>
    </row>
    <row r="10" spans="1:26">
      <c r="A10" s="73" t="s">
        <v>187</v>
      </c>
      <c r="B10" s="74">
        <f>Form_III!E68</f>
        <v>0</v>
      </c>
      <c r="C10" s="74">
        <f>Form_III!F68</f>
        <v>0</v>
      </c>
      <c r="D10" s="74">
        <f>Form_III!G68</f>
        <v>0</v>
      </c>
      <c r="E10" s="74">
        <f>Form_III!H68</f>
        <v>0</v>
      </c>
      <c r="F10" s="74">
        <f>Form_III!I68</f>
        <v>0</v>
      </c>
      <c r="G10" s="74">
        <f>Form_III!J68</f>
        <v>0</v>
      </c>
      <c r="H10" s="74">
        <f>Form_III!K68</f>
        <v>0</v>
      </c>
      <c r="I10" s="74">
        <f>Form_III!L68</f>
        <v>0</v>
      </c>
      <c r="J10" s="74">
        <f>Form_III!M68</f>
        <v>0</v>
      </c>
      <c r="K10" s="74">
        <f>Form_III!N68</f>
        <v>0</v>
      </c>
      <c r="L10" s="74">
        <f>Form_III!O68</f>
        <v>0</v>
      </c>
      <c r="M10" s="74">
        <f>Form_III!P68</f>
        <v>0</v>
      </c>
      <c r="N10" s="61" t="s">
        <v>89</v>
      </c>
      <c r="O10" s="74">
        <f>Form_III!E15</f>
        <v>0</v>
      </c>
      <c r="P10" s="74">
        <f>Form_III!F15</f>
        <v>0</v>
      </c>
      <c r="Q10" s="74">
        <f>Form_III!G15</f>
        <v>0</v>
      </c>
      <c r="R10" s="74">
        <f>Form_III!H15</f>
        <v>0</v>
      </c>
      <c r="S10" s="74">
        <f>Form_III!I15</f>
        <v>0</v>
      </c>
      <c r="T10" s="74">
        <f>Form_III!J15</f>
        <v>0</v>
      </c>
      <c r="U10" s="74">
        <f>Form_III!K15</f>
        <v>0</v>
      </c>
      <c r="V10" s="74">
        <f>Form_III!L15</f>
        <v>0</v>
      </c>
      <c r="W10" s="74">
        <f>Form_III!M15</f>
        <v>0</v>
      </c>
      <c r="X10" s="74">
        <f>Form_III!N15</f>
        <v>0</v>
      </c>
      <c r="Y10" s="74">
        <f>Form_III!O15</f>
        <v>0</v>
      </c>
      <c r="Z10" s="74">
        <f>Form_III!P15</f>
        <v>0</v>
      </c>
    </row>
    <row r="11" spans="1:26">
      <c r="A11" s="73" t="s">
        <v>188</v>
      </c>
      <c r="B11" s="74">
        <f>Form_III!E83-'Summary spread'!B8-'Summary spread'!B9-'Summary spread'!B10</f>
        <v>0</v>
      </c>
      <c r="C11" s="74">
        <f>Form_III!F83-'Summary spread'!C8-'Summary spread'!C9-'Summary spread'!C10</f>
        <v>0</v>
      </c>
      <c r="D11" s="74">
        <f>Form_III!G83-'Summary spread'!D8-'Summary spread'!D9-'Summary spread'!D10</f>
        <v>0</v>
      </c>
      <c r="E11" s="74">
        <f>Form_III!H83-'Summary spread'!E8-'Summary spread'!E9-'Summary spread'!E10</f>
        <v>0</v>
      </c>
      <c r="F11" s="74">
        <f>Form_III!I83-'Summary spread'!F8-'Summary spread'!F9-'Summary spread'!F10</f>
        <v>0</v>
      </c>
      <c r="G11" s="74">
        <f>Form_III!J83-'Summary spread'!G8-'Summary spread'!G9-'Summary spread'!G10</f>
        <v>0</v>
      </c>
      <c r="H11" s="74">
        <f>Form_III!K83-'Summary spread'!H8-'Summary spread'!H9-'Summary spread'!H10</f>
        <v>0</v>
      </c>
      <c r="I11" s="74">
        <f>Form_III!L83-'Summary spread'!I8-'Summary spread'!I9-'Summary spread'!I10</f>
        <v>2.5000000000000001E-3</v>
      </c>
      <c r="J11" s="74">
        <f>Form_III!M83-'Summary spread'!J8-'Summary spread'!J9-'Summary spread'!J10</f>
        <v>0</v>
      </c>
      <c r="K11" s="74">
        <f>Form_III!N83-'Summary spread'!K8-'Summary spread'!K9-'Summary spread'!K10</f>
        <v>0</v>
      </c>
      <c r="L11" s="74">
        <f>Form_III!O83-'Summary spread'!L8-'Summary spread'!L9-'Summary spread'!L10</f>
        <v>1</v>
      </c>
      <c r="M11" s="74">
        <f>Form_III!P83-'Summary spread'!M8-'Summary spread'!M9-'Summary spread'!M10</f>
        <v>0</v>
      </c>
      <c r="N11" s="61" t="s">
        <v>189</v>
      </c>
      <c r="O11" s="74">
        <f>Form_III!E29-'Summary spread'!O8-'Summary spread'!O9-'Summary spread'!O10</f>
        <v>0</v>
      </c>
      <c r="P11" s="74">
        <f>Form_III!F29-'Summary spread'!P8-'Summary spread'!P9-'Summary spread'!P10</f>
        <v>0</v>
      </c>
      <c r="Q11" s="74">
        <f>Form_III!G29-'Summary spread'!Q8-'Summary spread'!Q9-'Summary spread'!Q10</f>
        <v>0</v>
      </c>
      <c r="R11" s="74">
        <f>Form_III!H29-'Summary spread'!R8-'Summary spread'!R9-'Summary spread'!R10</f>
        <v>0</v>
      </c>
      <c r="S11" s="74">
        <f>Form_III!I29-'Summary spread'!S8-'Summary spread'!S9-'Summary spread'!S10</f>
        <v>0</v>
      </c>
      <c r="T11" s="74">
        <f>Form_III!J29-'Summary spread'!T8-'Summary spread'!T9-'Summary spread'!T10</f>
        <v>0</v>
      </c>
      <c r="U11" s="74">
        <f>Form_III!K29-'Summary spread'!U8-'Summary spread'!U9-'Summary spread'!U10</f>
        <v>0</v>
      </c>
      <c r="V11" s="74">
        <f>Form_III!L29-'Summary spread'!V8-'Summary spread'!V9-'Summary spread'!V10</f>
        <v>0</v>
      </c>
      <c r="W11" s="74">
        <f>Form_III!M29-'Summary spread'!W8-'Summary spread'!W9-'Summary spread'!W10</f>
        <v>0</v>
      </c>
      <c r="X11" s="74">
        <f>Form_III!N29-'Summary spread'!X8-'Summary spread'!X9-'Summary spread'!X10</f>
        <v>0</v>
      </c>
      <c r="Y11" s="74">
        <f>Form_III!O29-'Summary spread'!Y8-'Summary spread'!Y9-'Summary spread'!Y10</f>
        <v>0</v>
      </c>
      <c r="Z11" s="74">
        <f>Form_III!P29-'Summary spread'!Z8-'Summary spread'!Z9-'Summary spread'!Z10</f>
        <v>0</v>
      </c>
    </row>
    <row r="12" spans="1:26">
      <c r="A12" s="73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</row>
    <row r="13" spans="1:26">
      <c r="A13" s="76" t="s">
        <v>190</v>
      </c>
      <c r="B13" s="74">
        <f t="shared" ref="B13:M13" si="1">SUM(B8:B11)</f>
        <v>0</v>
      </c>
      <c r="C13" s="74">
        <f t="shared" si="1"/>
        <v>0</v>
      </c>
      <c r="D13" s="74">
        <f t="shared" si="1"/>
        <v>0</v>
      </c>
      <c r="E13" s="74">
        <f t="shared" si="1"/>
        <v>0</v>
      </c>
      <c r="F13" s="74">
        <f t="shared" si="1"/>
        <v>0</v>
      </c>
      <c r="G13" s="74">
        <f t="shared" si="1"/>
        <v>0</v>
      </c>
      <c r="H13" s="74">
        <f t="shared" si="1"/>
        <v>0</v>
      </c>
      <c r="I13" s="74">
        <f t="shared" si="1"/>
        <v>2.5000000000000001E-3</v>
      </c>
      <c r="J13" s="74">
        <f t="shared" si="1"/>
        <v>0</v>
      </c>
      <c r="K13" s="74">
        <f t="shared" si="1"/>
        <v>0</v>
      </c>
      <c r="L13" s="74">
        <f t="shared" si="1"/>
        <v>1</v>
      </c>
      <c r="M13" s="74">
        <f t="shared" si="1"/>
        <v>0</v>
      </c>
      <c r="N13" s="65" t="s">
        <v>191</v>
      </c>
      <c r="O13" s="74">
        <f t="shared" ref="O13:Z13" si="2">SUM(O8:O11)</f>
        <v>0</v>
      </c>
      <c r="P13" s="74">
        <f t="shared" si="2"/>
        <v>0</v>
      </c>
      <c r="Q13" s="74">
        <f t="shared" si="2"/>
        <v>0</v>
      </c>
      <c r="R13" s="74">
        <f t="shared" si="2"/>
        <v>0</v>
      </c>
      <c r="S13" s="74">
        <f t="shared" si="2"/>
        <v>0</v>
      </c>
      <c r="T13" s="74">
        <f t="shared" si="2"/>
        <v>0</v>
      </c>
      <c r="U13" s="74">
        <f t="shared" si="2"/>
        <v>0</v>
      </c>
      <c r="V13" s="74">
        <f t="shared" si="2"/>
        <v>0</v>
      </c>
      <c r="W13" s="74">
        <f t="shared" si="2"/>
        <v>0</v>
      </c>
      <c r="X13" s="74">
        <f t="shared" si="2"/>
        <v>0</v>
      </c>
      <c r="Y13" s="74">
        <f t="shared" si="2"/>
        <v>0</v>
      </c>
      <c r="Z13" s="74">
        <f t="shared" si="2"/>
        <v>0</v>
      </c>
    </row>
    <row r="14" spans="1:26">
      <c r="A14" s="73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>
      <c r="A15" s="73" t="s">
        <v>192</v>
      </c>
      <c r="B15" s="74">
        <f>Form_III!E90-Form_III!E46</f>
        <v>0</v>
      </c>
      <c r="C15" s="74">
        <f>Form_III!F90-Form_III!F46</f>
        <v>0</v>
      </c>
      <c r="D15" s="74">
        <f>Form_III!G90-Form_III!G46</f>
        <v>0</v>
      </c>
      <c r="E15" s="74">
        <f>Form_III!H90-Form_III!H46</f>
        <v>0</v>
      </c>
      <c r="F15" s="74">
        <f>Form_III!I90-Form_III!I46</f>
        <v>0</v>
      </c>
      <c r="G15" s="74">
        <f>Form_III!J90-Form_III!J46</f>
        <v>0</v>
      </c>
      <c r="H15" s="74">
        <f>Form_III!K90-Form_III!K46</f>
        <v>0</v>
      </c>
      <c r="I15" s="74">
        <f>Form_III!L90-Form_III!L46</f>
        <v>0</v>
      </c>
      <c r="J15" s="74">
        <f>Form_III!M90-Form_III!M46</f>
        <v>0</v>
      </c>
      <c r="K15" s="74">
        <f>Form_III!N90-Form_III!N46</f>
        <v>0</v>
      </c>
      <c r="L15" s="74">
        <f>Form_III!O90-Form_III!O46</f>
        <v>0</v>
      </c>
      <c r="M15" s="74">
        <f>Form_III!P90-Form_III!P46</f>
        <v>0</v>
      </c>
      <c r="N15" s="61" t="s">
        <v>193</v>
      </c>
      <c r="O15" s="74">
        <f>Form_III!E109</f>
        <v>0</v>
      </c>
      <c r="P15" s="74">
        <f>Form_III!F109</f>
        <v>0</v>
      </c>
      <c r="Q15" s="74">
        <f>Form_III!G109</f>
        <v>0</v>
      </c>
      <c r="R15" s="74">
        <f>Form_III!H109</f>
        <v>0</v>
      </c>
      <c r="S15" s="74">
        <f>Form_III!I109</f>
        <v>0</v>
      </c>
      <c r="T15" s="74">
        <f>Form_III!J109</f>
        <v>0</v>
      </c>
      <c r="U15" s="74">
        <f>Form_III!K109</f>
        <v>0</v>
      </c>
      <c r="V15" s="74">
        <f>Form_III!L109</f>
        <v>7.4999999999999997E-3</v>
      </c>
      <c r="W15" s="74">
        <f>Form_III!M109</f>
        <v>7.4999999999999997E-3</v>
      </c>
      <c r="X15" s="74">
        <f>Form_III!N109</f>
        <v>7.4999999999999997E-3</v>
      </c>
      <c r="Y15" s="74">
        <f>Form_III!O109</f>
        <v>7.4999999999999997E-3</v>
      </c>
      <c r="Z15" s="74">
        <f>Form_III!P109</f>
        <v>7.4999999999999997E-3</v>
      </c>
    </row>
    <row r="16" spans="1:26">
      <c r="A16" s="73" t="s">
        <v>149</v>
      </c>
      <c r="B16" s="74">
        <f>Form_III!E104</f>
        <v>0</v>
      </c>
      <c r="C16" s="74">
        <f>Form_III!F104</f>
        <v>0</v>
      </c>
      <c r="D16" s="74">
        <f>Form_III!G104</f>
        <v>0</v>
      </c>
      <c r="E16" s="74">
        <f>Form_III!H104</f>
        <v>0</v>
      </c>
      <c r="F16" s="74">
        <f>Form_III!I104</f>
        <v>0</v>
      </c>
      <c r="G16" s="74">
        <f>Form_III!J104</f>
        <v>0</v>
      </c>
      <c r="H16" s="74">
        <f>Form_III!K104</f>
        <v>0</v>
      </c>
      <c r="I16" s="74">
        <f>Form_III!L104</f>
        <v>0</v>
      </c>
      <c r="J16" s="74">
        <f>Form_III!M104</f>
        <v>0</v>
      </c>
      <c r="K16" s="74">
        <f>Form_III!N104</f>
        <v>0</v>
      </c>
      <c r="L16" s="74">
        <f>Form_III!O104</f>
        <v>0</v>
      </c>
      <c r="M16" s="74">
        <f>Form_III!P104</f>
        <v>0</v>
      </c>
      <c r="N16" s="61" t="s">
        <v>194</v>
      </c>
      <c r="O16" s="74">
        <f>Form_III!E37</f>
        <v>0</v>
      </c>
      <c r="P16" s="74">
        <f>Form_III!F37</f>
        <v>0</v>
      </c>
      <c r="Q16" s="74">
        <f>Form_III!G37</f>
        <v>0</v>
      </c>
      <c r="R16" s="74">
        <f>Form_III!H37</f>
        <v>0</v>
      </c>
      <c r="S16" s="74">
        <f>Form_III!I37</f>
        <v>0</v>
      </c>
      <c r="T16" s="74">
        <f>Form_III!J37</f>
        <v>0</v>
      </c>
      <c r="U16" s="74">
        <f>Form_III!K37</f>
        <v>0</v>
      </c>
      <c r="V16" s="74">
        <f>Form_III!L37</f>
        <v>0</v>
      </c>
      <c r="W16" s="74">
        <f>Form_III!M37</f>
        <v>0</v>
      </c>
      <c r="X16" s="74">
        <f>Form_III!N37</f>
        <v>0</v>
      </c>
      <c r="Y16" s="74">
        <f>Form_III!O37</f>
        <v>0</v>
      </c>
      <c r="Z16" s="74">
        <f>Form_III!P37</f>
        <v>0</v>
      </c>
    </row>
    <row r="17" spans="1:26">
      <c r="A17" s="73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>
      <c r="A18" s="76" t="s">
        <v>195</v>
      </c>
      <c r="B18" s="77">
        <f t="shared" ref="B18:M18" si="3">SUM(B13:B16)</f>
        <v>0</v>
      </c>
      <c r="C18" s="77">
        <f t="shared" si="3"/>
        <v>0</v>
      </c>
      <c r="D18" s="77">
        <f t="shared" si="3"/>
        <v>0</v>
      </c>
      <c r="E18" s="77">
        <f t="shared" si="3"/>
        <v>0</v>
      </c>
      <c r="F18" s="77">
        <f t="shared" si="3"/>
        <v>0</v>
      </c>
      <c r="G18" s="77">
        <f t="shared" si="3"/>
        <v>0</v>
      </c>
      <c r="H18" s="77">
        <f t="shared" si="3"/>
        <v>0</v>
      </c>
      <c r="I18" s="77">
        <f t="shared" si="3"/>
        <v>2.5000000000000001E-3</v>
      </c>
      <c r="J18" s="77">
        <f t="shared" si="3"/>
        <v>0</v>
      </c>
      <c r="K18" s="77">
        <f t="shared" si="3"/>
        <v>0</v>
      </c>
      <c r="L18" s="77">
        <f t="shared" si="3"/>
        <v>1</v>
      </c>
      <c r="M18" s="77">
        <f t="shared" si="3"/>
        <v>0</v>
      </c>
      <c r="N18" s="65" t="s">
        <v>196</v>
      </c>
      <c r="O18" s="77">
        <f t="shared" ref="O18:Z18" si="4">SUM(O13:O16)</f>
        <v>0</v>
      </c>
      <c r="P18" s="77">
        <f t="shared" si="4"/>
        <v>0</v>
      </c>
      <c r="Q18" s="77">
        <f t="shared" si="4"/>
        <v>0</v>
      </c>
      <c r="R18" s="77">
        <f t="shared" si="4"/>
        <v>0</v>
      </c>
      <c r="S18" s="77">
        <f t="shared" si="4"/>
        <v>0</v>
      </c>
      <c r="T18" s="77">
        <f t="shared" si="4"/>
        <v>0</v>
      </c>
      <c r="U18" s="77">
        <f t="shared" si="4"/>
        <v>0</v>
      </c>
      <c r="V18" s="77">
        <f t="shared" si="4"/>
        <v>7.4999999999999997E-3</v>
      </c>
      <c r="W18" s="77">
        <f t="shared" si="4"/>
        <v>7.4999999999999997E-3</v>
      </c>
      <c r="X18" s="77">
        <f t="shared" si="4"/>
        <v>7.4999999999999997E-3</v>
      </c>
      <c r="Y18" s="77">
        <f t="shared" si="4"/>
        <v>7.4999999999999997E-3</v>
      </c>
      <c r="Z18" s="77">
        <f t="shared" si="4"/>
        <v>7.4999999999999997E-3</v>
      </c>
    </row>
    <row r="19" spans="1:26">
      <c r="A19" s="78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80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ht="25.5" customHeight="1">
      <c r="A20" s="66" t="s">
        <v>197</v>
      </c>
      <c r="B20" s="67">
        <f t="shared" ref="B20:M20" si="5">B6</f>
        <v>2023</v>
      </c>
      <c r="C20" s="67">
        <f t="shared" si="5"/>
        <v>2024</v>
      </c>
      <c r="D20" s="67">
        <f t="shared" si="5"/>
        <v>2025</v>
      </c>
      <c r="E20" s="67">
        <f t="shared" si="5"/>
        <v>2026</v>
      </c>
      <c r="F20" s="67">
        <f t="shared" si="5"/>
        <v>2027</v>
      </c>
      <c r="G20" s="67">
        <f t="shared" si="5"/>
        <v>2028</v>
      </c>
      <c r="H20" s="67">
        <f t="shared" si="5"/>
        <v>2029</v>
      </c>
      <c r="I20" s="67">
        <f t="shared" si="5"/>
        <v>2030</v>
      </c>
      <c r="J20" s="67">
        <f t="shared" si="5"/>
        <v>2031</v>
      </c>
      <c r="K20" s="67">
        <f t="shared" si="5"/>
        <v>2032</v>
      </c>
      <c r="L20" s="67">
        <f t="shared" si="5"/>
        <v>2033</v>
      </c>
      <c r="M20" s="67">
        <f t="shared" si="5"/>
        <v>2034</v>
      </c>
      <c r="N20" s="68" t="s">
        <v>198</v>
      </c>
      <c r="O20" s="67">
        <f t="shared" ref="O20:Z20" si="6">B20</f>
        <v>2023</v>
      </c>
      <c r="P20" s="67">
        <f t="shared" si="6"/>
        <v>2024</v>
      </c>
      <c r="Q20" s="67">
        <f t="shared" si="6"/>
        <v>2025</v>
      </c>
      <c r="R20" s="67">
        <f t="shared" si="6"/>
        <v>2026</v>
      </c>
      <c r="S20" s="67">
        <f t="shared" si="6"/>
        <v>2027</v>
      </c>
      <c r="T20" s="67">
        <f t="shared" si="6"/>
        <v>2028</v>
      </c>
      <c r="U20" s="67">
        <f t="shared" si="6"/>
        <v>2029</v>
      </c>
      <c r="V20" s="67">
        <f t="shared" si="6"/>
        <v>2030</v>
      </c>
      <c r="W20" s="67">
        <f t="shared" si="6"/>
        <v>2031</v>
      </c>
      <c r="X20" s="67">
        <f t="shared" si="6"/>
        <v>2032</v>
      </c>
      <c r="Y20" s="67">
        <f t="shared" si="6"/>
        <v>2033</v>
      </c>
      <c r="Z20" s="67">
        <f t="shared" si="6"/>
        <v>2034</v>
      </c>
    </row>
    <row r="21" spans="1:26">
      <c r="A21" s="81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3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>
      <c r="A22" s="76" t="s">
        <v>199</v>
      </c>
      <c r="B22" s="85">
        <f>'Key Financials'!C7</f>
        <v>0</v>
      </c>
      <c r="C22" s="85">
        <f>'Key Financials'!D7</f>
        <v>0</v>
      </c>
      <c r="D22" s="85">
        <f>'Key Financials'!E7</f>
        <v>0</v>
      </c>
      <c r="E22" s="85">
        <f>'Key Financials'!F7</f>
        <v>0</v>
      </c>
      <c r="F22" s="85">
        <f>'Key Financials'!G7</f>
        <v>0</v>
      </c>
      <c r="G22" s="85">
        <f>'Key Financials'!H7</f>
        <v>0</v>
      </c>
      <c r="H22" s="85">
        <f>'Key Financials'!I7</f>
        <v>0</v>
      </c>
      <c r="I22" s="85">
        <f>'Key Financials'!J7</f>
        <v>0</v>
      </c>
      <c r="J22" s="85">
        <f>'Key Financials'!K7</f>
        <v>0</v>
      </c>
      <c r="K22" s="85">
        <f>'Key Financials'!L7</f>
        <v>0</v>
      </c>
      <c r="L22" s="85">
        <f>'Key Financials'!M7</f>
        <v>0</v>
      </c>
      <c r="M22" s="85">
        <f>'Key Financials'!N7</f>
        <v>0</v>
      </c>
      <c r="N22" s="65" t="s">
        <v>200</v>
      </c>
      <c r="O22" s="85">
        <f>'Key Financials'!C17</f>
        <v>0</v>
      </c>
      <c r="P22" s="85">
        <f>'Key Financials'!D17</f>
        <v>0</v>
      </c>
      <c r="Q22" s="85">
        <f>'Key Financials'!E17</f>
        <v>0</v>
      </c>
      <c r="R22" s="85">
        <f>'Key Financials'!F17</f>
        <v>0</v>
      </c>
      <c r="S22" s="85">
        <f>'Key Financials'!G17</f>
        <v>0</v>
      </c>
      <c r="T22" s="85">
        <f>'Key Financials'!H17</f>
        <v>0</v>
      </c>
      <c r="U22" s="85">
        <f>'Key Financials'!I17</f>
        <v>0</v>
      </c>
      <c r="V22" s="85">
        <f>'Key Financials'!J17</f>
        <v>0.01</v>
      </c>
      <c r="W22" s="85">
        <f>'Key Financials'!K17</f>
        <v>0</v>
      </c>
      <c r="X22" s="85">
        <f>'Key Financials'!L17</f>
        <v>0</v>
      </c>
      <c r="Y22" s="85">
        <f>'Key Financials'!M17</f>
        <v>0</v>
      </c>
      <c r="Z22" s="85">
        <f>'Key Financials'!N17</f>
        <v>0</v>
      </c>
    </row>
    <row r="23" spans="1:26">
      <c r="A23" s="76" t="s">
        <v>201</v>
      </c>
      <c r="B23" s="85">
        <f>'INPUT SHEET'!B61</f>
        <v>0</v>
      </c>
      <c r="C23" s="85">
        <f>'INPUT SHEET'!C61</f>
        <v>0</v>
      </c>
      <c r="D23" s="85">
        <f>'INPUT SHEET'!D61</f>
        <v>0</v>
      </c>
      <c r="E23" s="85">
        <f>'INPUT SHEET'!E61</f>
        <v>0</v>
      </c>
      <c r="F23" s="85">
        <f>'INPUT SHEET'!F61</f>
        <v>0</v>
      </c>
      <c r="G23" s="85">
        <f>'INPUT SHEET'!G61</f>
        <v>0</v>
      </c>
      <c r="H23" s="85">
        <f>'INPUT SHEET'!H61</f>
        <v>0</v>
      </c>
      <c r="I23" s="85">
        <f>'INPUT SHEET'!I61</f>
        <v>-0.01</v>
      </c>
      <c r="J23" s="85">
        <f>'INPUT SHEET'!J61</f>
        <v>0</v>
      </c>
      <c r="K23" s="85">
        <f>'INPUT SHEET'!K61</f>
        <v>0</v>
      </c>
      <c r="L23" s="85">
        <f>'INPUT SHEET'!L61</f>
        <v>0</v>
      </c>
      <c r="M23" s="85">
        <f>'INPUT SHEET'!M61</f>
        <v>0</v>
      </c>
      <c r="N23" s="6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</row>
    <row r="24" spans="1:26">
      <c r="A24" s="76" t="s">
        <v>202</v>
      </c>
      <c r="B24" s="85">
        <f>'INPUT SHEET'!B74</f>
        <v>0</v>
      </c>
      <c r="C24" s="85">
        <f>'INPUT SHEET'!C74</f>
        <v>0</v>
      </c>
      <c r="D24" s="85">
        <f>'INPUT SHEET'!D74</f>
        <v>0</v>
      </c>
      <c r="E24" s="85">
        <f>'INPUT SHEET'!E74</f>
        <v>0</v>
      </c>
      <c r="F24" s="85">
        <f>'INPUT SHEET'!F74</f>
        <v>0</v>
      </c>
      <c r="G24" s="85">
        <f>'INPUT SHEET'!G74</f>
        <v>0</v>
      </c>
      <c r="H24" s="85">
        <f>'INPUT SHEET'!H74</f>
        <v>0</v>
      </c>
      <c r="I24" s="85">
        <f>'INPUT SHEET'!I74</f>
        <v>0</v>
      </c>
      <c r="J24" s="85">
        <f>'INPUT SHEET'!J74</f>
        <v>0</v>
      </c>
      <c r="K24" s="85">
        <f>'INPUT SHEET'!K74</f>
        <v>0</v>
      </c>
      <c r="L24" s="85">
        <f>'INPUT SHEET'!L74</f>
        <v>0</v>
      </c>
      <c r="M24" s="85">
        <f>'INPUT SHEET'!M74</f>
        <v>0</v>
      </c>
      <c r="N24" s="65" t="s">
        <v>203</v>
      </c>
      <c r="O24" s="85">
        <f>'Cash flows'!C40</f>
        <v>0</v>
      </c>
      <c r="P24" s="85">
        <f>'Cash flows'!D40</f>
        <v>0</v>
      </c>
      <c r="Q24" s="85">
        <f>'Cash flows'!E40</f>
        <v>0</v>
      </c>
      <c r="R24" s="85">
        <f>'Cash flows'!F40</f>
        <v>0</v>
      </c>
      <c r="S24" s="85">
        <f>'Cash flows'!G40</f>
        <v>0</v>
      </c>
      <c r="T24" s="85">
        <f>'Cash flows'!H40</f>
        <v>0</v>
      </c>
      <c r="U24" s="85">
        <f>'Cash flows'!I40</f>
        <v>4.9999999999999992E-3</v>
      </c>
      <c r="V24" s="85">
        <f>'Cash flows'!J40</f>
        <v>2.5000000000000001E-3</v>
      </c>
      <c r="W24" s="85">
        <f>'Cash flows'!K40</f>
        <v>0</v>
      </c>
      <c r="X24" s="85">
        <f>'Cash flows'!L40</f>
        <v>-1</v>
      </c>
      <c r="Y24" s="85">
        <f>'Cash flows'!M40</f>
        <v>1</v>
      </c>
      <c r="Z24" s="85">
        <f>'Cash flows'!N40</f>
        <v>0</v>
      </c>
    </row>
    <row r="25" spans="1:26">
      <c r="A25" s="76" t="s">
        <v>204</v>
      </c>
      <c r="B25" s="85">
        <f>'Key Financials'!C8</f>
        <v>0</v>
      </c>
      <c r="C25" s="85">
        <f>'Key Financials'!D8</f>
        <v>0</v>
      </c>
      <c r="D25" s="85">
        <f>'Key Financials'!E8</f>
        <v>0</v>
      </c>
      <c r="E25" s="85">
        <f>'Key Financials'!F8</f>
        <v>0</v>
      </c>
      <c r="F25" s="85">
        <f>'Key Financials'!G8</f>
        <v>0</v>
      </c>
      <c r="G25" s="85">
        <f>'Key Financials'!H8</f>
        <v>0</v>
      </c>
      <c r="H25" s="85">
        <f>'Key Financials'!I8</f>
        <v>0</v>
      </c>
      <c r="I25" s="85">
        <f>'Key Financials'!J8</f>
        <v>0.01</v>
      </c>
      <c r="J25" s="85">
        <f>'Key Financials'!K8</f>
        <v>0</v>
      </c>
      <c r="K25" s="85">
        <f>'Key Financials'!L8</f>
        <v>0</v>
      </c>
      <c r="L25" s="85">
        <f>'Key Financials'!M8</f>
        <v>0</v>
      </c>
      <c r="M25" s="85">
        <f>'Key Financials'!N8</f>
        <v>0</v>
      </c>
      <c r="N25" s="65" t="s">
        <v>205</v>
      </c>
      <c r="O25" s="85">
        <f>'Cash flows'!C50</f>
        <v>0</v>
      </c>
      <c r="P25" s="85">
        <f>'Cash flows'!D50</f>
        <v>0</v>
      </c>
      <c r="Q25" s="85">
        <f>'Cash flows'!E50</f>
        <v>0</v>
      </c>
      <c r="R25" s="85">
        <f>'Cash flows'!F50</f>
        <v>0</v>
      </c>
      <c r="S25" s="85">
        <f>'Cash flows'!G50</f>
        <v>0</v>
      </c>
      <c r="T25" s="85">
        <f>'Cash flows'!H50</f>
        <v>0</v>
      </c>
      <c r="U25" s="85">
        <f>'Cash flows'!I50</f>
        <v>0</v>
      </c>
      <c r="V25" s="85">
        <f>'Cash flows'!J50</f>
        <v>0</v>
      </c>
      <c r="W25" s="85">
        <f>'Cash flows'!K50</f>
        <v>0</v>
      </c>
      <c r="X25" s="85">
        <f>'Cash flows'!L50</f>
        <v>0</v>
      </c>
      <c r="Y25" s="85">
        <f>'Cash flows'!M50</f>
        <v>0</v>
      </c>
      <c r="Z25" s="85">
        <f>'Cash flows'!N50</f>
        <v>0</v>
      </c>
    </row>
    <row r="26" spans="1:26">
      <c r="A26" s="76" t="s">
        <v>206</v>
      </c>
      <c r="B26" s="85">
        <f>'Key Financials'!C10</f>
        <v>0</v>
      </c>
      <c r="C26" s="85">
        <f>'Key Financials'!D10</f>
        <v>0</v>
      </c>
      <c r="D26" s="85">
        <f>'Key Financials'!E10</f>
        <v>0</v>
      </c>
      <c r="E26" s="85">
        <f>'Key Financials'!F10</f>
        <v>0</v>
      </c>
      <c r="F26" s="85">
        <f>'Key Financials'!G10</f>
        <v>0</v>
      </c>
      <c r="G26" s="85">
        <f>'Key Financials'!H10</f>
        <v>0</v>
      </c>
      <c r="H26" s="85">
        <f>'Key Financials'!I10</f>
        <v>0</v>
      </c>
      <c r="I26" s="85">
        <f>'Key Financials'!J10</f>
        <v>0</v>
      </c>
      <c r="J26" s="85">
        <f>'Key Financials'!K10</f>
        <v>0</v>
      </c>
      <c r="K26" s="85">
        <f>'Key Financials'!L10</f>
        <v>0</v>
      </c>
      <c r="L26" s="85">
        <f>'Key Financials'!M10</f>
        <v>0</v>
      </c>
      <c r="M26" s="85">
        <f>'Key Financials'!N10</f>
        <v>0</v>
      </c>
      <c r="N26" s="65" t="s">
        <v>207</v>
      </c>
      <c r="O26" s="85">
        <f>'Cash flows'!C62</f>
        <v>0</v>
      </c>
      <c r="P26" s="85">
        <f>'Cash flows'!D62</f>
        <v>0</v>
      </c>
      <c r="Q26" s="85">
        <f>'Cash flows'!E62</f>
        <v>0</v>
      </c>
      <c r="R26" s="85">
        <f>'Cash flows'!F62</f>
        <v>0</v>
      </c>
      <c r="S26" s="85">
        <f>'Cash flows'!G62</f>
        <v>0</v>
      </c>
      <c r="T26" s="85">
        <f>'Cash flows'!H62</f>
        <v>0</v>
      </c>
      <c r="U26" s="85">
        <f>'Cash flows'!I62</f>
        <v>0</v>
      </c>
      <c r="V26" s="85">
        <f>'Cash flows'!J62</f>
        <v>0</v>
      </c>
      <c r="W26" s="85">
        <f>'Cash flows'!K62</f>
        <v>0</v>
      </c>
      <c r="X26" s="85">
        <f>'Cash flows'!L62</f>
        <v>0</v>
      </c>
      <c r="Y26" s="85">
        <f>'Cash flows'!M62</f>
        <v>0</v>
      </c>
      <c r="Z26" s="85">
        <f>'Cash flows'!N62</f>
        <v>0</v>
      </c>
    </row>
    <row r="27" spans="1:26">
      <c r="A27" s="76" t="s">
        <v>208</v>
      </c>
      <c r="B27" s="85">
        <f>'Key Financials'!C11</f>
        <v>0</v>
      </c>
      <c r="C27" s="85">
        <f>'Key Financials'!D11</f>
        <v>0</v>
      </c>
      <c r="D27" s="85">
        <f>'Key Financials'!E11</f>
        <v>0</v>
      </c>
      <c r="E27" s="85">
        <f>'Key Financials'!F11</f>
        <v>0</v>
      </c>
      <c r="F27" s="85">
        <f>'Key Financials'!G11</f>
        <v>0</v>
      </c>
      <c r="G27" s="85">
        <f>'Key Financials'!H11</f>
        <v>0</v>
      </c>
      <c r="H27" s="85">
        <f>'Key Financials'!I11</f>
        <v>0</v>
      </c>
      <c r="I27" s="85">
        <f>'Key Financials'!J11</f>
        <v>0</v>
      </c>
      <c r="J27" s="85">
        <f>'Key Financials'!K11</f>
        <v>0</v>
      </c>
      <c r="K27" s="85">
        <f>'Key Financials'!L11</f>
        <v>0</v>
      </c>
      <c r="L27" s="85">
        <f>'Key Financials'!M11</f>
        <v>0</v>
      </c>
      <c r="M27" s="85">
        <f>'Key Financials'!N11</f>
        <v>0</v>
      </c>
      <c r="O27" s="85"/>
      <c r="P27" s="85"/>
      <c r="Q27" s="85"/>
      <c r="R27" s="85"/>
      <c r="S27" s="85"/>
      <c r="T27" s="86"/>
      <c r="U27" s="86"/>
      <c r="V27" s="85"/>
      <c r="W27" s="86"/>
      <c r="X27" s="86"/>
      <c r="Y27" s="86"/>
      <c r="Z27" s="86"/>
    </row>
    <row r="28" spans="1:26">
      <c r="A28" s="76" t="s">
        <v>209</v>
      </c>
      <c r="B28" s="85">
        <f>'Key Financials'!C12</f>
        <v>0</v>
      </c>
      <c r="C28" s="85">
        <f>'Key Financials'!D12</f>
        <v>0</v>
      </c>
      <c r="D28" s="85">
        <f>'Key Financials'!E12</f>
        <v>0</v>
      </c>
      <c r="E28" s="85">
        <f>'Key Financials'!F12</f>
        <v>0</v>
      </c>
      <c r="F28" s="85">
        <f>'Key Financials'!G12</f>
        <v>0</v>
      </c>
      <c r="G28" s="85">
        <f>'Key Financials'!H12</f>
        <v>0</v>
      </c>
      <c r="H28" s="85">
        <f>'Key Financials'!I12</f>
        <v>0</v>
      </c>
      <c r="I28" s="85">
        <f>'Key Financials'!J12</f>
        <v>0.01</v>
      </c>
      <c r="J28" s="85">
        <f>'Key Financials'!K12</f>
        <v>0</v>
      </c>
      <c r="K28" s="85">
        <f>'Key Financials'!L12</f>
        <v>0</v>
      </c>
      <c r="L28" s="85">
        <f>'Key Financials'!M12</f>
        <v>0</v>
      </c>
      <c r="M28" s="85">
        <f>'Key Financials'!N12</f>
        <v>0</v>
      </c>
      <c r="N28" s="65" t="s">
        <v>210</v>
      </c>
      <c r="O28" s="85">
        <f>'Cash flows'!C65</f>
        <v>0</v>
      </c>
      <c r="P28" s="85">
        <f>'Cash flows'!D65</f>
        <v>0</v>
      </c>
      <c r="Q28" s="85">
        <f>'Cash flows'!E65</f>
        <v>0</v>
      </c>
      <c r="R28" s="85">
        <f>'Cash flows'!F65</f>
        <v>0</v>
      </c>
      <c r="S28" s="85">
        <f>'Cash flows'!G65</f>
        <v>0</v>
      </c>
      <c r="T28" s="85">
        <f>'Cash flows'!H65</f>
        <v>0</v>
      </c>
      <c r="U28" s="85">
        <f>'Cash flows'!I65</f>
        <v>4.9999999999999992E-3</v>
      </c>
      <c r="V28" s="85">
        <f>'Cash flows'!J65</f>
        <v>2.5000000000000001E-3</v>
      </c>
      <c r="W28" s="85">
        <f>'Cash flows'!K65</f>
        <v>0</v>
      </c>
      <c r="X28" s="85">
        <f>'Cash flows'!L65</f>
        <v>-1</v>
      </c>
      <c r="Y28" s="85">
        <f>'Cash flows'!M65</f>
        <v>1</v>
      </c>
      <c r="Z28" s="85">
        <f>'Cash flows'!N65</f>
        <v>0</v>
      </c>
    </row>
    <row r="29" spans="1:26">
      <c r="A29" s="76" t="s">
        <v>211</v>
      </c>
      <c r="B29" s="85">
        <f>'Key Financials'!C14</f>
        <v>0</v>
      </c>
      <c r="C29" s="85">
        <f>'Key Financials'!D14</f>
        <v>0</v>
      </c>
      <c r="D29" s="85">
        <f>'Key Financials'!E14</f>
        <v>0</v>
      </c>
      <c r="E29" s="85">
        <f>'Key Financials'!F14</f>
        <v>0</v>
      </c>
      <c r="F29" s="85">
        <f>'Key Financials'!G14</f>
        <v>0</v>
      </c>
      <c r="G29" s="85">
        <f>'Key Financials'!H14</f>
        <v>0</v>
      </c>
      <c r="H29" s="85">
        <f>'Key Financials'!I14</f>
        <v>0</v>
      </c>
      <c r="I29" s="85">
        <f>'Key Financials'!J14</f>
        <v>0.01</v>
      </c>
      <c r="J29" s="85">
        <f>'Key Financials'!K14</f>
        <v>0</v>
      </c>
      <c r="K29" s="85">
        <f>'Key Financials'!L14</f>
        <v>0</v>
      </c>
      <c r="L29" s="85">
        <f>'Key Financials'!M14</f>
        <v>0</v>
      </c>
      <c r="M29" s="85">
        <f>'Key Financials'!N14</f>
        <v>0</v>
      </c>
      <c r="N29" s="87"/>
      <c r="O29"/>
      <c r="P29" s="88"/>
      <c r="Q29"/>
      <c r="R29" s="88"/>
      <c r="S29"/>
      <c r="T29" s="88"/>
      <c r="U29" s="88"/>
      <c r="V29"/>
      <c r="W29" s="88"/>
      <c r="X29" s="88"/>
      <c r="Y29" s="88"/>
      <c r="Z29" s="88"/>
    </row>
    <row r="30" spans="1:26">
      <c r="A30" s="76" t="s">
        <v>212</v>
      </c>
      <c r="B30" s="85">
        <f>'Key Financials'!C15</f>
        <v>0</v>
      </c>
      <c r="C30" s="85">
        <f>'Key Financials'!D15</f>
        <v>0</v>
      </c>
      <c r="D30" s="85">
        <f>'Key Financials'!E15</f>
        <v>0</v>
      </c>
      <c r="E30" s="85">
        <f>'Key Financials'!F15</f>
        <v>0</v>
      </c>
      <c r="F30" s="85">
        <f>'Key Financials'!G15</f>
        <v>0</v>
      </c>
      <c r="G30" s="85">
        <f>'Key Financials'!H15</f>
        <v>0</v>
      </c>
      <c r="H30" s="85">
        <f>'Key Financials'!I15</f>
        <v>0</v>
      </c>
      <c r="I30" s="85">
        <f>'Key Financials'!J15</f>
        <v>0.01</v>
      </c>
      <c r="J30" s="85">
        <f>'Key Financials'!K15</f>
        <v>0</v>
      </c>
      <c r="K30" s="85">
        <f>'Key Financials'!L15</f>
        <v>0</v>
      </c>
      <c r="L30" s="85">
        <f>'Key Financials'!M15</f>
        <v>0</v>
      </c>
      <c r="M30" s="85">
        <f>'Key Financials'!N15</f>
        <v>0</v>
      </c>
      <c r="N30" s="87"/>
      <c r="O30"/>
      <c r="P30" s="88"/>
      <c r="Q30"/>
      <c r="R30" s="88"/>
      <c r="S30"/>
      <c r="T30" s="88"/>
      <c r="U30" s="88"/>
      <c r="V30"/>
      <c r="W30" s="88"/>
      <c r="X30" s="88"/>
      <c r="Y30" s="88"/>
      <c r="Z30" s="88"/>
    </row>
    <row r="31" spans="1:26">
      <c r="A31" s="76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7"/>
      <c r="O31"/>
      <c r="P31" s="88"/>
      <c r="Q31"/>
      <c r="R31" s="88"/>
      <c r="S31"/>
      <c r="T31" s="88"/>
      <c r="U31" s="88"/>
      <c r="V31"/>
      <c r="W31" s="88"/>
      <c r="X31" s="88"/>
      <c r="Y31" s="88"/>
      <c r="Z31" s="88"/>
    </row>
    <row r="32" spans="1:26">
      <c r="A32" s="76" t="s">
        <v>213</v>
      </c>
      <c r="B32" s="85">
        <f>Form_III!E109-Form_III!D109</f>
        <v>0</v>
      </c>
      <c r="C32" s="85">
        <f>Form_III!F109-Form_III!E109</f>
        <v>0</v>
      </c>
      <c r="D32" s="85">
        <f>Form_III!G109-Form_III!F109</f>
        <v>0</v>
      </c>
      <c r="E32" s="85">
        <f>Form_III!H109-Form_III!G109</f>
        <v>0</v>
      </c>
      <c r="F32" s="85">
        <f>Form_III!I109-Form_III!H109</f>
        <v>0</v>
      </c>
      <c r="G32" s="85">
        <f>Form_III!J109-Form_III!I109</f>
        <v>0</v>
      </c>
      <c r="H32" s="85">
        <f>Form_III!K109-Form_III!J109</f>
        <v>0</v>
      </c>
      <c r="I32" s="85">
        <f>Form_III!L109-Form_III!K109</f>
        <v>7.4999999999999997E-3</v>
      </c>
      <c r="J32" s="85">
        <f>Form_III!M109-Form_III!L109</f>
        <v>0</v>
      </c>
      <c r="K32" s="85">
        <f>Form_III!N109-Form_III!M109</f>
        <v>0</v>
      </c>
      <c r="L32" s="85">
        <f>Form_III!O109-Form_III!N109</f>
        <v>0</v>
      </c>
      <c r="M32" s="85">
        <f>Form_III!P109-Form_III!O109</f>
        <v>0</v>
      </c>
      <c r="N32" s="87"/>
      <c r="O32"/>
      <c r="P32" s="88"/>
      <c r="Q32"/>
      <c r="R32" s="88"/>
      <c r="S32"/>
      <c r="T32" s="88"/>
      <c r="U32" s="88"/>
      <c r="V32"/>
      <c r="W32" s="88"/>
      <c r="X32" s="88"/>
      <c r="Y32" s="88"/>
      <c r="Z32" s="88"/>
    </row>
    <row r="33" spans="1:26">
      <c r="A33" s="90"/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2"/>
      <c r="O33" s="91"/>
      <c r="P33" s="93"/>
      <c r="Q33" s="91"/>
      <c r="R33" s="93"/>
      <c r="S33" s="91"/>
      <c r="T33" s="93"/>
      <c r="U33" s="93"/>
      <c r="V33" s="91"/>
      <c r="W33" s="93"/>
      <c r="X33" s="93"/>
      <c r="Y33" s="93"/>
      <c r="Z33" s="93"/>
    </row>
    <row r="34" spans="1:26" ht="22.5" customHeight="1">
      <c r="A34" s="66" t="s">
        <v>214</v>
      </c>
      <c r="B34" s="67">
        <f t="shared" ref="B34:M34" si="7">B20</f>
        <v>2023</v>
      </c>
      <c r="C34" s="67">
        <f t="shared" si="7"/>
        <v>2024</v>
      </c>
      <c r="D34" s="67">
        <f t="shared" si="7"/>
        <v>2025</v>
      </c>
      <c r="E34" s="67">
        <f t="shared" si="7"/>
        <v>2026</v>
      </c>
      <c r="F34" s="94">
        <f t="shared" si="7"/>
        <v>2027</v>
      </c>
      <c r="G34" s="67">
        <f t="shared" si="7"/>
        <v>2028</v>
      </c>
      <c r="H34" s="94">
        <f t="shared" si="7"/>
        <v>2029</v>
      </c>
      <c r="I34" s="67">
        <f t="shared" si="7"/>
        <v>2030</v>
      </c>
      <c r="J34" s="94">
        <f t="shared" si="7"/>
        <v>2031</v>
      </c>
      <c r="K34" s="67">
        <f t="shared" si="7"/>
        <v>2032</v>
      </c>
      <c r="L34" s="94">
        <f t="shared" si="7"/>
        <v>2033</v>
      </c>
      <c r="M34" s="67">
        <f t="shared" si="7"/>
        <v>2034</v>
      </c>
      <c r="N34" s="66" t="s">
        <v>214</v>
      </c>
      <c r="O34" s="67">
        <f t="shared" ref="O34:Z34" si="8">B34</f>
        <v>2023</v>
      </c>
      <c r="P34" s="67">
        <f t="shared" si="8"/>
        <v>2024</v>
      </c>
      <c r="Q34" s="67">
        <f t="shared" si="8"/>
        <v>2025</v>
      </c>
      <c r="R34" s="67">
        <f t="shared" si="8"/>
        <v>2026</v>
      </c>
      <c r="S34" s="67">
        <f t="shared" si="8"/>
        <v>2027</v>
      </c>
      <c r="T34" s="67">
        <f t="shared" si="8"/>
        <v>2028</v>
      </c>
      <c r="U34" s="67">
        <f t="shared" si="8"/>
        <v>2029</v>
      </c>
      <c r="V34" s="67">
        <f t="shared" si="8"/>
        <v>2030</v>
      </c>
      <c r="W34" s="67">
        <f t="shared" si="8"/>
        <v>2031</v>
      </c>
      <c r="X34" s="67">
        <f t="shared" si="8"/>
        <v>2032</v>
      </c>
      <c r="Y34" s="67">
        <f t="shared" si="8"/>
        <v>2033</v>
      </c>
      <c r="Z34" s="67">
        <f t="shared" si="8"/>
        <v>2034</v>
      </c>
    </row>
    <row r="35" spans="1:26">
      <c r="A35" s="70" t="s">
        <v>215</v>
      </c>
      <c r="B35" s="95" t="e">
        <f>'Key Financials'!C9</f>
        <v>#DIV/0!</v>
      </c>
      <c r="C35" s="95" t="e">
        <f>'Key Financials'!D9</f>
        <v>#DIV/0!</v>
      </c>
      <c r="D35" s="96" t="e">
        <f>'Key Financials'!E9</f>
        <v>#DIV/0!</v>
      </c>
      <c r="E35" s="97" t="e">
        <f>'Key Financials'!F9</f>
        <v>#DIV/0!</v>
      </c>
      <c r="F35" s="98" t="e">
        <f>'Key Financials'!G9</f>
        <v>#DIV/0!</v>
      </c>
      <c r="G35" s="97" t="e">
        <f>'Key Financials'!H9</f>
        <v>#DIV/0!</v>
      </c>
      <c r="H35" s="98" t="e">
        <f>'Key Financials'!I9</f>
        <v>#DIV/0!</v>
      </c>
      <c r="I35" s="97" t="e">
        <f>'Key Financials'!J9</f>
        <v>#DIV/0!</v>
      </c>
      <c r="J35" s="98" t="e">
        <f>'Key Financials'!K9</f>
        <v>#DIV/0!</v>
      </c>
      <c r="K35" s="97" t="e">
        <f>'Key Financials'!L9</f>
        <v>#DIV/0!</v>
      </c>
      <c r="L35" s="98" t="e">
        <f>'Key Financials'!M9</f>
        <v>#DIV/0!</v>
      </c>
      <c r="M35" s="97" t="e">
        <f>'Key Financials'!N9</f>
        <v>#DIV/0!</v>
      </c>
      <c r="N35" s="99" t="s">
        <v>216</v>
      </c>
      <c r="O35" s="71">
        <f>'Key Financials'!C26</f>
        <v>0</v>
      </c>
      <c r="P35" s="71">
        <f>'Key Financials'!D26</f>
        <v>0</v>
      </c>
      <c r="Q35" s="71">
        <f>'Key Financials'!E26</f>
        <v>0</v>
      </c>
      <c r="R35" s="71">
        <f>'Key Financials'!F26</f>
        <v>0</v>
      </c>
      <c r="S35" s="71">
        <f>'Key Financials'!G26</f>
        <v>0</v>
      </c>
      <c r="T35" s="71">
        <f>'Key Financials'!H26</f>
        <v>0</v>
      </c>
      <c r="U35" s="71">
        <f>'Key Financials'!I26</f>
        <v>0</v>
      </c>
      <c r="V35" s="71">
        <f>'Key Financials'!J26</f>
        <v>0</v>
      </c>
      <c r="W35" s="71">
        <f>'Key Financials'!K26</f>
        <v>0</v>
      </c>
      <c r="X35" s="71">
        <f>'Key Financials'!L26</f>
        <v>0</v>
      </c>
      <c r="Y35" s="71">
        <f>'Key Financials'!M26</f>
        <v>0</v>
      </c>
      <c r="Z35" s="71">
        <f>'Key Financials'!N26</f>
        <v>0</v>
      </c>
    </row>
    <row r="36" spans="1:26">
      <c r="A36" s="73" t="s">
        <v>217</v>
      </c>
      <c r="B36" s="100" t="e">
        <f>'Key Financials'!C16</f>
        <v>#DIV/0!</v>
      </c>
      <c r="C36" s="100" t="e">
        <f>'Key Financials'!D16</f>
        <v>#DIV/0!</v>
      </c>
      <c r="D36" s="101" t="e">
        <f>'Key Financials'!E16</f>
        <v>#DIV/0!</v>
      </c>
      <c r="E36" s="102" t="e">
        <f>'Key Financials'!F16</f>
        <v>#DIV/0!</v>
      </c>
      <c r="F36" s="103" t="e">
        <f>'Key Financials'!G16</f>
        <v>#DIV/0!</v>
      </c>
      <c r="G36" s="102" t="e">
        <f>'Key Financials'!H16</f>
        <v>#DIV/0!</v>
      </c>
      <c r="H36" s="103" t="e">
        <f>'Key Financials'!I16</f>
        <v>#DIV/0!</v>
      </c>
      <c r="I36" s="102" t="e">
        <f>'Key Financials'!J16</f>
        <v>#DIV/0!</v>
      </c>
      <c r="J36" s="103" t="e">
        <f>'Key Financials'!K16</f>
        <v>#DIV/0!</v>
      </c>
      <c r="K36" s="102" t="e">
        <f>'Key Financials'!L16</f>
        <v>#DIV/0!</v>
      </c>
      <c r="L36" s="103" t="e">
        <f>'Key Financials'!M16</f>
        <v>#DIV/0!</v>
      </c>
      <c r="M36" s="102" t="e">
        <f>'Key Financials'!N16</f>
        <v>#DIV/0!</v>
      </c>
      <c r="N36" s="104" t="s">
        <v>218</v>
      </c>
      <c r="O36" s="74" t="e">
        <f>'Key Financials'!C37</f>
        <v>#DIV/0!</v>
      </c>
      <c r="P36" s="74" t="e">
        <f>'Key Financials'!D37</f>
        <v>#DIV/0!</v>
      </c>
      <c r="Q36" s="74" t="e">
        <f>'Key Financials'!E37</f>
        <v>#DIV/0!</v>
      </c>
      <c r="R36" s="74" t="e">
        <f>'Key Financials'!F37</f>
        <v>#DIV/0!</v>
      </c>
      <c r="S36" s="74" t="e">
        <f>'Key Financials'!G37</f>
        <v>#DIV/0!</v>
      </c>
      <c r="T36" s="74" t="e">
        <f>'Key Financials'!H37</f>
        <v>#DIV/0!</v>
      </c>
      <c r="U36" s="74" t="e">
        <f>'Key Financials'!I37</f>
        <v>#DIV/0!</v>
      </c>
      <c r="V36" s="74">
        <f>'Key Financials'!J37</f>
        <v>0</v>
      </c>
      <c r="W36" s="74" t="e">
        <f>'Key Financials'!K37</f>
        <v>#DIV/0!</v>
      </c>
      <c r="X36" s="74" t="e">
        <f>'Key Financials'!L37</f>
        <v>#DIV/0!</v>
      </c>
      <c r="Y36" s="74" t="e">
        <f>'Key Financials'!M37</f>
        <v>#DIV/0!</v>
      </c>
      <c r="Z36" s="74" t="e">
        <f>'Key Financials'!N37</f>
        <v>#DIV/0!</v>
      </c>
    </row>
    <row r="37" spans="1:26">
      <c r="A37" s="73" t="s">
        <v>219</v>
      </c>
      <c r="B37" s="100" t="str">
        <f>Form_II!E16</f>
        <v>N/A</v>
      </c>
      <c r="C37" s="100" t="str">
        <f>Form_II!F16</f>
        <v>N/A</v>
      </c>
      <c r="D37" s="101" t="str">
        <f>Form_II!G16</f>
        <v>N/A</v>
      </c>
      <c r="E37" s="102" t="str">
        <f>Form_II!H16</f>
        <v>N/A</v>
      </c>
      <c r="F37" s="103" t="str">
        <f>Form_II!I16</f>
        <v>N/A</v>
      </c>
      <c r="G37" s="102" t="str">
        <f>Form_II!J16</f>
        <v>N/A</v>
      </c>
      <c r="H37" s="103" t="str">
        <f>Form_II!K16</f>
        <v>N/A</v>
      </c>
      <c r="I37" s="102" t="str">
        <f>Form_II!L16</f>
        <v>N/A</v>
      </c>
      <c r="J37" s="103" t="str">
        <f>Form_II!M16</f>
        <v>N/A</v>
      </c>
      <c r="K37" s="102" t="str">
        <f>Form_II!N16</f>
        <v>N/A</v>
      </c>
      <c r="L37" s="103" t="str">
        <f>Form_II!O16</f>
        <v>N/A</v>
      </c>
      <c r="M37" s="102" t="str">
        <f>Form_II!P16</f>
        <v>N/A</v>
      </c>
      <c r="N37" s="104" t="s">
        <v>220</v>
      </c>
      <c r="O37" s="74" t="e">
        <f>O35/(B25*12/Form_IV!E47)</f>
        <v>#DIV/0!</v>
      </c>
      <c r="P37" s="74" t="e">
        <f>P35/(C25*12/Form_IV!F47)</f>
        <v>#DIV/0!</v>
      </c>
      <c r="Q37" s="74" t="e">
        <f>Q35/(D25*12/Form_IV!G47)</f>
        <v>#DIV/0!</v>
      </c>
      <c r="R37" s="74" t="e">
        <f>R35/(E25*12/Form_IV!H47)</f>
        <v>#DIV/0!</v>
      </c>
      <c r="S37" s="74" t="e">
        <f>S35/(F25*12/Form_IV!I47)</f>
        <v>#DIV/0!</v>
      </c>
      <c r="T37" s="74" t="e">
        <f>T35/(G25*12/Form_IV!J47)</f>
        <v>#DIV/0!</v>
      </c>
      <c r="U37" s="74" t="e">
        <f>U35/(H25*12/Form_IV!K47)</f>
        <v>#DIV/0!</v>
      </c>
      <c r="V37" s="74">
        <f>V35/(I25*12/Form_IV!L47)</f>
        <v>0</v>
      </c>
      <c r="W37" s="74" t="e">
        <f>W35/(J25*12/Form_IV!M47)</f>
        <v>#DIV/0!</v>
      </c>
      <c r="X37" s="74" t="e">
        <f>X35/(K25*12/Form_IV!N47)</f>
        <v>#DIV/0!</v>
      </c>
      <c r="Y37" s="74" t="e">
        <f>Y35/(L25*12/Form_IV!O47)</f>
        <v>#DIV/0!</v>
      </c>
      <c r="Z37" s="74" t="e">
        <f>Z35/(M25*12/Form_IV!P47)</f>
        <v>#DIV/0!</v>
      </c>
    </row>
    <row r="38" spans="1:26">
      <c r="A38" s="73"/>
      <c r="B38" s="73"/>
      <c r="C38" s="73"/>
      <c r="D38" s="104"/>
      <c r="F38" s="105"/>
      <c r="H38" s="105"/>
      <c r="J38" s="105"/>
      <c r="L38" s="105"/>
      <c r="N38" s="104" t="s">
        <v>221</v>
      </c>
      <c r="O38" s="74" t="e">
        <f>'Key Financials'!C29</f>
        <v>#DIV/0!</v>
      </c>
      <c r="P38" s="74" t="e">
        <f>'Key Financials'!D29</f>
        <v>#DIV/0!</v>
      </c>
      <c r="Q38" s="74" t="e">
        <f>'Key Financials'!E29</f>
        <v>#DIV/0!</v>
      </c>
      <c r="R38" s="74" t="e">
        <f>'Key Financials'!F29</f>
        <v>#DIV/0!</v>
      </c>
      <c r="S38" s="74" t="e">
        <f>'Key Financials'!G29</f>
        <v>#DIV/0!</v>
      </c>
      <c r="T38" s="74" t="e">
        <f>'Key Financials'!H29</f>
        <v>#DIV/0!</v>
      </c>
      <c r="U38" s="74" t="e">
        <f>'Key Financials'!I29</f>
        <v>#DIV/0!</v>
      </c>
      <c r="V38" s="74">
        <f>'Key Financials'!J29</f>
        <v>0</v>
      </c>
      <c r="W38" s="74">
        <f>'Key Financials'!K29</f>
        <v>0</v>
      </c>
      <c r="X38" s="74">
        <f>'Key Financials'!L29</f>
        <v>0</v>
      </c>
      <c r="Y38" s="74">
        <f>'Key Financials'!M29</f>
        <v>0</v>
      </c>
      <c r="Z38" s="74">
        <f>'Key Financials'!N29</f>
        <v>0</v>
      </c>
    </row>
    <row r="39" spans="1:26">
      <c r="A39" s="73" t="s">
        <v>222</v>
      </c>
      <c r="B39" s="106">
        <f>Form_IV!E51*30</f>
        <v>0</v>
      </c>
      <c r="C39" s="106" t="e">
        <f>Form_IV!F51*30</f>
        <v>#VALUE!</v>
      </c>
      <c r="D39" s="107" t="e">
        <f>Form_IV!G51*30</f>
        <v>#VALUE!</v>
      </c>
      <c r="E39" s="108" t="e">
        <f>Form_IV!H51*30</f>
        <v>#VALUE!</v>
      </c>
      <c r="F39" s="109" t="e">
        <f>Form_IV!I51*30</f>
        <v>#VALUE!</v>
      </c>
      <c r="G39" s="108" t="e">
        <f>Form_IV!J51*30</f>
        <v>#VALUE!</v>
      </c>
      <c r="H39" s="109" t="e">
        <f>Form_IV!K51*30</f>
        <v>#VALUE!</v>
      </c>
      <c r="I39" s="108" t="e">
        <f>Form_IV!L51*30</f>
        <v>#VALUE!</v>
      </c>
      <c r="J39" s="109" t="e">
        <f>Form_IV!M51*30</f>
        <v>#VALUE!</v>
      </c>
      <c r="K39" s="108" t="e">
        <f>Form_IV!N51*30</f>
        <v>#VALUE!</v>
      </c>
      <c r="L39" s="109" t="e">
        <f>Form_IV!O51*30</f>
        <v>#VALUE!</v>
      </c>
      <c r="M39" s="108" t="e">
        <f>Form_IV!P51*30</f>
        <v>#VALUE!</v>
      </c>
      <c r="N39" s="10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>
      <c r="A40" s="73" t="s">
        <v>223</v>
      </c>
      <c r="B40" s="106" t="e">
        <f>(Form_III!E65/(Form_II!E15*12/Form_IV!E9))*365</f>
        <v>#DIV/0!</v>
      </c>
      <c r="C40" s="106" t="e">
        <f>(Form_III!F65/(Form_II!F15*12/Form_IV!F9))*365</f>
        <v>#DIV/0!</v>
      </c>
      <c r="D40" s="106" t="e">
        <f>(Form_III!G65/(Form_II!G15*12/Form_IV!G9))*365</f>
        <v>#DIV/0!</v>
      </c>
      <c r="E40" s="106" t="e">
        <f>(Form_III!H65/(Form_II!H15*12/Form_IV!H9))*365</f>
        <v>#DIV/0!</v>
      </c>
      <c r="F40" s="109" t="e">
        <f>(Form_III!I65/(Form_II!I15*12/Form_IV!I9))*365</f>
        <v>#DIV/0!</v>
      </c>
      <c r="G40" s="106" t="e">
        <f>(Form_III!J65/(Form_II!J15*12/Form_IV!J9))*365</f>
        <v>#DIV/0!</v>
      </c>
      <c r="H40" s="109" t="e">
        <f>(Form_III!K65/(Form_II!K15*12/Form_IV!K9))*365</f>
        <v>#DIV/0!</v>
      </c>
      <c r="I40" s="106" t="e">
        <f>(Form_III!L65/(Form_II!L15*12/Form_IV!L9))*365</f>
        <v>#DIV/0!</v>
      </c>
      <c r="J40" s="109" t="e">
        <f>(Form_III!M65/(Form_II!M15*12/Form_IV!M9))*365</f>
        <v>#DIV/0!</v>
      </c>
      <c r="K40" s="106" t="e">
        <f>(Form_III!N65/(Form_II!N15*12/Form_IV!N9))*365</f>
        <v>#DIV/0!</v>
      </c>
      <c r="L40" s="109" t="e">
        <f>(Form_III!O65/(Form_II!O15*12/Form_IV!O9))*365</f>
        <v>#DIV/0!</v>
      </c>
      <c r="M40" s="106" t="e">
        <f>(Form_III!P65/(Form_II!P15*12/Form_IV!P9))*365</f>
        <v>#DIV/0!</v>
      </c>
      <c r="N40" s="104" t="s">
        <v>224</v>
      </c>
      <c r="O40" s="74" t="e">
        <f>'Key Financials'!C36</f>
        <v>#DIV/0!</v>
      </c>
      <c r="P40" s="74" t="e">
        <f>'Key Financials'!D36</f>
        <v>#DIV/0!</v>
      </c>
      <c r="Q40" s="74" t="e">
        <f>'Key Financials'!E36</f>
        <v>#DIV/0!</v>
      </c>
      <c r="R40" s="74" t="e">
        <f>'Key Financials'!F36</f>
        <v>#DIV/0!</v>
      </c>
      <c r="S40" s="74" t="e">
        <f>'Key Financials'!G36</f>
        <v>#DIV/0!</v>
      </c>
      <c r="T40" s="74" t="e">
        <f>'Key Financials'!H36</f>
        <v>#DIV/0!</v>
      </c>
      <c r="U40" s="74" t="e">
        <f>'Key Financials'!I36</f>
        <v>#DIV/0!</v>
      </c>
      <c r="V40" s="74" t="e">
        <f>'Key Financials'!J36</f>
        <v>#DIV/0!</v>
      </c>
      <c r="W40" s="74" t="e">
        <f>'Key Financials'!K36</f>
        <v>#DIV/0!</v>
      </c>
      <c r="X40" s="74" t="e">
        <f>'Key Financials'!L36</f>
        <v>#DIV/0!</v>
      </c>
      <c r="Y40" s="74" t="e">
        <f>'Key Financials'!M36</f>
        <v>#DIV/0!</v>
      </c>
      <c r="Z40" s="74" t="e">
        <f>'Key Financials'!N36</f>
        <v>#DIV/0!</v>
      </c>
    </row>
    <row r="41" spans="1:26">
      <c r="A41" s="73" t="s">
        <v>225</v>
      </c>
      <c r="B41" s="106" t="e">
        <f>(Form_III!E68/(Form_II!E34*12/Form_IV!E47)*365)</f>
        <v>#DIV/0!</v>
      </c>
      <c r="C41" s="106" t="e">
        <f>(Form_III!F68/(Form_II!F34*12/Form_IV!F47)*365)</f>
        <v>#DIV/0!</v>
      </c>
      <c r="D41" s="107" t="e">
        <f>(Form_III!G68/(Form_II!G34*12/Form_IV!G47)*365)</f>
        <v>#DIV/0!</v>
      </c>
      <c r="E41" s="108" t="e">
        <f>(Form_III!H68/(Form_II!H34*12/Form_IV!H47)*365)</f>
        <v>#DIV/0!</v>
      </c>
      <c r="F41" s="109" t="e">
        <f>(Form_III!I68/(Form_II!I34*12/Form_IV!I47)*365)</f>
        <v>#DIV/0!</v>
      </c>
      <c r="G41" s="108" t="e">
        <f>(Form_III!J68/(Form_II!J34*12/Form_IV!J47)*365)</f>
        <v>#DIV/0!</v>
      </c>
      <c r="H41" s="109" t="e">
        <f>(Form_III!K68/(Form_II!K34*12/Form_IV!K47)*365)</f>
        <v>#DIV/0!</v>
      </c>
      <c r="I41" s="108">
        <f>(Form_III!L68/(Form_II!L34*12/Form_IV!L47)*365)</f>
        <v>0</v>
      </c>
      <c r="J41" s="109" t="e">
        <f>(Form_III!M68/(Form_II!M34*12/Form_IV!M47)*365)</f>
        <v>#DIV/0!</v>
      </c>
      <c r="K41" s="108" t="e">
        <f>(Form_III!N68/(Form_II!N34*12/Form_IV!N47)*365)</f>
        <v>#DIV/0!</v>
      </c>
      <c r="L41" s="109" t="e">
        <f>(Form_III!O68/(Form_II!O34*12/Form_IV!O47)*365)</f>
        <v>#DIV/0!</v>
      </c>
      <c r="M41" s="108" t="e">
        <f>(Form_III!P68/(Form_II!P34*12/Form_IV!P47)*365)</f>
        <v>#DIV/0!</v>
      </c>
      <c r="N41" s="104" t="s">
        <v>226</v>
      </c>
      <c r="O41" s="74">
        <f>'Key Financials'!C38</f>
        <v>0</v>
      </c>
      <c r="P41" s="74" t="e">
        <f>'Key Financials'!D38</f>
        <v>#DIV/0!</v>
      </c>
      <c r="Q41" s="74" t="e">
        <f>'Key Financials'!E38</f>
        <v>#DIV/0!</v>
      </c>
      <c r="R41" s="74" t="e">
        <f>'Key Financials'!F38</f>
        <v>#DIV/0!</v>
      </c>
      <c r="S41" s="74" t="e">
        <f>'Key Financials'!G38</f>
        <v>#DIV/0!</v>
      </c>
      <c r="T41" s="74" t="e">
        <f>'Key Financials'!H38</f>
        <v>#DIV/0!</v>
      </c>
      <c r="U41" s="74" t="e">
        <f>'Key Financials'!I38</f>
        <v>#DIV/0!</v>
      </c>
      <c r="V41" s="74" t="e">
        <f>'Key Financials'!J38</f>
        <v>#DIV/0!</v>
      </c>
      <c r="W41" s="74" t="e">
        <f>'Key Financials'!K38</f>
        <v>#DIV/0!</v>
      </c>
      <c r="X41" s="74" t="e">
        <f>'Key Financials'!L38</f>
        <v>#DIV/0!</v>
      </c>
      <c r="Y41" s="74" t="e">
        <f>'Key Financials'!M38</f>
        <v>#DIV/0!</v>
      </c>
      <c r="Z41" s="74" t="e">
        <f>'Key Financials'!N38</f>
        <v>#DIV/0!</v>
      </c>
    </row>
    <row r="42" spans="1:26">
      <c r="A42" s="78"/>
      <c r="B42" s="78"/>
      <c r="C42" s="78"/>
      <c r="D42" s="79"/>
      <c r="E42" s="80"/>
      <c r="F42" s="110"/>
      <c r="G42" s="80"/>
      <c r="H42" s="110"/>
      <c r="I42" s="80"/>
      <c r="J42" s="110"/>
      <c r="K42" s="80"/>
      <c r="L42" s="110"/>
      <c r="M42" s="80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</sheetData>
  <sheetProtection sheet="1" objects="1" scenarios="1"/>
  <mergeCells count="2">
    <mergeCell ref="B1:N1"/>
    <mergeCell ref="B2:N2"/>
  </mergeCells>
  <phoneticPr fontId="19" type="noConversion"/>
  <pageMargins left="0.74791666666666667" right="0.74791666666666667" top="0.98402777777777783" bottom="0.98402777777777783" header="0.51180555555555562" footer="0.51180555555555562"/>
  <pageSetup scale="7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55DB-B4D3-458F-8972-1CF71D1689ED}">
  <dimension ref="B1:M80"/>
  <sheetViews>
    <sheetView showGridLines="0" zoomScale="90" zoomScaleNormal="90" workbookViewId="0">
      <selection activeCell="C73" sqref="C73"/>
    </sheetView>
  </sheetViews>
  <sheetFormatPr defaultColWidth="9.109375" defaultRowHeight="13.2"/>
  <cols>
    <col min="1" max="1" width="9.109375" style="111"/>
    <col min="2" max="2" width="57.88671875" style="111" customWidth="1"/>
    <col min="3" max="3" width="10.5546875" style="111" customWidth="1"/>
    <col min="4" max="4" width="12.109375" style="111" customWidth="1"/>
    <col min="5" max="5" width="11.88671875" style="111" customWidth="1"/>
    <col min="6" max="13" width="12.44140625" style="111" customWidth="1"/>
    <col min="14" max="16384" width="9.109375" style="111"/>
  </cols>
  <sheetData>
    <row r="1" spans="2:13">
      <c r="C1" s="414" t="s">
        <v>227</v>
      </c>
      <c r="D1" s="414"/>
      <c r="E1" s="414"/>
      <c r="F1" s="414"/>
      <c r="G1" s="112"/>
      <c r="H1" s="112"/>
      <c r="I1" s="112"/>
      <c r="J1" s="112"/>
      <c r="K1" s="112"/>
      <c r="L1" s="112"/>
      <c r="M1" s="112"/>
    </row>
    <row r="2" spans="2:13">
      <c r="B2" s="113"/>
      <c r="C2" s="414">
        <f>'INPUT SHEET'!B7</f>
        <v>0</v>
      </c>
      <c r="D2" s="414"/>
      <c r="E2" s="414"/>
      <c r="F2" s="414"/>
      <c r="G2" s="112"/>
      <c r="H2" s="112"/>
      <c r="I2" s="112"/>
      <c r="J2" s="112"/>
      <c r="K2" s="112"/>
      <c r="L2" s="112"/>
      <c r="M2" s="112"/>
    </row>
    <row r="4" spans="2:13">
      <c r="B4" s="114" t="str">
        <f>'INPUT SHEET'!A8</f>
        <v>Year</v>
      </c>
      <c r="C4" s="115">
        <f>'INPUT SHEET'!C8</f>
        <v>2024</v>
      </c>
      <c r="D4" s="115">
        <f>'INPUT SHEET'!D8</f>
        <v>2025</v>
      </c>
      <c r="E4" s="115">
        <f>'INPUT SHEET'!E8</f>
        <v>2026</v>
      </c>
      <c r="F4" s="115">
        <f>'INPUT SHEET'!F8</f>
        <v>2027</v>
      </c>
      <c r="G4" s="115">
        <f>'INPUT SHEET'!G8</f>
        <v>2028</v>
      </c>
      <c r="H4" s="115">
        <f>'INPUT SHEET'!H8</f>
        <v>2029</v>
      </c>
      <c r="I4" s="115">
        <f>'INPUT SHEET'!I8</f>
        <v>2030</v>
      </c>
      <c r="J4" s="115">
        <f>'INPUT SHEET'!J8</f>
        <v>2031</v>
      </c>
      <c r="K4" s="115">
        <f>'INPUT SHEET'!K8</f>
        <v>2032</v>
      </c>
      <c r="L4" s="115">
        <f>'INPUT SHEET'!L8</f>
        <v>2033</v>
      </c>
      <c r="M4" s="115">
        <f>'INPUT SHEET'!M8</f>
        <v>2034</v>
      </c>
    </row>
    <row r="5" spans="2:13">
      <c r="B5" s="116" t="str">
        <f>'INPUT SHEET'!A10</f>
        <v>Nature of Financials</v>
      </c>
      <c r="C5" s="115" t="str">
        <f>'INPUT SHEET'!C10</f>
        <v>Audited</v>
      </c>
      <c r="D5" s="115" t="str">
        <f>'INPUT SHEET'!D10</f>
        <v>Provisionals</v>
      </c>
      <c r="E5" s="115" t="str">
        <f>'INPUT SHEET'!E10</f>
        <v>Projected</v>
      </c>
      <c r="F5" s="115" t="str">
        <f>'INPUT SHEET'!F10</f>
        <v>Projected</v>
      </c>
      <c r="G5" s="115" t="str">
        <f>'INPUT SHEET'!G10</f>
        <v>Projected</v>
      </c>
      <c r="H5" s="115" t="str">
        <f>'INPUT SHEET'!H10</f>
        <v>Projected</v>
      </c>
      <c r="I5" s="115" t="str">
        <f>'INPUT SHEET'!I10</f>
        <v>Projected</v>
      </c>
      <c r="J5" s="115" t="str">
        <f>'INPUT SHEET'!J10</f>
        <v>Projected</v>
      </c>
      <c r="K5" s="115" t="str">
        <f>'INPUT SHEET'!K10</f>
        <v>Projected</v>
      </c>
      <c r="L5" s="115" t="str">
        <f>'INPUT SHEET'!L10</f>
        <v>Projected</v>
      </c>
      <c r="M5" s="115" t="str">
        <f>'INPUT SHEET'!M10</f>
        <v>Projected</v>
      </c>
    </row>
    <row r="6" spans="2:13">
      <c r="B6" s="116" t="s">
        <v>228</v>
      </c>
      <c r="C6" s="115">
        <f>'INPUT SHEET'!B9</f>
        <v>12</v>
      </c>
      <c r="D6" s="115">
        <f>'INPUT SHEET'!C9</f>
        <v>12</v>
      </c>
      <c r="E6" s="115">
        <f>'INPUT SHEET'!D9</f>
        <v>12</v>
      </c>
      <c r="F6" s="115">
        <f>'INPUT SHEET'!E9</f>
        <v>12</v>
      </c>
      <c r="G6" s="115">
        <f>'INPUT SHEET'!F9</f>
        <v>12</v>
      </c>
      <c r="H6" s="115">
        <f>'INPUT SHEET'!G9</f>
        <v>12</v>
      </c>
      <c r="I6" s="115">
        <f>'INPUT SHEET'!H9</f>
        <v>12</v>
      </c>
      <c r="J6" s="115">
        <f>'INPUT SHEET'!I9</f>
        <v>12</v>
      </c>
      <c r="K6" s="115">
        <f>'INPUT SHEET'!J9</f>
        <v>12</v>
      </c>
      <c r="L6" s="115">
        <f>'INPUT SHEET'!K9</f>
        <v>12</v>
      </c>
      <c r="M6" s="115">
        <f>'INPUT SHEET'!L9</f>
        <v>12</v>
      </c>
    </row>
    <row r="7" spans="2:13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</row>
    <row r="8" spans="2:13">
      <c r="B8" s="119" t="s">
        <v>229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</row>
    <row r="9" spans="2:13">
      <c r="B9" s="120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</row>
    <row r="10" spans="2:13">
      <c r="B10" s="120" t="s">
        <v>230</v>
      </c>
      <c r="C10" s="85">
        <f>'INPUT SHEET'!C96</f>
        <v>0</v>
      </c>
      <c r="D10" s="85">
        <f>'INPUT SHEET'!D96</f>
        <v>0</v>
      </c>
      <c r="E10" s="85">
        <f>'INPUT SHEET'!E96</f>
        <v>0</v>
      </c>
      <c r="F10" s="85">
        <f>'INPUT SHEET'!F96</f>
        <v>0</v>
      </c>
      <c r="G10" s="85">
        <f>'INPUT SHEET'!G96</f>
        <v>0</v>
      </c>
      <c r="H10" s="85">
        <f>'INPUT SHEET'!H96</f>
        <v>0</v>
      </c>
      <c r="I10" s="85">
        <f>'INPUT SHEET'!I96</f>
        <v>0.01</v>
      </c>
      <c r="J10" s="85">
        <f>'INPUT SHEET'!J96</f>
        <v>0</v>
      </c>
      <c r="K10" s="85">
        <f>'INPUT SHEET'!K96</f>
        <v>0</v>
      </c>
      <c r="L10" s="85">
        <f>'INPUT SHEET'!L96</f>
        <v>0</v>
      </c>
      <c r="M10" s="85">
        <f>'INPUT SHEET'!M96</f>
        <v>0</v>
      </c>
    </row>
    <row r="11" spans="2:13">
      <c r="B11" s="120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</row>
    <row r="12" spans="2:13">
      <c r="B12" s="121" t="s">
        <v>231</v>
      </c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</row>
    <row r="13" spans="2:13">
      <c r="B13" s="120" t="s">
        <v>43</v>
      </c>
      <c r="C13" s="85">
        <f>'INPUT SHEET'!C56</f>
        <v>0</v>
      </c>
      <c r="D13" s="85">
        <f>'INPUT SHEET'!D56</f>
        <v>0</v>
      </c>
      <c r="E13" s="85">
        <f>'INPUT SHEET'!E56</f>
        <v>0</v>
      </c>
      <c r="F13" s="85">
        <f>'INPUT SHEET'!F56</f>
        <v>0</v>
      </c>
      <c r="G13" s="85">
        <f>'INPUT SHEET'!G56</f>
        <v>0</v>
      </c>
      <c r="H13" s="85">
        <f>'INPUT SHEET'!H56</f>
        <v>0</v>
      </c>
      <c r="I13" s="85">
        <f>'INPUT SHEET'!I56</f>
        <v>0</v>
      </c>
      <c r="J13" s="85">
        <f>'INPUT SHEET'!J56</f>
        <v>0</v>
      </c>
      <c r="K13" s="85">
        <f>'INPUT SHEET'!K56</f>
        <v>0</v>
      </c>
      <c r="L13" s="85">
        <f>'INPUT SHEET'!L56</f>
        <v>0</v>
      </c>
      <c r="M13" s="85">
        <f>'INPUT SHEET'!M56</f>
        <v>0</v>
      </c>
    </row>
    <row r="14" spans="2:13">
      <c r="B14" s="120" t="s">
        <v>232</v>
      </c>
      <c r="C14" s="85">
        <f>-'INPUT SHEET'!B29</f>
        <v>0</v>
      </c>
      <c r="D14" s="85">
        <f>-'INPUT SHEET'!C29</f>
        <v>0</v>
      </c>
      <c r="E14" s="85">
        <f>-'INPUT SHEET'!D29</f>
        <v>0</v>
      </c>
      <c r="F14" s="85">
        <f>-'INPUT SHEET'!E29</f>
        <v>0</v>
      </c>
      <c r="G14" s="85">
        <f>-'INPUT SHEET'!F29</f>
        <v>0</v>
      </c>
      <c r="H14" s="85">
        <f>-'INPUT SHEET'!G29</f>
        <v>0</v>
      </c>
      <c r="I14" s="85">
        <f>-'INPUT SHEET'!H29</f>
        <v>0</v>
      </c>
      <c r="J14" s="85">
        <f>-'INPUT SHEET'!I29</f>
        <v>0</v>
      </c>
      <c r="K14" s="85">
        <f>-'INPUT SHEET'!J29</f>
        <v>0</v>
      </c>
      <c r="L14" s="85">
        <f>-'INPUT SHEET'!K29</f>
        <v>0</v>
      </c>
      <c r="M14" s="85">
        <f>-'INPUT SHEET'!L29</f>
        <v>0</v>
      </c>
    </row>
    <row r="15" spans="2:13">
      <c r="B15" s="120" t="s">
        <v>233</v>
      </c>
      <c r="C15" s="85">
        <f>'INPUT SHEET'!C86</f>
        <v>0</v>
      </c>
      <c r="D15" s="85">
        <f>'INPUT SHEET'!D86</f>
        <v>0</v>
      </c>
      <c r="E15" s="85">
        <f>'INPUT SHEET'!E86</f>
        <v>0</v>
      </c>
      <c r="F15" s="85">
        <f>'INPUT SHEET'!F86</f>
        <v>0</v>
      </c>
      <c r="G15" s="85">
        <f>'INPUT SHEET'!G86</f>
        <v>0</v>
      </c>
      <c r="H15" s="85">
        <f>'INPUT SHEET'!H86</f>
        <v>0</v>
      </c>
      <c r="I15" s="85">
        <f>'INPUT SHEET'!I86</f>
        <v>0</v>
      </c>
      <c r="J15" s="85">
        <f>'INPUT SHEET'!J86</f>
        <v>0</v>
      </c>
      <c r="K15" s="85">
        <f>'INPUT SHEET'!K86</f>
        <v>0</v>
      </c>
      <c r="L15" s="85">
        <f>'INPUT SHEET'!L86</f>
        <v>0</v>
      </c>
      <c r="M15" s="85">
        <f>'INPUT SHEET'!M86</f>
        <v>0</v>
      </c>
    </row>
    <row r="16" spans="2:13">
      <c r="B16" s="120" t="s">
        <v>24</v>
      </c>
      <c r="C16" s="85">
        <f>-'INPUT SHEET'!C30</f>
        <v>0</v>
      </c>
      <c r="D16" s="85">
        <f>-'INPUT SHEET'!D30</f>
        <v>0</v>
      </c>
      <c r="E16" s="85">
        <f>-'INPUT SHEET'!E30</f>
        <v>0</v>
      </c>
      <c r="F16" s="85">
        <f>-'INPUT SHEET'!F30</f>
        <v>0</v>
      </c>
      <c r="G16" s="85">
        <f>-'INPUT SHEET'!G30</f>
        <v>0</v>
      </c>
      <c r="H16" s="85">
        <f>-'INPUT SHEET'!H30</f>
        <v>0</v>
      </c>
      <c r="I16" s="85">
        <f>-'INPUT SHEET'!I30</f>
        <v>0</v>
      </c>
      <c r="J16" s="85">
        <f>-'INPUT SHEET'!J30</f>
        <v>0</v>
      </c>
      <c r="K16" s="85">
        <f>-'INPUT SHEET'!K30</f>
        <v>0</v>
      </c>
      <c r="L16" s="85">
        <f>-'INPUT SHEET'!L30</f>
        <v>0</v>
      </c>
      <c r="M16" s="85">
        <f>-'INPUT SHEET'!M30</f>
        <v>0</v>
      </c>
    </row>
    <row r="17" spans="2:13">
      <c r="B17" s="120" t="s">
        <v>234</v>
      </c>
      <c r="C17" s="85">
        <f>'INPUT SHEET'!C178-'INPUT SHEET'!C177</f>
        <v>0</v>
      </c>
      <c r="D17" s="85">
        <f>'INPUT SHEET'!D178-'INPUT SHEET'!D177</f>
        <v>0</v>
      </c>
      <c r="E17" s="85">
        <f>'INPUT SHEET'!E178-'INPUT SHEET'!E177</f>
        <v>0</v>
      </c>
      <c r="F17" s="85">
        <f>'INPUT SHEET'!F178-'INPUT SHEET'!F177</f>
        <v>0</v>
      </c>
      <c r="G17" s="85">
        <f>'INPUT SHEET'!G178-'INPUT SHEET'!G177</f>
        <v>0</v>
      </c>
      <c r="H17" s="85">
        <f>'INPUT SHEET'!H178-'INPUT SHEET'!H177</f>
        <v>0</v>
      </c>
      <c r="I17" s="85">
        <f>'INPUT SHEET'!I178-'INPUT SHEET'!I177</f>
        <v>0</v>
      </c>
      <c r="J17" s="85">
        <f>'INPUT SHEET'!J178-'INPUT SHEET'!J177</f>
        <v>0</v>
      </c>
      <c r="K17" s="85">
        <f>'INPUT SHEET'!K178-'INPUT SHEET'!K177</f>
        <v>0</v>
      </c>
      <c r="L17" s="85">
        <f>'INPUT SHEET'!L178-'INPUT SHEET'!L177</f>
        <v>0</v>
      </c>
      <c r="M17" s="85">
        <f>'INPUT SHEET'!M178-'INPUT SHEET'!M177</f>
        <v>0</v>
      </c>
    </row>
    <row r="18" spans="2:13">
      <c r="B18" s="120" t="s">
        <v>235</v>
      </c>
      <c r="C18" s="85">
        <f>'INPUT SHEET'!C92-'INPUT SHEET'!C33</f>
        <v>0</v>
      </c>
      <c r="D18" s="85">
        <f>'INPUT SHEET'!D92-'INPUT SHEET'!D33</f>
        <v>0</v>
      </c>
      <c r="E18" s="85">
        <f>'INPUT SHEET'!E92-'INPUT SHEET'!E33</f>
        <v>0</v>
      </c>
      <c r="F18" s="85">
        <f>'INPUT SHEET'!F92-'INPUT SHEET'!F33</f>
        <v>0</v>
      </c>
      <c r="G18" s="85">
        <f>'INPUT SHEET'!G92-'INPUT SHEET'!G33</f>
        <v>0</v>
      </c>
      <c r="H18" s="85">
        <f>'INPUT SHEET'!H92-'INPUT SHEET'!H33</f>
        <v>0</v>
      </c>
      <c r="I18" s="85">
        <f>'INPUT SHEET'!I92-'INPUT SHEET'!I33</f>
        <v>0</v>
      </c>
      <c r="J18" s="85">
        <f>'INPUT SHEET'!J92-'INPUT SHEET'!J33</f>
        <v>0</v>
      </c>
      <c r="K18" s="85">
        <f>'INPUT SHEET'!K92-'INPUT SHEET'!K33</f>
        <v>0</v>
      </c>
      <c r="L18" s="85">
        <f>'INPUT SHEET'!L92-'INPUT SHEET'!L33</f>
        <v>0</v>
      </c>
      <c r="M18" s="85">
        <f>'INPUT SHEET'!M92-'INPUT SHEET'!M33</f>
        <v>0</v>
      </c>
    </row>
    <row r="19" spans="2:13">
      <c r="B19" s="120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2:13">
      <c r="B20" s="76" t="s">
        <v>236</v>
      </c>
      <c r="C20" s="122">
        <f t="shared" ref="C20:M20" si="0">SUM(C10:C18)</f>
        <v>0</v>
      </c>
      <c r="D20" s="122">
        <f t="shared" si="0"/>
        <v>0</v>
      </c>
      <c r="E20" s="122">
        <f t="shared" si="0"/>
        <v>0</v>
      </c>
      <c r="F20" s="122">
        <f t="shared" si="0"/>
        <v>0</v>
      </c>
      <c r="G20" s="122">
        <f t="shared" si="0"/>
        <v>0</v>
      </c>
      <c r="H20" s="122">
        <f t="shared" si="0"/>
        <v>0</v>
      </c>
      <c r="I20" s="122">
        <f t="shared" si="0"/>
        <v>0.01</v>
      </c>
      <c r="J20" s="122">
        <f t="shared" si="0"/>
        <v>0</v>
      </c>
      <c r="K20" s="122">
        <f t="shared" si="0"/>
        <v>0</v>
      </c>
      <c r="L20" s="122">
        <f t="shared" si="0"/>
        <v>0</v>
      </c>
      <c r="M20" s="122">
        <f t="shared" si="0"/>
        <v>0</v>
      </c>
    </row>
    <row r="21" spans="2:13">
      <c r="B21" s="76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</row>
    <row r="22" spans="2:13">
      <c r="B22" s="76" t="s">
        <v>237</v>
      </c>
      <c r="C22" s="122">
        <f>Form_III!E83-Form_III!F83-Form_III!E59+Form_III!F59</f>
        <v>0</v>
      </c>
      <c r="D22" s="122">
        <f>Form_III!F83-Form_III!G83-Form_III!F59+Form_III!G59</f>
        <v>0</v>
      </c>
      <c r="E22" s="122">
        <f>Form_III!G83-Form_III!H83-Form_III!G59+Form_III!H59</f>
        <v>0</v>
      </c>
      <c r="F22" s="122">
        <f>Form_III!H83-Form_III!I83-Form_III!H59+Form_III!I59</f>
        <v>0</v>
      </c>
      <c r="G22" s="122">
        <f>Form_III!I83-Form_III!J83-Form_III!I59+Form_III!J59</f>
        <v>0</v>
      </c>
      <c r="H22" s="122">
        <f>Form_III!J83-Form_III!K83-Form_III!J59+Form_III!K59</f>
        <v>0</v>
      </c>
      <c r="I22" s="122">
        <f>Form_III!K83-Form_III!L83-Form_III!K59+Form_III!L59</f>
        <v>-2.5000000000000001E-3</v>
      </c>
      <c r="J22" s="122">
        <f>Form_III!L83-Form_III!M83-Form_III!L59+Form_III!M59</f>
        <v>2.5000000000000001E-3</v>
      </c>
      <c r="K22" s="122">
        <f>Form_III!M83-Form_III!N83-Form_III!M59+Form_III!N59</f>
        <v>0</v>
      </c>
      <c r="L22" s="122">
        <f>Form_III!N83-Form_III!O83-Form_III!N59+Form_III!O59</f>
        <v>-1</v>
      </c>
      <c r="M22" s="122">
        <f>Form_III!O83-Form_III!P83-Form_III!O59+Form_III!P59</f>
        <v>1</v>
      </c>
    </row>
    <row r="23" spans="2:13">
      <c r="B23" s="76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</row>
    <row r="24" spans="2:13">
      <c r="B24" s="121" t="s">
        <v>238</v>
      </c>
      <c r="C24" s="123">
        <f>Form_III!E65-Form_III!F65</f>
        <v>0</v>
      </c>
      <c r="D24" s="123">
        <f>Form_III!F65-Form_III!G65</f>
        <v>0</v>
      </c>
      <c r="E24" s="123">
        <f>Form_III!G65-Form_III!H65</f>
        <v>0</v>
      </c>
      <c r="F24" s="123">
        <f>Form_III!H65-Form_III!I65</f>
        <v>0</v>
      </c>
      <c r="G24" s="123">
        <f>Form_III!I65-Form_III!J65</f>
        <v>0</v>
      </c>
      <c r="H24" s="123">
        <f>Form_III!J65-Form_III!K65</f>
        <v>0</v>
      </c>
      <c r="I24" s="123">
        <f>Form_III!K65-Form_III!L65</f>
        <v>0</v>
      </c>
      <c r="J24" s="123">
        <f>Form_III!L65-Form_III!M65</f>
        <v>0</v>
      </c>
      <c r="K24" s="123">
        <f>Form_III!M65-Form_III!N65</f>
        <v>0</v>
      </c>
      <c r="L24" s="123">
        <f>Form_III!N65-Form_III!O65</f>
        <v>0</v>
      </c>
      <c r="M24" s="123">
        <f>Form_III!O65-Form_III!P65</f>
        <v>0</v>
      </c>
    </row>
    <row r="25" spans="2:13">
      <c r="B25" s="121" t="s">
        <v>239</v>
      </c>
      <c r="C25" s="123">
        <f>Form_III!E68-Form_III!F68</f>
        <v>0</v>
      </c>
      <c r="D25" s="123">
        <f>Form_III!F68-Form_III!G68</f>
        <v>0</v>
      </c>
      <c r="E25" s="123">
        <f>Form_III!G68-Form_III!H68</f>
        <v>0</v>
      </c>
      <c r="F25" s="123">
        <f>Form_III!H68-Form_III!I68</f>
        <v>0</v>
      </c>
      <c r="G25" s="123">
        <f>Form_III!I68-Form_III!J68</f>
        <v>0</v>
      </c>
      <c r="H25" s="123">
        <f>Form_III!J68-Form_III!K68</f>
        <v>0</v>
      </c>
      <c r="I25" s="123">
        <f>Form_III!K68-Form_III!L68</f>
        <v>0</v>
      </c>
      <c r="J25" s="123">
        <f>Form_III!L68-Form_III!M68</f>
        <v>0</v>
      </c>
      <c r="K25" s="123">
        <f>Form_III!M68-Form_III!N68</f>
        <v>0</v>
      </c>
      <c r="L25" s="123">
        <f>Form_III!N68-Form_III!O68</f>
        <v>0</v>
      </c>
      <c r="M25" s="123">
        <f>Form_III!O68-Form_III!P68</f>
        <v>0</v>
      </c>
    </row>
    <row r="26" spans="2:13">
      <c r="B26" s="121" t="s">
        <v>240</v>
      </c>
      <c r="C26" s="123">
        <f t="shared" ref="C26:M26" si="1">C22-C24-C25</f>
        <v>0</v>
      </c>
      <c r="D26" s="123">
        <f t="shared" si="1"/>
        <v>0</v>
      </c>
      <c r="E26" s="123">
        <f t="shared" si="1"/>
        <v>0</v>
      </c>
      <c r="F26" s="123">
        <f t="shared" si="1"/>
        <v>0</v>
      </c>
      <c r="G26" s="123">
        <f t="shared" si="1"/>
        <v>0</v>
      </c>
      <c r="H26" s="123">
        <f t="shared" si="1"/>
        <v>0</v>
      </c>
      <c r="I26" s="123">
        <f t="shared" si="1"/>
        <v>-2.5000000000000001E-3</v>
      </c>
      <c r="J26" s="123">
        <f t="shared" si="1"/>
        <v>2.5000000000000001E-3</v>
      </c>
      <c r="K26" s="123">
        <f t="shared" si="1"/>
        <v>0</v>
      </c>
      <c r="L26" s="123">
        <f t="shared" si="1"/>
        <v>-1</v>
      </c>
      <c r="M26" s="123">
        <f t="shared" si="1"/>
        <v>1</v>
      </c>
    </row>
    <row r="27" spans="2:13">
      <c r="B27" s="76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</row>
    <row r="28" spans="2:13">
      <c r="B28" s="76" t="s">
        <v>241</v>
      </c>
      <c r="C28" s="122">
        <f>Form_III!F29-Form_III!F22-Form_III!F20-Form_III!F16-(Form_III!E29-Form_III!E22-Form_III!E20-Form_III!E16)</f>
        <v>0</v>
      </c>
      <c r="D28" s="122">
        <f>Form_III!G29-Form_III!G22-Form_III!G20-Form_III!G16-(Form_III!F29-Form_III!F22-Form_III!F20-Form_III!F16)</f>
        <v>0</v>
      </c>
      <c r="E28" s="122">
        <f>Form_III!H29-Form_III!H22-Form_III!H20-Form_III!H16-(Form_III!G29-Form_III!G22-Form_III!G20-Form_III!G16)</f>
        <v>0</v>
      </c>
      <c r="F28" s="122">
        <f>Form_III!I29-Form_III!I22-Form_III!I20-Form_III!I16-(Form_III!H29-Form_III!H22-Form_III!H20-Form_III!H16)</f>
        <v>0</v>
      </c>
      <c r="G28" s="122">
        <f>Form_III!J29-Form_III!J22-Form_III!J20-Form_III!J16-(Form_III!I29-Form_III!I22-Form_III!I20-Form_III!I16)</f>
        <v>0</v>
      </c>
      <c r="H28" s="122">
        <f>Form_III!K29-Form_III!K22-Form_III!K20-Form_III!K16-(Form_III!J29-Form_III!J22-Form_III!J20-Form_III!J16)</f>
        <v>0</v>
      </c>
      <c r="I28" s="122">
        <f>Form_III!L29-Form_III!L22-Form_III!L20-Form_III!L16-(Form_III!K29-Form_III!K22-Form_III!K20-Form_III!K16)</f>
        <v>0</v>
      </c>
      <c r="J28" s="122">
        <f>Form_III!M29-Form_III!M22-Form_III!M20-Form_III!M16-(Form_III!L29-Form_III!L22-Form_III!L20-Form_III!L16)</f>
        <v>0</v>
      </c>
      <c r="K28" s="122">
        <f>Form_III!N29-Form_III!N22-Form_III!N20-Form_III!N16-(Form_III!M29-Form_III!M22-Form_III!M20-Form_III!M16)</f>
        <v>0</v>
      </c>
      <c r="L28" s="122">
        <f>Form_III!O29-Form_III!O22-Form_III!O20-Form_III!O16-(Form_III!N29-Form_III!N22-Form_III!N20-Form_III!N16)</f>
        <v>0</v>
      </c>
      <c r="M28" s="122">
        <f>Form_III!P29-Form_III!P22-Form_III!P20-Form_III!P16-(Form_III!O29-Form_III!O22-Form_III!O20-Form_III!O16)</f>
        <v>0</v>
      </c>
    </row>
    <row r="29" spans="2:13">
      <c r="B29" s="76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</row>
    <row r="30" spans="2:13">
      <c r="B30" s="121" t="s">
        <v>242</v>
      </c>
      <c r="C30" s="123">
        <f>Form_III!F17-Form_III!E17</f>
        <v>0</v>
      </c>
      <c r="D30" s="123">
        <f>Form_III!G17-Form_III!F17</f>
        <v>0</v>
      </c>
      <c r="E30" s="123">
        <f>Form_III!H17-Form_III!G17</f>
        <v>0</v>
      </c>
      <c r="F30" s="123">
        <f>Form_III!I17-Form_III!H17</f>
        <v>0</v>
      </c>
      <c r="G30" s="123">
        <f>Form_III!J17-Form_III!I17</f>
        <v>0</v>
      </c>
      <c r="H30" s="123">
        <f>Form_III!K17-Form_III!J17</f>
        <v>0</v>
      </c>
      <c r="I30" s="123">
        <f>Form_III!L17-Form_III!K17</f>
        <v>0</v>
      </c>
      <c r="J30" s="123">
        <f>Form_III!M17-Form_III!L17</f>
        <v>0</v>
      </c>
      <c r="K30" s="123">
        <f>Form_III!N17-Form_III!M17</f>
        <v>0</v>
      </c>
      <c r="L30" s="123">
        <f>Form_III!O17-Form_III!N17</f>
        <v>0</v>
      </c>
      <c r="M30" s="123">
        <f>Form_III!P17-Form_III!O17</f>
        <v>0</v>
      </c>
    </row>
    <row r="31" spans="2:13">
      <c r="B31" s="121" t="s">
        <v>243</v>
      </c>
      <c r="C31" s="123">
        <f>Form_III!F15-Form_III!E15</f>
        <v>0</v>
      </c>
      <c r="D31" s="123">
        <f>Form_III!G15-Form_III!F15</f>
        <v>0</v>
      </c>
      <c r="E31" s="123">
        <f>Form_III!H15-Form_III!G15</f>
        <v>0</v>
      </c>
      <c r="F31" s="123">
        <f>Form_III!I15-Form_III!H15</f>
        <v>0</v>
      </c>
      <c r="G31" s="123">
        <f>Form_III!J15-Form_III!I15</f>
        <v>0</v>
      </c>
      <c r="H31" s="123">
        <f>Form_III!K15-Form_III!J15</f>
        <v>0</v>
      </c>
      <c r="I31" s="123">
        <f>Form_III!L15-Form_III!K15</f>
        <v>0</v>
      </c>
      <c r="J31" s="123">
        <f>Form_III!M15-Form_III!L15</f>
        <v>0</v>
      </c>
      <c r="K31" s="123">
        <f>Form_III!N15-Form_III!M15</f>
        <v>0</v>
      </c>
      <c r="L31" s="123">
        <f>Form_III!O15-Form_III!N15</f>
        <v>0</v>
      </c>
      <c r="M31" s="123">
        <f>Form_III!P15-Form_III!O15</f>
        <v>0</v>
      </c>
    </row>
    <row r="32" spans="2:13">
      <c r="B32" s="121" t="s">
        <v>244</v>
      </c>
      <c r="C32" s="124">
        <f t="shared" ref="C32:M32" si="2">C28-C30-C31</f>
        <v>0</v>
      </c>
      <c r="D32" s="124">
        <f t="shared" si="2"/>
        <v>0</v>
      </c>
      <c r="E32" s="124">
        <f t="shared" si="2"/>
        <v>0</v>
      </c>
      <c r="F32" s="123">
        <f t="shared" si="2"/>
        <v>0</v>
      </c>
      <c r="G32" s="123">
        <f t="shared" si="2"/>
        <v>0</v>
      </c>
      <c r="H32" s="123">
        <f t="shared" si="2"/>
        <v>0</v>
      </c>
      <c r="I32" s="123">
        <f t="shared" si="2"/>
        <v>0</v>
      </c>
      <c r="J32" s="123">
        <f t="shared" si="2"/>
        <v>0</v>
      </c>
      <c r="K32" s="123">
        <f t="shared" si="2"/>
        <v>0</v>
      </c>
      <c r="L32" s="123">
        <f t="shared" si="2"/>
        <v>0</v>
      </c>
      <c r="M32" s="123">
        <f t="shared" si="2"/>
        <v>0</v>
      </c>
    </row>
    <row r="33" spans="2:13">
      <c r="B33" s="120"/>
      <c r="C33" s="125"/>
      <c r="D33" s="125"/>
      <c r="E33" s="125"/>
      <c r="F33" s="122"/>
      <c r="G33" s="122"/>
      <c r="H33" s="122"/>
      <c r="I33" s="122"/>
      <c r="J33" s="122"/>
      <c r="K33" s="122"/>
      <c r="L33" s="122"/>
      <c r="M33" s="122"/>
    </row>
    <row r="34" spans="2:13">
      <c r="B34" s="126" t="s">
        <v>245</v>
      </c>
      <c r="C34" s="127">
        <f t="shared" ref="C34:M34" si="3">C20+C22+C28</f>
        <v>0</v>
      </c>
      <c r="D34" s="127">
        <f t="shared" si="3"/>
        <v>0</v>
      </c>
      <c r="E34" s="127">
        <f t="shared" si="3"/>
        <v>0</v>
      </c>
      <c r="F34" s="128">
        <f t="shared" si="3"/>
        <v>0</v>
      </c>
      <c r="G34" s="128">
        <f t="shared" si="3"/>
        <v>0</v>
      </c>
      <c r="H34" s="128">
        <f t="shared" si="3"/>
        <v>0</v>
      </c>
      <c r="I34" s="128">
        <f t="shared" si="3"/>
        <v>7.4999999999999997E-3</v>
      </c>
      <c r="J34" s="128">
        <f t="shared" si="3"/>
        <v>2.5000000000000001E-3</v>
      </c>
      <c r="K34" s="128">
        <f t="shared" si="3"/>
        <v>0</v>
      </c>
      <c r="L34" s="128">
        <f t="shared" si="3"/>
        <v>-1</v>
      </c>
      <c r="M34" s="128">
        <f t="shared" si="3"/>
        <v>1</v>
      </c>
    </row>
    <row r="35" spans="2:13">
      <c r="B35" s="120"/>
      <c r="C35" s="125"/>
      <c r="D35" s="125"/>
      <c r="E35" s="125"/>
      <c r="F35" s="122"/>
      <c r="G35" s="122"/>
      <c r="H35" s="122"/>
      <c r="I35" s="122"/>
      <c r="J35" s="122"/>
      <c r="K35" s="122"/>
      <c r="L35" s="122"/>
      <c r="M35" s="122"/>
    </row>
    <row r="36" spans="2:13">
      <c r="B36" s="120" t="s">
        <v>246</v>
      </c>
      <c r="C36" s="129">
        <f>'INPUT SHEET'!C99</f>
        <v>0</v>
      </c>
      <c r="D36" s="129">
        <f>'INPUT SHEET'!D99</f>
        <v>0</v>
      </c>
      <c r="E36" s="129">
        <f>'INPUT SHEET'!E99</f>
        <v>0</v>
      </c>
      <c r="F36" s="85">
        <f>'INPUT SHEET'!F99</f>
        <v>0</v>
      </c>
      <c r="G36" s="85">
        <f>'INPUT SHEET'!G99</f>
        <v>0</v>
      </c>
      <c r="H36" s="85">
        <f>'INPUT SHEET'!H99</f>
        <v>0</v>
      </c>
      <c r="I36" s="85">
        <f>'INPUT SHEET'!I99</f>
        <v>2.5000000000000001E-3</v>
      </c>
      <c r="J36" s="85">
        <f>'INPUT SHEET'!J99</f>
        <v>0</v>
      </c>
      <c r="K36" s="85">
        <f>'INPUT SHEET'!K99</f>
        <v>0</v>
      </c>
      <c r="L36" s="85">
        <f>'INPUT SHEET'!L99</f>
        <v>0</v>
      </c>
      <c r="M36" s="85">
        <f>'INPUT SHEET'!M99</f>
        <v>0</v>
      </c>
    </row>
    <row r="37" spans="2:13">
      <c r="B37" s="120"/>
      <c r="C37" s="129"/>
      <c r="D37" s="129"/>
      <c r="E37" s="129"/>
      <c r="F37" s="85"/>
      <c r="G37" s="85"/>
      <c r="H37" s="85"/>
      <c r="I37" s="85"/>
      <c r="J37" s="85"/>
      <c r="K37" s="85"/>
      <c r="L37" s="85"/>
      <c r="M37" s="85"/>
    </row>
    <row r="38" spans="2:13">
      <c r="B38" s="76" t="s">
        <v>247</v>
      </c>
      <c r="C38" s="125">
        <f t="shared" ref="C38:M38" si="4">C34-C36</f>
        <v>0</v>
      </c>
      <c r="D38" s="125">
        <f t="shared" si="4"/>
        <v>0</v>
      </c>
      <c r="E38" s="125">
        <f t="shared" si="4"/>
        <v>0</v>
      </c>
      <c r="F38" s="122">
        <f t="shared" si="4"/>
        <v>0</v>
      </c>
      <c r="G38" s="122">
        <f t="shared" si="4"/>
        <v>0</v>
      </c>
      <c r="H38" s="122">
        <f t="shared" si="4"/>
        <v>0</v>
      </c>
      <c r="I38" s="122">
        <f t="shared" si="4"/>
        <v>4.9999999999999992E-3</v>
      </c>
      <c r="J38" s="122">
        <f t="shared" si="4"/>
        <v>2.5000000000000001E-3</v>
      </c>
      <c r="K38" s="122">
        <f t="shared" si="4"/>
        <v>0</v>
      </c>
      <c r="L38" s="122">
        <f t="shared" si="4"/>
        <v>-1</v>
      </c>
      <c r="M38" s="122">
        <f t="shared" si="4"/>
        <v>1</v>
      </c>
    </row>
    <row r="39" spans="2:13">
      <c r="B39" s="121" t="s">
        <v>248</v>
      </c>
      <c r="C39" s="125">
        <f t="shared" ref="C39:M39" si="5">C18*-1</f>
        <v>0</v>
      </c>
      <c r="D39" s="125">
        <f t="shared" si="5"/>
        <v>0</v>
      </c>
      <c r="E39" s="125">
        <f t="shared" si="5"/>
        <v>0</v>
      </c>
      <c r="F39" s="122">
        <f t="shared" si="5"/>
        <v>0</v>
      </c>
      <c r="G39" s="122">
        <f t="shared" si="5"/>
        <v>0</v>
      </c>
      <c r="H39" s="122">
        <f t="shared" si="5"/>
        <v>0</v>
      </c>
      <c r="I39" s="122">
        <f t="shared" si="5"/>
        <v>0</v>
      </c>
      <c r="J39" s="122">
        <f t="shared" si="5"/>
        <v>0</v>
      </c>
      <c r="K39" s="122">
        <f t="shared" si="5"/>
        <v>0</v>
      </c>
      <c r="L39" s="122">
        <f t="shared" si="5"/>
        <v>0</v>
      </c>
      <c r="M39" s="122">
        <f t="shared" si="5"/>
        <v>0</v>
      </c>
    </row>
    <row r="40" spans="2:13">
      <c r="B40" s="69" t="s">
        <v>249</v>
      </c>
      <c r="C40" s="130">
        <f t="shared" ref="C40:M40" si="6">C38+C39</f>
        <v>0</v>
      </c>
      <c r="D40" s="130">
        <f t="shared" si="6"/>
        <v>0</v>
      </c>
      <c r="E40" s="130">
        <f t="shared" si="6"/>
        <v>0</v>
      </c>
      <c r="F40" s="131">
        <f t="shared" si="6"/>
        <v>0</v>
      </c>
      <c r="G40" s="131">
        <f t="shared" si="6"/>
        <v>0</v>
      </c>
      <c r="H40" s="131">
        <f t="shared" si="6"/>
        <v>0</v>
      </c>
      <c r="I40" s="131">
        <f t="shared" si="6"/>
        <v>4.9999999999999992E-3</v>
      </c>
      <c r="J40" s="131">
        <f t="shared" si="6"/>
        <v>2.5000000000000001E-3</v>
      </c>
      <c r="K40" s="131">
        <f t="shared" si="6"/>
        <v>0</v>
      </c>
      <c r="L40" s="131">
        <f t="shared" si="6"/>
        <v>-1</v>
      </c>
      <c r="M40" s="131">
        <f t="shared" si="6"/>
        <v>1</v>
      </c>
    </row>
    <row r="41" spans="2:13">
      <c r="B41" s="132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</row>
    <row r="42" spans="2:13">
      <c r="B42" s="69" t="s">
        <v>250</v>
      </c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</row>
    <row r="43" spans="2:13">
      <c r="B43" s="76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</row>
    <row r="44" spans="2:13">
      <c r="B44" s="120" t="str">
        <f>B14</f>
        <v>Dividend Received</v>
      </c>
      <c r="C44" s="85">
        <f t="shared" ref="C44:M44" si="7">-C14</f>
        <v>0</v>
      </c>
      <c r="D44" s="85">
        <f t="shared" si="7"/>
        <v>0</v>
      </c>
      <c r="E44" s="85">
        <f t="shared" si="7"/>
        <v>0</v>
      </c>
      <c r="F44" s="85">
        <f t="shared" si="7"/>
        <v>0</v>
      </c>
      <c r="G44" s="85">
        <f t="shared" si="7"/>
        <v>0</v>
      </c>
      <c r="H44" s="85">
        <f t="shared" si="7"/>
        <v>0</v>
      </c>
      <c r="I44" s="85">
        <f t="shared" si="7"/>
        <v>0</v>
      </c>
      <c r="J44" s="85">
        <f t="shared" si="7"/>
        <v>0</v>
      </c>
      <c r="K44" s="85">
        <f t="shared" si="7"/>
        <v>0</v>
      </c>
      <c r="L44" s="85">
        <f t="shared" si="7"/>
        <v>0</v>
      </c>
      <c r="M44" s="85">
        <f t="shared" si="7"/>
        <v>0</v>
      </c>
    </row>
    <row r="45" spans="2:13">
      <c r="B45" s="120" t="str">
        <f>B16</f>
        <v>Interest Received</v>
      </c>
      <c r="C45" s="85">
        <f t="shared" ref="C45:M45" si="8">-C16</f>
        <v>0</v>
      </c>
      <c r="D45" s="85">
        <f t="shared" si="8"/>
        <v>0</v>
      </c>
      <c r="E45" s="85">
        <f t="shared" si="8"/>
        <v>0</v>
      </c>
      <c r="F45" s="85">
        <f t="shared" si="8"/>
        <v>0</v>
      </c>
      <c r="G45" s="85">
        <f t="shared" si="8"/>
        <v>0</v>
      </c>
      <c r="H45" s="85">
        <f t="shared" si="8"/>
        <v>0</v>
      </c>
      <c r="I45" s="85">
        <f t="shared" si="8"/>
        <v>0</v>
      </c>
      <c r="J45" s="85">
        <f t="shared" si="8"/>
        <v>0</v>
      </c>
      <c r="K45" s="85">
        <f t="shared" si="8"/>
        <v>0</v>
      </c>
      <c r="L45" s="85">
        <f t="shared" si="8"/>
        <v>0</v>
      </c>
      <c r="M45" s="85">
        <f t="shared" si="8"/>
        <v>0</v>
      </c>
    </row>
    <row r="46" spans="2:13">
      <c r="B46" s="120" t="s">
        <v>251</v>
      </c>
      <c r="C46" s="85">
        <f>'INPUT SHEET'!C179</f>
        <v>0</v>
      </c>
      <c r="D46" s="85">
        <f>'INPUT SHEET'!D179</f>
        <v>0</v>
      </c>
      <c r="E46" s="85">
        <f>'INPUT SHEET'!E179</f>
        <v>0</v>
      </c>
      <c r="F46" s="85">
        <f>'INPUT SHEET'!F179</f>
        <v>0</v>
      </c>
      <c r="G46" s="85">
        <f>'INPUT SHEET'!G179</f>
        <v>0</v>
      </c>
      <c r="H46" s="85">
        <f>'INPUT SHEET'!H179</f>
        <v>0</v>
      </c>
      <c r="I46" s="85">
        <f>'INPUT SHEET'!I179</f>
        <v>0</v>
      </c>
      <c r="J46" s="85">
        <f>'INPUT SHEET'!J179</f>
        <v>0</v>
      </c>
      <c r="K46" s="85">
        <f>'INPUT SHEET'!K179</f>
        <v>0</v>
      </c>
      <c r="L46" s="85">
        <f>'INPUT SHEET'!L179</f>
        <v>0</v>
      </c>
      <c r="M46" s="85">
        <f>'INPUT SHEET'!M179</f>
        <v>0</v>
      </c>
    </row>
    <row r="47" spans="2:13">
      <c r="B47" s="120" t="s">
        <v>252</v>
      </c>
      <c r="C47" s="85">
        <f>('INPUT SHEET'!C173-'INPUT SHEET'!B173-('INPUT SHEET'!C171-'INPUT SHEET'!B171))*-1</f>
        <v>0</v>
      </c>
      <c r="D47" s="85">
        <f>('INPUT SHEET'!D173-'INPUT SHEET'!C173-('INPUT SHEET'!D171-'INPUT SHEET'!C171))*-1</f>
        <v>0</v>
      </c>
      <c r="E47" s="85">
        <f>('INPUT SHEET'!E173-'INPUT SHEET'!D173-('INPUT SHEET'!E171-'INPUT SHEET'!D171))*-1</f>
        <v>0</v>
      </c>
      <c r="F47" s="85">
        <f>('INPUT SHEET'!F173-'INPUT SHEET'!E173-('INPUT SHEET'!F171-'INPUT SHEET'!E171))*-1</f>
        <v>0</v>
      </c>
      <c r="G47" s="85">
        <f>('INPUT SHEET'!G173-'INPUT SHEET'!F173-('INPUT SHEET'!G171-'INPUT SHEET'!F171))*-1</f>
        <v>0</v>
      </c>
      <c r="H47" s="85">
        <f>('INPUT SHEET'!H173-'INPUT SHEET'!G173-('INPUT SHEET'!H171-'INPUT SHEET'!G171))*-1</f>
        <v>0</v>
      </c>
      <c r="I47" s="85">
        <f>('INPUT SHEET'!I173-'INPUT SHEET'!H173-('INPUT SHEET'!I171-'INPUT SHEET'!H171))*-1</f>
        <v>0</v>
      </c>
      <c r="J47" s="85">
        <f>('INPUT SHEET'!J173-'INPUT SHEET'!I173-('INPUT SHEET'!J171-'INPUT SHEET'!I171))*-1</f>
        <v>0</v>
      </c>
      <c r="K47" s="85">
        <f>('INPUT SHEET'!K173-'INPUT SHEET'!J173-('INPUT SHEET'!K171-'INPUT SHEET'!J171))*-1</f>
        <v>0</v>
      </c>
      <c r="L47" s="85">
        <f>('INPUT SHEET'!L173-'INPUT SHEET'!K173-('INPUT SHEET'!L171-'INPUT SHEET'!K171))*-1</f>
        <v>0</v>
      </c>
      <c r="M47" s="85">
        <f>('INPUT SHEET'!M173-'INPUT SHEET'!L173-('INPUT SHEET'!M171-'INPUT SHEET'!L171))*-1</f>
        <v>0</v>
      </c>
    </row>
    <row r="48" spans="2:13">
      <c r="B48" s="120" t="s">
        <v>253</v>
      </c>
      <c r="C48" s="85">
        <f>-Form_III!F104+Form_III!E104</f>
        <v>0</v>
      </c>
      <c r="D48" s="85">
        <f>-Form_III!G104+Form_III!F104</f>
        <v>0</v>
      </c>
      <c r="E48" s="85">
        <f>-Form_III!H104+Form_III!G104</f>
        <v>0</v>
      </c>
      <c r="F48" s="85">
        <f>-Form_III!I104+Form_III!H104</f>
        <v>0</v>
      </c>
      <c r="G48" s="85">
        <f>-Form_III!J104+Form_III!I104</f>
        <v>0</v>
      </c>
      <c r="H48" s="85">
        <f>-Form_III!K104+Form_III!J104</f>
        <v>0</v>
      </c>
      <c r="I48" s="85">
        <f>-Form_III!L104+Form_III!K104</f>
        <v>0</v>
      </c>
      <c r="J48" s="85">
        <f>-Form_III!M104+Form_III!L104</f>
        <v>0</v>
      </c>
      <c r="K48" s="85">
        <f>-Form_III!N104+Form_III!M104</f>
        <v>0</v>
      </c>
      <c r="L48" s="85">
        <f>-Form_III!O104+Form_III!N104</f>
        <v>0</v>
      </c>
      <c r="M48" s="85">
        <f>-Form_III!P104+Form_III!O104</f>
        <v>0</v>
      </c>
    </row>
    <row r="49" spans="2:13">
      <c r="B49" s="120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2:13">
      <c r="B50" s="69" t="s">
        <v>254</v>
      </c>
      <c r="C50" s="131">
        <f t="shared" ref="C50:M50" si="9">SUM(C44:C49)</f>
        <v>0</v>
      </c>
      <c r="D50" s="131">
        <f t="shared" si="9"/>
        <v>0</v>
      </c>
      <c r="E50" s="131">
        <f t="shared" si="9"/>
        <v>0</v>
      </c>
      <c r="F50" s="131">
        <f t="shared" si="9"/>
        <v>0</v>
      </c>
      <c r="G50" s="131">
        <f t="shared" si="9"/>
        <v>0</v>
      </c>
      <c r="H50" s="131">
        <f t="shared" si="9"/>
        <v>0</v>
      </c>
      <c r="I50" s="131">
        <f t="shared" si="9"/>
        <v>0</v>
      </c>
      <c r="J50" s="131">
        <f t="shared" si="9"/>
        <v>0</v>
      </c>
      <c r="K50" s="131">
        <f t="shared" si="9"/>
        <v>0</v>
      </c>
      <c r="L50" s="131">
        <f t="shared" si="9"/>
        <v>0</v>
      </c>
      <c r="M50" s="131">
        <f t="shared" si="9"/>
        <v>0</v>
      </c>
    </row>
    <row r="51" spans="2:13">
      <c r="B51" s="132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</row>
    <row r="52" spans="2:13">
      <c r="B52" s="69" t="s">
        <v>255</v>
      </c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</row>
    <row r="53" spans="2:13">
      <c r="B53" s="76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</row>
    <row r="54" spans="2:13">
      <c r="B54" s="120" t="str">
        <f>B15</f>
        <v>Interest expenses</v>
      </c>
      <c r="C54" s="85">
        <f t="shared" ref="C54:M54" si="10">-C15</f>
        <v>0</v>
      </c>
      <c r="D54" s="85">
        <f t="shared" si="10"/>
        <v>0</v>
      </c>
      <c r="E54" s="85">
        <f t="shared" si="10"/>
        <v>0</v>
      </c>
      <c r="F54" s="85">
        <f t="shared" si="10"/>
        <v>0</v>
      </c>
      <c r="G54" s="85">
        <f t="shared" si="10"/>
        <v>0</v>
      </c>
      <c r="H54" s="85">
        <f t="shared" si="10"/>
        <v>0</v>
      </c>
      <c r="I54" s="85">
        <f t="shared" si="10"/>
        <v>0</v>
      </c>
      <c r="J54" s="85">
        <f t="shared" si="10"/>
        <v>0</v>
      </c>
      <c r="K54" s="85">
        <f t="shared" si="10"/>
        <v>0</v>
      </c>
      <c r="L54" s="85">
        <f t="shared" si="10"/>
        <v>0</v>
      </c>
      <c r="M54" s="85">
        <f t="shared" si="10"/>
        <v>0</v>
      </c>
    </row>
    <row r="55" spans="2:13">
      <c r="B55" s="120" t="s">
        <v>256</v>
      </c>
      <c r="C55" s="85">
        <f>Form_III!F20-Form_III!E20-Form_II!F53</f>
        <v>0</v>
      </c>
      <c r="D55" s="85">
        <f>Form_III!G20-Form_III!F20-Form_II!G53</f>
        <v>0</v>
      </c>
      <c r="E55" s="85">
        <f>Form_III!H20-Form_III!G20-Form_II!H53</f>
        <v>0</v>
      </c>
      <c r="F55" s="85">
        <f>Form_III!I20-Form_III!H20-Form_II!I53</f>
        <v>0</v>
      </c>
      <c r="G55" s="85">
        <f>Form_III!J20-Form_III!I20-Form_II!J53</f>
        <v>0</v>
      </c>
      <c r="H55" s="85">
        <f>Form_III!K20-Form_III!J20-Form_II!K53</f>
        <v>0</v>
      </c>
      <c r="I55" s="85">
        <f>Form_III!L20-Form_III!K20-Form_II!L53</f>
        <v>0</v>
      </c>
      <c r="J55" s="85">
        <f>Form_III!M20-Form_III!L20-Form_II!M53</f>
        <v>0</v>
      </c>
      <c r="K55" s="85">
        <f>Form_III!N20-Form_III!M20-Form_II!N53</f>
        <v>0</v>
      </c>
      <c r="L55" s="85">
        <f>Form_III!O20-Form_III!N20-Form_II!O53</f>
        <v>0</v>
      </c>
      <c r="M55" s="85">
        <f>Form_III!P20-Form_III!O20-Form_II!P53</f>
        <v>0</v>
      </c>
    </row>
    <row r="56" spans="2:13">
      <c r="B56" s="120" t="s">
        <v>257</v>
      </c>
      <c r="C56" s="85">
        <f>Form_III!F41+Form_III!F42+Form_III!F48-Form_III!E41-Form_III!E42-Form_III!E48</f>
        <v>0</v>
      </c>
      <c r="D56" s="85">
        <f>Form_III!G41+Form_III!G42+Form_III!G48-Form_III!F41-Form_III!F42-Form_III!F48</f>
        <v>0</v>
      </c>
      <c r="E56" s="85">
        <f>Form_III!H41+Form_III!H42+Form_III!H48-Form_III!G41-Form_III!G42-Form_III!G48</f>
        <v>0</v>
      </c>
      <c r="F56" s="85">
        <f>Form_III!I41+Form_III!I42+Form_III!I48-Form_III!H41-Form_III!H42-Form_III!H48</f>
        <v>0</v>
      </c>
      <c r="G56" s="85">
        <f>Form_III!J41+Form_III!J42+Form_III!J48-Form_III!I41-Form_III!I42-Form_III!I48</f>
        <v>0</v>
      </c>
      <c r="H56" s="85">
        <f>Form_III!K41+Form_III!K42+Form_III!K48-Form_III!J41-Form_III!J42-Form_III!J48</f>
        <v>0</v>
      </c>
      <c r="I56" s="85">
        <f>Form_III!L41+Form_III!L42+Form_III!L48-Form_III!K41-Form_III!K42-Form_III!K48</f>
        <v>0</v>
      </c>
      <c r="J56" s="85">
        <f>Form_III!M41+Form_III!M42+Form_III!M48-Form_III!L41-Form_III!L42-Form_III!L48</f>
        <v>0</v>
      </c>
      <c r="K56" s="85">
        <f>Form_III!N41+Form_III!N42+Form_III!N48-Form_III!M41-Form_III!M42-Form_III!M48</f>
        <v>0</v>
      </c>
      <c r="L56" s="85">
        <f>Form_III!O41+Form_III!O42+Form_III!O48-Form_III!N41-Form_III!N42-Form_III!N48</f>
        <v>0</v>
      </c>
      <c r="M56" s="85">
        <f>Form_III!P41+Form_III!P42+Form_III!P48-Form_III!O41-Form_III!O42-Form_III!O48</f>
        <v>0</v>
      </c>
    </row>
    <row r="57" spans="2:13">
      <c r="B57" s="120" t="s">
        <v>258</v>
      </c>
      <c r="C57" s="85">
        <f>Form_III!F45-Form_III!E45</f>
        <v>0</v>
      </c>
      <c r="D57" s="85">
        <f>Form_III!G45-Form_III!F45</f>
        <v>0</v>
      </c>
      <c r="E57" s="85">
        <f>Form_III!H45-Form_III!G45</f>
        <v>0</v>
      </c>
      <c r="F57" s="85">
        <f>Form_III!I45-Form_III!H45</f>
        <v>0</v>
      </c>
      <c r="G57" s="85">
        <f>Form_III!J45-Form_III!I45</f>
        <v>0</v>
      </c>
      <c r="H57" s="85">
        <f>Form_III!K45-Form_III!J45</f>
        <v>0</v>
      </c>
      <c r="I57" s="85">
        <f>Form_III!L45-Form_III!K45</f>
        <v>0</v>
      </c>
      <c r="J57" s="85">
        <f>Form_III!M45-Form_III!L45</f>
        <v>0</v>
      </c>
      <c r="K57" s="85">
        <f>Form_III!N45-Form_III!M45</f>
        <v>0</v>
      </c>
      <c r="L57" s="85">
        <f>Form_III!O45-Form_III!N45</f>
        <v>0</v>
      </c>
      <c r="M57" s="85">
        <f>Form_III!P45-Form_III!O45</f>
        <v>0</v>
      </c>
    </row>
    <row r="58" spans="2:13">
      <c r="B58" s="120" t="s">
        <v>259</v>
      </c>
      <c r="C58" s="85">
        <f>Form_III!F32+Form_III!F33-Form_III!E32-Form_III!E33</f>
        <v>0</v>
      </c>
      <c r="D58" s="85">
        <f>Form_III!G32+Form_III!G33-Form_III!F32-Form_III!F33</f>
        <v>0</v>
      </c>
      <c r="E58" s="85">
        <f>Form_III!H32+Form_III!H33-Form_III!G32-Form_III!G33</f>
        <v>0</v>
      </c>
      <c r="F58" s="85">
        <f>Form_III!I32+Form_III!I33-Form_III!H32-Form_III!H33</f>
        <v>0</v>
      </c>
      <c r="G58" s="85">
        <f>Form_III!J32+Form_III!J33-Form_III!I32-Form_III!I33</f>
        <v>0</v>
      </c>
      <c r="H58" s="85">
        <f>Form_III!K32+Form_III!K33-Form_III!J32-Form_III!J33</f>
        <v>0</v>
      </c>
      <c r="I58" s="85">
        <f>Form_III!L32+Form_III!L33-Form_III!K32-Form_III!K33</f>
        <v>0</v>
      </c>
      <c r="J58" s="85">
        <f>Form_III!M32+Form_III!M33-Form_III!L32-Form_III!L33</f>
        <v>0</v>
      </c>
      <c r="K58" s="85">
        <f>Form_III!N32+Form_III!N33-Form_III!M32-Form_III!M33</f>
        <v>0</v>
      </c>
      <c r="L58" s="85">
        <f>Form_III!O32+Form_III!O33-Form_III!N32-Form_III!N33</f>
        <v>0</v>
      </c>
      <c r="M58" s="85">
        <f>Form_III!P32+Form_III!P33-Form_III!O32-Form_III!O33</f>
        <v>0</v>
      </c>
    </row>
    <row r="59" spans="2:13">
      <c r="B59" s="120" t="s">
        <v>260</v>
      </c>
      <c r="C59" s="85">
        <f>Form_III!F34-Form_III!E34+Form_III!F22-Form_III!E22</f>
        <v>0</v>
      </c>
      <c r="D59" s="85">
        <f>Form_III!G34-Form_III!F34+Form_III!G22-Form_III!F22</f>
        <v>0</v>
      </c>
      <c r="E59" s="85">
        <f>Form_III!H34-Form_III!G34+Form_III!H22-Form_III!G22</f>
        <v>0</v>
      </c>
      <c r="F59" s="85">
        <f>Form_III!I34-Form_III!H34+Form_III!I22-Form_III!H22</f>
        <v>0</v>
      </c>
      <c r="G59" s="85">
        <f>Form_III!J34-Form_III!I34+Form_III!J22-Form_III!I22</f>
        <v>0</v>
      </c>
      <c r="H59" s="85">
        <f>Form_III!K34-Form_III!J34+Form_III!K22-Form_III!J22</f>
        <v>0</v>
      </c>
      <c r="I59" s="85">
        <f>Form_III!L34-Form_III!K34+Form_III!L22-Form_III!K22</f>
        <v>0</v>
      </c>
      <c r="J59" s="85">
        <f>Form_III!M34-Form_III!L34+Form_III!M22-Form_III!L22</f>
        <v>0</v>
      </c>
      <c r="K59" s="85">
        <f>Form_III!N34-Form_III!M34+Form_III!N22-Form_III!M22</f>
        <v>0</v>
      </c>
      <c r="L59" s="85">
        <f>Form_III!O34-Form_III!N34+Form_III!O22-Form_III!N22</f>
        <v>0</v>
      </c>
      <c r="M59" s="85">
        <f>Form_III!P34-Form_III!O34+Form_III!P22-Form_III!O22</f>
        <v>0</v>
      </c>
    </row>
    <row r="60" spans="2:13">
      <c r="B60" s="120" t="s">
        <v>261</v>
      </c>
      <c r="C60" s="85">
        <f>Form_III!F36-Form_III!E36+Form_III!F16-Form_III!E16</f>
        <v>0</v>
      </c>
      <c r="D60" s="85">
        <f>Form_III!G36-Form_III!F36+Form_III!G16-Form_III!F16</f>
        <v>0</v>
      </c>
      <c r="E60" s="85">
        <f>Form_III!H36-Form_III!G36+Form_III!H16-Form_III!G16</f>
        <v>0</v>
      </c>
      <c r="F60" s="85">
        <f>Form_III!I36-Form_III!H36+Form_III!I16-Form_III!H16</f>
        <v>0</v>
      </c>
      <c r="G60" s="85">
        <f>Form_III!J36-Form_III!I36+Form_III!J16-Form_III!I16</f>
        <v>0</v>
      </c>
      <c r="H60" s="85">
        <f>Form_III!K36-Form_III!J36+Form_III!K16-Form_III!J16</f>
        <v>0</v>
      </c>
      <c r="I60" s="85">
        <f>Form_III!L36-Form_III!K36+Form_III!L16-Form_III!K16</f>
        <v>0</v>
      </c>
      <c r="J60" s="85">
        <f>Form_III!M36-Form_III!L36+Form_III!M16-Form_III!L16</f>
        <v>0</v>
      </c>
      <c r="K60" s="85">
        <f>Form_III!N36-Form_III!M36+Form_III!N16-Form_III!M16</f>
        <v>0</v>
      </c>
      <c r="L60" s="85">
        <f>Form_III!O36-Form_III!N36+Form_III!O16-Form_III!N16</f>
        <v>0</v>
      </c>
      <c r="M60" s="85">
        <f>Form_III!P36-Form_III!O36+Form_III!P16-Form_III!O16</f>
        <v>0</v>
      </c>
    </row>
    <row r="61" spans="2:13">
      <c r="B61" s="120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</row>
    <row r="62" spans="2:13">
      <c r="B62" s="69" t="s">
        <v>262</v>
      </c>
      <c r="C62" s="131">
        <f t="shared" ref="C62:M62" si="11">SUM(C54:C61)</f>
        <v>0</v>
      </c>
      <c r="D62" s="131">
        <f t="shared" si="11"/>
        <v>0</v>
      </c>
      <c r="E62" s="131">
        <f t="shared" si="11"/>
        <v>0</v>
      </c>
      <c r="F62" s="131">
        <f t="shared" si="11"/>
        <v>0</v>
      </c>
      <c r="G62" s="131">
        <f t="shared" si="11"/>
        <v>0</v>
      </c>
      <c r="H62" s="131">
        <f t="shared" si="11"/>
        <v>0</v>
      </c>
      <c r="I62" s="131">
        <f t="shared" si="11"/>
        <v>0</v>
      </c>
      <c r="J62" s="131">
        <f t="shared" si="11"/>
        <v>0</v>
      </c>
      <c r="K62" s="131">
        <f t="shared" si="11"/>
        <v>0</v>
      </c>
      <c r="L62" s="131">
        <f t="shared" si="11"/>
        <v>0</v>
      </c>
      <c r="M62" s="131">
        <f t="shared" si="11"/>
        <v>0</v>
      </c>
    </row>
    <row r="63" spans="2:13">
      <c r="B63" s="132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</row>
    <row r="64" spans="2:13">
      <c r="B64" s="120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</row>
    <row r="65" spans="2:13">
      <c r="B65" s="76" t="s">
        <v>263</v>
      </c>
      <c r="C65" s="122">
        <f t="shared" ref="C65:M65" si="12">C62+C50+C40</f>
        <v>0</v>
      </c>
      <c r="D65" s="122">
        <f t="shared" si="12"/>
        <v>0</v>
      </c>
      <c r="E65" s="122">
        <f t="shared" si="12"/>
        <v>0</v>
      </c>
      <c r="F65" s="122">
        <f t="shared" si="12"/>
        <v>0</v>
      </c>
      <c r="G65" s="122">
        <f t="shared" si="12"/>
        <v>0</v>
      </c>
      <c r="H65" s="122">
        <f t="shared" si="12"/>
        <v>0</v>
      </c>
      <c r="I65" s="122">
        <f t="shared" si="12"/>
        <v>4.9999999999999992E-3</v>
      </c>
      <c r="J65" s="122">
        <f t="shared" si="12"/>
        <v>2.5000000000000001E-3</v>
      </c>
      <c r="K65" s="122">
        <f t="shared" si="12"/>
        <v>0</v>
      </c>
      <c r="L65" s="122">
        <f t="shared" si="12"/>
        <v>-1</v>
      </c>
      <c r="M65" s="122">
        <f t="shared" si="12"/>
        <v>1</v>
      </c>
    </row>
    <row r="66" spans="2:13">
      <c r="B66" s="120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</row>
    <row r="67" spans="2:13">
      <c r="B67" s="76" t="s">
        <v>264</v>
      </c>
      <c r="C67" s="122">
        <f>Form_III!E59</f>
        <v>0</v>
      </c>
      <c r="D67" s="122">
        <f>Form_III!F59</f>
        <v>0</v>
      </c>
      <c r="E67" s="122">
        <f>Form_III!G59</f>
        <v>0</v>
      </c>
      <c r="F67" s="122">
        <f>Form_III!H59</f>
        <v>0</v>
      </c>
      <c r="G67" s="122">
        <f>Form_III!I59</f>
        <v>0</v>
      </c>
      <c r="H67" s="122">
        <f>Form_III!J59</f>
        <v>0</v>
      </c>
      <c r="I67" s="122">
        <f>Form_III!K59</f>
        <v>0</v>
      </c>
      <c r="J67" s="122">
        <f>Form_III!L59</f>
        <v>0</v>
      </c>
      <c r="K67" s="122">
        <f>Form_III!M59</f>
        <v>0</v>
      </c>
      <c r="L67" s="122">
        <f>Form_III!N59</f>
        <v>0</v>
      </c>
      <c r="M67" s="122">
        <f>Form_III!O59</f>
        <v>0</v>
      </c>
    </row>
    <row r="68" spans="2:13">
      <c r="B68" s="69" t="s">
        <v>265</v>
      </c>
      <c r="C68" s="131">
        <f t="shared" ref="C68:M68" si="13">C65+C67</f>
        <v>0</v>
      </c>
      <c r="D68" s="131">
        <f t="shared" si="13"/>
        <v>0</v>
      </c>
      <c r="E68" s="131">
        <f t="shared" si="13"/>
        <v>0</v>
      </c>
      <c r="F68" s="131">
        <f t="shared" si="13"/>
        <v>0</v>
      </c>
      <c r="G68" s="131">
        <f t="shared" si="13"/>
        <v>0</v>
      </c>
      <c r="H68" s="131">
        <f t="shared" si="13"/>
        <v>0</v>
      </c>
      <c r="I68" s="131">
        <f t="shared" si="13"/>
        <v>4.9999999999999992E-3</v>
      </c>
      <c r="J68" s="131">
        <f t="shared" si="13"/>
        <v>2.5000000000000001E-3</v>
      </c>
      <c r="K68" s="131">
        <f t="shared" si="13"/>
        <v>0</v>
      </c>
      <c r="L68" s="131">
        <f t="shared" si="13"/>
        <v>-1</v>
      </c>
      <c r="M68" s="131">
        <f t="shared" si="13"/>
        <v>1</v>
      </c>
    </row>
    <row r="69" spans="2:13">
      <c r="B69" s="120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</row>
    <row r="70" spans="2:13">
      <c r="B70" s="76" t="s">
        <v>266</v>
      </c>
      <c r="C70" s="122">
        <f>Form_III!F59</f>
        <v>0</v>
      </c>
      <c r="D70" s="122">
        <f>Form_III!G59</f>
        <v>0</v>
      </c>
      <c r="E70" s="122">
        <f>Form_III!H59</f>
        <v>0</v>
      </c>
      <c r="F70" s="122">
        <f>Form_III!I59</f>
        <v>0</v>
      </c>
      <c r="G70" s="122">
        <f>Form_III!J59</f>
        <v>0</v>
      </c>
      <c r="H70" s="122">
        <f>Form_III!K59</f>
        <v>0</v>
      </c>
      <c r="I70" s="122">
        <f>Form_III!L59</f>
        <v>0</v>
      </c>
      <c r="J70" s="122">
        <f>Form_III!M59</f>
        <v>0</v>
      </c>
      <c r="K70" s="122">
        <f>Form_III!N59</f>
        <v>0</v>
      </c>
      <c r="L70" s="122">
        <f>Form_III!O59</f>
        <v>0</v>
      </c>
      <c r="M70" s="122">
        <f>Form_III!P59</f>
        <v>0</v>
      </c>
    </row>
    <row r="71" spans="2:13">
      <c r="B71" s="120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</row>
    <row r="72" spans="2:13">
      <c r="B72" s="90" t="s">
        <v>178</v>
      </c>
      <c r="C72" s="134">
        <f t="shared" ref="C72:M72" si="14">C68-C70</f>
        <v>0</v>
      </c>
      <c r="D72" s="134">
        <f t="shared" si="14"/>
        <v>0</v>
      </c>
      <c r="E72" s="134">
        <f t="shared" si="14"/>
        <v>0</v>
      </c>
      <c r="F72" s="134">
        <f t="shared" si="14"/>
        <v>0</v>
      </c>
      <c r="G72" s="134">
        <f t="shared" si="14"/>
        <v>0</v>
      </c>
      <c r="H72" s="134">
        <f t="shared" si="14"/>
        <v>0</v>
      </c>
      <c r="I72" s="134">
        <f t="shared" si="14"/>
        <v>4.9999999999999992E-3</v>
      </c>
      <c r="J72" s="134">
        <f t="shared" si="14"/>
        <v>2.5000000000000001E-3</v>
      </c>
      <c r="K72" s="134">
        <f t="shared" si="14"/>
        <v>0</v>
      </c>
      <c r="L72" s="134">
        <f t="shared" si="14"/>
        <v>-1</v>
      </c>
      <c r="M72" s="134">
        <f t="shared" si="14"/>
        <v>1</v>
      </c>
    </row>
    <row r="73" spans="2:13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</row>
    <row r="74" spans="2:13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</row>
    <row r="75" spans="2:13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</row>
    <row r="76" spans="2:13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</row>
    <row r="77" spans="2:13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</row>
    <row r="78" spans="2:13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</row>
    <row r="79" spans="2:13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</row>
    <row r="80" spans="2:13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</row>
  </sheetData>
  <sheetProtection sheet="1" objects="1" scenarios="1"/>
  <mergeCells count="2">
    <mergeCell ref="C1:F1"/>
    <mergeCell ref="C2:F2"/>
  </mergeCells>
  <phoneticPr fontId="19" type="noConversion"/>
  <pageMargins left="0.74791666666666667" right="0.74791666666666667" top="0.98402777777777783" bottom="0.98402777777777783" header="0.51180555555555562" footer="0.51180555555555562"/>
  <pageSetup scale="64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1F0D-DB75-446D-94B7-62AE4DD10B8E}">
  <dimension ref="A1:O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defaultRowHeight="13.2" outlineLevelCol="1"/>
  <cols>
    <col min="1" max="1" width="7.109375" customWidth="1"/>
    <col min="2" max="2" width="30.6640625" customWidth="1"/>
    <col min="3" max="3" width="15.33203125" customWidth="1"/>
    <col min="4" max="4" width="13.6640625" customWidth="1"/>
    <col min="5" max="5" width="15.33203125" customWidth="1"/>
    <col min="6" max="6" width="12.44140625" customWidth="1"/>
    <col min="7" max="11" width="14.44140625" customWidth="1"/>
    <col min="12" max="14" width="14.44140625" hidden="1" customWidth="1" outlineLevel="1"/>
    <col min="15" max="15" width="8.6640625" customWidth="1" collapsed="1"/>
  </cols>
  <sheetData>
    <row r="1" spans="1:14" ht="21.75" customHeight="1">
      <c r="A1" s="418" t="s">
        <v>267</v>
      </c>
      <c r="B1" s="418"/>
    </row>
    <row r="2" spans="1:14" ht="27" customHeight="1">
      <c r="A2" s="135" t="str">
        <f>Form_II!C4</f>
        <v>Name :</v>
      </c>
      <c r="B2" s="136">
        <f>'INPUT SHEET'!B7</f>
        <v>0</v>
      </c>
    </row>
    <row r="3" spans="1:14" ht="21" customHeight="1"/>
    <row r="4" spans="1:14" ht="15.9" customHeight="1">
      <c r="A4" s="419" t="s">
        <v>268</v>
      </c>
      <c r="B4" s="420" t="s">
        <v>269</v>
      </c>
      <c r="C4" s="137" t="str">
        <f>'INPUT SHEET'!B10</f>
        <v>Audited</v>
      </c>
      <c r="D4" s="137" t="str">
        <f>'INPUT SHEET'!C10</f>
        <v>Audited</v>
      </c>
      <c r="E4" s="137" t="str">
        <f>'INPUT SHEET'!D10</f>
        <v>Provisionals</v>
      </c>
      <c r="F4" s="137" t="str">
        <f>'INPUT SHEET'!E10</f>
        <v>Projected</v>
      </c>
      <c r="G4" s="138" t="str">
        <f>'INPUT SHEET'!F10</f>
        <v>Projected</v>
      </c>
      <c r="H4" s="138" t="str">
        <f>'INPUT SHEET'!G10</f>
        <v>Projected</v>
      </c>
      <c r="I4" s="138" t="str">
        <f>'INPUT SHEET'!H10</f>
        <v>Projected</v>
      </c>
      <c r="J4" s="138" t="str">
        <f>'INPUT SHEET'!I10</f>
        <v>Projected</v>
      </c>
      <c r="K4" s="138" t="str">
        <f>'INPUT SHEET'!J10</f>
        <v>Projected</v>
      </c>
      <c r="L4" s="138" t="str">
        <f>'INPUT SHEET'!K10</f>
        <v>Projected</v>
      </c>
      <c r="M4" s="138" t="str">
        <f>'INPUT SHEET'!L10</f>
        <v>Projected</v>
      </c>
      <c r="N4" s="138" t="str">
        <f>'INPUT SHEET'!M10</f>
        <v>Projected</v>
      </c>
    </row>
    <row r="5" spans="1:14" ht="15.9" customHeight="1">
      <c r="A5" s="419"/>
      <c r="B5" s="420"/>
      <c r="C5" s="139">
        <f>'INPUT SHEET'!B8</f>
        <v>2023</v>
      </c>
      <c r="D5" s="139">
        <f>'INPUT SHEET'!C8</f>
        <v>2024</v>
      </c>
      <c r="E5" s="139">
        <f>'INPUT SHEET'!D8</f>
        <v>2025</v>
      </c>
      <c r="F5" s="139">
        <f>'INPUT SHEET'!E8</f>
        <v>2026</v>
      </c>
      <c r="G5" s="140">
        <f>'INPUT SHEET'!F8</f>
        <v>2027</v>
      </c>
      <c r="H5" s="140">
        <f>'INPUT SHEET'!G8</f>
        <v>2028</v>
      </c>
      <c r="I5" s="140">
        <f>'INPUT SHEET'!H8</f>
        <v>2029</v>
      </c>
      <c r="J5" s="140">
        <f>'INPUT SHEET'!I8</f>
        <v>2030</v>
      </c>
      <c r="K5" s="140">
        <f>'INPUT SHEET'!J8</f>
        <v>2031</v>
      </c>
      <c r="L5" s="140">
        <f>'INPUT SHEET'!K8</f>
        <v>2032</v>
      </c>
      <c r="M5" s="140">
        <f>'INPUT SHEET'!L8</f>
        <v>2033</v>
      </c>
      <c r="N5" s="140">
        <f>'INPUT SHEET'!M8</f>
        <v>2034</v>
      </c>
    </row>
    <row r="6" spans="1:14" ht="15.9" customHeight="1">
      <c r="A6" s="141"/>
      <c r="B6" s="142" t="str">
        <f>'INPUT SHEET'!A9</f>
        <v>Number of months</v>
      </c>
      <c r="C6" s="143">
        <f>'INPUT SHEET'!B9</f>
        <v>12</v>
      </c>
      <c r="D6" s="143">
        <f>'INPUT SHEET'!C9</f>
        <v>12</v>
      </c>
      <c r="E6" s="143">
        <f>'INPUT SHEET'!D9</f>
        <v>12</v>
      </c>
      <c r="F6" s="143">
        <f>'INPUT SHEET'!E9</f>
        <v>12</v>
      </c>
      <c r="G6" s="144">
        <f>'INPUT SHEET'!F9</f>
        <v>12</v>
      </c>
      <c r="H6" s="144">
        <f>'INPUT SHEET'!G9</f>
        <v>12</v>
      </c>
      <c r="I6" s="144">
        <f>'INPUT SHEET'!H9</f>
        <v>12</v>
      </c>
      <c r="J6" s="144">
        <f>'INPUT SHEET'!I9</f>
        <v>12</v>
      </c>
      <c r="K6" s="144">
        <f>'INPUT SHEET'!J9</f>
        <v>12</v>
      </c>
      <c r="L6" s="144">
        <f>'INPUT SHEET'!K9</f>
        <v>12</v>
      </c>
      <c r="M6" s="144">
        <f>'INPUT SHEET'!L9</f>
        <v>12</v>
      </c>
      <c r="N6" s="144">
        <f>'INPUT SHEET'!M9</f>
        <v>12</v>
      </c>
    </row>
    <row r="7" spans="1:14" ht="21" customHeight="1">
      <c r="A7" s="145">
        <v>1</v>
      </c>
      <c r="B7" s="146" t="s">
        <v>270</v>
      </c>
      <c r="C7" s="147">
        <f>Form_II!E15</f>
        <v>0</v>
      </c>
      <c r="D7" s="147">
        <f>Form_II!F15</f>
        <v>0</v>
      </c>
      <c r="E7" s="147">
        <f>Form_II!G15</f>
        <v>0</v>
      </c>
      <c r="F7" s="147">
        <f>Form_II!H15</f>
        <v>0</v>
      </c>
      <c r="G7" s="147">
        <f>Form_II!I15</f>
        <v>0</v>
      </c>
      <c r="H7" s="147">
        <f>Form_II!J15</f>
        <v>0</v>
      </c>
      <c r="I7" s="147">
        <f>Form_II!K15</f>
        <v>0</v>
      </c>
      <c r="J7" s="147">
        <f>Form_II!L15</f>
        <v>0</v>
      </c>
      <c r="K7" s="147">
        <f>Form_II!M15</f>
        <v>0</v>
      </c>
      <c r="L7" s="147">
        <f>Form_II!N15</f>
        <v>0</v>
      </c>
      <c r="M7" s="147">
        <f>Form_II!O15</f>
        <v>0</v>
      </c>
      <c r="N7" s="147">
        <f>Form_II!P15</f>
        <v>0</v>
      </c>
    </row>
    <row r="8" spans="1:14" ht="21" customHeight="1">
      <c r="A8" s="145">
        <v>2</v>
      </c>
      <c r="B8" s="146" t="s">
        <v>271</v>
      </c>
      <c r="C8" s="147">
        <f>Form_II!E37+Form_II!E24</f>
        <v>0</v>
      </c>
      <c r="D8" s="147">
        <f>Form_II!F37+Form_II!F24</f>
        <v>0</v>
      </c>
      <c r="E8" s="147">
        <f>Form_II!G37+Form_II!G24</f>
        <v>0</v>
      </c>
      <c r="F8" s="147">
        <f>Form_II!H37+Form_II!H24</f>
        <v>0</v>
      </c>
      <c r="G8" s="147">
        <f>Form_II!I37+Form_II!I24</f>
        <v>0</v>
      </c>
      <c r="H8" s="147">
        <f>Form_II!J37+Form_II!J24</f>
        <v>0</v>
      </c>
      <c r="I8" s="147">
        <f>Form_II!K37+Form_II!K24</f>
        <v>0</v>
      </c>
      <c r="J8" s="147">
        <f>Form_II!L37+Form_II!L24</f>
        <v>0.01</v>
      </c>
      <c r="K8" s="147">
        <f>Form_II!M37+Form_II!M24</f>
        <v>0</v>
      </c>
      <c r="L8" s="147">
        <f>Form_II!N37+Form_II!N24</f>
        <v>0</v>
      </c>
      <c r="M8" s="147">
        <f>Form_II!O37+Form_II!O24</f>
        <v>0</v>
      </c>
      <c r="N8" s="147">
        <f>Form_II!P37+Form_II!P24</f>
        <v>0</v>
      </c>
    </row>
    <row r="9" spans="1:14" ht="21" customHeight="1">
      <c r="A9" s="145">
        <v>3</v>
      </c>
      <c r="B9" s="146" t="s">
        <v>272</v>
      </c>
      <c r="C9" s="148" t="e">
        <f t="shared" ref="C9:N9" si="0">C8/C7</f>
        <v>#DIV/0!</v>
      </c>
      <c r="D9" s="148" t="e">
        <f t="shared" si="0"/>
        <v>#DIV/0!</v>
      </c>
      <c r="E9" s="148" t="e">
        <f t="shared" si="0"/>
        <v>#DIV/0!</v>
      </c>
      <c r="F9" s="148" t="e">
        <f t="shared" si="0"/>
        <v>#DIV/0!</v>
      </c>
      <c r="G9" s="148" t="e">
        <f t="shared" si="0"/>
        <v>#DIV/0!</v>
      </c>
      <c r="H9" s="148" t="e">
        <f t="shared" si="0"/>
        <v>#DIV/0!</v>
      </c>
      <c r="I9" s="148" t="e">
        <f t="shared" si="0"/>
        <v>#DIV/0!</v>
      </c>
      <c r="J9" s="148" t="e">
        <f t="shared" si="0"/>
        <v>#DIV/0!</v>
      </c>
      <c r="K9" s="148" t="e">
        <f t="shared" si="0"/>
        <v>#DIV/0!</v>
      </c>
      <c r="L9" s="148" t="e">
        <f t="shared" si="0"/>
        <v>#DIV/0!</v>
      </c>
      <c r="M9" s="148" t="e">
        <f t="shared" si="0"/>
        <v>#DIV/0!</v>
      </c>
      <c r="N9" s="148" t="e">
        <f t="shared" si="0"/>
        <v>#DIV/0!</v>
      </c>
    </row>
    <row r="10" spans="1:14" ht="21" customHeight="1">
      <c r="A10" s="145">
        <v>4</v>
      </c>
      <c r="B10" s="146" t="s">
        <v>273</v>
      </c>
      <c r="C10" s="147">
        <f>Form_II!E38</f>
        <v>0</v>
      </c>
      <c r="D10" s="147">
        <f>Form_II!F38</f>
        <v>0</v>
      </c>
      <c r="E10" s="147">
        <f>Form_II!G38</f>
        <v>0</v>
      </c>
      <c r="F10" s="147">
        <f>Form_II!H38</f>
        <v>0</v>
      </c>
      <c r="G10" s="147">
        <f>Form_II!I38</f>
        <v>0</v>
      </c>
      <c r="H10" s="147">
        <f>Form_II!J38</f>
        <v>0</v>
      </c>
      <c r="I10" s="147">
        <f>Form_II!K38</f>
        <v>0</v>
      </c>
      <c r="J10" s="147">
        <f>Form_II!L38</f>
        <v>0</v>
      </c>
      <c r="K10" s="147">
        <f>Form_II!M38</f>
        <v>0</v>
      </c>
      <c r="L10" s="147">
        <f>Form_II!N38</f>
        <v>0</v>
      </c>
      <c r="M10" s="147">
        <f>Form_II!O38</f>
        <v>0</v>
      </c>
      <c r="N10" s="147">
        <f>Form_II!P38</f>
        <v>0</v>
      </c>
    </row>
    <row r="11" spans="1:14" ht="21" customHeight="1">
      <c r="A11" s="145">
        <v>5</v>
      </c>
      <c r="B11" s="146" t="s">
        <v>274</v>
      </c>
      <c r="C11" s="147">
        <f>Form_II!E24</f>
        <v>0</v>
      </c>
      <c r="D11" s="147">
        <f>Form_II!F24</f>
        <v>0</v>
      </c>
      <c r="E11" s="147">
        <f>Form_II!G24</f>
        <v>0</v>
      </c>
      <c r="F11" s="147">
        <f>Form_II!H24</f>
        <v>0</v>
      </c>
      <c r="G11" s="147">
        <f>Form_II!I24</f>
        <v>0</v>
      </c>
      <c r="H11" s="147">
        <f>Form_II!J24</f>
        <v>0</v>
      </c>
      <c r="I11" s="147">
        <f>Form_II!K24</f>
        <v>0</v>
      </c>
      <c r="J11" s="147">
        <f>Form_II!L24</f>
        <v>0</v>
      </c>
      <c r="K11" s="147">
        <f>Form_II!M24</f>
        <v>0</v>
      </c>
      <c r="L11" s="147">
        <f>Form_II!N24</f>
        <v>0</v>
      </c>
      <c r="M11" s="147">
        <f>Form_II!O24</f>
        <v>0</v>
      </c>
      <c r="N11" s="147">
        <f>Form_II!P24</f>
        <v>0</v>
      </c>
    </row>
    <row r="12" spans="1:14" ht="21" customHeight="1">
      <c r="A12" s="145">
        <v>6</v>
      </c>
      <c r="B12" s="146" t="s">
        <v>275</v>
      </c>
      <c r="C12" s="147">
        <f>Form_II!E41</f>
        <v>0</v>
      </c>
      <c r="D12" s="147">
        <f>Form_II!F41</f>
        <v>0</v>
      </c>
      <c r="E12" s="147">
        <f>Form_II!G41</f>
        <v>0</v>
      </c>
      <c r="F12" s="147">
        <f>Form_II!H41</f>
        <v>0</v>
      </c>
      <c r="G12" s="147">
        <f>Form_II!I41</f>
        <v>0</v>
      </c>
      <c r="H12" s="147">
        <f>Form_II!J41</f>
        <v>0</v>
      </c>
      <c r="I12" s="147">
        <f>Form_II!K41</f>
        <v>0</v>
      </c>
      <c r="J12" s="147">
        <f>Form_II!L41</f>
        <v>0.01</v>
      </c>
      <c r="K12" s="147">
        <f>Form_II!M41</f>
        <v>0</v>
      </c>
      <c r="L12" s="147">
        <f>Form_II!N41</f>
        <v>0</v>
      </c>
      <c r="M12" s="147">
        <f>Form_II!O41</f>
        <v>0</v>
      </c>
      <c r="N12" s="147">
        <f>Form_II!P41</f>
        <v>0</v>
      </c>
    </row>
    <row r="13" spans="1:14" ht="21" customHeight="1">
      <c r="A13" s="145">
        <v>7</v>
      </c>
      <c r="B13" s="146" t="s">
        <v>276</v>
      </c>
      <c r="C13" s="147">
        <f>Form_II!E44</f>
        <v>0</v>
      </c>
      <c r="D13" s="147">
        <f>Form_II!F44</f>
        <v>0</v>
      </c>
      <c r="E13" s="147">
        <f>Form_II!G44</f>
        <v>0</v>
      </c>
      <c r="F13" s="147">
        <f>Form_II!H44</f>
        <v>0</v>
      </c>
      <c r="G13" s="147">
        <f>Form_II!I44</f>
        <v>0</v>
      </c>
      <c r="H13" s="147">
        <f>Form_II!J44</f>
        <v>0</v>
      </c>
      <c r="I13" s="147">
        <f>Form_II!K44</f>
        <v>0</v>
      </c>
      <c r="J13" s="147">
        <f>Form_II!L44</f>
        <v>0</v>
      </c>
      <c r="K13" s="147">
        <f>Form_II!M44</f>
        <v>0</v>
      </c>
      <c r="L13" s="147">
        <f>Form_II!N44</f>
        <v>0</v>
      </c>
      <c r="M13" s="147">
        <f>Form_II!O44</f>
        <v>0</v>
      </c>
      <c r="N13" s="147">
        <f>Form_II!P44</f>
        <v>0</v>
      </c>
    </row>
    <row r="14" spans="1:14" ht="21" customHeight="1">
      <c r="A14" s="149">
        <v>8</v>
      </c>
      <c r="B14" s="146" t="s">
        <v>277</v>
      </c>
      <c r="C14" s="150">
        <f>Form_II!E45</f>
        <v>0</v>
      </c>
      <c r="D14" s="150">
        <f>Form_II!F45</f>
        <v>0</v>
      </c>
      <c r="E14" s="147">
        <f>Form_II!G45</f>
        <v>0</v>
      </c>
      <c r="F14" s="147">
        <f>Form_II!H45</f>
        <v>0</v>
      </c>
      <c r="G14" s="147">
        <f>Form_II!I45</f>
        <v>0</v>
      </c>
      <c r="H14" s="147">
        <f>Form_II!J45</f>
        <v>0</v>
      </c>
      <c r="I14" s="147">
        <f>Form_II!K45</f>
        <v>0</v>
      </c>
      <c r="J14" s="147">
        <f>Form_II!L45</f>
        <v>0.01</v>
      </c>
      <c r="K14" s="147">
        <f>Form_II!M45</f>
        <v>0</v>
      </c>
      <c r="L14" s="147">
        <f>Form_II!N45</f>
        <v>0</v>
      </c>
      <c r="M14" s="147">
        <f>Form_II!O45</f>
        <v>0</v>
      </c>
      <c r="N14" s="147">
        <f>Form_II!P45</f>
        <v>0</v>
      </c>
    </row>
    <row r="15" spans="1:14" ht="21" customHeight="1">
      <c r="A15" s="149">
        <v>9</v>
      </c>
      <c r="B15" s="146" t="s">
        <v>278</v>
      </c>
      <c r="C15" s="150">
        <f>Form_II!E51</f>
        <v>0</v>
      </c>
      <c r="D15" s="150">
        <f>Form_II!F51</f>
        <v>0</v>
      </c>
      <c r="E15" s="150">
        <f>Form_II!G51</f>
        <v>0</v>
      </c>
      <c r="F15" s="150">
        <f>Form_II!H51</f>
        <v>0</v>
      </c>
      <c r="G15" s="147">
        <f>Form_II!I51</f>
        <v>0</v>
      </c>
      <c r="H15" s="147">
        <f>Form_II!J51</f>
        <v>0</v>
      </c>
      <c r="I15" s="147">
        <f>Form_II!K51</f>
        <v>0</v>
      </c>
      <c r="J15" s="147">
        <f>Form_II!L51</f>
        <v>0.01</v>
      </c>
      <c r="K15" s="147">
        <f>Form_II!M51</f>
        <v>0</v>
      </c>
      <c r="L15" s="147">
        <f>Form_II!N51</f>
        <v>0</v>
      </c>
      <c r="M15" s="147">
        <f>Form_II!O51</f>
        <v>0</v>
      </c>
      <c r="N15" s="147">
        <f>Form_II!P51</f>
        <v>0</v>
      </c>
    </row>
    <row r="16" spans="1:14" ht="21" customHeight="1">
      <c r="A16" s="149">
        <v>10</v>
      </c>
      <c r="B16" s="146" t="s">
        <v>279</v>
      </c>
      <c r="C16" s="151" t="e">
        <f t="shared" ref="C16:N16" si="1">C15/C7</f>
        <v>#DIV/0!</v>
      </c>
      <c r="D16" s="151" t="e">
        <f t="shared" si="1"/>
        <v>#DIV/0!</v>
      </c>
      <c r="E16" s="151" t="e">
        <f t="shared" si="1"/>
        <v>#DIV/0!</v>
      </c>
      <c r="F16" s="151" t="e">
        <f t="shared" si="1"/>
        <v>#DIV/0!</v>
      </c>
      <c r="G16" s="148" t="e">
        <f t="shared" si="1"/>
        <v>#DIV/0!</v>
      </c>
      <c r="H16" s="148" t="e">
        <f t="shared" si="1"/>
        <v>#DIV/0!</v>
      </c>
      <c r="I16" s="148" t="e">
        <f t="shared" si="1"/>
        <v>#DIV/0!</v>
      </c>
      <c r="J16" s="148" t="e">
        <f t="shared" si="1"/>
        <v>#DIV/0!</v>
      </c>
      <c r="K16" s="148" t="e">
        <f t="shared" si="1"/>
        <v>#DIV/0!</v>
      </c>
      <c r="L16" s="148" t="e">
        <f t="shared" si="1"/>
        <v>#DIV/0!</v>
      </c>
      <c r="M16" s="148" t="e">
        <f t="shared" si="1"/>
        <v>#DIV/0!</v>
      </c>
      <c r="N16" s="148" t="e">
        <f t="shared" si="1"/>
        <v>#DIV/0!</v>
      </c>
    </row>
    <row r="17" spans="1:14" ht="21" customHeight="1">
      <c r="A17" s="149">
        <v>11</v>
      </c>
      <c r="B17" s="152" t="s">
        <v>280</v>
      </c>
      <c r="C17" s="153">
        <f>Form_II!E51+Form_II!E24+Form_II!E48-Form_II!E49</f>
        <v>0</v>
      </c>
      <c r="D17" s="153">
        <f>Form_II!F51+Form_II!F24+Form_II!F48-Form_II!F49</f>
        <v>0</v>
      </c>
      <c r="E17" s="153">
        <f>Form_II!G51+Form_II!G24+Form_II!G48-Form_II!G49</f>
        <v>0</v>
      </c>
      <c r="F17" s="153">
        <f>Form_II!H51+Form_II!H24+Form_II!H48-Form_II!H49</f>
        <v>0</v>
      </c>
      <c r="G17" s="154">
        <f>Form_II!I51+Form_II!I24+Form_II!I48-Form_II!I49</f>
        <v>0</v>
      </c>
      <c r="H17" s="154">
        <f>Form_II!J51+Form_II!J24+Form_II!J48-Form_II!J49</f>
        <v>0</v>
      </c>
      <c r="I17" s="154">
        <f>Form_II!K51+Form_II!K24+Form_II!K48-Form_II!K49</f>
        <v>0</v>
      </c>
      <c r="J17" s="154">
        <f>Form_II!L51+Form_II!L24+Form_II!L48-Form_II!L49</f>
        <v>0.01</v>
      </c>
      <c r="K17" s="154">
        <f>Form_II!M51+Form_II!M24+Form_II!M48-Form_II!M49</f>
        <v>0</v>
      </c>
      <c r="L17" s="154">
        <f>Form_II!N51+Form_II!N24+Form_II!N48-Form_II!N49</f>
        <v>0</v>
      </c>
      <c r="M17" s="154">
        <f>Form_II!O51+Form_II!O24+Form_II!O48-Form_II!O49</f>
        <v>0</v>
      </c>
      <c r="N17" s="154">
        <f>Form_II!P51+Form_II!P24+Form_II!P48-Form_II!P49</f>
        <v>0</v>
      </c>
    </row>
    <row r="18" spans="1:14" ht="18.75" customHeight="1">
      <c r="A18" s="149">
        <v>12</v>
      </c>
      <c r="B18" s="155" t="s">
        <v>281</v>
      </c>
      <c r="C18" s="156">
        <f>Form_III!E88</f>
        <v>0</v>
      </c>
      <c r="D18" s="156">
        <f>Form_III!F88</f>
        <v>0</v>
      </c>
      <c r="E18" s="156">
        <f>Form_III!G88</f>
        <v>0</v>
      </c>
      <c r="F18" s="156">
        <f>Form_III!H88</f>
        <v>0</v>
      </c>
      <c r="G18" s="157">
        <f>Form_III!I88</f>
        <v>0</v>
      </c>
      <c r="H18" s="157">
        <f>Form_III!J88</f>
        <v>0</v>
      </c>
      <c r="I18" s="157">
        <f>Form_III!K88</f>
        <v>0</v>
      </c>
      <c r="J18" s="157">
        <f>Form_III!L88</f>
        <v>0</v>
      </c>
      <c r="K18" s="157">
        <f>Form_III!M88</f>
        <v>0</v>
      </c>
      <c r="L18" s="157">
        <f>Form_III!N88</f>
        <v>0</v>
      </c>
      <c r="M18" s="157">
        <f>Form_III!O88</f>
        <v>0</v>
      </c>
      <c r="N18" s="157">
        <f>Form_III!P88</f>
        <v>0</v>
      </c>
    </row>
    <row r="19" spans="1:14" ht="26.25" customHeight="1">
      <c r="A19" s="149">
        <v>13</v>
      </c>
      <c r="B19" s="146" t="s">
        <v>192</v>
      </c>
      <c r="C19" s="150">
        <f>Form_III!E90</f>
        <v>0</v>
      </c>
      <c r="D19" s="150">
        <f>Form_III!F90</f>
        <v>0</v>
      </c>
      <c r="E19" s="150">
        <f>Form_III!G90</f>
        <v>0</v>
      </c>
      <c r="F19" s="150">
        <f>Form_III!H90</f>
        <v>0</v>
      </c>
      <c r="G19" s="147">
        <f>Form_III!I90</f>
        <v>0</v>
      </c>
      <c r="H19" s="147">
        <f>Form_III!J90</f>
        <v>0</v>
      </c>
      <c r="I19" s="147">
        <f>Form_III!K90</f>
        <v>0</v>
      </c>
      <c r="J19" s="147">
        <f>Form_III!L90</f>
        <v>0</v>
      </c>
      <c r="K19" s="147">
        <f>Form_III!M90</f>
        <v>0</v>
      </c>
      <c r="L19" s="147">
        <f>Form_III!N90</f>
        <v>0</v>
      </c>
      <c r="M19" s="147">
        <f>Form_III!O90</f>
        <v>0</v>
      </c>
      <c r="N19" s="147">
        <f>Form_III!P90</f>
        <v>0</v>
      </c>
    </row>
    <row r="20" spans="1:14" ht="21" customHeight="1">
      <c r="A20" s="149">
        <v>14</v>
      </c>
      <c r="B20" s="146" t="s">
        <v>282</v>
      </c>
      <c r="C20" s="150">
        <f>Form_III!E109</f>
        <v>0</v>
      </c>
      <c r="D20" s="150">
        <f>Form_III!F109</f>
        <v>0</v>
      </c>
      <c r="E20" s="150">
        <f>Form_III!G109</f>
        <v>0</v>
      </c>
      <c r="F20" s="150">
        <f>Form_III!H109</f>
        <v>0</v>
      </c>
      <c r="G20" s="150">
        <f>Form_III!I109</f>
        <v>0</v>
      </c>
      <c r="H20" s="150">
        <f>Form_III!J109</f>
        <v>0</v>
      </c>
      <c r="I20" s="150">
        <f>Form_III!K109</f>
        <v>0</v>
      </c>
      <c r="J20" s="150">
        <f>Form_III!L109</f>
        <v>7.4999999999999997E-3</v>
      </c>
      <c r="K20" s="150">
        <f>Form_III!M109</f>
        <v>7.4999999999999997E-3</v>
      </c>
      <c r="L20" s="150">
        <f>Form_III!N109</f>
        <v>7.4999999999999997E-3</v>
      </c>
      <c r="M20" s="150">
        <f>Form_III!O109</f>
        <v>7.4999999999999997E-3</v>
      </c>
      <c r="N20" s="150">
        <f>Form_III!P109</f>
        <v>7.4999999999999997E-3</v>
      </c>
    </row>
    <row r="21" spans="1:14" ht="21" customHeight="1">
      <c r="A21" s="149">
        <v>15</v>
      </c>
      <c r="B21" s="146" t="s">
        <v>283</v>
      </c>
      <c r="C21" s="150">
        <f>Form_III!E93</f>
        <v>0</v>
      </c>
      <c r="D21" s="150">
        <f>Form_III!F93</f>
        <v>0</v>
      </c>
      <c r="E21" s="150">
        <f>Form_III!G93</f>
        <v>0</v>
      </c>
      <c r="F21" s="150">
        <f>Form_III!H93</f>
        <v>0</v>
      </c>
      <c r="G21" s="147">
        <f>Form_III!I93</f>
        <v>0</v>
      </c>
      <c r="H21" s="147">
        <f>Form_III!J93</f>
        <v>0</v>
      </c>
      <c r="I21" s="147">
        <f>Form_III!K93</f>
        <v>0</v>
      </c>
      <c r="J21" s="147">
        <f>Form_III!L93</f>
        <v>0</v>
      </c>
      <c r="K21" s="147">
        <f>Form_III!M93</f>
        <v>0</v>
      </c>
      <c r="L21" s="147">
        <f>Form_III!N93</f>
        <v>0</v>
      </c>
      <c r="M21" s="147">
        <f>Form_III!O93</f>
        <v>0</v>
      </c>
      <c r="N21" s="147">
        <f>Form_III!P93</f>
        <v>0</v>
      </c>
    </row>
    <row r="22" spans="1:14" ht="21" customHeight="1">
      <c r="A22" s="145">
        <v>18</v>
      </c>
      <c r="B22" s="146" t="s">
        <v>284</v>
      </c>
      <c r="C22" s="147">
        <f t="shared" ref="C22:N22" si="2">C20-C21</f>
        <v>0</v>
      </c>
      <c r="D22" s="147">
        <f t="shared" si="2"/>
        <v>0</v>
      </c>
      <c r="E22" s="147">
        <f t="shared" si="2"/>
        <v>0</v>
      </c>
      <c r="F22" s="147">
        <f t="shared" si="2"/>
        <v>0</v>
      </c>
      <c r="G22" s="147">
        <f t="shared" si="2"/>
        <v>0</v>
      </c>
      <c r="H22" s="147">
        <f t="shared" si="2"/>
        <v>0</v>
      </c>
      <c r="I22" s="147">
        <f t="shared" si="2"/>
        <v>0</v>
      </c>
      <c r="J22" s="147">
        <f t="shared" si="2"/>
        <v>7.4999999999999997E-3</v>
      </c>
      <c r="K22" s="147">
        <f t="shared" si="2"/>
        <v>7.4999999999999997E-3</v>
      </c>
      <c r="L22" s="147">
        <f t="shared" si="2"/>
        <v>7.4999999999999997E-3</v>
      </c>
      <c r="M22" s="147">
        <f t="shared" si="2"/>
        <v>7.4999999999999997E-3</v>
      </c>
      <c r="N22" s="147">
        <f t="shared" si="2"/>
        <v>7.4999999999999997E-3</v>
      </c>
    </row>
    <row r="23" spans="1:14" ht="21" customHeight="1">
      <c r="A23" s="145">
        <v>19</v>
      </c>
      <c r="B23" s="146" t="s">
        <v>285</v>
      </c>
      <c r="C23" s="147">
        <f>Form_III!E37-Form_III!E35</f>
        <v>0</v>
      </c>
      <c r="D23" s="147">
        <f>Form_III!F37-Form_III!F35</f>
        <v>0</v>
      </c>
      <c r="E23" s="147">
        <f>Form_III!G37-Form_III!G35</f>
        <v>0</v>
      </c>
      <c r="F23" s="147">
        <f>Form_III!H37-Form_III!H35</f>
        <v>0</v>
      </c>
      <c r="G23" s="147">
        <f>Form_III!I37-Form_III!I35</f>
        <v>0</v>
      </c>
      <c r="H23" s="147">
        <f>Form_III!J37-Form_III!J35</f>
        <v>0</v>
      </c>
      <c r="I23" s="147">
        <f>Form_III!K37-Form_III!K35</f>
        <v>0</v>
      </c>
      <c r="J23" s="147">
        <f>Form_III!L37-Form_III!L35</f>
        <v>0</v>
      </c>
      <c r="K23" s="147">
        <f>Form_III!M37-Form_III!M35</f>
        <v>0</v>
      </c>
      <c r="L23" s="147">
        <f>Form_III!N37-Form_III!N35</f>
        <v>0</v>
      </c>
      <c r="M23" s="147">
        <f>Form_III!O37-Form_III!O35</f>
        <v>0</v>
      </c>
      <c r="N23" s="147">
        <f>Form_III!P37-Form_III!P35</f>
        <v>0</v>
      </c>
    </row>
    <row r="24" spans="1:14" ht="21" customHeight="1">
      <c r="A24" s="145">
        <v>20</v>
      </c>
      <c r="B24" s="146" t="s">
        <v>286</v>
      </c>
      <c r="C24" s="147">
        <f>Form_III!E22+Form_III!E16</f>
        <v>0</v>
      </c>
      <c r="D24" s="147">
        <f>Form_III!F22+Form_III!F16</f>
        <v>0</v>
      </c>
      <c r="E24" s="147">
        <f>Form_III!G22+Form_III!G16</f>
        <v>0</v>
      </c>
      <c r="F24" s="147">
        <f>Form_III!H22+Form_III!H16</f>
        <v>0</v>
      </c>
      <c r="G24" s="147">
        <f>Form_III!I22+Form_III!I16</f>
        <v>0</v>
      </c>
      <c r="H24" s="147">
        <f>Form_III!J22+Form_III!J16</f>
        <v>0</v>
      </c>
      <c r="I24" s="147">
        <f>Form_III!K22+Form_III!K16</f>
        <v>0</v>
      </c>
      <c r="J24" s="147">
        <f>Form_III!L22+Form_III!L16</f>
        <v>0</v>
      </c>
      <c r="K24" s="147">
        <f>Form_III!M22+Form_III!M16</f>
        <v>0</v>
      </c>
      <c r="L24" s="147">
        <f>Form_III!N22+Form_III!N16</f>
        <v>0</v>
      </c>
      <c r="M24" s="147">
        <f>Form_III!O22+Form_III!O16</f>
        <v>0</v>
      </c>
      <c r="N24" s="147">
        <f>Form_III!P22+Form_III!P16</f>
        <v>0</v>
      </c>
    </row>
    <row r="25" spans="1:14" ht="21" customHeight="1">
      <c r="A25" s="145">
        <v>21</v>
      </c>
      <c r="B25" s="146" t="s">
        <v>287</v>
      </c>
      <c r="C25" s="147">
        <f>Form_III!E15</f>
        <v>0</v>
      </c>
      <c r="D25" s="147">
        <f>Form_III!F15</f>
        <v>0</v>
      </c>
      <c r="E25" s="147">
        <f>Form_III!G15</f>
        <v>0</v>
      </c>
      <c r="F25" s="147">
        <f>Form_III!H15</f>
        <v>0</v>
      </c>
      <c r="G25" s="147">
        <f>Form_III!I15</f>
        <v>0</v>
      </c>
      <c r="H25" s="147">
        <f>Form_III!J15</f>
        <v>0</v>
      </c>
      <c r="I25" s="147">
        <f>Form_III!K15</f>
        <v>0</v>
      </c>
      <c r="J25" s="147">
        <f>Form_III!L15</f>
        <v>0</v>
      </c>
      <c r="K25" s="147">
        <f>Form_III!M15</f>
        <v>0</v>
      </c>
      <c r="L25" s="147">
        <f>Form_III!N15</f>
        <v>0</v>
      </c>
      <c r="M25" s="147">
        <f>Form_III!O15</f>
        <v>0</v>
      </c>
      <c r="N25" s="147">
        <f>Form_III!P15</f>
        <v>0</v>
      </c>
    </row>
    <row r="26" spans="1:14" ht="21" customHeight="1">
      <c r="A26" s="145">
        <v>22</v>
      </c>
      <c r="B26" s="146" t="s">
        <v>216</v>
      </c>
      <c r="C26" s="147">
        <f t="shared" ref="C26:N26" si="3">C25+C24+C23</f>
        <v>0</v>
      </c>
      <c r="D26" s="147">
        <f t="shared" si="3"/>
        <v>0</v>
      </c>
      <c r="E26" s="147">
        <f t="shared" si="3"/>
        <v>0</v>
      </c>
      <c r="F26" s="147">
        <f t="shared" si="3"/>
        <v>0</v>
      </c>
      <c r="G26" s="147">
        <f t="shared" si="3"/>
        <v>0</v>
      </c>
      <c r="H26" s="147">
        <f t="shared" si="3"/>
        <v>0</v>
      </c>
      <c r="I26" s="147">
        <f t="shared" si="3"/>
        <v>0</v>
      </c>
      <c r="J26" s="147">
        <f t="shared" si="3"/>
        <v>0</v>
      </c>
      <c r="K26" s="147">
        <f t="shared" si="3"/>
        <v>0</v>
      </c>
      <c r="L26" s="147">
        <f t="shared" si="3"/>
        <v>0</v>
      </c>
      <c r="M26" s="147">
        <f t="shared" si="3"/>
        <v>0</v>
      </c>
      <c r="N26" s="147">
        <f t="shared" si="3"/>
        <v>0</v>
      </c>
    </row>
    <row r="27" spans="1:14" ht="21" customHeight="1">
      <c r="A27" s="145">
        <v>23</v>
      </c>
      <c r="B27" s="146" t="s">
        <v>288</v>
      </c>
      <c r="C27" s="147" t="e">
        <f t="shared" ref="C27:N27" si="4">C26/C20</f>
        <v>#DIV/0!</v>
      </c>
      <c r="D27" s="147" t="e">
        <f t="shared" si="4"/>
        <v>#DIV/0!</v>
      </c>
      <c r="E27" s="147" t="e">
        <f t="shared" si="4"/>
        <v>#DIV/0!</v>
      </c>
      <c r="F27" s="147" t="e">
        <f t="shared" si="4"/>
        <v>#DIV/0!</v>
      </c>
      <c r="G27" s="147" t="e">
        <f t="shared" si="4"/>
        <v>#DIV/0!</v>
      </c>
      <c r="H27" s="147" t="e">
        <f t="shared" si="4"/>
        <v>#DIV/0!</v>
      </c>
      <c r="I27" s="147" t="e">
        <f t="shared" si="4"/>
        <v>#DIV/0!</v>
      </c>
      <c r="J27" s="147">
        <f t="shared" si="4"/>
        <v>0</v>
      </c>
      <c r="K27" s="147">
        <f t="shared" si="4"/>
        <v>0</v>
      </c>
      <c r="L27" s="147">
        <f t="shared" si="4"/>
        <v>0</v>
      </c>
      <c r="M27" s="147">
        <f t="shared" si="4"/>
        <v>0</v>
      </c>
      <c r="N27" s="147">
        <f t="shared" si="4"/>
        <v>0</v>
      </c>
    </row>
    <row r="28" spans="1:14" ht="21" customHeight="1">
      <c r="A28" s="145">
        <v>24</v>
      </c>
      <c r="B28" s="146" t="s">
        <v>289</v>
      </c>
      <c r="C28" s="147" t="e">
        <f t="shared" ref="C28:N28" si="5">C23/C20</f>
        <v>#DIV/0!</v>
      </c>
      <c r="D28" s="147" t="e">
        <f t="shared" si="5"/>
        <v>#DIV/0!</v>
      </c>
      <c r="E28" s="147" t="e">
        <f t="shared" si="5"/>
        <v>#DIV/0!</v>
      </c>
      <c r="F28" s="147" t="e">
        <f t="shared" si="5"/>
        <v>#DIV/0!</v>
      </c>
      <c r="G28" s="147" t="e">
        <f t="shared" si="5"/>
        <v>#DIV/0!</v>
      </c>
      <c r="H28" s="147" t="e">
        <f t="shared" si="5"/>
        <v>#DIV/0!</v>
      </c>
      <c r="I28" s="147" t="e">
        <f t="shared" si="5"/>
        <v>#DIV/0!</v>
      </c>
      <c r="J28" s="147">
        <f t="shared" si="5"/>
        <v>0</v>
      </c>
      <c r="K28" s="147">
        <f t="shared" si="5"/>
        <v>0</v>
      </c>
      <c r="L28" s="147">
        <f t="shared" si="5"/>
        <v>0</v>
      </c>
      <c r="M28" s="147">
        <f t="shared" si="5"/>
        <v>0</v>
      </c>
      <c r="N28" s="147">
        <f t="shared" si="5"/>
        <v>0</v>
      </c>
    </row>
    <row r="29" spans="1:14" ht="21" customHeight="1">
      <c r="A29" s="145">
        <v>25</v>
      </c>
      <c r="B29" s="146" t="s">
        <v>290</v>
      </c>
      <c r="C29" s="147" t="e">
        <f>Form_III!E38/C20</f>
        <v>#DIV/0!</v>
      </c>
      <c r="D29" s="147" t="e">
        <f>Form_III!F38/D20</f>
        <v>#DIV/0!</v>
      </c>
      <c r="E29" s="150" t="e">
        <f>Form_III!G38/E20</f>
        <v>#DIV/0!</v>
      </c>
      <c r="F29" s="147" t="e">
        <f>Form_III!H38/F20</f>
        <v>#DIV/0!</v>
      </c>
      <c r="G29" s="147" t="e">
        <f>Form_III!I38/G20</f>
        <v>#DIV/0!</v>
      </c>
      <c r="H29" s="147" t="e">
        <f>Form_III!J38/H20</f>
        <v>#DIV/0!</v>
      </c>
      <c r="I29" s="147" t="e">
        <f>Form_III!K38/I20</f>
        <v>#DIV/0!</v>
      </c>
      <c r="J29" s="147">
        <f>Form_III!L38/J20</f>
        <v>0</v>
      </c>
      <c r="K29" s="147">
        <f>Form_III!M38/K20</f>
        <v>0</v>
      </c>
      <c r="L29" s="147">
        <f>Form_III!N38/L20</f>
        <v>0</v>
      </c>
      <c r="M29" s="147">
        <f>Form_III!O38/M20</f>
        <v>0</v>
      </c>
      <c r="N29" s="147">
        <f>Form_III!P38/N20</f>
        <v>0</v>
      </c>
    </row>
    <row r="30" spans="1:14" ht="21" customHeight="1">
      <c r="A30" s="145">
        <v>26</v>
      </c>
      <c r="B30" s="146" t="s">
        <v>291</v>
      </c>
      <c r="C30" s="147" t="e">
        <f>Form_III!E38/C22</f>
        <v>#DIV/0!</v>
      </c>
      <c r="D30" s="147" t="e">
        <f>Form_III!F38/D22</f>
        <v>#DIV/0!</v>
      </c>
      <c r="E30" s="150" t="e">
        <f>Form_III!G38/E22</f>
        <v>#DIV/0!</v>
      </c>
      <c r="F30" s="150" t="e">
        <f>Form_III!H38/F22</f>
        <v>#DIV/0!</v>
      </c>
      <c r="G30" s="147" t="e">
        <f>Form_III!I38/G22</f>
        <v>#DIV/0!</v>
      </c>
      <c r="H30" s="147" t="e">
        <f>Form_III!J38/H22</f>
        <v>#DIV/0!</v>
      </c>
      <c r="I30" s="147" t="e">
        <f>Form_III!K38/I22</f>
        <v>#DIV/0!</v>
      </c>
      <c r="J30" s="147">
        <f>Form_III!L38/J22</f>
        <v>0</v>
      </c>
      <c r="K30" s="147">
        <f>Form_III!M38/K22</f>
        <v>0</v>
      </c>
      <c r="L30" s="147">
        <f>Form_III!N38/L22</f>
        <v>0</v>
      </c>
      <c r="M30" s="147">
        <f>Form_III!O38/M22</f>
        <v>0</v>
      </c>
      <c r="N30" s="147">
        <f>Form_III!P38/N22</f>
        <v>0</v>
      </c>
    </row>
    <row r="31" spans="1:14" ht="21" customHeight="1">
      <c r="A31" s="145">
        <v>27</v>
      </c>
      <c r="B31" s="158" t="s">
        <v>292</v>
      </c>
      <c r="C31" s="150">
        <f>Form_III!E83</f>
        <v>0</v>
      </c>
      <c r="D31" s="147">
        <f>Form_III!F83</f>
        <v>0</v>
      </c>
      <c r="E31" s="150">
        <f>Form_III!G83</f>
        <v>0</v>
      </c>
      <c r="F31" s="150">
        <f>Form_III!H83</f>
        <v>0</v>
      </c>
      <c r="G31" s="147">
        <f>Form_III!I83</f>
        <v>0</v>
      </c>
      <c r="H31" s="147">
        <f>Form_III!J83</f>
        <v>0</v>
      </c>
      <c r="I31" s="147">
        <f>Form_III!K83</f>
        <v>0</v>
      </c>
      <c r="J31" s="147">
        <f>Form_III!L83</f>
        <v>2.5000000000000001E-3</v>
      </c>
      <c r="K31" s="147">
        <f>Form_III!M83</f>
        <v>0</v>
      </c>
      <c r="L31" s="147">
        <f>Form_III!N83</f>
        <v>0</v>
      </c>
      <c r="M31" s="147">
        <f>Form_III!O83</f>
        <v>1</v>
      </c>
      <c r="N31" s="147">
        <f>Form_III!P83</f>
        <v>0</v>
      </c>
    </row>
    <row r="32" spans="1:14" ht="21" customHeight="1">
      <c r="A32" s="145">
        <v>28</v>
      </c>
      <c r="B32" s="158" t="s">
        <v>293</v>
      </c>
      <c r="C32" s="150">
        <f>Form_III!E29</f>
        <v>0</v>
      </c>
      <c r="D32" s="147">
        <f>Form_III!F29</f>
        <v>0</v>
      </c>
      <c r="E32" s="150">
        <f>Form_III!G29</f>
        <v>0</v>
      </c>
      <c r="F32" s="150">
        <f>Form_III!H29</f>
        <v>0</v>
      </c>
      <c r="G32" s="147">
        <f>Form_III!I29</f>
        <v>0</v>
      </c>
      <c r="H32" s="147">
        <f>Form_III!J29</f>
        <v>0</v>
      </c>
      <c r="I32" s="147">
        <f>Form_III!K29</f>
        <v>0</v>
      </c>
      <c r="J32" s="147">
        <f>Form_III!L29</f>
        <v>0</v>
      </c>
      <c r="K32" s="147">
        <f>Form_III!M29</f>
        <v>0</v>
      </c>
      <c r="L32" s="147">
        <f>Form_III!N29</f>
        <v>0</v>
      </c>
      <c r="M32" s="147">
        <f>Form_III!O29</f>
        <v>0</v>
      </c>
      <c r="N32" s="147">
        <f>Form_III!P29</f>
        <v>0</v>
      </c>
    </row>
    <row r="33" spans="1:14" ht="21" customHeight="1">
      <c r="A33" s="145">
        <v>29</v>
      </c>
      <c r="B33" s="158" t="s">
        <v>294</v>
      </c>
      <c r="C33" s="150">
        <f t="shared" ref="C33:N33" si="6">C31-C32</f>
        <v>0</v>
      </c>
      <c r="D33" s="147">
        <f t="shared" si="6"/>
        <v>0</v>
      </c>
      <c r="E33" s="150">
        <f t="shared" si="6"/>
        <v>0</v>
      </c>
      <c r="F33" s="378">
        <f t="shared" si="6"/>
        <v>0</v>
      </c>
      <c r="G33" s="147">
        <f t="shared" si="6"/>
        <v>0</v>
      </c>
      <c r="H33" s="147">
        <f t="shared" si="6"/>
        <v>0</v>
      </c>
      <c r="I33" s="147">
        <f t="shared" si="6"/>
        <v>0</v>
      </c>
      <c r="J33" s="147">
        <f t="shared" si="6"/>
        <v>2.5000000000000001E-3</v>
      </c>
      <c r="K33" s="147">
        <f t="shared" si="6"/>
        <v>0</v>
      </c>
      <c r="L33" s="147">
        <f t="shared" si="6"/>
        <v>0</v>
      </c>
      <c r="M33" s="147">
        <f t="shared" si="6"/>
        <v>1</v>
      </c>
      <c r="N33" s="147">
        <f t="shared" si="6"/>
        <v>0</v>
      </c>
    </row>
    <row r="34" spans="1:14" ht="21" customHeight="1">
      <c r="A34" s="149">
        <v>30</v>
      </c>
      <c r="B34" s="158" t="s">
        <v>295</v>
      </c>
      <c r="C34" s="150" t="e">
        <f t="shared" ref="C34:N34" si="7">C31/C32</f>
        <v>#DIV/0!</v>
      </c>
      <c r="D34" s="147" t="e">
        <f t="shared" si="7"/>
        <v>#DIV/0!</v>
      </c>
      <c r="E34" s="150" t="e">
        <f t="shared" si="7"/>
        <v>#DIV/0!</v>
      </c>
      <c r="F34" s="378" t="e">
        <f t="shared" si="7"/>
        <v>#DIV/0!</v>
      </c>
      <c r="G34" s="379" t="e">
        <f t="shared" si="7"/>
        <v>#DIV/0!</v>
      </c>
      <c r="H34" s="147" t="e">
        <f t="shared" si="7"/>
        <v>#DIV/0!</v>
      </c>
      <c r="I34" s="147" t="e">
        <f t="shared" si="7"/>
        <v>#DIV/0!</v>
      </c>
      <c r="J34" s="147" t="e">
        <f t="shared" si="7"/>
        <v>#DIV/0!</v>
      </c>
      <c r="K34" s="147" t="e">
        <f t="shared" si="7"/>
        <v>#DIV/0!</v>
      </c>
      <c r="L34" s="147" t="e">
        <f t="shared" si="7"/>
        <v>#DIV/0!</v>
      </c>
      <c r="M34" s="147" t="e">
        <f t="shared" si="7"/>
        <v>#DIV/0!</v>
      </c>
      <c r="N34" s="147" t="e">
        <f t="shared" si="7"/>
        <v>#DIV/0!</v>
      </c>
    </row>
    <row r="35" spans="1:14" ht="21" customHeight="1">
      <c r="A35" s="149">
        <v>31</v>
      </c>
      <c r="B35" s="159" t="s">
        <v>296</v>
      </c>
      <c r="C35" s="151" t="e">
        <f>Form_II!E37/(Form_III!E90+Form_III!E83+Form_III!E104-Form_III!E28+Form_III!E22)</f>
        <v>#DIV/0!</v>
      </c>
      <c r="D35" s="148" t="e">
        <f>Form_II!F37/(Form_III!F90+Form_III!F83+Form_III!F104-Form_III!F28+Form_III!F22)</f>
        <v>#DIV/0!</v>
      </c>
      <c r="E35" s="151" t="e">
        <f>Form_II!G37/(Form_III!G90+Form_III!G83+Form_III!G104-Form_III!G28+Form_III!G22)</f>
        <v>#DIV/0!</v>
      </c>
      <c r="F35" s="151" t="e">
        <f>Form_II!H37/(Form_III!H90+Form_III!H83+Form_III!H104-Form_III!H28+Form_III!H22)</f>
        <v>#DIV/0!</v>
      </c>
      <c r="G35" s="148" t="e">
        <f>Form_II!I37/(Form_III!I90+Form_III!I83+Form_III!I104-Form_III!I28+Form_III!I22)</f>
        <v>#DIV/0!</v>
      </c>
      <c r="H35" s="148" t="e">
        <f>Form_II!J37/(Form_III!J90+Form_III!J83+Form_III!J104-Form_III!J28+Form_III!J22)</f>
        <v>#DIV/0!</v>
      </c>
      <c r="I35" s="148" t="e">
        <f>Form_II!K37/(Form_III!K90+Form_III!K83+Form_III!K104-Form_III!K28+Form_III!K22)</f>
        <v>#DIV/0!</v>
      </c>
      <c r="J35" s="148">
        <f>Form_II!L37/(Form_III!L90+Form_III!L83+Form_III!L104-Form_III!L28+Form_III!L22)</f>
        <v>4</v>
      </c>
      <c r="K35" s="148" t="e">
        <f>Form_II!M37/(Form_III!M90+Form_III!M83+Form_III!M104-Form_III!M28+Form_III!M22)</f>
        <v>#DIV/0!</v>
      </c>
      <c r="L35" s="148" t="e">
        <f>Form_II!N37/(Form_III!N90+Form_III!N83+Form_III!N104-Form_III!N28+Form_III!N22)</f>
        <v>#DIV/0!</v>
      </c>
      <c r="M35" s="148">
        <f>Form_II!O37/(Form_III!O90+Form_III!O83+Form_III!O104-Form_III!O28+Form_III!O22)</f>
        <v>0</v>
      </c>
      <c r="N35" s="148" t="e">
        <f>Form_II!P37/(Form_III!P90+Form_III!P83+Form_III!P104-Form_III!P28+Form_III!P22)</f>
        <v>#DIV/0!</v>
      </c>
    </row>
    <row r="36" spans="1:14" ht="21" customHeight="1">
      <c r="A36" s="149">
        <v>32</v>
      </c>
      <c r="B36" s="160" t="s">
        <v>297</v>
      </c>
      <c r="C36" s="153" t="e">
        <f>(C8-Form_II!E47)/Form_II!E38</f>
        <v>#DIV/0!</v>
      </c>
      <c r="D36" s="153" t="e">
        <f>(D8-Form_II!F47)/Form_II!F38</f>
        <v>#DIV/0!</v>
      </c>
      <c r="E36" s="153" t="e">
        <f>(E8-Form_II!G47)/Form_II!G38</f>
        <v>#DIV/0!</v>
      </c>
      <c r="F36" s="153" t="e">
        <f>(F8-Form_II!H47)/Form_II!H38</f>
        <v>#DIV/0!</v>
      </c>
      <c r="G36" s="154" t="e">
        <f>(G8-Form_II!I47)/Form_II!I38</f>
        <v>#DIV/0!</v>
      </c>
      <c r="H36" s="154" t="e">
        <f>(H8-Form_II!J47)/Form_II!J38</f>
        <v>#DIV/0!</v>
      </c>
      <c r="I36" s="154" t="e">
        <f>(I8-Form_II!K47)/Form_II!K38</f>
        <v>#DIV/0!</v>
      </c>
      <c r="J36" s="154" t="e">
        <f>(J8-Form_II!L47)/Form_II!L38</f>
        <v>#DIV/0!</v>
      </c>
      <c r="K36" s="154" t="e">
        <f>(K8-Form_II!M47)/Form_II!M38</f>
        <v>#DIV/0!</v>
      </c>
      <c r="L36" s="154" t="e">
        <f>(L8-Form_II!N47)/Form_II!N38</f>
        <v>#DIV/0!</v>
      </c>
      <c r="M36" s="154" t="e">
        <f>(M8-Form_II!O47)/Form_II!O38</f>
        <v>#DIV/0!</v>
      </c>
      <c r="N36" s="154" t="e">
        <f>(N8-Form_II!P47)/Form_II!P38</f>
        <v>#DIV/0!</v>
      </c>
    </row>
    <row r="37" spans="1:14" ht="21" customHeight="1">
      <c r="A37" s="149">
        <v>33</v>
      </c>
      <c r="B37" s="158" t="s">
        <v>298</v>
      </c>
      <c r="C37" s="150" t="e">
        <f t="shared" ref="C37:N37" si="8">C26/(C17*12/C$6)</f>
        <v>#DIV/0!</v>
      </c>
      <c r="D37" s="150" t="e">
        <f t="shared" si="8"/>
        <v>#DIV/0!</v>
      </c>
      <c r="E37" s="150" t="e">
        <f t="shared" si="8"/>
        <v>#DIV/0!</v>
      </c>
      <c r="F37" s="150" t="e">
        <f t="shared" si="8"/>
        <v>#DIV/0!</v>
      </c>
      <c r="G37" s="147" t="e">
        <f t="shared" si="8"/>
        <v>#DIV/0!</v>
      </c>
      <c r="H37" s="147" t="e">
        <f t="shared" si="8"/>
        <v>#DIV/0!</v>
      </c>
      <c r="I37" s="147" t="e">
        <f t="shared" si="8"/>
        <v>#DIV/0!</v>
      </c>
      <c r="J37" s="147">
        <f t="shared" si="8"/>
        <v>0</v>
      </c>
      <c r="K37" s="147" t="e">
        <f t="shared" si="8"/>
        <v>#DIV/0!</v>
      </c>
      <c r="L37" s="147" t="e">
        <f t="shared" si="8"/>
        <v>#DIV/0!</v>
      </c>
      <c r="M37" s="147" t="e">
        <f t="shared" si="8"/>
        <v>#DIV/0!</v>
      </c>
      <c r="N37" s="147" t="e">
        <f t="shared" si="8"/>
        <v>#DIV/0!</v>
      </c>
    </row>
    <row r="38" spans="1:14" ht="21" customHeight="1">
      <c r="A38" s="149">
        <v>34</v>
      </c>
      <c r="B38" s="161" t="s">
        <v>226</v>
      </c>
      <c r="C38" s="153"/>
      <c r="D38" s="153" t="e">
        <f>(D17+Form_II!F39)/(Form_III!E22+Form_II!F39)</f>
        <v>#DIV/0!</v>
      </c>
      <c r="E38" s="153" t="e">
        <f>(E17+Form_II!G39)/(Form_III!F22+Form_II!G39)</f>
        <v>#DIV/0!</v>
      </c>
      <c r="F38" s="153" t="e">
        <f>(F17+Form_II!H39)/(Form_III!G22+Form_II!H39)</f>
        <v>#DIV/0!</v>
      </c>
      <c r="G38" s="154" t="e">
        <f>(G17+Form_II!I39)/(Form_III!H22+Form_II!I39)</f>
        <v>#DIV/0!</v>
      </c>
      <c r="H38" s="154" t="e">
        <f>(H17+Form_II!J39)/(Form_III!I22+Form_II!J39)</f>
        <v>#DIV/0!</v>
      </c>
      <c r="I38" s="154" t="e">
        <f>(I17+Form_II!K39)/(Form_III!J22+Form_II!K39)</f>
        <v>#DIV/0!</v>
      </c>
      <c r="J38" s="154" t="e">
        <f>(J17+Form_II!L39)/(Form_III!K22+Form_II!L39)</f>
        <v>#DIV/0!</v>
      </c>
      <c r="K38" s="154" t="e">
        <f>(K17+Form_II!M39)/(Form_III!L22+Form_II!M39)</f>
        <v>#DIV/0!</v>
      </c>
      <c r="L38" s="154" t="e">
        <f>(L17+Form_II!N39)/(Form_III!M22+Form_II!N39)</f>
        <v>#DIV/0!</v>
      </c>
      <c r="M38" s="154" t="e">
        <f>(M17+Form_II!O39)/(Form_III!N22+Form_II!O39)</f>
        <v>#DIV/0!</v>
      </c>
      <c r="N38" s="154" t="e">
        <f>(N17+Form_II!P39)/(Form_III!O22+Form_II!P39)</f>
        <v>#DIV/0!</v>
      </c>
    </row>
    <row r="39" spans="1:14" ht="21" customHeight="1">
      <c r="A39" s="162">
        <v>35</v>
      </c>
      <c r="B39" s="163" t="s">
        <v>299</v>
      </c>
      <c r="C39" s="164" t="e">
        <f>(C7-(Form_II!E34-Form_II!E24))/C7</f>
        <v>#DIV/0!</v>
      </c>
      <c r="D39" s="165" t="e">
        <f>(D7-(Form_II!F34-Form_II!F24))/D7</f>
        <v>#DIV/0!</v>
      </c>
      <c r="E39" s="164" t="e">
        <f>(E7-(Form_II!G34-Form_II!G24))/E7</f>
        <v>#DIV/0!</v>
      </c>
      <c r="F39" s="164" t="e">
        <f>(F7-(Form_II!H34-Form_II!H24))/F7</f>
        <v>#DIV/0!</v>
      </c>
      <c r="G39" s="165" t="e">
        <f>(G7-(Form_II!I34-Form_II!I24))/G7</f>
        <v>#DIV/0!</v>
      </c>
      <c r="H39" s="165" t="e">
        <f>(H7-(Form_II!J34-Form_II!J24))/H7</f>
        <v>#DIV/0!</v>
      </c>
      <c r="I39" s="165" t="e">
        <f>(I7-(Form_II!K34-Form_II!K24))/I7</f>
        <v>#DIV/0!</v>
      </c>
      <c r="J39" s="165" t="e">
        <f>(J7-(Form_II!L34-Form_II!L24))/J7</f>
        <v>#DIV/0!</v>
      </c>
      <c r="K39" s="165" t="e">
        <f>(K7-(Form_II!M34-Form_II!M24))/K7</f>
        <v>#DIV/0!</v>
      </c>
      <c r="L39" s="165" t="e">
        <f>(L7-(Form_II!N34-Form_II!N24))/L7</f>
        <v>#DIV/0!</v>
      </c>
      <c r="M39" s="165" t="e">
        <f>(M7-(Form_II!O34-Form_II!O24))/M7</f>
        <v>#DIV/0!</v>
      </c>
      <c r="N39" s="165" t="e">
        <f>(N7-(Form_II!P34-Form_II!P24))/N7</f>
        <v>#DIV/0!</v>
      </c>
    </row>
    <row r="40" spans="1:14" ht="21" customHeight="1">
      <c r="A40" s="166"/>
      <c r="B40" s="167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</row>
    <row r="41" spans="1:14" ht="21" customHeight="1">
      <c r="A41" s="169" t="s">
        <v>300</v>
      </c>
      <c r="B41" s="170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</row>
    <row r="42" spans="1:14" ht="21" customHeight="1">
      <c r="A42" s="421" t="s">
        <v>301</v>
      </c>
      <c r="B42" s="421"/>
      <c r="C42" s="421"/>
      <c r="D42" s="172">
        <f>Form_II!F8</f>
        <v>2024</v>
      </c>
      <c r="E42" s="173">
        <f>Form_II!G8</f>
        <v>2025</v>
      </c>
      <c r="F42" s="172">
        <f>Form_II!H8</f>
        <v>2026</v>
      </c>
      <c r="G42" s="174">
        <f>Form_II!I8</f>
        <v>2027</v>
      </c>
      <c r="H42" s="174">
        <f>Form_II!J8</f>
        <v>2028</v>
      </c>
      <c r="I42" s="174">
        <f>Form_II!K8</f>
        <v>2029</v>
      </c>
      <c r="J42" s="174">
        <f>Form_II!L8</f>
        <v>2030</v>
      </c>
      <c r="K42" s="174">
        <f>Form_II!M8</f>
        <v>2031</v>
      </c>
      <c r="L42" s="174">
        <f>Form_II!N8</f>
        <v>2032</v>
      </c>
      <c r="M42" s="174">
        <f>Form_II!O8</f>
        <v>2033</v>
      </c>
      <c r="N42" s="174">
        <f>Form_II!P8</f>
        <v>2034</v>
      </c>
    </row>
    <row r="43" spans="1:14" ht="21" customHeight="1">
      <c r="A43" s="416" t="s">
        <v>302</v>
      </c>
      <c r="B43" s="416"/>
      <c r="C43" s="416"/>
      <c r="D43" s="147">
        <f>Form_VI!E19</f>
        <v>0</v>
      </c>
      <c r="E43" s="175">
        <f>Form_VI!F19</f>
        <v>0</v>
      </c>
      <c r="F43" s="147">
        <f>Form_VI!G19</f>
        <v>0</v>
      </c>
      <c r="G43" s="176">
        <f>Form_VI!H19</f>
        <v>0</v>
      </c>
      <c r="H43" s="176">
        <f>Form_VI!I19</f>
        <v>0</v>
      </c>
      <c r="I43" s="176">
        <f>Form_VI!J19</f>
        <v>0</v>
      </c>
      <c r="J43" s="176">
        <f>Form_VI!K19</f>
        <v>0.01</v>
      </c>
      <c r="K43" s="176">
        <f>Form_VI!L19</f>
        <v>0</v>
      </c>
      <c r="L43" s="176">
        <f>Form_VI!M19</f>
        <v>0</v>
      </c>
      <c r="M43" s="176">
        <f>Form_VI!N19</f>
        <v>0</v>
      </c>
      <c r="N43" s="176">
        <f>Form_VI!O19</f>
        <v>0</v>
      </c>
    </row>
    <row r="44" spans="1:14" ht="21" customHeight="1">
      <c r="A44" s="416" t="s">
        <v>303</v>
      </c>
      <c r="B44" s="416"/>
      <c r="C44" s="416"/>
      <c r="D44" s="147">
        <f>Form_VI!E29</f>
        <v>0</v>
      </c>
      <c r="E44" s="175">
        <f>Form_VI!F29</f>
        <v>0</v>
      </c>
      <c r="F44" s="147">
        <f>Form_VI!G29</f>
        <v>0</v>
      </c>
      <c r="G44" s="176">
        <f>Form_VI!H29</f>
        <v>0</v>
      </c>
      <c r="H44" s="176">
        <f>Form_VI!I29</f>
        <v>0</v>
      </c>
      <c r="I44" s="176">
        <f>Form_VI!J29</f>
        <v>0</v>
      </c>
      <c r="J44" s="176">
        <f>Form_VI!K29</f>
        <v>2.5000000000000005E-3</v>
      </c>
      <c r="K44" s="176">
        <f>Form_VI!L29</f>
        <v>0</v>
      </c>
      <c r="L44" s="176">
        <f>Form_VI!M29</f>
        <v>0</v>
      </c>
      <c r="M44" s="176">
        <f>Form_VI!N29</f>
        <v>0</v>
      </c>
      <c r="N44" s="176">
        <f>Form_VI!O29</f>
        <v>0</v>
      </c>
    </row>
    <row r="45" spans="1:14" ht="21" customHeight="1">
      <c r="A45" s="416" t="s">
        <v>304</v>
      </c>
      <c r="B45" s="416"/>
      <c r="C45" s="416"/>
      <c r="D45" s="147">
        <f>Form_VI!E31</f>
        <v>0</v>
      </c>
      <c r="E45" s="175">
        <f>Form_VI!F31</f>
        <v>0</v>
      </c>
      <c r="F45" s="147">
        <f>Form_VI!G31</f>
        <v>0</v>
      </c>
      <c r="G45" s="176">
        <f>Form_VI!H31</f>
        <v>0</v>
      </c>
      <c r="H45" s="176">
        <f>Form_VI!I31</f>
        <v>0</v>
      </c>
      <c r="I45" s="176">
        <f>Form_VI!J31</f>
        <v>0</v>
      </c>
      <c r="J45" s="176">
        <f>Form_VI!K31</f>
        <v>7.4999999999999997E-3</v>
      </c>
      <c r="K45" s="176">
        <f>Form_VI!L31</f>
        <v>0</v>
      </c>
      <c r="L45" s="176">
        <f>Form_VI!M31</f>
        <v>0</v>
      </c>
      <c r="M45" s="176">
        <f>Form_VI!N31</f>
        <v>0</v>
      </c>
      <c r="N45" s="176">
        <f>Form_VI!O31</f>
        <v>0</v>
      </c>
    </row>
    <row r="46" spans="1:14" ht="21" customHeight="1">
      <c r="A46" s="417" t="s">
        <v>305</v>
      </c>
      <c r="B46" s="417"/>
      <c r="C46" s="417"/>
      <c r="D46" s="177" t="e">
        <f>(Form_III!F83-Form_III!E83)/Form_III!E83</f>
        <v>#DIV/0!</v>
      </c>
      <c r="E46" s="178" t="e">
        <f>(Form_III!G83-Form_III!F83)/Form_III!F83</f>
        <v>#DIV/0!</v>
      </c>
      <c r="F46" s="177" t="e">
        <f>(Form_III!H83-Form_III!G83)/Form_III!G83</f>
        <v>#DIV/0!</v>
      </c>
      <c r="G46" s="179" t="e">
        <f>(Form_III!I83-Form_III!H83)/Form_III!H83</f>
        <v>#DIV/0!</v>
      </c>
      <c r="H46" s="179" t="e">
        <f>(Form_III!J83-Form_III!I83)/Form_III!I83</f>
        <v>#DIV/0!</v>
      </c>
      <c r="I46" s="179" t="e">
        <f>(Form_III!K83-Form_III!J83)/Form_III!J83</f>
        <v>#DIV/0!</v>
      </c>
      <c r="J46" s="179" t="e">
        <f>(Form_III!L83-Form_III!K83)/Form_III!K83</f>
        <v>#DIV/0!</v>
      </c>
      <c r="K46" s="179">
        <f>(Form_III!M83-Form_III!L83)/Form_III!L83</f>
        <v>-1</v>
      </c>
      <c r="L46" s="179" t="e">
        <f>(Form_III!N83-Form_III!M83)/Form_III!M83</f>
        <v>#DIV/0!</v>
      </c>
      <c r="M46" s="179" t="e">
        <f>(Form_III!O83-Form_III!N83)/Form_III!N83</f>
        <v>#DIV/0!</v>
      </c>
      <c r="N46" s="179">
        <f>(Form_III!P83-Form_III!O83)/Form_III!O83</f>
        <v>-1</v>
      </c>
    </row>
    <row r="47" spans="1:14" ht="21" customHeight="1"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</row>
    <row r="48" spans="1:14" ht="21" customHeight="1">
      <c r="A48" s="181" t="s">
        <v>306</v>
      </c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</row>
    <row r="49" spans="1:14" ht="21" customHeight="1">
      <c r="A49" s="183" t="s">
        <v>307</v>
      </c>
      <c r="B49" s="184"/>
      <c r="C49" s="185">
        <f>Form_II!E8</f>
        <v>2023</v>
      </c>
      <c r="D49" s="185">
        <f>Form_II!F8</f>
        <v>2024</v>
      </c>
      <c r="E49" s="186">
        <f>Form_II!G8</f>
        <v>2025</v>
      </c>
      <c r="F49" s="185">
        <f>Form_II!H8</f>
        <v>2026</v>
      </c>
      <c r="G49" s="187">
        <f>Form_II!I8</f>
        <v>2027</v>
      </c>
      <c r="H49" s="187">
        <f>Form_II!J8</f>
        <v>2028</v>
      </c>
      <c r="I49" s="187">
        <f>Form_II!K8</f>
        <v>2029</v>
      </c>
      <c r="J49" s="187">
        <f>Form_II!L8</f>
        <v>2030</v>
      </c>
      <c r="K49" s="187">
        <f>Form_II!M8</f>
        <v>2031</v>
      </c>
      <c r="L49" s="187">
        <f>Form_II!N8</f>
        <v>2032</v>
      </c>
      <c r="M49" s="187">
        <f>Form_II!O8</f>
        <v>2033</v>
      </c>
      <c r="N49" s="187">
        <f>Form_II!P8</f>
        <v>2034</v>
      </c>
    </row>
    <row r="50" spans="1:14" ht="21" customHeight="1">
      <c r="A50" s="188" t="s">
        <v>308</v>
      </c>
      <c r="B50" s="182"/>
      <c r="C50" s="189" t="e">
        <f>Form_III!E17/Form_III!E83</f>
        <v>#DIV/0!</v>
      </c>
      <c r="D50" s="189" t="e">
        <f>Form_III!F17/Form_III!F83</f>
        <v>#DIV/0!</v>
      </c>
      <c r="E50" s="190" t="e">
        <f>Form_III!G17/Form_III!G83</f>
        <v>#DIV/0!</v>
      </c>
      <c r="F50" s="189" t="e">
        <f>Form_III!H17/Form_III!H83</f>
        <v>#DIV/0!</v>
      </c>
      <c r="G50" s="191" t="e">
        <f>Form_III!I17/Form_III!I83</f>
        <v>#DIV/0!</v>
      </c>
      <c r="H50" s="191" t="e">
        <f>Form_III!J17/Form_III!J83</f>
        <v>#DIV/0!</v>
      </c>
      <c r="I50" s="191" t="e">
        <f>Form_III!K17/Form_III!K83</f>
        <v>#DIV/0!</v>
      </c>
      <c r="J50" s="191">
        <f>Form_III!L17/Form_III!L83</f>
        <v>0</v>
      </c>
      <c r="K50" s="191" t="e">
        <f>Form_III!M17/Form_III!M83</f>
        <v>#DIV/0!</v>
      </c>
      <c r="L50" s="191" t="e">
        <f>Form_III!N17/Form_III!N83</f>
        <v>#DIV/0!</v>
      </c>
      <c r="M50" s="191">
        <f>Form_III!O17/Form_III!O83</f>
        <v>0</v>
      </c>
      <c r="N50" s="191" t="e">
        <f>Form_III!P17/Form_III!P83</f>
        <v>#DIV/0!</v>
      </c>
    </row>
    <row r="51" spans="1:14" ht="21" customHeight="1">
      <c r="A51" s="188" t="s">
        <v>189</v>
      </c>
      <c r="B51" s="182"/>
      <c r="C51" s="189" t="e">
        <f>(Form_III!E28-Form_III!E17)/Form_III!E83</f>
        <v>#DIV/0!</v>
      </c>
      <c r="D51" s="189" t="e">
        <f>(Form_III!F28-Form_III!F17)/Form_III!F83</f>
        <v>#DIV/0!</v>
      </c>
      <c r="E51" s="190" t="e">
        <f>(Form_III!G28-Form_III!G17)/Form_III!G83</f>
        <v>#DIV/0!</v>
      </c>
      <c r="F51" s="189" t="e">
        <f>(Form_III!H28-Form_III!H17)/Form_III!H83</f>
        <v>#DIV/0!</v>
      </c>
      <c r="G51" s="191" t="e">
        <f>(Form_III!I28-Form_III!I17)/Form_III!I83</f>
        <v>#DIV/0!</v>
      </c>
      <c r="H51" s="191" t="e">
        <f>(Form_III!J28-Form_III!J17)/Form_III!J83</f>
        <v>#DIV/0!</v>
      </c>
      <c r="I51" s="191" t="e">
        <f>(Form_III!K28-Form_III!K17)/Form_III!K83</f>
        <v>#DIV/0!</v>
      </c>
      <c r="J51" s="191">
        <f>(Form_III!L28-Form_III!L17)/Form_III!L83</f>
        <v>0</v>
      </c>
      <c r="K51" s="191" t="e">
        <f>(Form_III!M28-Form_III!M17)/Form_III!M83</f>
        <v>#DIV/0!</v>
      </c>
      <c r="L51" s="191" t="e">
        <f>(Form_III!N28-Form_III!N17)/Form_III!N83</f>
        <v>#DIV/0!</v>
      </c>
      <c r="M51" s="191">
        <f>(Form_III!O28-Form_III!O17)/Form_III!O83</f>
        <v>0</v>
      </c>
      <c r="N51" s="191" t="e">
        <f>(Form_III!P28-Form_III!P17)/Form_III!P83</f>
        <v>#DIV/0!</v>
      </c>
    </row>
    <row r="52" spans="1:14" ht="21" customHeight="1">
      <c r="A52" s="188" t="s">
        <v>309</v>
      </c>
      <c r="B52" s="182"/>
      <c r="C52" s="189" t="e">
        <f>Form_III!E15/Form_III!E83</f>
        <v>#DIV/0!</v>
      </c>
      <c r="D52" s="189" t="e">
        <f>Form_III!F15/Form_III!F83</f>
        <v>#DIV/0!</v>
      </c>
      <c r="E52" s="190" t="e">
        <f>Form_III!G15/Form_III!G83</f>
        <v>#DIV/0!</v>
      </c>
      <c r="F52" s="189" t="e">
        <f>Form_III!H15/Form_III!H83</f>
        <v>#DIV/0!</v>
      </c>
      <c r="G52" s="191" t="e">
        <f>Form_III!I15/Form_III!I83</f>
        <v>#DIV/0!</v>
      </c>
      <c r="H52" s="191" t="e">
        <f>Form_III!J15/Form_III!J83</f>
        <v>#DIV/0!</v>
      </c>
      <c r="I52" s="191" t="e">
        <f>Form_III!K15/Form_III!K83</f>
        <v>#DIV/0!</v>
      </c>
      <c r="J52" s="191">
        <f>Form_III!L15/Form_III!L83</f>
        <v>0</v>
      </c>
      <c r="K52" s="191" t="e">
        <f>Form_III!M15/Form_III!M83</f>
        <v>#DIV/0!</v>
      </c>
      <c r="L52" s="191" t="e">
        <f>Form_III!N15/Form_III!N83</f>
        <v>#DIV/0!</v>
      </c>
      <c r="M52" s="191">
        <f>Form_III!O15/Form_III!O83</f>
        <v>0</v>
      </c>
      <c r="N52" s="191" t="e">
        <f>Form_III!P15/Form_III!P83</f>
        <v>#DIV/0!</v>
      </c>
    </row>
    <row r="53" spans="1:14" ht="21" customHeight="1">
      <c r="A53" s="188" t="s">
        <v>310</v>
      </c>
      <c r="B53" s="182"/>
      <c r="C53" s="192" t="e">
        <f t="shared" ref="C53:N53" si="9">1-(C50+C51+C52)</f>
        <v>#DIV/0!</v>
      </c>
      <c r="D53" s="192" t="e">
        <f t="shared" si="9"/>
        <v>#DIV/0!</v>
      </c>
      <c r="E53" s="193" t="e">
        <f t="shared" si="9"/>
        <v>#DIV/0!</v>
      </c>
      <c r="F53" s="192" t="e">
        <f t="shared" si="9"/>
        <v>#DIV/0!</v>
      </c>
      <c r="G53" s="194" t="e">
        <f t="shared" si="9"/>
        <v>#DIV/0!</v>
      </c>
      <c r="H53" s="194" t="e">
        <f t="shared" si="9"/>
        <v>#DIV/0!</v>
      </c>
      <c r="I53" s="194" t="e">
        <f t="shared" si="9"/>
        <v>#DIV/0!</v>
      </c>
      <c r="J53" s="194">
        <f t="shared" si="9"/>
        <v>1</v>
      </c>
      <c r="K53" s="194" t="e">
        <f t="shared" si="9"/>
        <v>#DIV/0!</v>
      </c>
      <c r="L53" s="194" t="e">
        <f t="shared" si="9"/>
        <v>#DIV/0!</v>
      </c>
      <c r="M53" s="194">
        <f t="shared" si="9"/>
        <v>1</v>
      </c>
      <c r="N53" s="194" t="e">
        <f t="shared" si="9"/>
        <v>#DIV/0!</v>
      </c>
    </row>
    <row r="54" spans="1:14" ht="21" customHeight="1">
      <c r="A54" s="415" t="s">
        <v>29</v>
      </c>
      <c r="B54" s="415"/>
      <c r="C54" s="195" t="e">
        <f t="shared" ref="C54:N54" si="10">C50+C51+C52+C53</f>
        <v>#DIV/0!</v>
      </c>
      <c r="D54" s="195" t="e">
        <f t="shared" si="10"/>
        <v>#DIV/0!</v>
      </c>
      <c r="E54" s="196" t="e">
        <f t="shared" si="10"/>
        <v>#DIV/0!</v>
      </c>
      <c r="F54" s="195" t="e">
        <f t="shared" si="10"/>
        <v>#DIV/0!</v>
      </c>
      <c r="G54" s="197" t="e">
        <f t="shared" si="10"/>
        <v>#DIV/0!</v>
      </c>
      <c r="H54" s="197" t="e">
        <f t="shared" si="10"/>
        <v>#DIV/0!</v>
      </c>
      <c r="I54" s="197" t="e">
        <f t="shared" si="10"/>
        <v>#DIV/0!</v>
      </c>
      <c r="J54" s="197">
        <f t="shared" si="10"/>
        <v>1</v>
      </c>
      <c r="K54" s="197" t="e">
        <f t="shared" si="10"/>
        <v>#DIV/0!</v>
      </c>
      <c r="L54" s="197" t="e">
        <f t="shared" si="10"/>
        <v>#DIV/0!</v>
      </c>
      <c r="M54" s="197">
        <f t="shared" si="10"/>
        <v>1</v>
      </c>
      <c r="N54" s="197" t="e">
        <f t="shared" si="10"/>
        <v>#DIV/0!</v>
      </c>
    </row>
    <row r="55" spans="1:14" ht="21" customHeight="1">
      <c r="A55" s="198"/>
      <c r="B55" s="198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</row>
    <row r="56" spans="1:14">
      <c r="A56" s="224" t="s">
        <v>580</v>
      </c>
    </row>
    <row r="57" spans="1:14">
      <c r="A57" s="373" t="s">
        <v>581</v>
      </c>
      <c r="B57" s="374"/>
      <c r="C57" s="374"/>
      <c r="D57" s="375">
        <f t="shared" ref="D57:K57" si="11">D17</f>
        <v>0</v>
      </c>
      <c r="E57" s="375">
        <f t="shared" si="11"/>
        <v>0</v>
      </c>
      <c r="F57" s="375">
        <f t="shared" si="11"/>
        <v>0</v>
      </c>
      <c r="G57" s="375">
        <f t="shared" si="11"/>
        <v>0</v>
      </c>
      <c r="H57" s="375">
        <f t="shared" si="11"/>
        <v>0</v>
      </c>
      <c r="I57" s="375">
        <f t="shared" si="11"/>
        <v>0</v>
      </c>
      <c r="J57" s="375">
        <f t="shared" si="11"/>
        <v>0.01</v>
      </c>
      <c r="K57" s="375">
        <f t="shared" si="11"/>
        <v>0</v>
      </c>
      <c r="L57" s="375">
        <f>L17</f>
        <v>0</v>
      </c>
      <c r="M57" s="375">
        <f>M17</f>
        <v>0</v>
      </c>
    </row>
    <row r="58" spans="1:14">
      <c r="A58" s="373" t="s">
        <v>582</v>
      </c>
      <c r="B58" s="374"/>
      <c r="C58" s="374"/>
      <c r="D58" s="375">
        <f>Form_II!F39</f>
        <v>0</v>
      </c>
      <c r="E58" s="375">
        <f>Form_II!G39</f>
        <v>0</v>
      </c>
      <c r="F58" s="375">
        <f>Form_II!H39</f>
        <v>0</v>
      </c>
      <c r="G58" s="375">
        <f>Form_II!I39</f>
        <v>0</v>
      </c>
      <c r="H58" s="375">
        <f>Form_II!J39</f>
        <v>0</v>
      </c>
      <c r="I58" s="375">
        <f>Form_II!K39</f>
        <v>0</v>
      </c>
      <c r="J58" s="375">
        <f>Form_II!L39</f>
        <v>0</v>
      </c>
      <c r="K58" s="375">
        <f>Form_II!M39</f>
        <v>0</v>
      </c>
      <c r="L58" s="375">
        <f>Form_II!N39</f>
        <v>0</v>
      </c>
      <c r="M58" s="375">
        <f>Form_II!O39</f>
        <v>0</v>
      </c>
    </row>
    <row r="59" spans="1:14">
      <c r="A59" s="376" t="s">
        <v>583</v>
      </c>
      <c r="B59" s="374"/>
      <c r="C59" s="374"/>
      <c r="D59" s="377">
        <f t="shared" ref="D59:K59" si="12">SUM(D57:D58)</f>
        <v>0</v>
      </c>
      <c r="E59" s="377">
        <f t="shared" si="12"/>
        <v>0</v>
      </c>
      <c r="F59" s="377">
        <f t="shared" si="12"/>
        <v>0</v>
      </c>
      <c r="G59" s="377">
        <f t="shared" si="12"/>
        <v>0</v>
      </c>
      <c r="H59" s="377">
        <f t="shared" si="12"/>
        <v>0</v>
      </c>
      <c r="I59" s="377">
        <f t="shared" si="12"/>
        <v>0</v>
      </c>
      <c r="J59" s="377">
        <f t="shared" si="12"/>
        <v>0.01</v>
      </c>
      <c r="K59" s="377">
        <f t="shared" si="12"/>
        <v>0</v>
      </c>
      <c r="L59" s="377">
        <f>SUM(L57:L58)</f>
        <v>0</v>
      </c>
      <c r="M59" s="377">
        <f>SUM(M57:M58)</f>
        <v>0</v>
      </c>
    </row>
    <row r="60" spans="1:14">
      <c r="A60" s="373" t="s">
        <v>582</v>
      </c>
      <c r="B60" s="374"/>
      <c r="C60" s="374"/>
      <c r="D60" s="375">
        <f t="shared" ref="D60:M60" si="13">D58</f>
        <v>0</v>
      </c>
      <c r="E60" s="375">
        <f t="shared" si="13"/>
        <v>0</v>
      </c>
      <c r="F60" s="375">
        <f t="shared" si="13"/>
        <v>0</v>
      </c>
      <c r="G60" s="375">
        <f t="shared" si="13"/>
        <v>0</v>
      </c>
      <c r="H60" s="375">
        <f t="shared" si="13"/>
        <v>0</v>
      </c>
      <c r="I60" s="375">
        <f t="shared" si="13"/>
        <v>0</v>
      </c>
      <c r="J60" s="375">
        <f t="shared" si="13"/>
        <v>0</v>
      </c>
      <c r="K60" s="375">
        <f t="shared" si="13"/>
        <v>0</v>
      </c>
      <c r="L60" s="375">
        <f t="shared" si="13"/>
        <v>0</v>
      </c>
      <c r="M60" s="375">
        <f t="shared" si="13"/>
        <v>0</v>
      </c>
    </row>
    <row r="61" spans="1:14">
      <c r="A61" s="373" t="s">
        <v>584</v>
      </c>
      <c r="B61" s="374"/>
      <c r="C61" s="374"/>
      <c r="D61" s="375">
        <f t="shared" ref="D61:M61" si="14">C24</f>
        <v>0</v>
      </c>
      <c r="E61" s="375">
        <f t="shared" si="14"/>
        <v>0</v>
      </c>
      <c r="F61" s="375">
        <f t="shared" si="14"/>
        <v>0</v>
      </c>
      <c r="G61" s="375">
        <f>(0.2944*12)+0.5444</f>
        <v>4.0771999999999995</v>
      </c>
      <c r="H61" s="375">
        <f t="shared" si="14"/>
        <v>0</v>
      </c>
      <c r="I61" s="375">
        <f t="shared" si="14"/>
        <v>0</v>
      </c>
      <c r="J61" s="375">
        <f t="shared" si="14"/>
        <v>0</v>
      </c>
      <c r="K61" s="375">
        <f t="shared" si="14"/>
        <v>0</v>
      </c>
      <c r="L61" s="375">
        <f t="shared" si="14"/>
        <v>0</v>
      </c>
      <c r="M61" s="375">
        <f t="shared" si="14"/>
        <v>0</v>
      </c>
    </row>
    <row r="62" spans="1:14">
      <c r="A62" s="376" t="s">
        <v>585</v>
      </c>
      <c r="B62" s="374"/>
      <c r="C62" s="374"/>
      <c r="D62" s="377">
        <f t="shared" ref="D62:M62" si="15">SUM(D60:D61)</f>
        <v>0</v>
      </c>
      <c r="E62" s="377">
        <f t="shared" si="15"/>
        <v>0</v>
      </c>
      <c r="F62" s="377">
        <f t="shared" si="15"/>
        <v>0</v>
      </c>
      <c r="G62" s="377">
        <f t="shared" si="15"/>
        <v>4.0771999999999995</v>
      </c>
      <c r="H62" s="377">
        <f t="shared" si="15"/>
        <v>0</v>
      </c>
      <c r="I62" s="377">
        <f t="shared" si="15"/>
        <v>0</v>
      </c>
      <c r="J62" s="377">
        <f t="shared" si="15"/>
        <v>0</v>
      </c>
      <c r="K62" s="377">
        <f t="shared" si="15"/>
        <v>0</v>
      </c>
      <c r="L62" s="377">
        <f t="shared" si="15"/>
        <v>0</v>
      </c>
      <c r="M62" s="377">
        <f t="shared" si="15"/>
        <v>0</v>
      </c>
    </row>
    <row r="63" spans="1:14">
      <c r="A63" s="376" t="s">
        <v>226</v>
      </c>
      <c r="B63" s="374"/>
      <c r="C63" s="374"/>
      <c r="D63" s="375" t="e">
        <f t="shared" ref="D63:M63" si="16">D59/D62</f>
        <v>#DIV/0!</v>
      </c>
      <c r="E63" s="375" t="e">
        <f t="shared" si="16"/>
        <v>#DIV/0!</v>
      </c>
      <c r="F63" s="375" t="e">
        <f t="shared" si="16"/>
        <v>#DIV/0!</v>
      </c>
      <c r="G63" s="375">
        <f t="shared" si="16"/>
        <v>0</v>
      </c>
      <c r="H63" s="375" t="e">
        <f t="shared" si="16"/>
        <v>#DIV/0!</v>
      </c>
      <c r="I63" s="375" t="e">
        <f t="shared" si="16"/>
        <v>#DIV/0!</v>
      </c>
      <c r="J63" s="375" t="e">
        <f t="shared" si="16"/>
        <v>#DIV/0!</v>
      </c>
      <c r="K63" s="375" t="e">
        <f t="shared" si="16"/>
        <v>#DIV/0!</v>
      </c>
      <c r="L63" s="375" t="e">
        <f t="shared" si="16"/>
        <v>#DIV/0!</v>
      </c>
      <c r="M63" s="375" t="e">
        <f t="shared" si="16"/>
        <v>#DIV/0!</v>
      </c>
    </row>
    <row r="66" spans="4:14">
      <c r="D66" s="372"/>
      <c r="E66" s="372"/>
      <c r="F66" s="372"/>
      <c r="G66" s="372"/>
      <c r="H66" s="372"/>
      <c r="I66" s="372"/>
      <c r="J66" s="372"/>
      <c r="K66" s="372"/>
      <c r="L66" s="372"/>
      <c r="M66" s="372"/>
    </row>
    <row r="67" spans="4:14">
      <c r="D67" s="372"/>
      <c r="E67" s="372"/>
      <c r="F67" s="372"/>
      <c r="G67" s="372"/>
      <c r="H67" s="372"/>
      <c r="I67" s="372"/>
      <c r="J67" s="372"/>
      <c r="K67" s="372"/>
      <c r="L67" s="372"/>
      <c r="M67" s="372"/>
      <c r="N67" s="372">
        <v>95.43013534528005</v>
      </c>
    </row>
    <row r="68" spans="4:14">
      <c r="D68" s="372"/>
      <c r="E68" s="372"/>
      <c r="F68" s="372"/>
      <c r="G68" s="372"/>
      <c r="H68" s="372"/>
      <c r="I68" s="372"/>
      <c r="J68" s="372"/>
      <c r="K68" s="372"/>
      <c r="L68" s="372"/>
    </row>
    <row r="69" spans="4:14">
      <c r="G69" s="263"/>
      <c r="H69" s="263"/>
      <c r="I69" s="263"/>
      <c r="J69" s="263"/>
      <c r="K69" s="263"/>
    </row>
  </sheetData>
  <mergeCells count="9">
    <mergeCell ref="A1:B1"/>
    <mergeCell ref="A4:A5"/>
    <mergeCell ref="B4:B5"/>
    <mergeCell ref="A42:C42"/>
    <mergeCell ref="A54:B54"/>
    <mergeCell ref="A43:C43"/>
    <mergeCell ref="A44:C44"/>
    <mergeCell ref="A45:C45"/>
    <mergeCell ref="A46:C46"/>
  </mergeCells>
  <phoneticPr fontId="19" type="noConversion"/>
  <printOptions horizontalCentered="1"/>
  <pageMargins left="0.23622047244094491" right="0.23622047244094491" top="0.78740157480314965" bottom="0.78740157480314965" header="0.51181102362204722" footer="0.51181102362204722"/>
  <pageSetup paperSize="9" scale="60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4A2D-5A04-4ECA-8411-161DCF5581DA}">
  <sheetPr>
    <pageSetUpPr fitToPage="1"/>
  </sheetPr>
  <dimension ref="A1:Q64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defaultColWidth="9" defaultRowHeight="13.2" outlineLevelCol="1"/>
  <cols>
    <col min="1" max="1" width="4.109375" style="272" customWidth="1"/>
    <col min="2" max="2" width="3.88671875" style="272" customWidth="1"/>
    <col min="3" max="3" width="7.33203125" style="272" customWidth="1"/>
    <col min="4" max="4" width="30.109375" style="272" customWidth="1"/>
    <col min="5" max="6" width="12.109375" style="272" customWidth="1"/>
    <col min="7" max="7" width="10.88671875" style="272" customWidth="1"/>
    <col min="8" max="13" width="9.6640625" style="272" customWidth="1"/>
    <col min="14" max="16" width="9.6640625" style="272" hidden="1" customWidth="1" outlineLevel="1"/>
    <col min="17" max="17" width="9" style="272" collapsed="1"/>
    <col min="18" max="16384" width="9" style="272"/>
  </cols>
  <sheetData>
    <row r="1" spans="1:16" ht="19.5" customHeight="1">
      <c r="A1" s="224" t="s">
        <v>421</v>
      </c>
      <c r="B1" s="224"/>
      <c r="C1" s="224"/>
      <c r="D1" s="224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</row>
    <row r="2" spans="1:16" ht="23.25" customHeight="1">
      <c r="A2" s="224" t="s">
        <v>422</v>
      </c>
      <c r="B2" s="224"/>
      <c r="C2" s="224"/>
      <c r="D2" s="224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</row>
    <row r="3" spans="1:16" ht="15" customHeight="1">
      <c r="A3" s="424"/>
      <c r="B3" s="424"/>
      <c r="C3" s="424"/>
      <c r="D3" s="424"/>
      <c r="E3" s="424"/>
      <c r="F3" s="424"/>
      <c r="G3" s="424"/>
      <c r="H3" s="424"/>
    </row>
    <row r="4" spans="1:16" ht="15" customHeight="1">
      <c r="C4" s="220" t="str">
        <f>Form_II!C4</f>
        <v>Name :</v>
      </c>
      <c r="D4" s="224">
        <f>'INPUT SHEET'!B7</f>
        <v>0</v>
      </c>
    </row>
    <row r="5" spans="1:16" ht="15" customHeight="1">
      <c r="A5" s="224"/>
    </row>
    <row r="6" spans="1:16" ht="15" customHeight="1">
      <c r="B6" s="224"/>
      <c r="C6" s="224"/>
      <c r="D6" s="224"/>
    </row>
    <row r="7" spans="1:16" ht="15" customHeight="1">
      <c r="E7" s="288" t="str">
        <f>'INPUT SHEET'!B10</f>
        <v>Audited</v>
      </c>
      <c r="F7" s="288" t="str">
        <f>'INPUT SHEET'!C10</f>
        <v>Audited</v>
      </c>
      <c r="G7" s="288" t="str">
        <f>'INPUT SHEET'!D10</f>
        <v>Provisionals</v>
      </c>
      <c r="H7" s="288" t="str">
        <f>'INPUT SHEET'!E10</f>
        <v>Projected</v>
      </c>
      <c r="I7" s="288" t="str">
        <f>'INPUT SHEET'!F10</f>
        <v>Projected</v>
      </c>
      <c r="J7" s="288" t="str">
        <f>'INPUT SHEET'!G10</f>
        <v>Projected</v>
      </c>
      <c r="K7" s="288" t="str">
        <f>'INPUT SHEET'!H10</f>
        <v>Projected</v>
      </c>
      <c r="L7" s="288" t="str">
        <f>'INPUT SHEET'!I10</f>
        <v>Projected</v>
      </c>
      <c r="M7" s="288" t="str">
        <f>'INPUT SHEET'!J10</f>
        <v>Projected</v>
      </c>
      <c r="N7" s="288" t="str">
        <f>'INPUT SHEET'!K10</f>
        <v>Projected</v>
      </c>
      <c r="O7" s="288" t="str">
        <f>'INPUT SHEET'!L10</f>
        <v>Projected</v>
      </c>
      <c r="P7" s="288" t="str">
        <f>'INPUT SHEET'!M10</f>
        <v>Projected</v>
      </c>
    </row>
    <row r="8" spans="1:16" ht="15" customHeight="1">
      <c r="D8" s="289" t="str">
        <f>'INPUT SHEET'!A8</f>
        <v>Year</v>
      </c>
      <c r="E8" s="288">
        <f>'INPUT SHEET'!B8</f>
        <v>2023</v>
      </c>
      <c r="F8" s="288">
        <f>'INPUT SHEET'!C8</f>
        <v>2024</v>
      </c>
      <c r="G8" s="288">
        <f>'INPUT SHEET'!D8</f>
        <v>2025</v>
      </c>
      <c r="H8" s="288">
        <f>'INPUT SHEET'!E8</f>
        <v>2026</v>
      </c>
      <c r="I8" s="288">
        <f>'INPUT SHEET'!F8</f>
        <v>2027</v>
      </c>
      <c r="J8" s="288">
        <f>'INPUT SHEET'!G8</f>
        <v>2028</v>
      </c>
      <c r="K8" s="288">
        <f>'INPUT SHEET'!H8</f>
        <v>2029</v>
      </c>
      <c r="L8" s="288">
        <f>'INPUT SHEET'!I8</f>
        <v>2030</v>
      </c>
      <c r="M8" s="288">
        <f>'INPUT SHEET'!J8</f>
        <v>2031</v>
      </c>
      <c r="N8" s="288">
        <f>'INPUT SHEET'!K8</f>
        <v>2032</v>
      </c>
      <c r="O8" s="288">
        <f>'INPUT SHEET'!L8</f>
        <v>2033</v>
      </c>
      <c r="P8" s="288">
        <f>'INPUT SHEET'!M8</f>
        <v>2034</v>
      </c>
    </row>
    <row r="9" spans="1:16" ht="15" customHeight="1">
      <c r="D9" s="289" t="str">
        <f>'INPUT SHEET'!A9</f>
        <v>Number of months</v>
      </c>
      <c r="E9" s="288">
        <f>'INPUT SHEET'!B9</f>
        <v>12</v>
      </c>
      <c r="F9" s="288">
        <f>'INPUT SHEET'!C9</f>
        <v>12</v>
      </c>
      <c r="G9" s="288">
        <f>'INPUT SHEET'!D9</f>
        <v>12</v>
      </c>
      <c r="H9" s="288">
        <f>'INPUT SHEET'!E9</f>
        <v>12</v>
      </c>
      <c r="I9" s="288">
        <f>'INPUT SHEET'!F9</f>
        <v>12</v>
      </c>
      <c r="J9" s="288">
        <f>'INPUT SHEET'!G9</f>
        <v>12</v>
      </c>
      <c r="K9" s="288">
        <f>'INPUT SHEET'!H9</f>
        <v>12</v>
      </c>
      <c r="L9" s="288">
        <f>'INPUT SHEET'!I9</f>
        <v>12</v>
      </c>
      <c r="M9" s="288">
        <f>'INPUT SHEET'!J9</f>
        <v>12</v>
      </c>
      <c r="N9" s="288">
        <f>'INPUT SHEET'!K9</f>
        <v>12</v>
      </c>
      <c r="O9" s="288">
        <f>'INPUT SHEET'!L9</f>
        <v>12</v>
      </c>
      <c r="P9" s="288">
        <f>'INPUT SHEET'!M9</f>
        <v>12</v>
      </c>
    </row>
    <row r="10" spans="1:16" ht="15" customHeight="1">
      <c r="A10" s="224" t="s">
        <v>423</v>
      </c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</row>
    <row r="11" spans="1:16" ht="15" customHeight="1">
      <c r="A11" s="291" t="s">
        <v>424</v>
      </c>
      <c r="B11" s="422" t="str">
        <f>Form_III!C69</f>
        <v>Raw Material</v>
      </c>
      <c r="C11" s="422"/>
      <c r="D11" s="422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</row>
    <row r="12" spans="1:16" ht="15" customHeight="1">
      <c r="B12" s="272" t="s">
        <v>336</v>
      </c>
      <c r="C12" s="272" t="s">
        <v>128</v>
      </c>
      <c r="E12" s="254">
        <f>Form_III!E70</f>
        <v>0</v>
      </c>
      <c r="F12" s="254">
        <f>Form_III!F70</f>
        <v>0</v>
      </c>
      <c r="G12" s="254">
        <f>Form_III!G70</f>
        <v>0</v>
      </c>
      <c r="H12" s="254">
        <f>Form_III!H70</f>
        <v>0</v>
      </c>
      <c r="I12" s="254">
        <f>Form_III!I70</f>
        <v>0</v>
      </c>
      <c r="J12" s="254">
        <f>Form_III!J70</f>
        <v>0</v>
      </c>
      <c r="K12" s="254">
        <f>Form_III!K70</f>
        <v>0</v>
      </c>
      <c r="L12" s="254">
        <f>Form_III!L70</f>
        <v>0</v>
      </c>
      <c r="M12" s="254">
        <f>Form_III!M70</f>
        <v>0</v>
      </c>
      <c r="N12" s="254">
        <f>Form_III!N70</f>
        <v>0</v>
      </c>
      <c r="O12" s="254">
        <f>Form_III!O70</f>
        <v>0</v>
      </c>
      <c r="P12" s="254">
        <f>Form_III!P70</f>
        <v>0</v>
      </c>
    </row>
    <row r="13" spans="1:16" ht="15" customHeight="1">
      <c r="A13" s="292"/>
      <c r="C13" s="272" t="s">
        <v>425</v>
      </c>
      <c r="E13" s="293" t="str">
        <f>IF(E12&lt;&gt;0,E12/((Form_II!E19*12/E$9)/12),"")</f>
        <v/>
      </c>
      <c r="F13" s="294" t="str">
        <f>IF(F12&lt;&gt;0,F12/((Form_II!F19*12/F$9)/12),"")</f>
        <v/>
      </c>
      <c r="G13" s="294" t="str">
        <f>IF(G12&lt;&gt;0,G12/((Form_II!G19*12/G$9)/12),"")</f>
        <v/>
      </c>
      <c r="H13" s="294" t="str">
        <f>IF(H12&lt;&gt;0,H12/((Form_II!H19*12/H$9)/12),"")</f>
        <v/>
      </c>
      <c r="I13" s="294" t="str">
        <f>IF(I12&lt;&gt;0,I12/((Form_II!I19*12/I$9)/12),"")</f>
        <v/>
      </c>
      <c r="J13" s="294" t="str">
        <f>IF(J12&lt;&gt;0,J12/((Form_II!J19*12/J$9)/12),"")</f>
        <v/>
      </c>
      <c r="K13" s="294" t="str">
        <f>IF(K12&lt;&gt;0,K12/((Form_II!K19*12/K$9)/12),"")</f>
        <v/>
      </c>
      <c r="L13" s="294" t="str">
        <f>IF(L12&lt;&gt;0,L12/((Form_II!L19*12/L$9)/12),"")</f>
        <v/>
      </c>
      <c r="M13" s="294" t="str">
        <f>IF(M12&lt;&gt;0,M12/((Form_II!M19*12/M$9)/12),"")</f>
        <v/>
      </c>
      <c r="N13" s="294" t="str">
        <f>IF(N12&lt;&gt;0,N12/((Form_II!N19*12/N$9)/12),"")</f>
        <v/>
      </c>
      <c r="O13" s="294" t="str">
        <f>IF(O12&lt;&gt;0,O12/((Form_II!O19*12/O$9)/12),"")</f>
        <v/>
      </c>
      <c r="P13" s="294" t="str">
        <f>IF(P12&lt;&gt;0,P12/((Form_II!P19*12/P$9)/12),"")</f>
        <v/>
      </c>
    </row>
    <row r="14" spans="1:16" ht="15" customHeight="1">
      <c r="A14" s="295"/>
      <c r="B14" s="272" t="s">
        <v>337</v>
      </c>
      <c r="C14" s="272" t="s">
        <v>426</v>
      </c>
      <c r="E14" s="254">
        <f>Form_III!E71</f>
        <v>0</v>
      </c>
      <c r="F14" s="254">
        <f>Form_III!F71</f>
        <v>0</v>
      </c>
      <c r="G14" s="254">
        <f>Form_III!G71</f>
        <v>0</v>
      </c>
      <c r="H14" s="254">
        <f>Form_III!H71</f>
        <v>0</v>
      </c>
      <c r="I14" s="254">
        <f>Form_III!I71</f>
        <v>0</v>
      </c>
      <c r="J14" s="254">
        <f>Form_III!J71</f>
        <v>0</v>
      </c>
      <c r="K14" s="254">
        <f>Form_III!K71</f>
        <v>0</v>
      </c>
      <c r="L14" s="254">
        <f>Form_III!L71</f>
        <v>0</v>
      </c>
      <c r="M14" s="254">
        <f>Form_III!M71</f>
        <v>0</v>
      </c>
      <c r="N14" s="254">
        <f>Form_III!N71</f>
        <v>0</v>
      </c>
      <c r="O14" s="254">
        <f>Form_III!O71</f>
        <v>0</v>
      </c>
      <c r="P14" s="254">
        <f>Form_III!P71</f>
        <v>0</v>
      </c>
    </row>
    <row r="15" spans="1:16" ht="15" customHeight="1">
      <c r="A15" s="291"/>
      <c r="C15" s="272" t="s">
        <v>425</v>
      </c>
      <c r="E15" s="254" t="str">
        <f>IF(E14&lt;&gt;0,E14/((Form_II!E20*12/E$9)/12),"")</f>
        <v/>
      </c>
      <c r="F15" s="254" t="str">
        <f>IF(F14&lt;&gt;0,F14/((Form_II!F20*12/F$9)/12),"")</f>
        <v/>
      </c>
      <c r="G15" s="254" t="str">
        <f>IF(G14&lt;&gt;0,G14/((Form_II!G20*12/G$9)/12),"")</f>
        <v/>
      </c>
      <c r="H15" s="254" t="str">
        <f>IF(H14&lt;&gt;0,H14/((Form_II!H20*12/H$9)/12),"")</f>
        <v/>
      </c>
      <c r="I15" s="254" t="str">
        <f>IF(I14&lt;&gt;0,I14/((Form_II!I20*12/I$9)/12),"")</f>
        <v/>
      </c>
      <c r="J15" s="254" t="str">
        <f>IF(J14&lt;&gt;0,J14/((Form_II!J20*12/J$9)/12),"")</f>
        <v/>
      </c>
      <c r="K15" s="254" t="str">
        <f>IF(K14&lt;&gt;0,K14/((Form_II!K20*12/K$9)/12),"")</f>
        <v/>
      </c>
      <c r="L15" s="254" t="str">
        <f>IF(L14&lt;&gt;0,L14/((Form_II!L20*12/L$9)/12),"")</f>
        <v/>
      </c>
      <c r="M15" s="254" t="str">
        <f>IF(M14&lt;&gt;0,M14/((Form_II!M20*12/M$9)/12),"")</f>
        <v/>
      </c>
      <c r="N15" s="254" t="str">
        <f>IF(N14&lt;&gt;0,N14/((Form_II!N20*12/N$9)/12),"")</f>
        <v/>
      </c>
      <c r="O15" s="254" t="str">
        <f>IF(O14&lt;&gt;0,O14/((Form_II!O20*12/O$9)/12),"")</f>
        <v/>
      </c>
      <c r="P15" s="254" t="str">
        <f>IF(P14&lt;&gt;0,P14/((Form_II!P20*12/P$9)/12),"")</f>
        <v/>
      </c>
    </row>
    <row r="16" spans="1:16" ht="15" customHeight="1">
      <c r="A16" s="291" t="s">
        <v>427</v>
      </c>
      <c r="B16" s="272" t="str">
        <f>Form_III!C74</f>
        <v>Stores and Spares</v>
      </c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</row>
    <row r="17" spans="1:16" ht="15" customHeight="1">
      <c r="B17" s="272" t="s">
        <v>336</v>
      </c>
      <c r="C17" s="272" t="s">
        <v>128</v>
      </c>
      <c r="E17" s="254">
        <f>Form_III!E75</f>
        <v>0</v>
      </c>
      <c r="F17" s="254">
        <f>Form_III!F75</f>
        <v>0</v>
      </c>
      <c r="G17" s="254">
        <f>Form_III!G75</f>
        <v>0</v>
      </c>
      <c r="H17" s="254">
        <f>Form_III!H75</f>
        <v>0</v>
      </c>
      <c r="I17" s="254">
        <f>Form_III!I75</f>
        <v>0</v>
      </c>
      <c r="J17" s="254">
        <f>Form_III!J75</f>
        <v>0</v>
      </c>
      <c r="K17" s="254">
        <f>Form_III!K75</f>
        <v>0</v>
      </c>
      <c r="L17" s="254">
        <f>Form_III!L75</f>
        <v>0</v>
      </c>
      <c r="M17" s="254">
        <f>Form_III!M75</f>
        <v>0</v>
      </c>
      <c r="N17" s="254">
        <f>Form_III!N75</f>
        <v>0</v>
      </c>
      <c r="O17" s="254">
        <f>Form_III!O75</f>
        <v>0</v>
      </c>
      <c r="P17" s="254">
        <f>Form_III!P75</f>
        <v>0</v>
      </c>
    </row>
    <row r="18" spans="1:16" ht="15" customHeight="1">
      <c r="A18" s="292"/>
      <c r="C18" s="272" t="s">
        <v>425</v>
      </c>
      <c r="E18" s="254" t="str">
        <f>IF(E17&lt;&gt;0,E17/((Form_II!E22*12/E$9)/12),"")</f>
        <v/>
      </c>
      <c r="F18" s="254" t="str">
        <f>IF(F17&lt;&gt;0,F17/((Form_II!F22*12/F$9)/12),"")</f>
        <v/>
      </c>
      <c r="G18" s="254" t="str">
        <f>IF(G17&lt;&gt;0,G17/((Form_II!G22*12/G$9)/12),"")</f>
        <v/>
      </c>
      <c r="H18" s="254" t="str">
        <f>IF(H17&lt;&gt;0,H17/((Form_II!H22*12/H$9)/12),"")</f>
        <v/>
      </c>
      <c r="I18" s="254" t="str">
        <f>IF(I17&lt;&gt;0,I17/((Form_II!I22*12/I$9)/12),"")</f>
        <v/>
      </c>
      <c r="J18" s="254" t="str">
        <f>IF(J17&lt;&gt;0,J17/((Form_II!J22*12/J$9)/12),"")</f>
        <v/>
      </c>
      <c r="K18" s="254" t="str">
        <f>IF(K17&lt;&gt;0,K17/((Form_II!K22*12/K$9)/12),"")</f>
        <v/>
      </c>
      <c r="L18" s="254" t="str">
        <f>IF(L17&lt;&gt;0,L17/((Form_II!L22*12/L$9)/12),"")</f>
        <v/>
      </c>
      <c r="M18" s="254" t="str">
        <f>IF(M17&lt;&gt;0,M17/((Form_II!M22*12/M$9)/12),"")</f>
        <v/>
      </c>
      <c r="N18" s="254" t="str">
        <f>IF(N17&lt;&gt;0,N17/((Form_II!N22*12/N$9)/12),"")</f>
        <v/>
      </c>
      <c r="O18" s="254" t="str">
        <f>IF(O17&lt;&gt;0,O17/((Form_II!O22*12/O$9)/12),"")</f>
        <v/>
      </c>
      <c r="P18" s="254" t="str">
        <f>IF(P17&lt;&gt;0,P17/((Form_II!P22*12/P$9)/12),"")</f>
        <v/>
      </c>
    </row>
    <row r="19" spans="1:16" ht="15" customHeight="1">
      <c r="A19" s="295"/>
      <c r="B19" s="272" t="s">
        <v>337</v>
      </c>
      <c r="C19" s="272" t="s">
        <v>426</v>
      </c>
      <c r="E19" s="254">
        <f>Form_III!E76</f>
        <v>0</v>
      </c>
      <c r="F19" s="254">
        <f>Form_III!F76</f>
        <v>0</v>
      </c>
      <c r="G19" s="254">
        <f>Form_III!G76</f>
        <v>0</v>
      </c>
      <c r="H19" s="254">
        <f>Form_III!H76</f>
        <v>0</v>
      </c>
      <c r="I19" s="254">
        <f>Form_III!I76</f>
        <v>0</v>
      </c>
      <c r="J19" s="254">
        <f>Form_III!J76</f>
        <v>0</v>
      </c>
      <c r="K19" s="254">
        <f>Form_III!K76</f>
        <v>0</v>
      </c>
      <c r="L19" s="254">
        <f>Form_III!L76</f>
        <v>0</v>
      </c>
      <c r="M19" s="254">
        <f>Form_III!M76</f>
        <v>0</v>
      </c>
      <c r="N19" s="254">
        <f>Form_III!N76</f>
        <v>0</v>
      </c>
      <c r="O19" s="254">
        <f>Form_III!O76</f>
        <v>0</v>
      </c>
      <c r="P19" s="254">
        <f>Form_III!P76</f>
        <v>0</v>
      </c>
    </row>
    <row r="20" spans="1:16" ht="15" customHeight="1">
      <c r="A20" s="291"/>
      <c r="C20" s="272" t="s">
        <v>425</v>
      </c>
      <c r="E20" s="254" t="str">
        <f>IF(E19&lt;&gt;0,E19/((Form_II!E23*12/E$9)/12),"")</f>
        <v/>
      </c>
      <c r="F20" s="254" t="str">
        <f>IF(F19&lt;&gt;0,F19/((Form_II!F23*12/F$9)/12),"")</f>
        <v/>
      </c>
      <c r="G20" s="254" t="str">
        <f>IF(G19&lt;&gt;0,G19/((Form_II!G23*12/G$9)/12),"")</f>
        <v/>
      </c>
      <c r="H20" s="254" t="str">
        <f>IF(H19&lt;&gt;0,H19/((Form_II!H23*12/H$9)/12),"")</f>
        <v/>
      </c>
      <c r="I20" s="254" t="str">
        <f>IF(I19&lt;&gt;0,I19/((Form_II!I23*12/I$9)/12),"")</f>
        <v/>
      </c>
      <c r="J20" s="254" t="str">
        <f>IF(J19&lt;&gt;0,J19/((Form_II!J23*12/J$9)/12),"")</f>
        <v/>
      </c>
      <c r="K20" s="254" t="str">
        <f>IF(K19&lt;&gt;0,K19/((Form_II!K23*12/K$9)/12),"")</f>
        <v/>
      </c>
      <c r="L20" s="254" t="str">
        <f>IF(L19&lt;&gt;0,L19/((Form_II!L23*12/L$9)/12),"")</f>
        <v/>
      </c>
      <c r="M20" s="254" t="str">
        <f>IF(M19&lt;&gt;0,M19/((Form_II!M23*12/M$9)/12),"")</f>
        <v/>
      </c>
      <c r="N20" s="254" t="str">
        <f>IF(N19&lt;&gt;0,N19/((Form_II!N23*12/N$9)/12),"")</f>
        <v/>
      </c>
      <c r="O20" s="254" t="str">
        <f>IF(O19&lt;&gt;0,O19/((Form_II!O23*12/O$9)/12),"")</f>
        <v/>
      </c>
      <c r="P20" s="254" t="str">
        <f>IF(P19&lt;&gt;0,P19/((Form_II!P23*12/P$9)/12),"")</f>
        <v/>
      </c>
    </row>
    <row r="21" spans="1:16" ht="15" customHeight="1">
      <c r="A21" s="291" t="s">
        <v>428</v>
      </c>
      <c r="B21" s="272" t="str">
        <f>Form_III!C72</f>
        <v>Stocks-in-process</v>
      </c>
      <c r="E21" s="254">
        <f>Form_III!E72</f>
        <v>0</v>
      </c>
      <c r="F21" s="254">
        <f>Form_III!F72</f>
        <v>0</v>
      </c>
      <c r="G21" s="254">
        <f>Form_III!G72</f>
        <v>0</v>
      </c>
      <c r="H21" s="254">
        <f>Form_III!H72</f>
        <v>0</v>
      </c>
      <c r="I21" s="254">
        <f>Form_III!I72</f>
        <v>0</v>
      </c>
      <c r="J21" s="254">
        <f>Form_III!J72</f>
        <v>0</v>
      </c>
      <c r="K21" s="254">
        <f>Form_III!K72</f>
        <v>0</v>
      </c>
      <c r="L21" s="254">
        <f>Form_III!L72</f>
        <v>0</v>
      </c>
      <c r="M21" s="254">
        <f>Form_III!M72</f>
        <v>0</v>
      </c>
      <c r="N21" s="254">
        <f>Form_III!N72</f>
        <v>0</v>
      </c>
      <c r="O21" s="254">
        <f>Form_III!O72</f>
        <v>0</v>
      </c>
      <c r="P21" s="254">
        <f>Form_III!P72</f>
        <v>0</v>
      </c>
    </row>
    <row r="22" spans="1:16" ht="15" customHeight="1">
      <c r="A22" s="291"/>
      <c r="B22" s="272" t="s">
        <v>429</v>
      </c>
      <c r="E22" s="254" t="str">
        <f>IF(E21&lt;&gt;0,E21/((Form_II!E30*12/E$9)/12),"")</f>
        <v/>
      </c>
      <c r="F22" s="254" t="str">
        <f>IF(F21&lt;&gt;0,F21/((Form_II!F30*12/F$9)/12),"")</f>
        <v/>
      </c>
      <c r="G22" s="254" t="str">
        <f>IF(G21&lt;&gt;0,G21/((Form_II!G30*12/G$9)/12),"")</f>
        <v/>
      </c>
      <c r="H22" s="254" t="str">
        <f>IF(H21&lt;&gt;0,H21/((Form_II!H30*12/H$9)/12),"")</f>
        <v/>
      </c>
      <c r="I22" s="254" t="str">
        <f>IF(I21&lt;&gt;0,I21/((Form_II!I30*12/I$9)/12),"")</f>
        <v/>
      </c>
      <c r="J22" s="254" t="str">
        <f>IF(J21&lt;&gt;0,J21/((Form_II!J30*12/J$9)/12),"")</f>
        <v/>
      </c>
      <c r="K22" s="254" t="str">
        <f>IF(K21&lt;&gt;0,K21/((Form_II!K30*12/K$9)/12),"")</f>
        <v/>
      </c>
      <c r="L22" s="254" t="str">
        <f>IF(L21&lt;&gt;0,L21/((Form_II!L30*12/L$9)/12),"")</f>
        <v/>
      </c>
      <c r="M22" s="254" t="str">
        <f>IF(M21&lt;&gt;0,M21/((Form_II!M30*12/M$9)/12),"")</f>
        <v/>
      </c>
      <c r="N22" s="254" t="str">
        <f>IF(N21&lt;&gt;0,N21/((Form_II!N30*12/N$9)/12),"")</f>
        <v/>
      </c>
      <c r="O22" s="254" t="str">
        <f>IF(O21&lt;&gt;0,O21/((Form_II!O30*12/O$9)/12),"")</f>
        <v/>
      </c>
      <c r="P22" s="254" t="str">
        <f>IF(P21&lt;&gt;0,P21/((Form_II!P30*12/P$9)/12),"")</f>
        <v/>
      </c>
    </row>
    <row r="23" spans="1:16" ht="15" customHeight="1">
      <c r="A23" s="291" t="s">
        <v>430</v>
      </c>
      <c r="B23" s="272" t="str">
        <f>Form_III!C73</f>
        <v>Finished Goods</v>
      </c>
      <c r="E23" s="254">
        <f>Form_III!E73</f>
        <v>0</v>
      </c>
      <c r="F23" s="254">
        <f>Form_III!F73</f>
        <v>0</v>
      </c>
      <c r="G23" s="254">
        <f>Form_III!G73</f>
        <v>0</v>
      </c>
      <c r="H23" s="254">
        <f>Form_III!H73</f>
        <v>0</v>
      </c>
      <c r="I23" s="254">
        <f>Form_III!I73</f>
        <v>0</v>
      </c>
      <c r="J23" s="254">
        <f>Form_III!J73</f>
        <v>0</v>
      </c>
      <c r="K23" s="254">
        <f>Form_III!K73</f>
        <v>0</v>
      </c>
      <c r="L23" s="254">
        <f>Form_III!L73</f>
        <v>0</v>
      </c>
      <c r="M23" s="254">
        <f>Form_III!M73</f>
        <v>0</v>
      </c>
      <c r="N23" s="254">
        <f>Form_III!N73</f>
        <v>0</v>
      </c>
      <c r="O23" s="254">
        <f>Form_III!O73</f>
        <v>0</v>
      </c>
      <c r="P23" s="254">
        <f>Form_III!P73</f>
        <v>0</v>
      </c>
    </row>
    <row r="24" spans="1:16" ht="15" customHeight="1">
      <c r="A24" s="224"/>
      <c r="B24" s="272" t="s">
        <v>431</v>
      </c>
      <c r="E24" s="254" t="str">
        <f>IF(E23&lt;&gt;0,E23/((Form_II!E34*12/E$9)/12),"")</f>
        <v/>
      </c>
      <c r="F24" s="254" t="str">
        <f>IF(F23&lt;&gt;0,F23/((Form_II!F34*12/F$9)/12),"")</f>
        <v/>
      </c>
      <c r="G24" s="254" t="str">
        <f>IF(G23&lt;&gt;0,G23/((Form_II!G34*12/G$9)/12),"")</f>
        <v/>
      </c>
      <c r="H24" s="254" t="str">
        <f>IF(H23&lt;&gt;0,H23/((Form_II!H34*12/H$9)/12),"")</f>
        <v/>
      </c>
      <c r="I24" s="254" t="str">
        <f>IF(I23&lt;&gt;0,I23/((Form_II!I34*12/I$9)/12),"")</f>
        <v/>
      </c>
      <c r="J24" s="254" t="str">
        <f>IF(J23&lt;&gt;0,J23/((Form_II!J34*12/J$9)/12),"")</f>
        <v/>
      </c>
      <c r="K24" s="254" t="str">
        <f>IF(K23&lt;&gt;0,K23/((Form_II!K34*12/K$9)/12),"")</f>
        <v/>
      </c>
      <c r="L24" s="254" t="str">
        <f>IF(L23&lt;&gt;0,L23/((Form_II!L34*12/L$9)/12),"")</f>
        <v/>
      </c>
      <c r="M24" s="254" t="str">
        <f>IF(M23&lt;&gt;0,M23/((Form_II!M34*12/M$9)/12),"")</f>
        <v/>
      </c>
      <c r="N24" s="254" t="str">
        <f>IF(N23&lt;&gt;0,N23/((Form_II!N34*12/N$9)/12),"")</f>
        <v/>
      </c>
      <c r="O24" s="254" t="str">
        <f>IF(O23&lt;&gt;0,O23/((Form_II!O34*12/O$9)/12),"")</f>
        <v/>
      </c>
      <c r="P24" s="254" t="str">
        <f>IF(P23&lt;&gt;0,P23/((Form_II!P34*12/P$9)/12),"")</f>
        <v/>
      </c>
    </row>
    <row r="25" spans="1:16" ht="27" customHeight="1">
      <c r="A25" s="291" t="s">
        <v>432</v>
      </c>
      <c r="B25" s="423" t="str">
        <f>Form_III!C66</f>
        <v>Domestic Receivables ( including bills purchased and discounted)</v>
      </c>
      <c r="C25" s="423"/>
      <c r="D25" s="423"/>
      <c r="E25" s="254">
        <f>Form_III!E66</f>
        <v>0</v>
      </c>
      <c r="F25" s="254">
        <f>Form_III!F66</f>
        <v>0</v>
      </c>
      <c r="G25" s="254">
        <f>Form_III!G66</f>
        <v>0</v>
      </c>
      <c r="H25" s="254">
        <f>Form_III!H66</f>
        <v>0</v>
      </c>
      <c r="I25" s="254">
        <f>Form_III!I66</f>
        <v>0</v>
      </c>
      <c r="J25" s="254">
        <f>Form_III!J66</f>
        <v>0</v>
      </c>
      <c r="K25" s="254">
        <f>Form_III!K66</f>
        <v>0</v>
      </c>
      <c r="L25" s="254">
        <f>Form_III!L66</f>
        <v>0</v>
      </c>
      <c r="M25" s="254">
        <f>Form_III!M66</f>
        <v>0</v>
      </c>
      <c r="N25" s="254">
        <f>Form_III!N66</f>
        <v>0</v>
      </c>
      <c r="O25" s="254">
        <f>Form_III!O66</f>
        <v>0</v>
      </c>
      <c r="P25" s="254">
        <f>Form_III!P66</f>
        <v>0</v>
      </c>
    </row>
    <row r="26" spans="1:16" ht="12.75" customHeight="1">
      <c r="A26" s="291"/>
      <c r="B26" s="272" t="s">
        <v>433</v>
      </c>
      <c r="E26" s="254" t="str">
        <f>IF(E25&lt;&gt;0,E25/((Form_II!E11*12/E$9)/12),"")</f>
        <v/>
      </c>
      <c r="F26" s="254" t="str">
        <f>IF(F25&lt;&gt;0,F25/((Form_II!F11*12/F$9)/12),"")</f>
        <v/>
      </c>
      <c r="G26" s="254" t="str">
        <f>IF(G25&lt;&gt;0,G25/((Form_II!G11*12/G$9)/12),"")</f>
        <v/>
      </c>
      <c r="H26" s="254" t="str">
        <f>IF(H25&lt;&gt;0,H25/((Form_II!H11*12/H$9)/12),"")</f>
        <v/>
      </c>
      <c r="I26" s="254" t="str">
        <f>IF(I25&lt;&gt;0,I25/((Form_II!I11*12/I$9)/12),"")</f>
        <v/>
      </c>
      <c r="J26" s="254" t="str">
        <f>IF(J25&lt;&gt;0,J25/((Form_II!J11*12/J$9)/12),"")</f>
        <v/>
      </c>
      <c r="K26" s="254" t="str">
        <f>IF(K25&lt;&gt;0,K25/((Form_II!K11*12/K$9)/12),"")</f>
        <v/>
      </c>
      <c r="L26" s="254" t="str">
        <f>IF(L25&lt;&gt;0,L25/((Form_II!L11*12/L$9)/12),"")</f>
        <v/>
      </c>
      <c r="M26" s="254" t="str">
        <f>IF(M25&lt;&gt;0,M25/((Form_II!M11*12/M$9)/12),"")</f>
        <v/>
      </c>
      <c r="N26" s="254" t="str">
        <f>IF(N25&lt;&gt;0,N25/((Form_II!N11*12/N$9)/12),"")</f>
        <v/>
      </c>
      <c r="O26" s="254" t="str">
        <f>IF(O25&lt;&gt;0,O25/((Form_II!O11*12/O$9)/12),"")</f>
        <v/>
      </c>
      <c r="P26" s="254" t="str">
        <f>IF(P25&lt;&gt;0,P25/((Form_II!P11*12/P$9)/12),"")</f>
        <v/>
      </c>
    </row>
    <row r="27" spans="1:16" ht="26.25" customHeight="1">
      <c r="A27" s="291" t="s">
        <v>434</v>
      </c>
      <c r="B27" s="423" t="str">
        <f>Form_III!C67</f>
        <v>Export Receivables ( including bills purchased and discounted)</v>
      </c>
      <c r="C27" s="423"/>
      <c r="D27" s="423"/>
      <c r="E27" s="254">
        <f>Form_III!E67</f>
        <v>0</v>
      </c>
      <c r="F27" s="254">
        <f>Form_III!F67</f>
        <v>0</v>
      </c>
      <c r="G27" s="254">
        <f>Form_III!G67</f>
        <v>0</v>
      </c>
      <c r="H27" s="254">
        <f>Form_III!H67</f>
        <v>0</v>
      </c>
      <c r="I27" s="254">
        <f>Form_III!I67</f>
        <v>0</v>
      </c>
      <c r="J27" s="254">
        <f>Form_III!J67</f>
        <v>0</v>
      </c>
      <c r="K27" s="254">
        <f>Form_III!K67</f>
        <v>0</v>
      </c>
      <c r="L27" s="254">
        <f>Form_III!L67</f>
        <v>0</v>
      </c>
      <c r="M27" s="254">
        <f>Form_III!M67</f>
        <v>0</v>
      </c>
      <c r="N27" s="254">
        <f>Form_III!N67</f>
        <v>0</v>
      </c>
      <c r="O27" s="254">
        <f>Form_III!O67</f>
        <v>0</v>
      </c>
      <c r="P27" s="254">
        <f>Form_III!P67</f>
        <v>0</v>
      </c>
    </row>
    <row r="28" spans="1:16" ht="15" customHeight="1">
      <c r="A28" s="291"/>
      <c r="B28" s="272" t="s">
        <v>435</v>
      </c>
      <c r="E28" s="254" t="str">
        <f>IF(E27&lt;&gt;0,E27/(Form_II!E12/Form_II!E9),"")</f>
        <v/>
      </c>
      <c r="F28" s="254" t="str">
        <f>IF(F27&lt;&gt;0,F27/(Form_II!F12/Form_II!F9),"")</f>
        <v/>
      </c>
      <c r="G28" s="254" t="str">
        <f>IF(G27&lt;&gt;0,G27/(Form_II!G12/Form_II!G9),"")</f>
        <v/>
      </c>
      <c r="H28" s="254" t="str">
        <f>IF(H27&lt;&gt;0,H27/(Form_II!H12/Form_II!H9),"")</f>
        <v/>
      </c>
      <c r="I28" s="254" t="str">
        <f>IF(I27&lt;&gt;0,I27/(Form_II!I12/Form_II!I9),"")</f>
        <v/>
      </c>
      <c r="J28" s="254" t="str">
        <f>IF(J27&lt;&gt;0,J27/(Form_II!J12/Form_II!J9),"")</f>
        <v/>
      </c>
      <c r="K28" s="254" t="str">
        <f>IF(K27&lt;&gt;0,K27/(Form_II!K12/Form_II!K9),"")</f>
        <v/>
      </c>
      <c r="L28" s="254" t="str">
        <f>IF(L27&lt;&gt;0,L27/(Form_II!L12/Form_II!L9),"")</f>
        <v/>
      </c>
      <c r="M28" s="254" t="str">
        <f>IF(M27&lt;&gt;0,M27/(Form_II!M12/Form_II!M9),"")</f>
        <v/>
      </c>
      <c r="N28" s="254" t="str">
        <f>IF(N27&lt;&gt;0,N27/(Form_II!N12/Form_II!N9),"")</f>
        <v/>
      </c>
      <c r="O28" s="254" t="str">
        <f>IF(O27&lt;&gt;0,O27/(Form_II!O12/Form_II!O9),"")</f>
        <v/>
      </c>
      <c r="P28" s="254" t="str">
        <f>IF(P27&lt;&gt;0,P27/(Form_II!P12/Form_II!P9),"")</f>
        <v/>
      </c>
    </row>
    <row r="29" spans="1:16" ht="18" customHeight="1">
      <c r="A29" s="291" t="s">
        <v>436</v>
      </c>
      <c r="B29" s="423" t="str">
        <f>Form_III!B77</f>
        <v xml:space="preserve">Advances recoverable in cash or in kind </v>
      </c>
      <c r="C29" s="423"/>
      <c r="D29" s="423"/>
      <c r="E29" s="254">
        <f>Form_III!E77</f>
        <v>0</v>
      </c>
      <c r="F29" s="254">
        <f>Form_III!F77</f>
        <v>0</v>
      </c>
      <c r="G29" s="254">
        <f>Form_III!G77</f>
        <v>0</v>
      </c>
      <c r="H29" s="254">
        <f>Form_III!H77</f>
        <v>0</v>
      </c>
      <c r="I29" s="254">
        <f>Form_III!I77</f>
        <v>0</v>
      </c>
      <c r="J29" s="254">
        <f>Form_III!J77</f>
        <v>0</v>
      </c>
      <c r="K29" s="254">
        <f>Form_III!K77</f>
        <v>0</v>
      </c>
      <c r="L29" s="254">
        <f>Form_III!L77</f>
        <v>0</v>
      </c>
      <c r="M29" s="254">
        <f>Form_III!M77</f>
        <v>0</v>
      </c>
      <c r="N29" s="254">
        <f>Form_III!N77</f>
        <v>0</v>
      </c>
      <c r="O29" s="254">
        <f>Form_III!O77</f>
        <v>0</v>
      </c>
      <c r="P29" s="254">
        <f>Form_III!P77</f>
        <v>0</v>
      </c>
    </row>
    <row r="30" spans="1:16" ht="12.75" customHeight="1">
      <c r="A30" s="291" t="s">
        <v>437</v>
      </c>
      <c r="B30" s="272" t="str">
        <f>Form_III!B78</f>
        <v>Advances to suppliers of raw materials</v>
      </c>
      <c r="E30" s="254">
        <f>Form_III!E78</f>
        <v>0</v>
      </c>
      <c r="F30" s="254">
        <f>Form_III!F78</f>
        <v>0</v>
      </c>
      <c r="G30" s="254">
        <f>Form_III!G78</f>
        <v>0</v>
      </c>
      <c r="H30" s="254">
        <f>Form_III!H78</f>
        <v>0</v>
      </c>
      <c r="I30" s="254">
        <f>Form_III!I78</f>
        <v>0</v>
      </c>
      <c r="J30" s="254">
        <f>Form_III!J78</f>
        <v>0</v>
      </c>
      <c r="K30" s="254">
        <f>Form_III!K78</f>
        <v>0</v>
      </c>
      <c r="L30" s="254">
        <f>Form_III!L78</f>
        <v>0</v>
      </c>
      <c r="M30" s="254">
        <f>Form_III!M78</f>
        <v>0</v>
      </c>
      <c r="N30" s="254">
        <f>Form_III!N78</f>
        <v>0</v>
      </c>
      <c r="O30" s="254">
        <f>Form_III!O78</f>
        <v>0</v>
      </c>
      <c r="P30" s="254">
        <f>Form_III!P78</f>
        <v>0</v>
      </c>
    </row>
    <row r="31" spans="1:16" ht="12.75" customHeight="1">
      <c r="A31" s="291" t="s">
        <v>438</v>
      </c>
      <c r="B31" s="272" t="s">
        <v>439</v>
      </c>
      <c r="E31" s="254">
        <f t="shared" ref="E31:P31" si="0">SUM(E32:E38)</f>
        <v>0</v>
      </c>
      <c r="F31" s="254">
        <f t="shared" si="0"/>
        <v>0</v>
      </c>
      <c r="G31" s="254">
        <f t="shared" si="0"/>
        <v>0</v>
      </c>
      <c r="H31" s="254">
        <f t="shared" si="0"/>
        <v>0</v>
      </c>
      <c r="I31" s="254">
        <f t="shared" si="0"/>
        <v>0</v>
      </c>
      <c r="J31" s="254">
        <f t="shared" si="0"/>
        <v>0</v>
      </c>
      <c r="K31" s="254">
        <f t="shared" si="0"/>
        <v>0</v>
      </c>
      <c r="L31" s="254">
        <f t="shared" si="0"/>
        <v>2.5000000000000001E-3</v>
      </c>
      <c r="M31" s="254">
        <f t="shared" si="0"/>
        <v>0</v>
      </c>
      <c r="N31" s="254">
        <f t="shared" si="0"/>
        <v>0</v>
      </c>
      <c r="O31" s="254">
        <f t="shared" si="0"/>
        <v>1</v>
      </c>
      <c r="P31" s="254">
        <f t="shared" si="0"/>
        <v>0</v>
      </c>
    </row>
    <row r="32" spans="1:16" ht="15" customHeight="1">
      <c r="A32" s="291"/>
      <c r="B32" s="291"/>
      <c r="C32" s="272" t="str">
        <f>Form_III!B60</f>
        <v>i.</v>
      </c>
      <c r="D32" s="272" t="str">
        <f>Form_III!C60</f>
        <v>Cash Balance</v>
      </c>
      <c r="E32" s="254">
        <f>Form_III!E60</f>
        <v>0</v>
      </c>
      <c r="F32" s="254">
        <f>Form_III!F60</f>
        <v>0</v>
      </c>
      <c r="G32" s="254">
        <f>Form_III!G60</f>
        <v>0</v>
      </c>
      <c r="H32" s="254">
        <f>Form_III!H60</f>
        <v>0</v>
      </c>
      <c r="I32" s="254">
        <f>Form_III!I60</f>
        <v>0</v>
      </c>
      <c r="J32" s="254">
        <f>Form_III!J60</f>
        <v>0</v>
      </c>
      <c r="K32" s="254">
        <f>Form_III!K60</f>
        <v>0</v>
      </c>
      <c r="L32" s="254">
        <f>Form_III!L60</f>
        <v>0</v>
      </c>
      <c r="M32" s="254">
        <f>Form_III!M60</f>
        <v>0</v>
      </c>
      <c r="N32" s="254">
        <f>Form_III!N60</f>
        <v>0</v>
      </c>
      <c r="O32" s="254">
        <f>Form_III!O60</f>
        <v>0</v>
      </c>
      <c r="P32" s="254">
        <f>Form_III!P60</f>
        <v>0</v>
      </c>
    </row>
    <row r="33" spans="1:16" ht="15" customHeight="1">
      <c r="A33" s="291"/>
      <c r="B33" s="291"/>
      <c r="C33" s="272" t="str">
        <f>Form_III!B61</f>
        <v>ii.</v>
      </c>
      <c r="D33" s="272" t="str">
        <f>Form_III!C61</f>
        <v>Bank Balance</v>
      </c>
      <c r="E33" s="254">
        <f>Form_III!E61</f>
        <v>0</v>
      </c>
      <c r="F33" s="254">
        <f>Form_III!F61</f>
        <v>0</v>
      </c>
      <c r="G33" s="254">
        <f>Form_III!G61</f>
        <v>0</v>
      </c>
      <c r="H33" s="254">
        <f>Form_III!H61</f>
        <v>0</v>
      </c>
      <c r="I33" s="254">
        <f>Form_III!I61</f>
        <v>0</v>
      </c>
      <c r="J33" s="254">
        <f>Form_III!J61</f>
        <v>0</v>
      </c>
      <c r="K33" s="254">
        <f>Form_III!K61</f>
        <v>0</v>
      </c>
      <c r="L33" s="254">
        <f>Form_III!L61</f>
        <v>0</v>
      </c>
      <c r="M33" s="254">
        <f>Form_III!M61</f>
        <v>0</v>
      </c>
      <c r="N33" s="254">
        <f>Form_III!N61</f>
        <v>0</v>
      </c>
      <c r="O33" s="254">
        <f>Form_III!O61</f>
        <v>0</v>
      </c>
      <c r="P33" s="254">
        <f>Form_III!P61</f>
        <v>0</v>
      </c>
    </row>
    <row r="34" spans="1:16" ht="12.75" customHeight="1">
      <c r="A34" s="291"/>
      <c r="B34" s="291"/>
      <c r="C34" s="422" t="str">
        <f>Form_III!B62</f>
        <v>Investments (other than long term)</v>
      </c>
      <c r="D34" s="422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</row>
    <row r="35" spans="1:16" ht="12.75" customHeight="1">
      <c r="A35" s="291"/>
      <c r="C35" s="272" t="str">
        <f>Form_III!B63</f>
        <v>i.</v>
      </c>
      <c r="D35" s="272" t="str">
        <f>Form_III!C63</f>
        <v>Govt. and other trustee securities</v>
      </c>
      <c r="E35" s="254">
        <f>Form_III!E63</f>
        <v>0</v>
      </c>
      <c r="F35" s="254">
        <f>Form_III!F63</f>
        <v>0</v>
      </c>
      <c r="G35" s="254">
        <f>Form_III!G63</f>
        <v>0</v>
      </c>
      <c r="H35" s="254">
        <f>Form_III!H63</f>
        <v>0</v>
      </c>
      <c r="I35" s="254">
        <f>Form_III!I63</f>
        <v>0</v>
      </c>
      <c r="J35" s="254">
        <f>Form_III!J63</f>
        <v>0</v>
      </c>
      <c r="K35" s="254">
        <f>Form_III!K63</f>
        <v>0</v>
      </c>
      <c r="L35" s="254">
        <f>Form_III!L63</f>
        <v>0</v>
      </c>
      <c r="M35" s="254">
        <f>Form_III!M63</f>
        <v>0</v>
      </c>
      <c r="N35" s="254">
        <f>Form_III!N63</f>
        <v>0</v>
      </c>
      <c r="O35" s="254">
        <f>Form_III!O63</f>
        <v>0</v>
      </c>
      <c r="P35" s="254">
        <f>Form_III!P63</f>
        <v>0</v>
      </c>
    </row>
    <row r="36" spans="1:16" ht="12.75" customHeight="1">
      <c r="A36" s="291"/>
      <c r="C36" s="272" t="str">
        <f>Form_III!B64</f>
        <v>ii.</v>
      </c>
      <c r="D36" s="272" t="str">
        <f>Form_III!C64</f>
        <v>Fixed Deposits with banks</v>
      </c>
      <c r="E36" s="254">
        <f>Form_III!E64</f>
        <v>0</v>
      </c>
      <c r="F36" s="254">
        <f>Form_III!F64</f>
        <v>0</v>
      </c>
      <c r="G36" s="254">
        <f>Form_III!G64</f>
        <v>0</v>
      </c>
      <c r="H36" s="254">
        <f>Form_III!H64</f>
        <v>0</v>
      </c>
      <c r="I36" s="254">
        <f>Form_III!I64</f>
        <v>0</v>
      </c>
      <c r="J36" s="254">
        <f>Form_III!J64</f>
        <v>0</v>
      </c>
      <c r="K36" s="254">
        <f>Form_III!K64</f>
        <v>0</v>
      </c>
      <c r="L36" s="254">
        <f>Form_III!L64</f>
        <v>0</v>
      </c>
      <c r="M36" s="254">
        <f>Form_III!M64</f>
        <v>0</v>
      </c>
      <c r="N36" s="254">
        <f>Form_III!N64</f>
        <v>0</v>
      </c>
      <c r="O36" s="254">
        <f>Form_III!O64</f>
        <v>0</v>
      </c>
      <c r="P36" s="254">
        <f>Form_III!P64</f>
        <v>0</v>
      </c>
    </row>
    <row r="37" spans="1:16" ht="12.75" customHeight="1">
      <c r="A37" s="296"/>
      <c r="B37" s="291"/>
      <c r="C37" s="272" t="str">
        <f>Form_III!B79</f>
        <v>Advance Income Tax</v>
      </c>
      <c r="E37" s="254">
        <f>Form_III!E79</f>
        <v>0</v>
      </c>
      <c r="F37" s="254">
        <f>Form_III!F79</f>
        <v>0</v>
      </c>
      <c r="G37" s="254">
        <f>Form_III!G79</f>
        <v>0</v>
      </c>
      <c r="H37" s="254">
        <f>Form_III!H79</f>
        <v>0</v>
      </c>
      <c r="I37" s="254">
        <f>Form_III!I79</f>
        <v>0</v>
      </c>
      <c r="J37" s="254">
        <f>Form_III!J79</f>
        <v>0</v>
      </c>
      <c r="K37" s="254">
        <f>Form_III!K79</f>
        <v>0</v>
      </c>
      <c r="L37" s="254">
        <f>Form_III!L79</f>
        <v>2.5000000000000001E-3</v>
      </c>
      <c r="M37" s="254">
        <f>Form_III!M79</f>
        <v>0</v>
      </c>
      <c r="N37" s="254">
        <f>Form_III!N79</f>
        <v>0</v>
      </c>
      <c r="O37" s="254">
        <f>Form_III!O79</f>
        <v>0</v>
      </c>
      <c r="P37" s="254">
        <f>Form_III!P79</f>
        <v>0</v>
      </c>
    </row>
    <row r="38" spans="1:16" ht="12.75" customHeight="1">
      <c r="A38" s="291"/>
      <c r="B38" s="291"/>
      <c r="C38" s="272" t="str">
        <f>Form_III!B80</f>
        <v>Other current assets (specify major items)</v>
      </c>
      <c r="E38" s="254">
        <f>Form_III!E81+Form_III!E82</f>
        <v>0</v>
      </c>
      <c r="F38" s="254">
        <f>Form_III!F81+Form_III!F82</f>
        <v>0</v>
      </c>
      <c r="G38" s="254">
        <f>Form_III!G81+Form_III!G82</f>
        <v>0</v>
      </c>
      <c r="H38" s="254">
        <f>Form_III!H81+Form_III!H82</f>
        <v>0</v>
      </c>
      <c r="I38" s="254">
        <f>Form_III!I81+Form_III!I82</f>
        <v>0</v>
      </c>
      <c r="J38" s="254">
        <f>Form_III!J81+Form_III!J82</f>
        <v>0</v>
      </c>
      <c r="K38" s="254">
        <f>Form_III!K81+Form_III!K82</f>
        <v>0</v>
      </c>
      <c r="L38" s="254">
        <f>Form_III!L81+Form_III!L82</f>
        <v>0</v>
      </c>
      <c r="M38" s="254">
        <f>Form_III!M81+Form_III!M82</f>
        <v>0</v>
      </c>
      <c r="N38" s="254">
        <f>Form_III!N81+Form_III!N82</f>
        <v>0</v>
      </c>
      <c r="O38" s="254">
        <f>Form_III!O81+Form_III!O82</f>
        <v>1</v>
      </c>
      <c r="P38" s="254">
        <f>Form_III!P81+Form_III!P82</f>
        <v>0</v>
      </c>
    </row>
    <row r="39" spans="1:16" ht="15" customHeight="1">
      <c r="A39" s="296"/>
      <c r="B39" s="224" t="s">
        <v>292</v>
      </c>
      <c r="E39" s="297">
        <f t="shared" ref="E39:P39" si="1">ROUND(E12+E14+E17+E19+E21+E23+E25+E27+E29+E30+E32+E33+E35+E36+E37+E38,2)</f>
        <v>0</v>
      </c>
      <c r="F39" s="297">
        <f t="shared" si="1"/>
        <v>0</v>
      </c>
      <c r="G39" s="297">
        <f t="shared" si="1"/>
        <v>0</v>
      </c>
      <c r="H39" s="297">
        <f t="shared" si="1"/>
        <v>0</v>
      </c>
      <c r="I39" s="297">
        <f t="shared" si="1"/>
        <v>0</v>
      </c>
      <c r="J39" s="297">
        <f t="shared" si="1"/>
        <v>0</v>
      </c>
      <c r="K39" s="297">
        <f t="shared" si="1"/>
        <v>0</v>
      </c>
      <c r="L39" s="297">
        <f t="shared" si="1"/>
        <v>0</v>
      </c>
      <c r="M39" s="297">
        <f t="shared" si="1"/>
        <v>0</v>
      </c>
      <c r="N39" s="297">
        <f t="shared" si="1"/>
        <v>0</v>
      </c>
      <c r="O39" s="297">
        <f t="shared" si="1"/>
        <v>1</v>
      </c>
      <c r="P39" s="297">
        <f t="shared" si="1"/>
        <v>0</v>
      </c>
    </row>
    <row r="40" spans="1:16" ht="15" customHeight="1">
      <c r="A40" s="296"/>
      <c r="B40" s="224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8"/>
      <c r="P40" s="298"/>
    </row>
    <row r="41" spans="1:16" ht="11.1" customHeight="1">
      <c r="B41" s="299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</row>
    <row r="42" spans="1:16" ht="15" customHeight="1">
      <c r="A42" s="224" t="s">
        <v>421</v>
      </c>
      <c r="B42" s="224"/>
      <c r="C42" s="224"/>
      <c r="D42" s="224"/>
      <c r="E42" s="223"/>
      <c r="F42" s="223"/>
      <c r="G42" s="223"/>
      <c r="H42" s="223"/>
    </row>
    <row r="43" spans="1:16" ht="15" customHeight="1">
      <c r="A43" s="224" t="s">
        <v>422</v>
      </c>
      <c r="B43" s="224"/>
      <c r="C43" s="224"/>
      <c r="D43" s="224"/>
      <c r="E43" s="223"/>
      <c r="F43" s="223"/>
      <c r="G43" s="223"/>
      <c r="H43" s="223"/>
    </row>
    <row r="44" spans="1:16" ht="16.5" customHeight="1">
      <c r="A44" s="220"/>
      <c r="B44" s="276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</row>
    <row r="45" spans="1:16" ht="15" customHeight="1">
      <c r="E45" s="288" t="str">
        <f>'INPUT SHEET'!B10</f>
        <v>Audited</v>
      </c>
      <c r="F45" s="288" t="str">
        <f>'INPUT SHEET'!C10</f>
        <v>Audited</v>
      </c>
      <c r="G45" s="288" t="str">
        <f>'INPUT SHEET'!D10</f>
        <v>Provisionals</v>
      </c>
      <c r="H45" s="288" t="str">
        <f>'INPUT SHEET'!E10</f>
        <v>Projected</v>
      </c>
      <c r="I45" s="288" t="str">
        <f>'INPUT SHEET'!F10</f>
        <v>Projected</v>
      </c>
      <c r="J45" s="288" t="str">
        <f>'INPUT SHEET'!G10</f>
        <v>Projected</v>
      </c>
      <c r="K45" s="288" t="str">
        <f>'INPUT SHEET'!H10</f>
        <v>Projected</v>
      </c>
      <c r="L45" s="288" t="str">
        <f>'INPUT SHEET'!I10</f>
        <v>Projected</v>
      </c>
      <c r="M45" s="288" t="str">
        <f>'INPUT SHEET'!J10</f>
        <v>Projected</v>
      </c>
      <c r="N45" s="288" t="str">
        <f>'INPUT SHEET'!K10</f>
        <v>Projected</v>
      </c>
      <c r="O45" s="288" t="str">
        <f>'INPUT SHEET'!L10</f>
        <v>Projected</v>
      </c>
      <c r="P45" s="288" t="str">
        <f>'INPUT SHEET'!M10</f>
        <v>Projected</v>
      </c>
    </row>
    <row r="46" spans="1:16" ht="15" customHeight="1">
      <c r="A46" s="224"/>
      <c r="D46" s="289" t="str">
        <f>'INPUT SHEET'!A8</f>
        <v>Year</v>
      </c>
      <c r="E46" s="288">
        <f>'INPUT SHEET'!B8</f>
        <v>2023</v>
      </c>
      <c r="F46" s="288">
        <f>'INPUT SHEET'!C8</f>
        <v>2024</v>
      </c>
      <c r="G46" s="288">
        <f>'INPUT SHEET'!D8</f>
        <v>2025</v>
      </c>
      <c r="H46" s="288">
        <f>'INPUT SHEET'!E8</f>
        <v>2026</v>
      </c>
      <c r="I46" s="288">
        <f>'INPUT SHEET'!F8</f>
        <v>2027</v>
      </c>
      <c r="J46" s="288">
        <f>'INPUT SHEET'!G8</f>
        <v>2028</v>
      </c>
      <c r="K46" s="288">
        <f>'INPUT SHEET'!H8</f>
        <v>2029</v>
      </c>
      <c r="L46" s="288">
        <f>'INPUT SHEET'!I8</f>
        <v>2030</v>
      </c>
      <c r="M46" s="288">
        <f>'INPUT SHEET'!J8</f>
        <v>2031</v>
      </c>
      <c r="N46" s="288">
        <f>'INPUT SHEET'!K8</f>
        <v>2032</v>
      </c>
      <c r="O46" s="288">
        <f>'INPUT SHEET'!L8</f>
        <v>2033</v>
      </c>
      <c r="P46" s="288">
        <f>'INPUT SHEET'!M8</f>
        <v>2034</v>
      </c>
    </row>
    <row r="47" spans="1:16" ht="15" customHeight="1">
      <c r="D47" s="289" t="str">
        <f>'INPUT SHEET'!A9</f>
        <v>Number of months</v>
      </c>
      <c r="E47" s="288">
        <f>'INPUT SHEET'!B9</f>
        <v>12</v>
      </c>
      <c r="F47" s="288">
        <f>'INPUT SHEET'!C9</f>
        <v>12</v>
      </c>
      <c r="G47" s="288">
        <f>'INPUT SHEET'!D9</f>
        <v>12</v>
      </c>
      <c r="H47" s="288">
        <f>'INPUT SHEET'!E9</f>
        <v>12</v>
      </c>
      <c r="I47" s="288">
        <f>'INPUT SHEET'!F9</f>
        <v>12</v>
      </c>
      <c r="J47" s="288">
        <f>'INPUT SHEET'!G9</f>
        <v>12</v>
      </c>
      <c r="K47" s="288">
        <f>'INPUT SHEET'!H9</f>
        <v>12</v>
      </c>
      <c r="L47" s="288">
        <f>'INPUT SHEET'!I9</f>
        <v>12</v>
      </c>
      <c r="M47" s="288">
        <f>'INPUT SHEET'!J9</f>
        <v>12</v>
      </c>
      <c r="N47" s="288">
        <f>'INPUT SHEET'!K9</f>
        <v>12</v>
      </c>
      <c r="O47" s="288">
        <f>'INPUT SHEET'!L9</f>
        <v>12</v>
      </c>
      <c r="P47" s="288">
        <f>'INPUT SHEET'!M9</f>
        <v>12</v>
      </c>
    </row>
    <row r="48" spans="1:16" ht="15" customHeight="1">
      <c r="A48" s="224" t="s">
        <v>440</v>
      </c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</row>
    <row r="49" spans="1:16" ht="15" customHeight="1">
      <c r="A49" s="301" t="s">
        <v>441</v>
      </c>
      <c r="E49" s="254"/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</row>
    <row r="50" spans="1:16" ht="15" customHeight="1">
      <c r="A50" s="291" t="s">
        <v>442</v>
      </c>
      <c r="B50" s="272" t="str">
        <f>Form_III!B17</f>
        <v>Sundry Creditors for goods</v>
      </c>
      <c r="E50" s="254">
        <f>Form_III!E17</f>
        <v>0</v>
      </c>
      <c r="F50" s="254">
        <f>Form_III!F17</f>
        <v>0</v>
      </c>
      <c r="G50" s="254">
        <f>Form_III!G17</f>
        <v>0</v>
      </c>
      <c r="H50" s="254">
        <f>Form_III!H17</f>
        <v>0</v>
      </c>
      <c r="I50" s="254">
        <f>Form_III!I17</f>
        <v>0</v>
      </c>
      <c r="J50" s="254">
        <f>Form_III!J17</f>
        <v>0</v>
      </c>
      <c r="K50" s="254">
        <f>Form_III!K17</f>
        <v>0</v>
      </c>
      <c r="L50" s="254">
        <f>Form_III!L17</f>
        <v>0</v>
      </c>
      <c r="M50" s="254">
        <f>Form_III!M17</f>
        <v>0</v>
      </c>
      <c r="N50" s="254">
        <f>Form_III!N17</f>
        <v>0</v>
      </c>
      <c r="O50" s="254">
        <f>Form_III!O17</f>
        <v>0</v>
      </c>
      <c r="P50" s="254">
        <f>Form_III!P17</f>
        <v>0</v>
      </c>
    </row>
    <row r="51" spans="1:16" ht="15" customHeight="1">
      <c r="B51" s="272" t="s">
        <v>443</v>
      </c>
      <c r="E51" s="302"/>
      <c r="F51" s="303" t="str">
        <f>IF(F50&lt;&gt;0,F50/((Form_III!F69+(Form_II!F18*12/F$47)-Form_III!E69)/12),"")</f>
        <v/>
      </c>
      <c r="G51" s="303" t="str">
        <f>IF(G50&lt;&gt;0,G50/((Form_III!G69+(Form_II!G18*12/G$47)-Form_III!F69)/12),"")</f>
        <v/>
      </c>
      <c r="H51" s="303" t="str">
        <f>IF(H50&lt;&gt;0,H50/((Form_III!H69+(Form_II!H18*12/H$47)-Form_III!G69)/12),"")</f>
        <v/>
      </c>
      <c r="I51" s="303" t="str">
        <f>IF(I50&lt;&gt;0,I50/((Form_III!I69+(Form_II!I18*12/I$47)-Form_III!H69)/12),"")</f>
        <v/>
      </c>
      <c r="J51" s="303" t="str">
        <f>IF(J50&lt;&gt;0,J50/((Form_III!J69+(Form_II!J18*12/J$47)-Form_III!I69)/12),"")</f>
        <v/>
      </c>
      <c r="K51" s="303" t="str">
        <f>IF(K50&lt;&gt;0,K50/((Form_III!K69+(Form_II!K18*12/K$47)-Form_III!J69)/12),"")</f>
        <v/>
      </c>
      <c r="L51" s="303" t="str">
        <f>IF(L50&lt;&gt;0,L50/((Form_III!L69+(Form_II!L18*12/L$47)-Form_III!K69)/12),"")</f>
        <v/>
      </c>
      <c r="M51" s="303" t="str">
        <f>IF(M50&lt;&gt;0,M50/((Form_III!M69+(Form_II!M18*12/M$47)-Form_III!L69)/12),"")</f>
        <v/>
      </c>
      <c r="N51" s="303" t="str">
        <f>IF(N50&lt;&gt;0,N50/((Form_III!N69+(Form_II!N18*12/N$47)-Form_III!M69)/12),"")</f>
        <v/>
      </c>
      <c r="O51" s="303" t="str">
        <f>IF(O50&lt;&gt;0,O50/((Form_III!O69+(Form_II!O18*12/O$47)-Form_III!N69)/12),"")</f>
        <v/>
      </c>
      <c r="P51" s="303" t="str">
        <f>IF(P50&lt;&gt;0,P50/((Form_III!P69+(Form_II!P18*12/P$47)-Form_III!O69)/12),"")</f>
        <v/>
      </c>
    </row>
    <row r="52" spans="1:16" ht="30.75" customHeight="1">
      <c r="A52" s="291" t="s">
        <v>444</v>
      </c>
      <c r="B52" s="423" t="str">
        <f>Form_III!B18</f>
        <v xml:space="preserve">Advance received from customers </v>
      </c>
      <c r="C52" s="423"/>
      <c r="D52" s="423"/>
      <c r="E52" s="254">
        <f>Form_III!E18</f>
        <v>0</v>
      </c>
      <c r="F52" s="254">
        <f>Form_III!F18</f>
        <v>0</v>
      </c>
      <c r="G52" s="254">
        <f>Form_III!G18</f>
        <v>0</v>
      </c>
      <c r="H52" s="254">
        <f>Form_III!H18</f>
        <v>0</v>
      </c>
      <c r="I52" s="254">
        <f>Form_III!I18</f>
        <v>0</v>
      </c>
      <c r="J52" s="254">
        <f>Form_III!J18</f>
        <v>0</v>
      </c>
      <c r="K52" s="254">
        <f>Form_III!K18</f>
        <v>0</v>
      </c>
      <c r="L52" s="254">
        <f>Form_III!L18</f>
        <v>0</v>
      </c>
      <c r="M52" s="254">
        <f>Form_III!M18</f>
        <v>0</v>
      </c>
      <c r="N52" s="254">
        <f>Form_III!N18</f>
        <v>0</v>
      </c>
      <c r="O52" s="254">
        <f>Form_III!O18</f>
        <v>0</v>
      </c>
      <c r="P52" s="254">
        <f>Form_III!P18</f>
        <v>0</v>
      </c>
    </row>
    <row r="53" spans="1:16" ht="15" customHeight="1">
      <c r="A53" s="291" t="s">
        <v>445</v>
      </c>
      <c r="B53" s="272" t="str">
        <f>Form_III!B19</f>
        <v>Provision for Taxation</v>
      </c>
      <c r="E53" s="254">
        <f>Form_III!E19</f>
        <v>0</v>
      </c>
      <c r="F53" s="254">
        <f>Form_III!F19</f>
        <v>0</v>
      </c>
      <c r="G53" s="254">
        <f>Form_III!G19</f>
        <v>0</v>
      </c>
      <c r="H53" s="254">
        <f>Form_III!H19</f>
        <v>0</v>
      </c>
      <c r="I53" s="254">
        <f>Form_III!I19</f>
        <v>0</v>
      </c>
      <c r="J53" s="254">
        <f>Form_III!J19</f>
        <v>0</v>
      </c>
      <c r="K53" s="254">
        <f>Form_III!K19</f>
        <v>0</v>
      </c>
      <c r="L53" s="254">
        <f>Form_III!L19</f>
        <v>2.5000000000000001E-3</v>
      </c>
      <c r="M53" s="254">
        <f>Form_III!M19</f>
        <v>0</v>
      </c>
      <c r="N53" s="254">
        <f>Form_III!N19</f>
        <v>0</v>
      </c>
      <c r="O53" s="254">
        <f>Form_III!O19</f>
        <v>0</v>
      </c>
      <c r="P53" s="254">
        <f>Form_III!P19</f>
        <v>0</v>
      </c>
    </row>
    <row r="54" spans="1:16" ht="15" customHeight="1">
      <c r="A54" s="292">
        <v>13</v>
      </c>
      <c r="B54" s="272" t="str">
        <f>Form_III!B20</f>
        <v>Dividend payable</v>
      </c>
      <c r="E54" s="254">
        <f>Form_III!E20</f>
        <v>0</v>
      </c>
      <c r="F54" s="254">
        <f>Form_III!F20</f>
        <v>0</v>
      </c>
      <c r="G54" s="254">
        <f>Form_III!G20</f>
        <v>0</v>
      </c>
      <c r="H54" s="254">
        <f>Form_III!H20</f>
        <v>0</v>
      </c>
      <c r="I54" s="254">
        <f>Form_III!I20</f>
        <v>0</v>
      </c>
      <c r="J54" s="254">
        <f>Form_III!J20</f>
        <v>0</v>
      </c>
      <c r="K54" s="254">
        <f>Form_III!K20</f>
        <v>0</v>
      </c>
      <c r="L54" s="254">
        <f>Form_III!L20</f>
        <v>0</v>
      </c>
      <c r="M54" s="254">
        <f>Form_III!M20</f>
        <v>0</v>
      </c>
      <c r="N54" s="254">
        <f>Form_III!N20</f>
        <v>0</v>
      </c>
      <c r="O54" s="254">
        <f>Form_III!O20</f>
        <v>0</v>
      </c>
      <c r="P54" s="254">
        <f>Form_III!P20</f>
        <v>0</v>
      </c>
    </row>
    <row r="55" spans="1:16" ht="15" customHeight="1">
      <c r="A55" s="291" t="s">
        <v>446</v>
      </c>
      <c r="B55" s="272" t="str">
        <f>Form_III!B21</f>
        <v>Other statutory liabilities (due within 1 year)</v>
      </c>
      <c r="E55" s="254">
        <f>Form_III!E21</f>
        <v>0</v>
      </c>
      <c r="F55" s="254">
        <f>Form_III!F21</f>
        <v>0</v>
      </c>
      <c r="G55" s="254">
        <f>Form_III!G21</f>
        <v>0</v>
      </c>
      <c r="H55" s="254">
        <f>Form_III!H21</f>
        <v>0</v>
      </c>
      <c r="I55" s="254">
        <f>Form_III!I21</f>
        <v>0</v>
      </c>
      <c r="J55" s="254">
        <f>Form_III!J21</f>
        <v>0</v>
      </c>
      <c r="K55" s="254">
        <f>Form_III!K21</f>
        <v>0</v>
      </c>
      <c r="L55" s="254">
        <f>Form_III!L21</f>
        <v>0</v>
      </c>
      <c r="M55" s="254">
        <f>Form_III!M21</f>
        <v>0</v>
      </c>
      <c r="N55" s="254">
        <f>Form_III!N21</f>
        <v>0</v>
      </c>
      <c r="O55" s="254">
        <f>Form_III!O21</f>
        <v>0</v>
      </c>
      <c r="P55" s="254">
        <f>Form_III!P21</f>
        <v>0</v>
      </c>
    </row>
    <row r="56" spans="1:16" ht="30" customHeight="1">
      <c r="A56" s="291" t="s">
        <v>447</v>
      </c>
      <c r="B56" s="423" t="str">
        <f>Form_III!B22</f>
        <v>Instalments of term loans / debentures etc. (due within 1 year)</v>
      </c>
      <c r="C56" s="423"/>
      <c r="D56" s="423"/>
      <c r="E56" s="254">
        <f>Form_III!E22</f>
        <v>0</v>
      </c>
      <c r="F56" s="254">
        <f>Form_III!F22</f>
        <v>0</v>
      </c>
      <c r="G56" s="254">
        <f>Form_III!G22</f>
        <v>0</v>
      </c>
      <c r="H56" s="254">
        <f>Form_III!H22</f>
        <v>0</v>
      </c>
      <c r="I56" s="254">
        <f>Form_III!I22</f>
        <v>0</v>
      </c>
      <c r="J56" s="254">
        <f>Form_III!J22</f>
        <v>0</v>
      </c>
      <c r="K56" s="254">
        <f>Form_III!K22</f>
        <v>0</v>
      </c>
      <c r="L56" s="254">
        <f>Form_III!L22</f>
        <v>0</v>
      </c>
      <c r="M56" s="254">
        <f>Form_III!M22</f>
        <v>0</v>
      </c>
      <c r="N56" s="254">
        <f>Form_III!N22</f>
        <v>0</v>
      </c>
      <c r="O56" s="254">
        <f>Form_III!O22</f>
        <v>0</v>
      </c>
      <c r="P56" s="254">
        <f>Form_III!P22</f>
        <v>0</v>
      </c>
    </row>
    <row r="57" spans="1:16" ht="14.25" customHeight="1">
      <c r="A57" s="291" t="s">
        <v>448</v>
      </c>
      <c r="B57" s="426" t="str">
        <f>Form_III!B16</f>
        <v>Short term borrowings from others</v>
      </c>
      <c r="C57" s="426"/>
      <c r="D57" s="426"/>
      <c r="E57" s="254">
        <f>Form_III!E16</f>
        <v>0</v>
      </c>
      <c r="F57" s="254">
        <f>Form_III!F16</f>
        <v>0</v>
      </c>
      <c r="G57" s="254">
        <f>Form_III!G16</f>
        <v>0</v>
      </c>
      <c r="H57" s="254">
        <f>Form_III!H16</f>
        <v>0</v>
      </c>
      <c r="I57" s="254">
        <f>Form_III!I16</f>
        <v>0</v>
      </c>
      <c r="J57" s="254">
        <f>Form_III!J16</f>
        <v>0</v>
      </c>
      <c r="K57" s="254">
        <f>Form_III!K16</f>
        <v>0</v>
      </c>
      <c r="L57" s="254">
        <f>Form_III!L16</f>
        <v>0</v>
      </c>
      <c r="M57" s="254">
        <f>Form_III!M16</f>
        <v>0</v>
      </c>
      <c r="N57" s="254">
        <f>Form_III!N16</f>
        <v>0</v>
      </c>
      <c r="O57" s="254">
        <f>Form_III!O16</f>
        <v>0</v>
      </c>
      <c r="P57" s="254">
        <f>Form_III!P16</f>
        <v>0</v>
      </c>
    </row>
    <row r="58" spans="1:16" ht="18" customHeight="1">
      <c r="A58" s="291" t="s">
        <v>449</v>
      </c>
      <c r="B58" s="423" t="str">
        <f>Form_III!B23</f>
        <v>Other current liabilities &amp; provisions</v>
      </c>
      <c r="C58" s="423"/>
      <c r="D58" s="423"/>
      <c r="E58" s="254">
        <f t="shared" ref="E58:P58" si="2">SUM(E59:E62)</f>
        <v>0</v>
      </c>
      <c r="F58" s="254">
        <f t="shared" si="2"/>
        <v>0</v>
      </c>
      <c r="G58" s="254">
        <f t="shared" si="2"/>
        <v>0</v>
      </c>
      <c r="H58" s="254">
        <f t="shared" si="2"/>
        <v>0</v>
      </c>
      <c r="I58" s="254">
        <f t="shared" si="2"/>
        <v>0</v>
      </c>
      <c r="J58" s="254">
        <f t="shared" si="2"/>
        <v>0</v>
      </c>
      <c r="K58" s="254">
        <f t="shared" si="2"/>
        <v>0</v>
      </c>
      <c r="L58" s="254">
        <f t="shared" si="2"/>
        <v>0</v>
      </c>
      <c r="M58" s="254">
        <f t="shared" si="2"/>
        <v>0</v>
      </c>
      <c r="N58" s="254">
        <f t="shared" si="2"/>
        <v>0</v>
      </c>
      <c r="O58" s="254">
        <f t="shared" si="2"/>
        <v>0</v>
      </c>
      <c r="P58" s="254">
        <f t="shared" si="2"/>
        <v>0</v>
      </c>
    </row>
    <row r="59" spans="1:16" ht="15" customHeight="1">
      <c r="A59" s="291"/>
      <c r="B59" s="272" t="s">
        <v>336</v>
      </c>
      <c r="C59" s="422" t="str">
        <f>Form_III!C24</f>
        <v>Interest Accrued but not due</v>
      </c>
      <c r="D59" s="422"/>
      <c r="E59" s="254">
        <f>Form_III!E24</f>
        <v>0</v>
      </c>
      <c r="F59" s="254">
        <f>Form_III!F24</f>
        <v>0</v>
      </c>
      <c r="G59" s="254">
        <f>Form_III!G24</f>
        <v>0</v>
      </c>
      <c r="H59" s="254">
        <f>Form_III!H24</f>
        <v>0</v>
      </c>
      <c r="I59" s="254">
        <f>Form_III!I24</f>
        <v>0</v>
      </c>
      <c r="J59" s="254">
        <f>Form_III!J24</f>
        <v>0</v>
      </c>
      <c r="K59" s="254">
        <f>Form_III!K24</f>
        <v>0</v>
      </c>
      <c r="L59" s="254">
        <f>Form_III!L24</f>
        <v>0</v>
      </c>
      <c r="M59" s="254">
        <f>Form_III!M24</f>
        <v>0</v>
      </c>
      <c r="N59" s="254">
        <f>Form_III!N24</f>
        <v>0</v>
      </c>
      <c r="O59" s="254">
        <f>Form_III!O24</f>
        <v>0</v>
      </c>
      <c r="P59" s="254">
        <f>Form_III!P24</f>
        <v>0</v>
      </c>
    </row>
    <row r="60" spans="1:16" ht="15" customHeight="1">
      <c r="B60" s="272" t="s">
        <v>450</v>
      </c>
      <c r="C60" s="422" t="str">
        <f>Form_III!C25</f>
        <v>Interest Accrued and due</v>
      </c>
      <c r="D60" s="422"/>
      <c r="E60" s="254">
        <f>Form_III!E25</f>
        <v>0</v>
      </c>
      <c r="F60" s="254">
        <f>Form_III!F25</f>
        <v>0</v>
      </c>
      <c r="G60" s="254">
        <f>Form_III!G25</f>
        <v>0</v>
      </c>
      <c r="H60" s="254">
        <f>Form_III!H25</f>
        <v>0</v>
      </c>
      <c r="I60" s="254">
        <f>Form_III!I25</f>
        <v>0</v>
      </c>
      <c r="J60" s="254">
        <f>Form_III!J25</f>
        <v>0</v>
      </c>
      <c r="K60" s="254">
        <f>Form_III!K25</f>
        <v>0</v>
      </c>
      <c r="L60" s="254">
        <f>Form_III!L25</f>
        <v>0</v>
      </c>
      <c r="M60" s="254">
        <f>Form_III!M25</f>
        <v>0</v>
      </c>
      <c r="N60" s="254">
        <f>Form_III!N25</f>
        <v>0</v>
      </c>
      <c r="O60" s="254">
        <f>Form_III!O25</f>
        <v>0</v>
      </c>
      <c r="P60" s="254">
        <f>Form_III!P25</f>
        <v>0</v>
      </c>
    </row>
    <row r="61" spans="1:16" ht="15" customHeight="1">
      <c r="B61" s="272" t="s">
        <v>451</v>
      </c>
      <c r="C61" s="276" t="str">
        <f>Form_III!C26</f>
        <v>Creditors for Expenses</v>
      </c>
      <c r="D61" s="276"/>
      <c r="E61" s="254">
        <f>Form_III!E26</f>
        <v>0</v>
      </c>
      <c r="F61" s="254">
        <f>Form_III!F26</f>
        <v>0</v>
      </c>
      <c r="G61" s="254">
        <f>Form_III!G26</f>
        <v>0</v>
      </c>
      <c r="H61" s="254">
        <f>Form_III!H26</f>
        <v>0</v>
      </c>
      <c r="I61" s="254">
        <f>Form_III!I26</f>
        <v>0</v>
      </c>
      <c r="J61" s="254">
        <f>Form_III!J26</f>
        <v>0</v>
      </c>
      <c r="K61" s="254">
        <f>Form_III!K26</f>
        <v>0</v>
      </c>
      <c r="L61" s="254">
        <f>Form_III!L26</f>
        <v>0</v>
      </c>
      <c r="M61" s="254">
        <f>Form_III!M26</f>
        <v>0</v>
      </c>
      <c r="N61" s="254">
        <f>Form_III!N26</f>
        <v>0</v>
      </c>
      <c r="O61" s="254">
        <f>Form_III!O26</f>
        <v>0</v>
      </c>
      <c r="P61" s="254">
        <f>Form_III!P26</f>
        <v>0</v>
      </c>
    </row>
    <row r="62" spans="1:16" ht="15" customHeight="1">
      <c r="B62" s="272" t="s">
        <v>452</v>
      </c>
      <c r="C62" s="276" t="str">
        <f>Form_III!C27</f>
        <v>Other current liabilities</v>
      </c>
      <c r="D62" s="276"/>
      <c r="E62" s="254">
        <f>Form_III!E27</f>
        <v>0</v>
      </c>
      <c r="F62" s="254">
        <f>Form_III!F27</f>
        <v>0</v>
      </c>
      <c r="G62" s="254">
        <f>Form_III!G27</f>
        <v>0</v>
      </c>
      <c r="H62" s="254">
        <f>Form_III!H27</f>
        <v>0</v>
      </c>
      <c r="I62" s="254">
        <f>Form_III!I27</f>
        <v>0</v>
      </c>
      <c r="J62" s="254">
        <f>Form_III!J27</f>
        <v>0</v>
      </c>
      <c r="K62" s="254">
        <f>Form_III!K27</f>
        <v>0</v>
      </c>
      <c r="L62" s="254">
        <f>Form_III!L27</f>
        <v>0</v>
      </c>
      <c r="M62" s="254">
        <f>Form_III!M27</f>
        <v>0</v>
      </c>
      <c r="N62" s="254">
        <f>Form_III!N27</f>
        <v>0</v>
      </c>
      <c r="O62" s="254">
        <f>Form_III!O27</f>
        <v>0</v>
      </c>
      <c r="P62" s="254">
        <f>Form_III!P27</f>
        <v>0</v>
      </c>
    </row>
    <row r="63" spans="1:16" ht="15" customHeight="1">
      <c r="A63" s="296" t="s">
        <v>453</v>
      </c>
      <c r="B63" s="425" t="s">
        <v>293</v>
      </c>
      <c r="C63" s="425"/>
      <c r="D63" s="425"/>
      <c r="E63" s="297">
        <f t="shared" ref="E63:P63" si="3">SUM(E50:E58)-E51</f>
        <v>0</v>
      </c>
      <c r="F63" s="297" t="e">
        <f t="shared" si="3"/>
        <v>#VALUE!</v>
      </c>
      <c r="G63" s="297" t="e">
        <f t="shared" si="3"/>
        <v>#VALUE!</v>
      </c>
      <c r="H63" s="297" t="e">
        <f t="shared" si="3"/>
        <v>#VALUE!</v>
      </c>
      <c r="I63" s="297" t="e">
        <f t="shared" si="3"/>
        <v>#VALUE!</v>
      </c>
      <c r="J63" s="297" t="e">
        <f t="shared" si="3"/>
        <v>#VALUE!</v>
      </c>
      <c r="K63" s="297" t="e">
        <f t="shared" si="3"/>
        <v>#VALUE!</v>
      </c>
      <c r="L63" s="297" t="e">
        <f t="shared" si="3"/>
        <v>#VALUE!</v>
      </c>
      <c r="M63" s="297" t="e">
        <f t="shared" si="3"/>
        <v>#VALUE!</v>
      </c>
      <c r="N63" s="297" t="e">
        <f t="shared" si="3"/>
        <v>#VALUE!</v>
      </c>
      <c r="O63" s="297" t="e">
        <f t="shared" si="3"/>
        <v>#VALUE!</v>
      </c>
      <c r="P63" s="297" t="e">
        <f t="shared" si="3"/>
        <v>#VALUE!</v>
      </c>
    </row>
    <row r="64" spans="1:16" ht="15" customHeight="1"/>
  </sheetData>
  <mergeCells count="13">
    <mergeCell ref="B63:D63"/>
    <mergeCell ref="B57:D57"/>
    <mergeCell ref="B58:D58"/>
    <mergeCell ref="C59:D59"/>
    <mergeCell ref="C60:D60"/>
    <mergeCell ref="C34:D34"/>
    <mergeCell ref="B52:D52"/>
    <mergeCell ref="B56:D56"/>
    <mergeCell ref="A3:H3"/>
    <mergeCell ref="B11:D11"/>
    <mergeCell ref="B25:D25"/>
    <mergeCell ref="B27:D27"/>
    <mergeCell ref="B29:D29"/>
  </mergeCells>
  <phoneticPr fontId="19" type="noConversion"/>
  <pageMargins left="0.78740157480314965" right="0.78740157480314965" top="0.78740157480314965" bottom="0.78740157480314965" header="0.51181102362204722" footer="0.74803149606299213"/>
  <pageSetup paperSize="9" scale="54" firstPageNumber="0" orientation="portrait" horizontalDpi="300" verticalDpi="300" r:id="rId1"/>
  <headerFooter alignWithMargins="0">
    <oddFooter>&amp;L&amp;8&amp;D&amp;C&amp;8 &amp;F (&amp;A)&amp;R&amp;8 Page &amp;P</oddFooter>
  </headerFooter>
  <rowBreaks count="1" manualBreakCount="1">
    <brk id="4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F39-C42C-4196-B2B8-2E7B97887003}">
  <dimension ref="A1:M36"/>
  <sheetViews>
    <sheetView showGridLines="0" zoomScale="90" zoomScaleNormal="90" workbookViewId="0">
      <selection activeCell="K23" sqref="K23"/>
    </sheetView>
  </sheetViews>
  <sheetFormatPr defaultColWidth="9.109375" defaultRowHeight="13.2"/>
  <cols>
    <col min="1" max="1" width="38" style="61" customWidth="1"/>
    <col min="2" max="2" width="10.5546875" style="61" customWidth="1"/>
    <col min="3" max="3" width="10.6640625" style="61" customWidth="1"/>
    <col min="4" max="4" width="12" style="61" customWidth="1"/>
    <col min="5" max="5" width="10.88671875" style="61" customWidth="1"/>
    <col min="6" max="13" width="12" style="61" customWidth="1"/>
    <col min="14" max="16384" width="9.109375" style="61"/>
  </cols>
  <sheetData>
    <row r="1" spans="1:13">
      <c r="A1" s="65" t="s">
        <v>311</v>
      </c>
    </row>
    <row r="4" spans="1:13">
      <c r="A4" s="199" t="str">
        <f>'INPUT SHEET'!A10</f>
        <v>Nature of Financials</v>
      </c>
      <c r="B4" s="200" t="str">
        <f>'INPUT SHEET'!B10</f>
        <v>Audited</v>
      </c>
      <c r="C4" s="200" t="str">
        <f>'INPUT SHEET'!C10</f>
        <v>Audited</v>
      </c>
      <c r="D4" s="200" t="str">
        <f>'INPUT SHEET'!D10</f>
        <v>Provisionals</v>
      </c>
      <c r="E4" s="200" t="str">
        <f>'INPUT SHEET'!E10</f>
        <v>Projected</v>
      </c>
      <c r="F4" s="201" t="str">
        <f>'INPUT SHEET'!F10</f>
        <v>Projected</v>
      </c>
      <c r="G4" s="201" t="str">
        <f>'INPUT SHEET'!G10</f>
        <v>Projected</v>
      </c>
      <c r="H4" s="201" t="str">
        <f>'INPUT SHEET'!H10</f>
        <v>Projected</v>
      </c>
      <c r="I4" s="201" t="str">
        <f>'INPUT SHEET'!I10</f>
        <v>Projected</v>
      </c>
      <c r="J4" s="201" t="str">
        <f>'INPUT SHEET'!J10</f>
        <v>Projected</v>
      </c>
      <c r="K4" s="201" t="str">
        <f>'INPUT SHEET'!K10</f>
        <v>Projected</v>
      </c>
      <c r="L4" s="201" t="str">
        <f>'INPUT SHEET'!L10</f>
        <v>Projected</v>
      </c>
      <c r="M4" s="201" t="str">
        <f>'INPUT SHEET'!M10</f>
        <v>Projected</v>
      </c>
    </row>
    <row r="5" spans="1:13">
      <c r="A5" s="202" t="str">
        <f>'INPUT SHEET'!A8</f>
        <v>Year</v>
      </c>
      <c r="B5" s="203">
        <f>'INPUT SHEET'!B8</f>
        <v>2023</v>
      </c>
      <c r="C5" s="203">
        <f>'INPUT SHEET'!C8</f>
        <v>2024</v>
      </c>
      <c r="D5" s="203">
        <f>'INPUT SHEET'!D8</f>
        <v>2025</v>
      </c>
      <c r="E5" s="203">
        <f>'INPUT SHEET'!E8</f>
        <v>2026</v>
      </c>
      <c r="F5" s="204">
        <f>'INPUT SHEET'!F8</f>
        <v>2027</v>
      </c>
      <c r="G5" s="204">
        <f>'INPUT SHEET'!G8</f>
        <v>2028</v>
      </c>
      <c r="H5" s="204">
        <f>'INPUT SHEET'!H8</f>
        <v>2029</v>
      </c>
      <c r="I5" s="204">
        <f>'INPUT SHEET'!I8</f>
        <v>2030</v>
      </c>
      <c r="J5" s="204">
        <f>'INPUT SHEET'!J8</f>
        <v>2031</v>
      </c>
      <c r="K5" s="204">
        <f>'INPUT SHEET'!K8</f>
        <v>2032</v>
      </c>
      <c r="L5" s="204">
        <f>'INPUT SHEET'!L8</f>
        <v>2033</v>
      </c>
      <c r="M5" s="204">
        <f>'INPUT SHEET'!M8</f>
        <v>2034</v>
      </c>
    </row>
    <row r="6" spans="1:13">
      <c r="A6" s="205"/>
      <c r="B6" s="206">
        <f>'INPUT SHEET'!B9</f>
        <v>12</v>
      </c>
      <c r="C6" s="206">
        <f>'INPUT SHEET'!C9</f>
        <v>12</v>
      </c>
      <c r="D6" s="206">
        <f>'INPUT SHEET'!D9</f>
        <v>12</v>
      </c>
      <c r="E6" s="206">
        <f>'INPUT SHEET'!E9</f>
        <v>12</v>
      </c>
      <c r="F6" s="207">
        <f>'INPUT SHEET'!F9</f>
        <v>12</v>
      </c>
      <c r="G6" s="207">
        <f>'INPUT SHEET'!G9</f>
        <v>12</v>
      </c>
      <c r="H6" s="207">
        <f>'INPUT SHEET'!H9</f>
        <v>12</v>
      </c>
      <c r="I6" s="207">
        <f>'INPUT SHEET'!I9</f>
        <v>12</v>
      </c>
      <c r="J6" s="207">
        <f>'INPUT SHEET'!J9</f>
        <v>12</v>
      </c>
      <c r="K6" s="207">
        <f>'INPUT SHEET'!K9</f>
        <v>12</v>
      </c>
      <c r="L6" s="207">
        <f>'INPUT SHEET'!L9</f>
        <v>12</v>
      </c>
      <c r="M6" s="207">
        <f>'INPUT SHEET'!M9</f>
        <v>12</v>
      </c>
    </row>
    <row r="7" spans="1:13">
      <c r="A7" s="208"/>
      <c r="B7" s="104"/>
      <c r="D7" s="104"/>
      <c r="E7" s="104"/>
      <c r="F7" s="209"/>
      <c r="G7" s="209"/>
      <c r="H7" s="209"/>
      <c r="I7" s="209"/>
      <c r="J7" s="209"/>
      <c r="K7" s="209"/>
      <c r="L7" s="209"/>
      <c r="M7" s="209"/>
    </row>
    <row r="8" spans="1:13">
      <c r="A8" s="210" t="s">
        <v>312</v>
      </c>
      <c r="B8" s="104"/>
      <c r="D8" s="104"/>
      <c r="E8" s="104"/>
      <c r="F8" s="209"/>
      <c r="G8" s="209"/>
      <c r="H8" s="209"/>
      <c r="I8" s="209"/>
      <c r="J8" s="209"/>
      <c r="K8" s="209"/>
      <c r="L8" s="209"/>
      <c r="M8" s="209"/>
    </row>
    <row r="9" spans="1:13">
      <c r="A9" s="208"/>
      <c r="B9" s="104"/>
      <c r="D9" s="104"/>
      <c r="E9" s="104"/>
      <c r="F9" s="209"/>
      <c r="G9" s="209"/>
      <c r="H9" s="209"/>
      <c r="I9" s="209"/>
      <c r="J9" s="209"/>
      <c r="K9" s="209"/>
      <c r="L9" s="209"/>
      <c r="M9" s="209"/>
    </row>
    <row r="10" spans="1:13">
      <c r="A10" s="208" t="s">
        <v>18</v>
      </c>
      <c r="B10" s="104"/>
      <c r="C10" s="211" t="e">
        <f>('INPUT SHEET'!C22-'INPUT SHEET'!B22)/'INPUT SHEET'!B22*100</f>
        <v>#DIV/0!</v>
      </c>
      <c r="D10" s="74" t="e">
        <f>('INPUT SHEET'!D22-'INPUT SHEET'!C22)/'INPUT SHEET'!C22*100</f>
        <v>#DIV/0!</v>
      </c>
      <c r="E10" s="74" t="e">
        <f>('INPUT SHEET'!E22-'INPUT SHEET'!D22)/'INPUT SHEET'!D22*100</f>
        <v>#DIV/0!</v>
      </c>
      <c r="F10" s="212" t="e">
        <f>('INPUT SHEET'!F22-'INPUT SHEET'!E22)/'INPUT SHEET'!E22*100</f>
        <v>#DIV/0!</v>
      </c>
      <c r="G10" s="212" t="e">
        <f>('INPUT SHEET'!G22-'INPUT SHEET'!F22)/'INPUT SHEET'!F22*100</f>
        <v>#DIV/0!</v>
      </c>
      <c r="H10" s="212" t="e">
        <f>('INPUT SHEET'!H22-'INPUT SHEET'!G22)/'INPUT SHEET'!G22*100</f>
        <v>#DIV/0!</v>
      </c>
      <c r="I10" s="212" t="e">
        <f>('INPUT SHEET'!I22-'INPUT SHEET'!H22)/'INPUT SHEET'!H22*100</f>
        <v>#DIV/0!</v>
      </c>
      <c r="J10" s="212" t="e">
        <f>('INPUT SHEET'!J22-'INPUT SHEET'!I22)/'INPUT SHEET'!I22*100</f>
        <v>#DIV/0!</v>
      </c>
      <c r="K10" s="212" t="e">
        <f>('INPUT SHEET'!K22-'INPUT SHEET'!J22)/'INPUT SHEET'!J22*100</f>
        <v>#DIV/0!</v>
      </c>
      <c r="L10" s="212" t="e">
        <f>('INPUT SHEET'!L22-'INPUT SHEET'!K22)/'INPUT SHEET'!K22*100</f>
        <v>#DIV/0!</v>
      </c>
      <c r="M10" s="212" t="e">
        <f>('INPUT SHEET'!M22-'INPUT SHEET'!L22)/'INPUT SHEET'!L22*100</f>
        <v>#DIV/0!</v>
      </c>
    </row>
    <row r="11" spans="1:13">
      <c r="A11" s="208" t="s">
        <v>19</v>
      </c>
      <c r="B11" s="104"/>
      <c r="C11" s="211" t="e">
        <f>('INPUT SHEET'!C23-'INPUT SHEET'!B23)/'INPUT SHEET'!B23*100</f>
        <v>#DIV/0!</v>
      </c>
      <c r="D11" s="74" t="e">
        <f>('INPUT SHEET'!D23-'INPUT SHEET'!C23)/'INPUT SHEET'!C23*100</f>
        <v>#DIV/0!</v>
      </c>
      <c r="E11" s="74" t="e">
        <f>('INPUT SHEET'!E23-'INPUT SHEET'!D23)/'INPUT SHEET'!D23*100</f>
        <v>#DIV/0!</v>
      </c>
      <c r="F11" s="212" t="e">
        <f>('INPUT SHEET'!F23-'INPUT SHEET'!E23)/'INPUT SHEET'!E23*100</f>
        <v>#DIV/0!</v>
      </c>
      <c r="G11" s="212" t="e">
        <f>('INPUT SHEET'!G23-'INPUT SHEET'!F23)/'INPUT SHEET'!F23*100</f>
        <v>#DIV/0!</v>
      </c>
      <c r="H11" s="212" t="e">
        <f>('INPUT SHEET'!H23-'INPUT SHEET'!G23)/'INPUT SHEET'!G23*100</f>
        <v>#DIV/0!</v>
      </c>
      <c r="I11" s="212" t="e">
        <f>('INPUT SHEET'!I23-'INPUT SHEET'!H23)/'INPUT SHEET'!H23*100</f>
        <v>#DIV/0!</v>
      </c>
      <c r="J11" s="212" t="e">
        <f>('INPUT SHEET'!J23-'INPUT SHEET'!I23)/'INPUT SHEET'!I23*100</f>
        <v>#DIV/0!</v>
      </c>
      <c r="K11" s="212" t="e">
        <f>('INPUT SHEET'!K23-'INPUT SHEET'!J23)/'INPUT SHEET'!J23*100</f>
        <v>#DIV/0!</v>
      </c>
      <c r="L11" s="212" t="e">
        <f>('INPUT SHEET'!L23-'INPUT SHEET'!K23)/'INPUT SHEET'!K23*100</f>
        <v>#DIV/0!</v>
      </c>
      <c r="M11" s="212" t="e">
        <f>('INPUT SHEET'!M23-'INPUT SHEET'!L23)/'INPUT SHEET'!L23*100</f>
        <v>#DIV/0!</v>
      </c>
    </row>
    <row r="12" spans="1:13">
      <c r="A12" s="208"/>
      <c r="B12" s="104"/>
      <c r="D12" s="104"/>
      <c r="E12" s="104"/>
      <c r="F12" s="209"/>
      <c r="G12" s="209"/>
      <c r="H12" s="209"/>
      <c r="I12" s="209"/>
      <c r="J12" s="209"/>
      <c r="K12" s="209"/>
      <c r="L12" s="209"/>
      <c r="M12" s="209"/>
    </row>
    <row r="13" spans="1:13">
      <c r="A13" s="213" t="s">
        <v>313</v>
      </c>
      <c r="B13" s="119"/>
      <c r="C13" s="214" t="e">
        <f>('INPUT SHEET'!C26-'INPUT SHEET'!B26)/'INPUT SHEET'!B26</f>
        <v>#DIV/0!</v>
      </c>
      <c r="D13" s="214" t="e">
        <f>('INPUT SHEET'!D26-'INPUT SHEET'!C26)/'INPUT SHEET'!C26</f>
        <v>#DIV/0!</v>
      </c>
      <c r="E13" s="214" t="e">
        <f>('INPUT SHEET'!E26-'INPUT SHEET'!D26)/'INPUT SHEET'!D26</f>
        <v>#DIV/0!</v>
      </c>
      <c r="F13" s="214" t="e">
        <f>('INPUT SHEET'!F26-'INPUT SHEET'!E26)/'INPUT SHEET'!E26</f>
        <v>#DIV/0!</v>
      </c>
      <c r="G13" s="214" t="e">
        <f>('INPUT SHEET'!G26-'INPUT SHEET'!F26)/'INPUT SHEET'!F26</f>
        <v>#DIV/0!</v>
      </c>
      <c r="H13" s="214" t="e">
        <f>('INPUT SHEET'!H26-'INPUT SHEET'!G26)/'INPUT SHEET'!G26</f>
        <v>#DIV/0!</v>
      </c>
      <c r="I13" s="214" t="e">
        <f>('INPUT SHEET'!I26-'INPUT SHEET'!H26)/'INPUT SHEET'!H26</f>
        <v>#DIV/0!</v>
      </c>
      <c r="J13" s="214" t="e">
        <f>('INPUT SHEET'!J26-'INPUT SHEET'!I26)/'INPUT SHEET'!I26</f>
        <v>#DIV/0!</v>
      </c>
      <c r="K13" s="214" t="e">
        <f>('INPUT SHEET'!K26-'INPUT SHEET'!J26)/'INPUT SHEET'!J26</f>
        <v>#DIV/0!</v>
      </c>
      <c r="L13" s="214" t="e">
        <f>('INPUT SHEET'!L26-'INPUT SHEET'!K26)/'INPUT SHEET'!K26</f>
        <v>#DIV/0!</v>
      </c>
      <c r="M13" s="214" t="e">
        <f>('INPUT SHEET'!M26-'INPUT SHEET'!L26)/'INPUT SHEET'!L26</f>
        <v>#DIV/0!</v>
      </c>
    </row>
    <row r="14" spans="1:13">
      <c r="A14" s="208"/>
      <c r="B14" s="104"/>
      <c r="D14" s="104"/>
      <c r="E14" s="104"/>
      <c r="F14" s="209"/>
      <c r="G14" s="209"/>
      <c r="H14" s="209"/>
      <c r="I14" s="209"/>
      <c r="J14" s="209"/>
      <c r="K14" s="209"/>
      <c r="L14" s="209"/>
      <c r="M14" s="209"/>
    </row>
    <row r="15" spans="1:13">
      <c r="A15" s="215" t="s">
        <v>17</v>
      </c>
      <c r="B15" s="216">
        <v>1</v>
      </c>
      <c r="C15" s="216">
        <v>1</v>
      </c>
      <c r="D15" s="216">
        <v>1</v>
      </c>
      <c r="E15" s="216">
        <v>1</v>
      </c>
      <c r="F15" s="216">
        <v>1</v>
      </c>
      <c r="G15" s="216">
        <v>1</v>
      </c>
      <c r="H15" s="216">
        <v>1</v>
      </c>
      <c r="I15" s="216">
        <v>1</v>
      </c>
      <c r="J15" s="216">
        <v>1</v>
      </c>
      <c r="K15" s="216">
        <v>1</v>
      </c>
      <c r="L15" s="216">
        <v>1</v>
      </c>
      <c r="M15" s="216">
        <v>1</v>
      </c>
    </row>
    <row r="16" spans="1:13">
      <c r="A16" s="208"/>
      <c r="B16" s="217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7"/>
    </row>
    <row r="17" spans="1:13">
      <c r="A17" s="208" t="s">
        <v>314</v>
      </c>
      <c r="B17" s="217" t="e">
        <f>('INPUT SHEET'!B41+'INPUT SHEET'!B42)/'INPUT SHEET'!B26</f>
        <v>#DIV/0!</v>
      </c>
      <c r="C17" s="217" t="e">
        <f>('INPUT SHEET'!C41+'INPUT SHEET'!C42)/'INPUT SHEET'!C26</f>
        <v>#DIV/0!</v>
      </c>
      <c r="D17" s="217" t="e">
        <f>('INPUT SHEET'!D41+'INPUT SHEET'!D42)/'INPUT SHEET'!D26</f>
        <v>#DIV/0!</v>
      </c>
      <c r="E17" s="217" t="e">
        <f>('INPUT SHEET'!E41+'INPUT SHEET'!E42)/'INPUT SHEET'!E26</f>
        <v>#DIV/0!</v>
      </c>
      <c r="F17" s="217" t="e">
        <f>('INPUT SHEET'!F41+'INPUT SHEET'!F42)/'INPUT SHEET'!F26</f>
        <v>#DIV/0!</v>
      </c>
      <c r="G17" s="217" t="e">
        <f>('INPUT SHEET'!G41+'INPUT SHEET'!G42)/'INPUT SHEET'!G26</f>
        <v>#DIV/0!</v>
      </c>
      <c r="H17" s="217" t="e">
        <f>('INPUT SHEET'!H41+'INPUT SHEET'!H42)/'INPUT SHEET'!H26</f>
        <v>#DIV/0!</v>
      </c>
      <c r="I17" s="217" t="e">
        <f>('INPUT SHEET'!I41+'INPUT SHEET'!I42)/'INPUT SHEET'!I26</f>
        <v>#DIV/0!</v>
      </c>
      <c r="J17" s="217" t="e">
        <f>('INPUT SHEET'!J41+'INPUT SHEET'!J42)/'INPUT SHEET'!J26</f>
        <v>#DIV/0!</v>
      </c>
      <c r="K17" s="217" t="e">
        <f>('INPUT SHEET'!K41+'INPUT SHEET'!K42)/'INPUT SHEET'!K26</f>
        <v>#DIV/0!</v>
      </c>
      <c r="L17" s="217" t="e">
        <f>('INPUT SHEET'!L41+'INPUT SHEET'!L42)/'INPUT SHEET'!L26</f>
        <v>#DIV/0!</v>
      </c>
      <c r="M17" s="217" t="e">
        <f>('INPUT SHEET'!M41+'INPUT SHEET'!M42)/'INPUT SHEET'!M26</f>
        <v>#DIV/0!</v>
      </c>
    </row>
    <row r="18" spans="1:13">
      <c r="A18" s="208" t="s">
        <v>315</v>
      </c>
      <c r="B18" s="217" t="e">
        <f>('INPUT SHEET'!B43+'INPUT SHEET'!B44)/'INPUT SHEET'!B26</f>
        <v>#DIV/0!</v>
      </c>
      <c r="C18" s="217" t="e">
        <f>('INPUT SHEET'!C43+'INPUT SHEET'!C44)/'INPUT SHEET'!C26</f>
        <v>#DIV/0!</v>
      </c>
      <c r="D18" s="217" t="e">
        <f>('INPUT SHEET'!D43+'INPUT SHEET'!D44)/'INPUT SHEET'!D26</f>
        <v>#DIV/0!</v>
      </c>
      <c r="E18" s="217" t="e">
        <f>('INPUT SHEET'!E43+'INPUT SHEET'!E44)/'INPUT SHEET'!E26</f>
        <v>#DIV/0!</v>
      </c>
      <c r="F18" s="217" t="e">
        <f>('INPUT SHEET'!F43+'INPUT SHEET'!F44)/'INPUT SHEET'!F26</f>
        <v>#DIV/0!</v>
      </c>
      <c r="G18" s="217" t="e">
        <f>('INPUT SHEET'!G43+'INPUT SHEET'!G44)/'INPUT SHEET'!G26</f>
        <v>#DIV/0!</v>
      </c>
      <c r="H18" s="217" t="e">
        <f>('INPUT SHEET'!H43+'INPUT SHEET'!H44)/'INPUT SHEET'!H26</f>
        <v>#DIV/0!</v>
      </c>
      <c r="I18" s="217" t="e">
        <f>('INPUT SHEET'!I43+'INPUT SHEET'!I44)/'INPUT SHEET'!I26</f>
        <v>#DIV/0!</v>
      </c>
      <c r="J18" s="217" t="e">
        <f>('INPUT SHEET'!J43+'INPUT SHEET'!J44)/'INPUT SHEET'!J26</f>
        <v>#DIV/0!</v>
      </c>
      <c r="K18" s="217" t="e">
        <f>('INPUT SHEET'!K43+'INPUT SHEET'!K44)/'INPUT SHEET'!K26</f>
        <v>#DIV/0!</v>
      </c>
      <c r="L18" s="217" t="e">
        <f>('INPUT SHEET'!L43+'INPUT SHEET'!L44)/'INPUT SHEET'!L26</f>
        <v>#DIV/0!</v>
      </c>
      <c r="M18" s="217" t="e">
        <f>('INPUT SHEET'!M43+'INPUT SHEET'!M44)/'INPUT SHEET'!M26</f>
        <v>#DIV/0!</v>
      </c>
    </row>
    <row r="19" spans="1:13">
      <c r="A19" s="208" t="s">
        <v>316</v>
      </c>
      <c r="B19" s="217" t="e">
        <f>'INPUT SHEET'!B64/'INPUT SHEET'!B26</f>
        <v>#DIV/0!</v>
      </c>
      <c r="C19" s="217" t="e">
        <f>'INPUT SHEET'!C64/'INPUT SHEET'!C26</f>
        <v>#DIV/0!</v>
      </c>
      <c r="D19" s="217" t="e">
        <f>'INPUT SHEET'!D64/'INPUT SHEET'!D26</f>
        <v>#DIV/0!</v>
      </c>
      <c r="E19" s="217" t="e">
        <f>'INPUT SHEET'!E64/'INPUT SHEET'!E26</f>
        <v>#DIV/0!</v>
      </c>
      <c r="F19" s="217" t="e">
        <f>'INPUT SHEET'!F64/'INPUT SHEET'!F26</f>
        <v>#DIV/0!</v>
      </c>
      <c r="G19" s="217" t="e">
        <f>'INPUT SHEET'!G64/'INPUT SHEET'!G26</f>
        <v>#DIV/0!</v>
      </c>
      <c r="H19" s="217" t="e">
        <f>'INPUT SHEET'!H64/'INPUT SHEET'!H26</f>
        <v>#DIV/0!</v>
      </c>
      <c r="I19" s="217" t="e">
        <f>'INPUT SHEET'!I64/'INPUT SHEET'!I26</f>
        <v>#DIV/0!</v>
      </c>
      <c r="J19" s="217" t="e">
        <f>'INPUT SHEET'!J64/'INPUT SHEET'!J26</f>
        <v>#DIV/0!</v>
      </c>
      <c r="K19" s="217" t="e">
        <f>'INPUT SHEET'!K64/'INPUT SHEET'!K26</f>
        <v>#DIV/0!</v>
      </c>
      <c r="L19" s="217" t="e">
        <f>'INPUT SHEET'!L64/'INPUT SHEET'!L26</f>
        <v>#DIV/0!</v>
      </c>
      <c r="M19" s="217" t="e">
        <f>'INPUT SHEET'!M64/'INPUT SHEET'!M26</f>
        <v>#DIV/0!</v>
      </c>
    </row>
    <row r="20" spans="1:13">
      <c r="A20" s="208" t="s">
        <v>317</v>
      </c>
      <c r="B20" s="217" t="e">
        <f>'INPUT SHEET'!B55/'INPUT SHEET'!B26</f>
        <v>#DIV/0!</v>
      </c>
      <c r="C20" s="217" t="e">
        <f>'INPUT SHEET'!C55/'INPUT SHEET'!C26</f>
        <v>#DIV/0!</v>
      </c>
      <c r="D20" s="217" t="e">
        <f>'INPUT SHEET'!D55/'INPUT SHEET'!D26</f>
        <v>#DIV/0!</v>
      </c>
      <c r="E20" s="217" t="e">
        <f>'INPUT SHEET'!E55/'INPUT SHEET'!E26</f>
        <v>#DIV/0!</v>
      </c>
      <c r="F20" s="217" t="e">
        <f>'INPUT SHEET'!F55/'INPUT SHEET'!F26</f>
        <v>#DIV/0!</v>
      </c>
      <c r="G20" s="217" t="e">
        <f>'INPUT SHEET'!G55/'INPUT SHEET'!G26</f>
        <v>#DIV/0!</v>
      </c>
      <c r="H20" s="217" t="e">
        <f>'INPUT SHEET'!H55/'INPUT SHEET'!H26</f>
        <v>#DIV/0!</v>
      </c>
      <c r="I20" s="217" t="e">
        <f>'INPUT SHEET'!I55/'INPUT SHEET'!I26</f>
        <v>#DIV/0!</v>
      </c>
      <c r="J20" s="217" t="e">
        <f>'INPUT SHEET'!J55/'INPUT SHEET'!J26</f>
        <v>#DIV/0!</v>
      </c>
      <c r="K20" s="217" t="e">
        <f>'INPUT SHEET'!K55/'INPUT SHEET'!K26</f>
        <v>#DIV/0!</v>
      </c>
      <c r="L20" s="217" t="e">
        <f>'INPUT SHEET'!L55/'INPUT SHEET'!L26</f>
        <v>#DIV/0!</v>
      </c>
      <c r="M20" s="217" t="e">
        <f>'INPUT SHEET'!M55/'INPUT SHEET'!M26</f>
        <v>#DIV/0!</v>
      </c>
    </row>
    <row r="21" spans="1:13">
      <c r="A21" s="208" t="s">
        <v>318</v>
      </c>
      <c r="B21" s="217" t="e">
        <f>'INPUT SHEET'!B60/'INPUT SHEET'!B26</f>
        <v>#DIV/0!</v>
      </c>
      <c r="C21" s="217" t="e">
        <f>'INPUT SHEET'!C60/'INPUT SHEET'!C26</f>
        <v>#DIV/0!</v>
      </c>
      <c r="D21" s="217" t="e">
        <f>'INPUT SHEET'!D60/'INPUT SHEET'!D26</f>
        <v>#DIV/0!</v>
      </c>
      <c r="E21" s="217" t="e">
        <f>'INPUT SHEET'!E60/'INPUT SHEET'!E26</f>
        <v>#DIV/0!</v>
      </c>
      <c r="F21" s="217" t="e">
        <f>'INPUT SHEET'!F60/'INPUT SHEET'!F26</f>
        <v>#DIV/0!</v>
      </c>
      <c r="G21" s="217" t="e">
        <f>'INPUT SHEET'!G60/'INPUT SHEET'!G26</f>
        <v>#DIV/0!</v>
      </c>
      <c r="H21" s="217" t="e">
        <f>'INPUT SHEET'!H60/'INPUT SHEET'!H26</f>
        <v>#DIV/0!</v>
      </c>
      <c r="I21" s="217" t="e">
        <f>'INPUT SHEET'!I60/'INPUT SHEET'!I26</f>
        <v>#DIV/0!</v>
      </c>
      <c r="J21" s="217" t="e">
        <f>'INPUT SHEET'!J60/'INPUT SHEET'!J26</f>
        <v>#DIV/0!</v>
      </c>
      <c r="K21" s="217" t="e">
        <f>'INPUT SHEET'!K60/'INPUT SHEET'!K26</f>
        <v>#DIV/0!</v>
      </c>
      <c r="L21" s="217" t="e">
        <f>'INPUT SHEET'!L60/'INPUT SHEET'!L26</f>
        <v>#DIV/0!</v>
      </c>
      <c r="M21" s="217" t="e">
        <f>'INPUT SHEET'!M60/'INPUT SHEET'!M26</f>
        <v>#DIV/0!</v>
      </c>
    </row>
    <row r="22" spans="1:13">
      <c r="A22" s="208" t="s">
        <v>319</v>
      </c>
      <c r="B22" s="217" t="e">
        <f>'INPUT SHEET'!B80/'INPUT SHEET'!B26</f>
        <v>#DIV/0!</v>
      </c>
      <c r="C22" s="217" t="e">
        <f>'INPUT SHEET'!C80/'INPUT SHEET'!C26</f>
        <v>#DIV/0!</v>
      </c>
      <c r="D22" s="217" t="e">
        <f>'INPUT SHEET'!D80/'INPUT SHEET'!D26</f>
        <v>#DIV/0!</v>
      </c>
      <c r="E22" s="217" t="e">
        <f>'INPUT SHEET'!E80/'INPUT SHEET'!E26</f>
        <v>#DIV/0!</v>
      </c>
      <c r="F22" s="217" t="e">
        <f>'INPUT SHEET'!F80/'INPUT SHEET'!F26</f>
        <v>#DIV/0!</v>
      </c>
      <c r="G22" s="217" t="e">
        <f>'INPUT SHEET'!G80/'INPUT SHEET'!G26</f>
        <v>#DIV/0!</v>
      </c>
      <c r="H22" s="217" t="e">
        <f>'INPUT SHEET'!H80/'INPUT SHEET'!H26</f>
        <v>#DIV/0!</v>
      </c>
      <c r="I22" s="217" t="e">
        <f>'INPUT SHEET'!I80/'INPUT SHEET'!I26</f>
        <v>#DIV/0!</v>
      </c>
      <c r="J22" s="217" t="e">
        <f>'INPUT SHEET'!J80/'INPUT SHEET'!J26</f>
        <v>#DIV/0!</v>
      </c>
      <c r="K22" s="217" t="e">
        <f>'INPUT SHEET'!K80/'INPUT SHEET'!K26</f>
        <v>#DIV/0!</v>
      </c>
      <c r="L22" s="217" t="e">
        <f>'INPUT SHEET'!L80/'INPUT SHEET'!L26</f>
        <v>#DIV/0!</v>
      </c>
      <c r="M22" s="217" t="e">
        <f>'INPUT SHEET'!M80/'INPUT SHEET'!M26</f>
        <v>#DIV/0!</v>
      </c>
    </row>
    <row r="23" spans="1:13">
      <c r="A23" s="215" t="s">
        <v>204</v>
      </c>
      <c r="B23" s="216" t="e">
        <f t="shared" ref="B23:M23" si="0">B15-B17-B18-B19-B20-B21-B22</f>
        <v>#DIV/0!</v>
      </c>
      <c r="C23" s="216" t="e">
        <f t="shared" si="0"/>
        <v>#DIV/0!</v>
      </c>
      <c r="D23" s="216" t="e">
        <f t="shared" si="0"/>
        <v>#DIV/0!</v>
      </c>
      <c r="E23" s="216" t="e">
        <f t="shared" si="0"/>
        <v>#DIV/0!</v>
      </c>
      <c r="F23" s="216" t="e">
        <f t="shared" si="0"/>
        <v>#DIV/0!</v>
      </c>
      <c r="G23" s="216" t="e">
        <f t="shared" si="0"/>
        <v>#DIV/0!</v>
      </c>
      <c r="H23" s="216" t="e">
        <f t="shared" si="0"/>
        <v>#DIV/0!</v>
      </c>
      <c r="I23" s="216" t="e">
        <f t="shared" si="0"/>
        <v>#DIV/0!</v>
      </c>
      <c r="J23" s="216" t="e">
        <f t="shared" si="0"/>
        <v>#DIV/0!</v>
      </c>
      <c r="K23" s="216" t="e">
        <f t="shared" si="0"/>
        <v>#DIV/0!</v>
      </c>
      <c r="L23" s="216" t="e">
        <f t="shared" si="0"/>
        <v>#DIV/0!</v>
      </c>
      <c r="M23" s="216" t="e">
        <f t="shared" si="0"/>
        <v>#DIV/0!</v>
      </c>
    </row>
    <row r="24" spans="1:13">
      <c r="A24" s="208" t="s">
        <v>43</v>
      </c>
      <c r="B24" s="217" t="e">
        <f>'INPUT SHEET'!B56/'INPUT SHEET'!B26</f>
        <v>#DIV/0!</v>
      </c>
      <c r="C24" s="217" t="e">
        <f>'INPUT SHEET'!C56/'INPUT SHEET'!C26</f>
        <v>#DIV/0!</v>
      </c>
      <c r="D24" s="217" t="e">
        <f>'INPUT SHEET'!D56/'INPUT SHEET'!D26</f>
        <v>#DIV/0!</v>
      </c>
      <c r="E24" s="217" t="e">
        <f>'INPUT SHEET'!E56/'INPUT SHEET'!E26</f>
        <v>#DIV/0!</v>
      </c>
      <c r="F24" s="217" t="e">
        <f>'INPUT SHEET'!F56/'INPUT SHEET'!F26</f>
        <v>#DIV/0!</v>
      </c>
      <c r="G24" s="217" t="e">
        <f>'INPUT SHEET'!G56/'INPUT SHEET'!G26</f>
        <v>#DIV/0!</v>
      </c>
      <c r="H24" s="217" t="e">
        <f>'INPUT SHEET'!H56/'INPUT SHEET'!H26</f>
        <v>#DIV/0!</v>
      </c>
      <c r="I24" s="217" t="e">
        <f>'INPUT SHEET'!I56/'INPUT SHEET'!I26</f>
        <v>#DIV/0!</v>
      </c>
      <c r="J24" s="217" t="e">
        <f>'INPUT SHEET'!J56/'INPUT SHEET'!J26</f>
        <v>#DIV/0!</v>
      </c>
      <c r="K24" s="217" t="e">
        <f>'INPUT SHEET'!K56/'INPUT SHEET'!K26</f>
        <v>#DIV/0!</v>
      </c>
      <c r="L24" s="217" t="e">
        <f>'INPUT SHEET'!L56/'INPUT SHEET'!L26</f>
        <v>#DIV/0!</v>
      </c>
      <c r="M24" s="217" t="e">
        <f>'INPUT SHEET'!M56/'INPUT SHEET'!M26</f>
        <v>#DIV/0!</v>
      </c>
    </row>
    <row r="25" spans="1:13">
      <c r="A25" s="208" t="s">
        <v>273</v>
      </c>
      <c r="B25" s="217" t="e">
        <f>'INPUT SHEET'!B86/'INPUT SHEET'!B26</f>
        <v>#DIV/0!</v>
      </c>
      <c r="C25" s="217" t="e">
        <f>'INPUT SHEET'!C86/'INPUT SHEET'!C26</f>
        <v>#DIV/0!</v>
      </c>
      <c r="D25" s="217" t="e">
        <f>'INPUT SHEET'!D86/'INPUT SHEET'!D26</f>
        <v>#DIV/0!</v>
      </c>
      <c r="E25" s="217" t="e">
        <f>'INPUT SHEET'!E86/'INPUT SHEET'!E26</f>
        <v>#DIV/0!</v>
      </c>
      <c r="F25" s="217" t="e">
        <f>'INPUT SHEET'!F86/'INPUT SHEET'!F26</f>
        <v>#DIV/0!</v>
      </c>
      <c r="G25" s="217" t="e">
        <f>'INPUT SHEET'!G86/'INPUT SHEET'!G26</f>
        <v>#DIV/0!</v>
      </c>
      <c r="H25" s="217" t="e">
        <f>'INPUT SHEET'!H86/'INPUT SHEET'!H26</f>
        <v>#DIV/0!</v>
      </c>
      <c r="I25" s="217" t="e">
        <f>'INPUT SHEET'!I86/'INPUT SHEET'!I26</f>
        <v>#DIV/0!</v>
      </c>
      <c r="J25" s="217" t="e">
        <f>'INPUT SHEET'!J86/'INPUT SHEET'!J26</f>
        <v>#DIV/0!</v>
      </c>
      <c r="K25" s="217" t="e">
        <f>'INPUT SHEET'!K86/'INPUT SHEET'!K26</f>
        <v>#DIV/0!</v>
      </c>
      <c r="L25" s="217" t="e">
        <f>'INPUT SHEET'!L86/'INPUT SHEET'!L26</f>
        <v>#DIV/0!</v>
      </c>
      <c r="M25" s="217" t="e">
        <f>'INPUT SHEET'!M86/'INPUT SHEET'!M26</f>
        <v>#DIV/0!</v>
      </c>
    </row>
    <row r="26" spans="1:13">
      <c r="A26" s="215" t="s">
        <v>320</v>
      </c>
      <c r="B26" s="216" t="e">
        <f t="shared" ref="B26:M26" si="1">B23-B24-B25</f>
        <v>#DIV/0!</v>
      </c>
      <c r="C26" s="216" t="e">
        <f t="shared" si="1"/>
        <v>#DIV/0!</v>
      </c>
      <c r="D26" s="216" t="e">
        <f t="shared" si="1"/>
        <v>#DIV/0!</v>
      </c>
      <c r="E26" s="216" t="e">
        <f t="shared" si="1"/>
        <v>#DIV/0!</v>
      </c>
      <c r="F26" s="216" t="e">
        <f t="shared" si="1"/>
        <v>#DIV/0!</v>
      </c>
      <c r="G26" s="216" t="e">
        <f t="shared" si="1"/>
        <v>#DIV/0!</v>
      </c>
      <c r="H26" s="216" t="e">
        <f t="shared" si="1"/>
        <v>#DIV/0!</v>
      </c>
      <c r="I26" s="216" t="e">
        <f t="shared" si="1"/>
        <v>#DIV/0!</v>
      </c>
      <c r="J26" s="216" t="e">
        <f t="shared" si="1"/>
        <v>#DIV/0!</v>
      </c>
      <c r="K26" s="216" t="e">
        <f t="shared" si="1"/>
        <v>#DIV/0!</v>
      </c>
      <c r="L26" s="216" t="e">
        <f t="shared" si="1"/>
        <v>#DIV/0!</v>
      </c>
      <c r="M26" s="216" t="e">
        <f t="shared" si="1"/>
        <v>#DIV/0!</v>
      </c>
    </row>
    <row r="27" spans="1:13">
      <c r="A27" s="208" t="s">
        <v>321</v>
      </c>
      <c r="B27" s="217" t="e">
        <f>'INPUT SHEET'!B35/'INPUT SHEET'!B26</f>
        <v>#DIV/0!</v>
      </c>
      <c r="C27" s="217" t="e">
        <f>'INPUT SHEET'!C35/'INPUT SHEET'!C26</f>
        <v>#DIV/0!</v>
      </c>
      <c r="D27" s="217" t="e">
        <f>'INPUT SHEET'!D35/'INPUT SHEET'!D26</f>
        <v>#DIV/0!</v>
      </c>
      <c r="E27" s="217" t="e">
        <f>'INPUT SHEET'!E35/'INPUT SHEET'!E26</f>
        <v>#DIV/0!</v>
      </c>
      <c r="F27" s="217" t="e">
        <f>'INPUT SHEET'!F35/'INPUT SHEET'!F26</f>
        <v>#DIV/0!</v>
      </c>
      <c r="G27" s="217" t="e">
        <f>'INPUT SHEET'!G35/'INPUT SHEET'!G26</f>
        <v>#DIV/0!</v>
      </c>
      <c r="H27" s="217" t="e">
        <f>'INPUT SHEET'!H35/'INPUT SHEET'!H26</f>
        <v>#DIV/0!</v>
      </c>
      <c r="I27" s="217" t="e">
        <f>'INPUT SHEET'!I35/'INPUT SHEET'!I26</f>
        <v>#DIV/0!</v>
      </c>
      <c r="J27" s="217" t="e">
        <f>'INPUT SHEET'!J35/'INPUT SHEET'!J26</f>
        <v>#DIV/0!</v>
      </c>
      <c r="K27" s="217" t="e">
        <f>'INPUT SHEET'!K35/'INPUT SHEET'!K26</f>
        <v>#DIV/0!</v>
      </c>
      <c r="L27" s="217" t="e">
        <f>'INPUT SHEET'!L35/'INPUT SHEET'!L26</f>
        <v>#DIV/0!</v>
      </c>
      <c r="M27" s="217" t="e">
        <f>'INPUT SHEET'!M35/'INPUT SHEET'!M26</f>
        <v>#DIV/0!</v>
      </c>
    </row>
    <row r="28" spans="1:13">
      <c r="A28" s="208" t="s">
        <v>322</v>
      </c>
      <c r="B28" s="217" t="e">
        <f>'INPUT SHEET'!B94/'INPUT SHEET'!B26</f>
        <v>#DIV/0!</v>
      </c>
      <c r="C28" s="217" t="e">
        <f>'INPUT SHEET'!C94/'INPUT SHEET'!C26</f>
        <v>#DIV/0!</v>
      </c>
      <c r="D28" s="217" t="e">
        <f>'INPUT SHEET'!D94/'INPUT SHEET'!D26</f>
        <v>#DIV/0!</v>
      </c>
      <c r="E28" s="217" t="e">
        <f>'INPUT SHEET'!E94/'INPUT SHEET'!E26</f>
        <v>#DIV/0!</v>
      </c>
      <c r="F28" s="217" t="e">
        <f>'INPUT SHEET'!F94/'INPUT SHEET'!F26</f>
        <v>#DIV/0!</v>
      </c>
      <c r="G28" s="217" t="e">
        <f>'INPUT SHEET'!G94/'INPUT SHEET'!G26</f>
        <v>#DIV/0!</v>
      </c>
      <c r="H28" s="217" t="e">
        <f>'INPUT SHEET'!H94/'INPUT SHEET'!H26</f>
        <v>#DIV/0!</v>
      </c>
      <c r="I28" s="217" t="e">
        <f>'INPUT SHEET'!I94/'INPUT SHEET'!I26</f>
        <v>#DIV/0!</v>
      </c>
      <c r="J28" s="217" t="e">
        <f>'INPUT SHEET'!J94/'INPUT SHEET'!J26</f>
        <v>#DIV/0!</v>
      </c>
      <c r="K28" s="217" t="e">
        <f>'INPUT SHEET'!K94/'INPUT SHEET'!K26</f>
        <v>#DIV/0!</v>
      </c>
      <c r="L28" s="217" t="e">
        <f>'INPUT SHEET'!L94/'INPUT SHEET'!L26</f>
        <v>#DIV/0!</v>
      </c>
      <c r="M28" s="217" t="e">
        <f>'INPUT SHEET'!M94/'INPUT SHEET'!M26</f>
        <v>#DIV/0!</v>
      </c>
    </row>
    <row r="29" spans="1:13">
      <c r="A29" s="215" t="s">
        <v>211</v>
      </c>
      <c r="B29" s="216" t="e">
        <f t="shared" ref="B29:M29" si="2">B26+B27-B28</f>
        <v>#DIV/0!</v>
      </c>
      <c r="C29" s="216" t="e">
        <f t="shared" si="2"/>
        <v>#DIV/0!</v>
      </c>
      <c r="D29" s="216" t="e">
        <f t="shared" si="2"/>
        <v>#DIV/0!</v>
      </c>
      <c r="E29" s="216" t="e">
        <f t="shared" si="2"/>
        <v>#DIV/0!</v>
      </c>
      <c r="F29" s="216" t="e">
        <f t="shared" si="2"/>
        <v>#DIV/0!</v>
      </c>
      <c r="G29" s="216" t="e">
        <f t="shared" si="2"/>
        <v>#DIV/0!</v>
      </c>
      <c r="H29" s="216" t="e">
        <f t="shared" si="2"/>
        <v>#DIV/0!</v>
      </c>
      <c r="I29" s="216" t="e">
        <f t="shared" si="2"/>
        <v>#DIV/0!</v>
      </c>
      <c r="J29" s="216" t="e">
        <f t="shared" si="2"/>
        <v>#DIV/0!</v>
      </c>
      <c r="K29" s="216" t="e">
        <f t="shared" si="2"/>
        <v>#DIV/0!</v>
      </c>
      <c r="L29" s="216" t="e">
        <f t="shared" si="2"/>
        <v>#DIV/0!</v>
      </c>
      <c r="M29" s="216" t="e">
        <f t="shared" si="2"/>
        <v>#DIV/0!</v>
      </c>
    </row>
    <row r="30" spans="1:13">
      <c r="A30" s="208" t="s">
        <v>69</v>
      </c>
      <c r="B30" s="217" t="e">
        <f>('INPUT SHEET'!B99+'INPUT SHEET'!B100-'INPUT SHEET'!B101)/'INPUT SHEET'!B26</f>
        <v>#DIV/0!</v>
      </c>
      <c r="C30" s="217" t="e">
        <f>('INPUT SHEET'!C99+'INPUT SHEET'!C100-'INPUT SHEET'!C101)/'INPUT SHEET'!C26</f>
        <v>#DIV/0!</v>
      </c>
      <c r="D30" s="217" t="e">
        <f>('INPUT SHEET'!D99+'INPUT SHEET'!D100-'INPUT SHEET'!D101)/'INPUT SHEET'!D26</f>
        <v>#DIV/0!</v>
      </c>
      <c r="E30" s="217" t="e">
        <f>('INPUT SHEET'!E99+'INPUT SHEET'!E100-'INPUT SHEET'!E101)/'INPUT SHEET'!E26</f>
        <v>#DIV/0!</v>
      </c>
      <c r="F30" s="217" t="e">
        <f>('INPUT SHEET'!F99+'INPUT SHEET'!F100-'INPUT SHEET'!F101)/'INPUT SHEET'!F26</f>
        <v>#DIV/0!</v>
      </c>
      <c r="G30" s="217" t="e">
        <f>('INPUT SHEET'!G99+'INPUT SHEET'!G100-'INPUT SHEET'!G101)/'INPUT SHEET'!G26</f>
        <v>#DIV/0!</v>
      </c>
      <c r="H30" s="217" t="e">
        <f>('INPUT SHEET'!H99+'INPUT SHEET'!H100-'INPUT SHEET'!H101)/'INPUT SHEET'!H26</f>
        <v>#DIV/0!</v>
      </c>
      <c r="I30" s="217" t="e">
        <f>('INPUT SHEET'!I99+'INPUT SHEET'!I100-'INPUT SHEET'!I101)/'INPUT SHEET'!I26</f>
        <v>#DIV/0!</v>
      </c>
      <c r="J30" s="217" t="e">
        <f>('INPUT SHEET'!J99+'INPUT SHEET'!J100-'INPUT SHEET'!J101)/'INPUT SHEET'!J26</f>
        <v>#DIV/0!</v>
      </c>
      <c r="K30" s="217" t="e">
        <f>('INPUT SHEET'!K99+'INPUT SHEET'!K100-'INPUT SHEET'!K101)/'INPUT SHEET'!K26</f>
        <v>#DIV/0!</v>
      </c>
      <c r="L30" s="217" t="e">
        <f>('INPUT SHEET'!L99+'INPUT SHEET'!L100-'INPUT SHEET'!L101)/'INPUT SHEET'!L26</f>
        <v>#DIV/0!</v>
      </c>
      <c r="M30" s="217" t="e">
        <f>('INPUT SHEET'!M99+'INPUT SHEET'!M100-'INPUT SHEET'!M101)/'INPUT SHEET'!M26</f>
        <v>#DIV/0!</v>
      </c>
    </row>
    <row r="31" spans="1:13">
      <c r="A31" s="218" t="s">
        <v>212</v>
      </c>
      <c r="B31" s="219" t="e">
        <f t="shared" ref="B31:M31" si="3">B29-B30</f>
        <v>#DIV/0!</v>
      </c>
      <c r="C31" s="219" t="e">
        <f t="shared" si="3"/>
        <v>#DIV/0!</v>
      </c>
      <c r="D31" s="219" t="e">
        <f t="shared" si="3"/>
        <v>#DIV/0!</v>
      </c>
      <c r="E31" s="219" t="e">
        <f t="shared" si="3"/>
        <v>#DIV/0!</v>
      </c>
      <c r="F31" s="219" t="e">
        <f t="shared" si="3"/>
        <v>#DIV/0!</v>
      </c>
      <c r="G31" s="219" t="e">
        <f t="shared" si="3"/>
        <v>#DIV/0!</v>
      </c>
      <c r="H31" s="219" t="e">
        <f t="shared" si="3"/>
        <v>#DIV/0!</v>
      </c>
      <c r="I31" s="219" t="e">
        <f t="shared" si="3"/>
        <v>#DIV/0!</v>
      </c>
      <c r="J31" s="219" t="e">
        <f t="shared" si="3"/>
        <v>#DIV/0!</v>
      </c>
      <c r="K31" s="219" t="e">
        <f t="shared" si="3"/>
        <v>#DIV/0!</v>
      </c>
      <c r="L31" s="219" t="e">
        <f t="shared" si="3"/>
        <v>#DIV/0!</v>
      </c>
      <c r="M31" s="219" t="e">
        <f t="shared" si="3"/>
        <v>#DIV/0!</v>
      </c>
    </row>
    <row r="34" spans="1:2">
      <c r="A34" s="65"/>
    </row>
    <row r="35" spans="1:2">
      <c r="A35" s="65"/>
    </row>
    <row r="36" spans="1:2">
      <c r="A36" s="65"/>
      <c r="B36" s="65"/>
    </row>
  </sheetData>
  <sheetProtection sheet="1" objects="1" scenarios="1"/>
  <phoneticPr fontId="19" type="noConversion"/>
  <pageMargins left="0.74791666666666667" right="0.74791666666666667" top="0.98402777777777783" bottom="0.98402777777777783" header="0.51180555555555562" footer="0.51180555555555562"/>
  <pageSetup scale="96" firstPageNumber="0" orientation="portrait" horizontalDpi="300" verticalDpi="300"/>
  <headerFooter alignWithMargins="0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D68A9-6BC2-42AC-99ED-829481D925C6}">
  <sheetPr>
    <pageSetUpPr fitToPage="1"/>
  </sheetPr>
  <dimension ref="B1:Q59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defaultRowHeight="13.2" outlineLevelCol="1"/>
  <cols>
    <col min="1" max="1" width="2.44140625" customWidth="1"/>
    <col min="2" max="2" width="6" customWidth="1"/>
    <col min="3" max="3" width="7.109375" customWidth="1"/>
    <col min="4" max="4" width="30.109375" customWidth="1"/>
    <col min="5" max="5" width="9.5546875" customWidth="1"/>
    <col min="6" max="6" width="13.6640625" customWidth="1"/>
    <col min="7" max="7" width="10.88671875" customWidth="1"/>
    <col min="8" max="13" width="9.6640625" customWidth="1"/>
    <col min="14" max="16" width="9.6640625" hidden="1" customWidth="1" outlineLevel="1"/>
    <col min="17" max="17" width="8.88671875" collapsed="1"/>
  </cols>
  <sheetData>
    <row r="1" spans="2:16" ht="21.75" customHeight="1">
      <c r="B1" s="425" t="s">
        <v>323</v>
      </c>
      <c r="C1" s="425"/>
      <c r="D1" s="425"/>
      <c r="E1" s="425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</row>
    <row r="2" spans="2:16" ht="19.5" customHeight="1">
      <c r="B2" s="425" t="s">
        <v>324</v>
      </c>
      <c r="C2" s="425"/>
      <c r="D2" s="425"/>
      <c r="E2" s="425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</row>
    <row r="3" spans="2:16" ht="15" customHeight="1"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</row>
    <row r="4" spans="2:16" ht="15" customHeight="1">
      <c r="B4" s="223"/>
      <c r="C4" s="223" t="s">
        <v>325</v>
      </c>
      <c r="D4" s="224">
        <f>'INPUT SHEET'!B7</f>
        <v>0</v>
      </c>
    </row>
    <row r="5" spans="2:16" ht="15" customHeight="1"/>
    <row r="6" spans="2:16" ht="15" customHeight="1">
      <c r="B6" s="225"/>
      <c r="C6" s="225"/>
      <c r="D6" s="225"/>
      <c r="I6" s="226"/>
      <c r="J6" s="226"/>
      <c r="K6" s="226"/>
      <c r="L6" s="226"/>
      <c r="M6" s="226"/>
      <c r="N6" s="226"/>
      <c r="O6" s="226"/>
      <c r="P6" s="226"/>
    </row>
    <row r="7" spans="2:16" ht="15" customHeight="1">
      <c r="E7" s="227" t="str">
        <f>'INPUT SHEET'!B10</f>
        <v>Audited</v>
      </c>
      <c r="F7" s="227" t="str">
        <f>'INPUT SHEET'!C10</f>
        <v>Audited</v>
      </c>
      <c r="G7" s="227" t="str">
        <f>'INPUT SHEET'!D10</f>
        <v>Provisionals</v>
      </c>
      <c r="H7" s="227" t="str">
        <f>'INPUT SHEET'!E10</f>
        <v>Projected</v>
      </c>
      <c r="I7" s="227" t="str">
        <f>'INPUT SHEET'!F10</f>
        <v>Projected</v>
      </c>
      <c r="J7" s="227" t="str">
        <f>'INPUT SHEET'!G10</f>
        <v>Projected</v>
      </c>
      <c r="K7" s="227" t="str">
        <f>'INPUT SHEET'!H10</f>
        <v>Projected</v>
      </c>
      <c r="L7" s="227" t="str">
        <f>'INPUT SHEET'!I10</f>
        <v>Projected</v>
      </c>
      <c r="M7" s="227" t="str">
        <f>'INPUT SHEET'!J10</f>
        <v>Projected</v>
      </c>
      <c r="N7" s="227" t="str">
        <f>'INPUT SHEET'!K10</f>
        <v>Projected</v>
      </c>
      <c r="O7" s="227" t="str">
        <f>'INPUT SHEET'!L10</f>
        <v>Projected</v>
      </c>
      <c r="P7" s="227" t="str">
        <f>'INPUT SHEET'!M10</f>
        <v>Projected</v>
      </c>
    </row>
    <row r="8" spans="2:16" ht="15" customHeight="1">
      <c r="D8" s="228" t="str">
        <f>'INPUT SHEET'!A8</f>
        <v>Year</v>
      </c>
      <c r="E8" s="227">
        <f>'INPUT SHEET'!B8</f>
        <v>2023</v>
      </c>
      <c r="F8" s="227">
        <f>'INPUT SHEET'!C8</f>
        <v>2024</v>
      </c>
      <c r="G8" s="227">
        <f>'INPUT SHEET'!D8</f>
        <v>2025</v>
      </c>
      <c r="H8" s="227">
        <f>'INPUT SHEET'!E8</f>
        <v>2026</v>
      </c>
      <c r="I8" s="227">
        <f>'INPUT SHEET'!F8</f>
        <v>2027</v>
      </c>
      <c r="J8" s="227">
        <f>'INPUT SHEET'!G8</f>
        <v>2028</v>
      </c>
      <c r="K8" s="227">
        <f>'INPUT SHEET'!H8</f>
        <v>2029</v>
      </c>
      <c r="L8" s="227">
        <f>'INPUT SHEET'!I8</f>
        <v>2030</v>
      </c>
      <c r="M8" s="227">
        <f>'INPUT SHEET'!J8</f>
        <v>2031</v>
      </c>
      <c r="N8" s="227">
        <f>'INPUT SHEET'!K8</f>
        <v>2032</v>
      </c>
      <c r="O8" s="227">
        <f>'INPUT SHEET'!L8</f>
        <v>2033</v>
      </c>
      <c r="P8" s="227">
        <f>'INPUT SHEET'!M8</f>
        <v>2034</v>
      </c>
    </row>
    <row r="9" spans="2:16" ht="15" customHeight="1">
      <c r="D9" s="228" t="str">
        <f>'INPUT SHEET'!A9</f>
        <v>Number of months</v>
      </c>
      <c r="E9" s="227">
        <f>'INPUT SHEET'!B9</f>
        <v>12</v>
      </c>
      <c r="F9" s="227">
        <f>'INPUT SHEET'!C9</f>
        <v>12</v>
      </c>
      <c r="G9" s="227">
        <f>'INPUT SHEET'!D9</f>
        <v>12</v>
      </c>
      <c r="H9" s="227">
        <f>'INPUT SHEET'!E9</f>
        <v>12</v>
      </c>
      <c r="I9" s="227">
        <f>'INPUT SHEET'!F9</f>
        <v>12</v>
      </c>
      <c r="J9" s="227">
        <f>'INPUT SHEET'!G9</f>
        <v>12</v>
      </c>
      <c r="K9" s="227">
        <f>'INPUT SHEET'!H9</f>
        <v>12</v>
      </c>
      <c r="L9" s="227">
        <f>'INPUT SHEET'!I9</f>
        <v>12</v>
      </c>
      <c r="M9" s="227">
        <f>'INPUT SHEET'!J9</f>
        <v>12</v>
      </c>
      <c r="N9" s="227">
        <f>'INPUT SHEET'!K9</f>
        <v>12</v>
      </c>
      <c r="O9" s="227">
        <f>'INPUT SHEET'!L9</f>
        <v>12</v>
      </c>
      <c r="P9" s="227">
        <f>'INPUT SHEET'!M9</f>
        <v>12</v>
      </c>
    </row>
    <row r="10" spans="2:16" ht="20.100000000000001" customHeight="1">
      <c r="B10" s="430" t="s">
        <v>17</v>
      </c>
      <c r="C10" s="430"/>
      <c r="D10" s="4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</row>
    <row r="11" spans="2:16" ht="20.100000000000001" customHeight="1">
      <c r="B11" s="231" t="s">
        <v>326</v>
      </c>
      <c r="C11" t="s">
        <v>327</v>
      </c>
      <c r="D11" s="231"/>
      <c r="E11" s="232">
        <f>'INPUT SHEET'!B22</f>
        <v>0</v>
      </c>
      <c r="F11" s="232">
        <f>'INPUT SHEET'!C22</f>
        <v>0</v>
      </c>
      <c r="G11" s="232">
        <f>'INPUT SHEET'!D22</f>
        <v>0</v>
      </c>
      <c r="H11" s="232">
        <f>'INPUT SHEET'!E22</f>
        <v>0</v>
      </c>
      <c r="I11" s="232">
        <f>'INPUT SHEET'!F22</f>
        <v>0</v>
      </c>
      <c r="J11" s="232">
        <f>'INPUT SHEET'!G22</f>
        <v>0</v>
      </c>
      <c r="K11" s="232">
        <f>'INPUT SHEET'!H22</f>
        <v>0</v>
      </c>
      <c r="L11" s="232">
        <f>'INPUT SHEET'!I22</f>
        <v>0</v>
      </c>
      <c r="M11" s="232">
        <f>'INPUT SHEET'!J22</f>
        <v>0</v>
      </c>
      <c r="N11" s="232">
        <f>'INPUT SHEET'!K22</f>
        <v>0</v>
      </c>
      <c r="O11" s="232">
        <f>'INPUT SHEET'!L22</f>
        <v>0</v>
      </c>
      <c r="P11" s="232">
        <f>'INPUT SHEET'!M22</f>
        <v>0</v>
      </c>
    </row>
    <row r="12" spans="2:16" ht="20.100000000000001" customHeight="1">
      <c r="B12" s="231" t="s">
        <v>328</v>
      </c>
      <c r="C12" t="s">
        <v>329</v>
      </c>
      <c r="E12" s="233">
        <f>'INPUT SHEET'!B23</f>
        <v>0</v>
      </c>
      <c r="F12" s="233">
        <f>'INPUT SHEET'!C23</f>
        <v>0</v>
      </c>
      <c r="G12" s="233">
        <f>'INPUT SHEET'!D23</f>
        <v>0</v>
      </c>
      <c r="H12" s="233">
        <f>'INPUT SHEET'!E23</f>
        <v>0</v>
      </c>
      <c r="I12" s="233">
        <f>'INPUT SHEET'!F23</f>
        <v>0</v>
      </c>
      <c r="J12" s="233">
        <f>'INPUT SHEET'!G23</f>
        <v>0</v>
      </c>
      <c r="K12" s="233">
        <f>'INPUT SHEET'!H23</f>
        <v>0</v>
      </c>
      <c r="L12" s="233">
        <f>'INPUT SHEET'!I23</f>
        <v>0</v>
      </c>
      <c r="M12" s="233">
        <f>'INPUT SHEET'!J23</f>
        <v>0</v>
      </c>
      <c r="N12" s="233">
        <f>'INPUT SHEET'!K23</f>
        <v>0</v>
      </c>
      <c r="O12" s="233">
        <f>'INPUT SHEET'!L23</f>
        <v>0</v>
      </c>
      <c r="P12" s="233">
        <f>'INPUT SHEET'!M23</f>
        <v>0</v>
      </c>
    </row>
    <row r="13" spans="2:16" ht="20.100000000000001" customHeight="1">
      <c r="B13" s="429" t="s">
        <v>330</v>
      </c>
      <c r="C13" s="429"/>
      <c r="D13" s="429"/>
      <c r="E13" s="24">
        <f t="shared" ref="E13:P13" si="0">ROUND(SUM(E11:E12),2)</f>
        <v>0</v>
      </c>
      <c r="F13" s="24">
        <f t="shared" si="0"/>
        <v>0</v>
      </c>
      <c r="G13" s="24">
        <f t="shared" si="0"/>
        <v>0</v>
      </c>
      <c r="H13" s="24">
        <f t="shared" si="0"/>
        <v>0</v>
      </c>
      <c r="I13" s="24">
        <f t="shared" si="0"/>
        <v>0</v>
      </c>
      <c r="J13" s="24">
        <f t="shared" si="0"/>
        <v>0</v>
      </c>
      <c r="K13" s="24">
        <f t="shared" si="0"/>
        <v>0</v>
      </c>
      <c r="L13" s="24">
        <f t="shared" si="0"/>
        <v>0</v>
      </c>
      <c r="M13" s="24">
        <f t="shared" si="0"/>
        <v>0</v>
      </c>
      <c r="N13" s="24">
        <f t="shared" si="0"/>
        <v>0</v>
      </c>
      <c r="O13" s="24">
        <f t="shared" si="0"/>
        <v>0</v>
      </c>
      <c r="P13" s="24">
        <f t="shared" si="0"/>
        <v>0</v>
      </c>
    </row>
    <row r="14" spans="2:16" ht="20.100000000000001" customHeight="1">
      <c r="B14" t="s">
        <v>331</v>
      </c>
      <c r="E14" s="233">
        <f>'INPUT SHEET'!B25</f>
        <v>0</v>
      </c>
      <c r="F14" s="233">
        <f>'INPUT SHEET'!C25</f>
        <v>0</v>
      </c>
      <c r="G14" s="233">
        <f>'INPUT SHEET'!D25</f>
        <v>0</v>
      </c>
      <c r="H14" s="233">
        <f>'INPUT SHEET'!E25</f>
        <v>0</v>
      </c>
      <c r="I14" s="233">
        <f>'INPUT SHEET'!F25</f>
        <v>0</v>
      </c>
      <c r="J14" s="233">
        <f>'INPUT SHEET'!G25</f>
        <v>0</v>
      </c>
      <c r="K14" s="233">
        <f>'INPUT SHEET'!H25</f>
        <v>0</v>
      </c>
      <c r="L14" s="233">
        <f>'INPUT SHEET'!I25</f>
        <v>0</v>
      </c>
      <c r="M14" s="233">
        <f>'INPUT SHEET'!J25</f>
        <v>0</v>
      </c>
      <c r="N14" s="233">
        <f>'INPUT SHEET'!K25</f>
        <v>0</v>
      </c>
      <c r="O14" s="233">
        <f>'INPUT SHEET'!L25</f>
        <v>0</v>
      </c>
      <c r="P14" s="233">
        <f>'INPUT SHEET'!M25</f>
        <v>0</v>
      </c>
    </row>
    <row r="15" spans="2:16" ht="20.100000000000001" customHeight="1">
      <c r="B15" s="429" t="s">
        <v>332</v>
      </c>
      <c r="C15" s="429"/>
      <c r="D15" s="429"/>
      <c r="E15" s="234">
        <f t="shared" ref="E15:P15" si="1">ROUND(E13-E14,2)</f>
        <v>0</v>
      </c>
      <c r="F15" s="235">
        <f t="shared" si="1"/>
        <v>0</v>
      </c>
      <c r="G15" s="236">
        <f t="shared" si="1"/>
        <v>0</v>
      </c>
      <c r="H15" s="235">
        <f t="shared" si="1"/>
        <v>0</v>
      </c>
      <c r="I15" s="235">
        <f t="shared" si="1"/>
        <v>0</v>
      </c>
      <c r="J15" s="235">
        <f t="shared" si="1"/>
        <v>0</v>
      </c>
      <c r="K15" s="235">
        <f t="shared" si="1"/>
        <v>0</v>
      </c>
      <c r="L15" s="235">
        <f t="shared" si="1"/>
        <v>0</v>
      </c>
      <c r="M15" s="235">
        <f t="shared" si="1"/>
        <v>0</v>
      </c>
      <c r="N15" s="235">
        <f t="shared" si="1"/>
        <v>0</v>
      </c>
      <c r="O15" s="235">
        <f t="shared" si="1"/>
        <v>0</v>
      </c>
      <c r="P15" s="235">
        <f t="shared" si="1"/>
        <v>0</v>
      </c>
    </row>
    <row r="16" spans="2:16" ht="12.9" customHeight="1">
      <c r="B16" t="s">
        <v>333</v>
      </c>
      <c r="E16" s="237" t="str">
        <f t="shared" ref="E16:P16" si="2">IF(D15=0,"N/A",IF(E15=0,"N/A",((E15/E9)-(D15/D9))/(D15/D9)))</f>
        <v>N/A</v>
      </c>
      <c r="F16" s="238" t="str">
        <f t="shared" si="2"/>
        <v>N/A</v>
      </c>
      <c r="G16" s="239" t="str">
        <f t="shared" si="2"/>
        <v>N/A</v>
      </c>
      <c r="H16" s="240" t="str">
        <f t="shared" si="2"/>
        <v>N/A</v>
      </c>
      <c r="I16" s="240" t="str">
        <f t="shared" si="2"/>
        <v>N/A</v>
      </c>
      <c r="J16" s="240" t="str">
        <f t="shared" si="2"/>
        <v>N/A</v>
      </c>
      <c r="K16" s="240" t="str">
        <f t="shared" si="2"/>
        <v>N/A</v>
      </c>
      <c r="L16" s="240" t="str">
        <f t="shared" si="2"/>
        <v>N/A</v>
      </c>
      <c r="M16" s="240" t="str">
        <f t="shared" si="2"/>
        <v>N/A</v>
      </c>
      <c r="N16" s="240" t="str">
        <f t="shared" si="2"/>
        <v>N/A</v>
      </c>
      <c r="O16" s="240" t="str">
        <f t="shared" si="2"/>
        <v>N/A</v>
      </c>
      <c r="P16" s="240" t="str">
        <f t="shared" si="2"/>
        <v>N/A</v>
      </c>
    </row>
    <row r="17" spans="2:16" ht="20.100000000000001" customHeight="1">
      <c r="B17" s="225" t="s">
        <v>334</v>
      </c>
      <c r="E17" s="241"/>
      <c r="F17" s="233"/>
      <c r="G17" s="242"/>
      <c r="H17" s="233"/>
      <c r="I17" s="233"/>
      <c r="J17" s="233"/>
      <c r="K17" s="233"/>
      <c r="L17" s="233"/>
      <c r="M17" s="233"/>
      <c r="N17" s="233"/>
      <c r="O17" s="233"/>
      <c r="P17" s="233"/>
    </row>
    <row r="18" spans="2:16" ht="20.100000000000001" customHeight="1">
      <c r="B18" t="s">
        <v>326</v>
      </c>
      <c r="C18" t="s">
        <v>335</v>
      </c>
      <c r="E18" s="243">
        <f t="shared" ref="E18:P18" si="3">E19+E20</f>
        <v>0</v>
      </c>
      <c r="F18" s="24">
        <f t="shared" si="3"/>
        <v>0</v>
      </c>
      <c r="G18" s="244">
        <f t="shared" si="3"/>
        <v>0</v>
      </c>
      <c r="H18" s="24">
        <f t="shared" si="3"/>
        <v>0</v>
      </c>
      <c r="I18" s="24">
        <f t="shared" si="3"/>
        <v>0</v>
      </c>
      <c r="J18" s="24">
        <f t="shared" si="3"/>
        <v>0</v>
      </c>
      <c r="K18" s="24">
        <f t="shared" si="3"/>
        <v>0</v>
      </c>
      <c r="L18" s="24">
        <f t="shared" si="3"/>
        <v>-0.01</v>
      </c>
      <c r="M18" s="24">
        <f t="shared" si="3"/>
        <v>0</v>
      </c>
      <c r="N18" s="24">
        <f t="shared" si="3"/>
        <v>0</v>
      </c>
      <c r="O18" s="24">
        <f t="shared" si="3"/>
        <v>0</v>
      </c>
      <c r="P18" s="24">
        <f t="shared" si="3"/>
        <v>0</v>
      </c>
    </row>
    <row r="19" spans="2:16" ht="20.100000000000001" customHeight="1">
      <c r="C19" t="s">
        <v>336</v>
      </c>
      <c r="D19" t="s">
        <v>128</v>
      </c>
      <c r="E19" s="241">
        <f>'INPUT SHEET'!B41</f>
        <v>0</v>
      </c>
      <c r="F19" s="233">
        <f>'INPUT SHEET'!C41</f>
        <v>0</v>
      </c>
      <c r="G19" s="242">
        <f>'INPUT SHEET'!D41</f>
        <v>0</v>
      </c>
      <c r="H19" s="233">
        <f>'INPUT SHEET'!E41</f>
        <v>0</v>
      </c>
      <c r="I19" s="233">
        <f>'INPUT SHEET'!F41</f>
        <v>0</v>
      </c>
      <c r="J19" s="233">
        <f>'INPUT SHEET'!G41</f>
        <v>0</v>
      </c>
      <c r="K19" s="233">
        <f>'INPUT SHEET'!H41</f>
        <v>0</v>
      </c>
      <c r="L19" s="233">
        <f>'INPUT SHEET'!I41</f>
        <v>0</v>
      </c>
      <c r="M19" s="233">
        <f>'INPUT SHEET'!J41</f>
        <v>0</v>
      </c>
      <c r="N19" s="233">
        <f>'INPUT SHEET'!K41</f>
        <v>0</v>
      </c>
      <c r="O19" s="233">
        <f>'INPUT SHEET'!L41</f>
        <v>0</v>
      </c>
      <c r="P19" s="233">
        <f>'INPUT SHEET'!M41</f>
        <v>0</v>
      </c>
    </row>
    <row r="20" spans="2:16" ht="20.100000000000001" customHeight="1">
      <c r="C20" t="s">
        <v>337</v>
      </c>
      <c r="D20" t="s">
        <v>129</v>
      </c>
      <c r="E20" s="245">
        <f>'INPUT SHEET'!B42</f>
        <v>0</v>
      </c>
      <c r="F20" s="246">
        <f>'INPUT SHEET'!C42</f>
        <v>0</v>
      </c>
      <c r="G20" s="247">
        <f>'INPUT SHEET'!D42</f>
        <v>0</v>
      </c>
      <c r="H20" s="246">
        <f>'INPUT SHEET'!E42</f>
        <v>0</v>
      </c>
      <c r="I20" s="246">
        <f>'INPUT SHEET'!F42</f>
        <v>0</v>
      </c>
      <c r="J20" s="246">
        <f>'INPUT SHEET'!G42</f>
        <v>0</v>
      </c>
      <c r="K20" s="246">
        <f>'INPUT SHEET'!H42</f>
        <v>0</v>
      </c>
      <c r="L20" s="246">
        <f>'INPUT SHEET'!I42</f>
        <v>-0.01</v>
      </c>
      <c r="M20" s="246">
        <f>'INPUT SHEET'!J42</f>
        <v>0</v>
      </c>
      <c r="N20" s="246">
        <f>'INPUT SHEET'!K42</f>
        <v>0</v>
      </c>
      <c r="O20" s="246">
        <f>'INPUT SHEET'!L42</f>
        <v>0</v>
      </c>
      <c r="P20" s="246">
        <f>'INPUT SHEET'!M42</f>
        <v>0</v>
      </c>
    </row>
    <row r="21" spans="2:16" ht="20.100000000000001" customHeight="1">
      <c r="B21" t="s">
        <v>328</v>
      </c>
      <c r="C21" t="s">
        <v>338</v>
      </c>
      <c r="E21" s="243">
        <f t="shared" ref="E21:P21" si="4">E22+E23</f>
        <v>0</v>
      </c>
      <c r="F21" s="24">
        <f t="shared" si="4"/>
        <v>0</v>
      </c>
      <c r="G21" s="244">
        <f t="shared" si="4"/>
        <v>0</v>
      </c>
      <c r="H21" s="24">
        <f t="shared" si="4"/>
        <v>0</v>
      </c>
      <c r="I21" s="24">
        <f t="shared" si="4"/>
        <v>0</v>
      </c>
      <c r="J21" s="24">
        <f t="shared" si="4"/>
        <v>0</v>
      </c>
      <c r="K21" s="24">
        <f t="shared" si="4"/>
        <v>0</v>
      </c>
      <c r="L21" s="24">
        <f t="shared" si="4"/>
        <v>0</v>
      </c>
      <c r="M21" s="24">
        <f t="shared" si="4"/>
        <v>0</v>
      </c>
      <c r="N21" s="24">
        <f t="shared" si="4"/>
        <v>0</v>
      </c>
      <c r="O21" s="24">
        <f t="shared" si="4"/>
        <v>0</v>
      </c>
      <c r="P21" s="24">
        <f t="shared" si="4"/>
        <v>0</v>
      </c>
    </row>
    <row r="22" spans="2:16" ht="20.100000000000001" customHeight="1">
      <c r="C22" t="s">
        <v>336</v>
      </c>
      <c r="D22" t="s">
        <v>128</v>
      </c>
      <c r="E22" s="248">
        <f>'INPUT SHEET'!B43</f>
        <v>0</v>
      </c>
      <c r="F22" s="249">
        <f>'INPUT SHEET'!C43</f>
        <v>0</v>
      </c>
      <c r="G22" s="250">
        <f>'INPUT SHEET'!D43</f>
        <v>0</v>
      </c>
      <c r="H22" s="249">
        <f>'INPUT SHEET'!E43</f>
        <v>0</v>
      </c>
      <c r="I22" s="249">
        <f>'INPUT SHEET'!F43</f>
        <v>0</v>
      </c>
      <c r="J22" s="249">
        <f>'INPUT SHEET'!G43</f>
        <v>0</v>
      </c>
      <c r="K22" s="249">
        <f>'INPUT SHEET'!H43</f>
        <v>0</v>
      </c>
      <c r="L22" s="249">
        <f>'INPUT SHEET'!I43</f>
        <v>0</v>
      </c>
      <c r="M22" s="249">
        <f>'INPUT SHEET'!J43</f>
        <v>0</v>
      </c>
      <c r="N22" s="249">
        <f>'INPUT SHEET'!K43</f>
        <v>0</v>
      </c>
      <c r="O22" s="249">
        <f>'INPUT SHEET'!L43</f>
        <v>0</v>
      </c>
      <c r="P22" s="249">
        <f>'INPUT SHEET'!M43</f>
        <v>0</v>
      </c>
    </row>
    <row r="23" spans="2:16" ht="20.100000000000001" customHeight="1">
      <c r="C23" t="s">
        <v>337</v>
      </c>
      <c r="D23" t="s">
        <v>129</v>
      </c>
      <c r="E23" s="248">
        <f>'INPUT SHEET'!B44</f>
        <v>0</v>
      </c>
      <c r="F23" s="249">
        <f>'INPUT SHEET'!C44</f>
        <v>0</v>
      </c>
      <c r="G23" s="250">
        <f>'INPUT SHEET'!D44</f>
        <v>0</v>
      </c>
      <c r="H23" s="249">
        <f>'INPUT SHEET'!E44</f>
        <v>0</v>
      </c>
      <c r="I23" s="249">
        <f>'INPUT SHEET'!F44</f>
        <v>0</v>
      </c>
      <c r="J23" s="249">
        <f>'INPUT SHEET'!G44</f>
        <v>0</v>
      </c>
      <c r="K23" s="249">
        <f>'INPUT SHEET'!H44</f>
        <v>0</v>
      </c>
      <c r="L23" s="249">
        <f>'INPUT SHEET'!I44</f>
        <v>0</v>
      </c>
      <c r="M23" s="249">
        <f>'INPUT SHEET'!J44</f>
        <v>0</v>
      </c>
      <c r="N23" s="249">
        <f>'INPUT SHEET'!K44</f>
        <v>0</v>
      </c>
      <c r="O23" s="249">
        <f>'INPUT SHEET'!L44</f>
        <v>0</v>
      </c>
      <c r="P23" s="249">
        <f>'INPUT SHEET'!M44</f>
        <v>0</v>
      </c>
    </row>
    <row r="24" spans="2:16" ht="20.100000000000001" customHeight="1">
      <c r="B24" t="s">
        <v>339</v>
      </c>
      <c r="C24" t="str">
        <f>'INPUT SHEET'!A63</f>
        <v>Depreciation</v>
      </c>
      <c r="E24" s="251">
        <f>'INPUT SHEET'!B63</f>
        <v>0</v>
      </c>
      <c r="F24" s="232">
        <f>'INPUT SHEET'!C63</f>
        <v>0</v>
      </c>
      <c r="G24" s="252">
        <f>'INPUT SHEET'!D63</f>
        <v>0</v>
      </c>
      <c r="H24" s="232">
        <f>'INPUT SHEET'!E63</f>
        <v>0</v>
      </c>
      <c r="I24" s="232">
        <f>'INPUT SHEET'!F63</f>
        <v>0</v>
      </c>
      <c r="J24" s="232">
        <f>'INPUT SHEET'!G63</f>
        <v>0</v>
      </c>
      <c r="K24" s="232">
        <f>'INPUT SHEET'!H63</f>
        <v>0</v>
      </c>
      <c r="L24" s="232">
        <f>'INPUT SHEET'!I63</f>
        <v>0</v>
      </c>
      <c r="M24" s="232">
        <f>'INPUT SHEET'!J63</f>
        <v>0</v>
      </c>
      <c r="N24" s="232">
        <f>'INPUT SHEET'!K63</f>
        <v>0</v>
      </c>
      <c r="O24" s="232">
        <f>'INPUT SHEET'!L63</f>
        <v>0</v>
      </c>
      <c r="P24" s="232">
        <f>'INPUT SHEET'!M63</f>
        <v>0</v>
      </c>
    </row>
    <row r="25" spans="2:16" ht="20.100000000000001" customHeight="1">
      <c r="B25" t="s">
        <v>340</v>
      </c>
      <c r="C25" t="str">
        <f>'INPUT SHEET'!A64</f>
        <v>Other Manufacturing Exp</v>
      </c>
      <c r="E25" s="251">
        <f>'INPUT SHEET'!B64</f>
        <v>0</v>
      </c>
      <c r="F25" s="232">
        <f>'INPUT SHEET'!C64</f>
        <v>0</v>
      </c>
      <c r="G25" s="252">
        <f>'INPUT SHEET'!D64</f>
        <v>0</v>
      </c>
      <c r="H25" s="232">
        <f>'INPUT SHEET'!E64</f>
        <v>0</v>
      </c>
      <c r="I25" s="232">
        <f>'INPUT SHEET'!F64</f>
        <v>0</v>
      </c>
      <c r="J25" s="232">
        <f>'INPUT SHEET'!G64</f>
        <v>0</v>
      </c>
      <c r="K25" s="232">
        <f>'INPUT SHEET'!H64</f>
        <v>0</v>
      </c>
      <c r="L25" s="232">
        <f>'INPUT SHEET'!I64</f>
        <v>0</v>
      </c>
      <c r="M25" s="232">
        <f>'INPUT SHEET'!J64</f>
        <v>0</v>
      </c>
      <c r="N25" s="232">
        <f>'INPUT SHEET'!K64</f>
        <v>0</v>
      </c>
      <c r="O25" s="232">
        <f>'INPUT SHEET'!L64</f>
        <v>0</v>
      </c>
      <c r="P25" s="232">
        <f>'INPUT SHEET'!M64</f>
        <v>0</v>
      </c>
    </row>
    <row r="26" spans="2:16" ht="20.100000000000001" customHeight="1">
      <c r="B26" t="s">
        <v>341</v>
      </c>
      <c r="C26" t="s">
        <v>342</v>
      </c>
      <c r="E26" s="243">
        <f t="shared" ref="E26:P26" si="5">ROUND(SUM(E18+E21+E24+E25),2)</f>
        <v>0</v>
      </c>
      <c r="F26" s="24">
        <f t="shared" si="5"/>
        <v>0</v>
      </c>
      <c r="G26" s="244">
        <f t="shared" si="5"/>
        <v>0</v>
      </c>
      <c r="H26" s="24">
        <f t="shared" si="5"/>
        <v>0</v>
      </c>
      <c r="I26" s="24">
        <f t="shared" si="5"/>
        <v>0</v>
      </c>
      <c r="J26" s="24">
        <f t="shared" si="5"/>
        <v>0</v>
      </c>
      <c r="K26" s="24">
        <f t="shared" si="5"/>
        <v>0</v>
      </c>
      <c r="L26" s="24">
        <f t="shared" si="5"/>
        <v>-0.01</v>
      </c>
      <c r="M26" s="24">
        <f t="shared" si="5"/>
        <v>0</v>
      </c>
      <c r="N26" s="24">
        <f t="shared" si="5"/>
        <v>0</v>
      </c>
      <c r="O26" s="24">
        <f t="shared" si="5"/>
        <v>0</v>
      </c>
      <c r="P26" s="24">
        <f t="shared" si="5"/>
        <v>0</v>
      </c>
    </row>
    <row r="27" spans="2:16" ht="20.100000000000001" customHeight="1">
      <c r="B27" t="s">
        <v>343</v>
      </c>
      <c r="C27" t="s">
        <v>344</v>
      </c>
      <c r="E27" s="241">
        <f>'INPUT SHEET'!B53</f>
        <v>0</v>
      </c>
      <c r="F27" s="233">
        <f>'INPUT SHEET'!C53</f>
        <v>0</v>
      </c>
      <c r="G27" s="242">
        <f>'INPUT SHEET'!D53</f>
        <v>0</v>
      </c>
      <c r="H27" s="233">
        <f>'INPUT SHEET'!E53</f>
        <v>0</v>
      </c>
      <c r="I27" s="233">
        <f>'INPUT SHEET'!F53</f>
        <v>0</v>
      </c>
      <c r="J27" s="233">
        <f>'INPUT SHEET'!G53</f>
        <v>0</v>
      </c>
      <c r="K27" s="233">
        <f>'INPUT SHEET'!H53</f>
        <v>0</v>
      </c>
      <c r="L27" s="233">
        <f>'INPUT SHEET'!I53</f>
        <v>0</v>
      </c>
      <c r="M27" s="233">
        <f>'INPUT SHEET'!J53</f>
        <v>0</v>
      </c>
      <c r="N27" s="233">
        <f>'INPUT SHEET'!K53</f>
        <v>0</v>
      </c>
      <c r="O27" s="233">
        <f>'INPUT SHEET'!L53</f>
        <v>0</v>
      </c>
      <c r="P27" s="233">
        <f>'INPUT SHEET'!M53</f>
        <v>0</v>
      </c>
    </row>
    <row r="28" spans="2:16" ht="20.100000000000001" customHeight="1">
      <c r="B28" t="s">
        <v>345</v>
      </c>
      <c r="C28" s="429" t="s">
        <v>342</v>
      </c>
      <c r="D28" s="429"/>
      <c r="E28" s="243">
        <f t="shared" ref="E28:P28" si="6">ROUND(E26+E27,2)</f>
        <v>0</v>
      </c>
      <c r="F28" s="24">
        <f t="shared" si="6"/>
        <v>0</v>
      </c>
      <c r="G28" s="244">
        <f t="shared" si="6"/>
        <v>0</v>
      </c>
      <c r="H28" s="24">
        <f t="shared" si="6"/>
        <v>0</v>
      </c>
      <c r="I28" s="24">
        <f t="shared" si="6"/>
        <v>0</v>
      </c>
      <c r="J28" s="24">
        <f t="shared" si="6"/>
        <v>0</v>
      </c>
      <c r="K28" s="24">
        <f t="shared" si="6"/>
        <v>0</v>
      </c>
      <c r="L28" s="24">
        <f t="shared" si="6"/>
        <v>-0.01</v>
      </c>
      <c r="M28" s="24">
        <f t="shared" si="6"/>
        <v>0</v>
      </c>
      <c r="N28" s="24">
        <f t="shared" si="6"/>
        <v>0</v>
      </c>
      <c r="O28" s="24">
        <f t="shared" si="6"/>
        <v>0</v>
      </c>
      <c r="P28" s="24">
        <f t="shared" si="6"/>
        <v>0</v>
      </c>
    </row>
    <row r="29" spans="2:16" ht="20.100000000000001" customHeight="1">
      <c r="B29" t="s">
        <v>346</v>
      </c>
      <c r="C29" t="s">
        <v>347</v>
      </c>
      <c r="E29" s="241">
        <f>'INPUT SHEET'!B54</f>
        <v>0</v>
      </c>
      <c r="F29" s="233">
        <f>'INPUT SHEET'!C54</f>
        <v>0</v>
      </c>
      <c r="G29" s="242">
        <f>'INPUT SHEET'!D54</f>
        <v>0</v>
      </c>
      <c r="H29" s="233">
        <f>'INPUT SHEET'!E54</f>
        <v>0</v>
      </c>
      <c r="I29" s="233">
        <f>'INPUT SHEET'!F54</f>
        <v>0</v>
      </c>
      <c r="J29" s="233">
        <f>'INPUT SHEET'!G54</f>
        <v>0</v>
      </c>
      <c r="K29" s="233">
        <f>'INPUT SHEET'!H54</f>
        <v>0</v>
      </c>
      <c r="L29" s="233">
        <f>'INPUT SHEET'!I54</f>
        <v>0</v>
      </c>
      <c r="M29" s="233">
        <f>'INPUT SHEET'!J54</f>
        <v>0</v>
      </c>
      <c r="N29" s="233">
        <f>'INPUT SHEET'!K54</f>
        <v>0</v>
      </c>
      <c r="O29" s="233">
        <f>'INPUT SHEET'!L54</f>
        <v>0</v>
      </c>
      <c r="P29" s="233">
        <f>'INPUT SHEET'!M54</f>
        <v>0</v>
      </c>
    </row>
    <row r="30" spans="2:16" ht="20.100000000000001" customHeight="1">
      <c r="B30" t="s">
        <v>348</v>
      </c>
      <c r="C30" t="s">
        <v>349</v>
      </c>
      <c r="E30" s="243">
        <f t="shared" ref="E30:P30" si="7">ROUND(E28-E29,2)</f>
        <v>0</v>
      </c>
      <c r="F30" s="24">
        <f t="shared" si="7"/>
        <v>0</v>
      </c>
      <c r="G30" s="244">
        <f t="shared" si="7"/>
        <v>0</v>
      </c>
      <c r="H30" s="24">
        <f t="shared" si="7"/>
        <v>0</v>
      </c>
      <c r="I30" s="24">
        <f t="shared" si="7"/>
        <v>0</v>
      </c>
      <c r="J30" s="24">
        <f t="shared" si="7"/>
        <v>0</v>
      </c>
      <c r="K30" s="24">
        <f t="shared" si="7"/>
        <v>0</v>
      </c>
      <c r="L30" s="24">
        <f t="shared" si="7"/>
        <v>-0.01</v>
      </c>
      <c r="M30" s="24">
        <f t="shared" si="7"/>
        <v>0</v>
      </c>
      <c r="N30" s="24">
        <f t="shared" si="7"/>
        <v>0</v>
      </c>
      <c r="O30" s="24">
        <f t="shared" si="7"/>
        <v>0</v>
      </c>
      <c r="P30" s="24">
        <f t="shared" si="7"/>
        <v>0</v>
      </c>
    </row>
    <row r="31" spans="2:16" ht="20.100000000000001" customHeight="1">
      <c r="B31" t="s">
        <v>350</v>
      </c>
      <c r="C31" t="s">
        <v>351</v>
      </c>
      <c r="E31" s="253">
        <f>'INPUT SHEET'!B58</f>
        <v>0</v>
      </c>
      <c r="F31" s="254">
        <f>'INPUT SHEET'!C58</f>
        <v>0</v>
      </c>
      <c r="G31" s="255">
        <f>'INPUT SHEET'!D58</f>
        <v>0</v>
      </c>
      <c r="H31" s="254">
        <f>'INPUT SHEET'!E58</f>
        <v>0</v>
      </c>
      <c r="I31" s="254">
        <f>'INPUT SHEET'!F58</f>
        <v>0</v>
      </c>
      <c r="J31" s="254">
        <f>'INPUT SHEET'!G58</f>
        <v>0</v>
      </c>
      <c r="K31" s="254">
        <f>'INPUT SHEET'!H58</f>
        <v>0</v>
      </c>
      <c r="L31" s="254">
        <f>'INPUT SHEET'!I58</f>
        <v>0</v>
      </c>
      <c r="M31" s="254">
        <f>'INPUT SHEET'!J58</f>
        <v>0</v>
      </c>
      <c r="N31" s="254">
        <f>'INPUT SHEET'!K58</f>
        <v>0</v>
      </c>
      <c r="O31" s="254">
        <f>'INPUT SHEET'!L58</f>
        <v>0</v>
      </c>
      <c r="P31" s="254">
        <f>'INPUT SHEET'!M58</f>
        <v>0</v>
      </c>
    </row>
    <row r="32" spans="2:16" ht="20.100000000000001" customHeight="1">
      <c r="B32" t="s">
        <v>352</v>
      </c>
      <c r="C32" s="429" t="s">
        <v>342</v>
      </c>
      <c r="D32" s="429"/>
      <c r="E32" s="243">
        <f t="shared" ref="E32:P32" si="8">ROUND(E30+E31,2)</f>
        <v>0</v>
      </c>
      <c r="F32" s="24">
        <f t="shared" si="8"/>
        <v>0</v>
      </c>
      <c r="G32" s="244">
        <f t="shared" si="8"/>
        <v>0</v>
      </c>
      <c r="H32" s="24">
        <f t="shared" si="8"/>
        <v>0</v>
      </c>
      <c r="I32" s="24">
        <f t="shared" si="8"/>
        <v>0</v>
      </c>
      <c r="J32" s="24">
        <f t="shared" si="8"/>
        <v>0</v>
      </c>
      <c r="K32" s="24">
        <f t="shared" si="8"/>
        <v>0</v>
      </c>
      <c r="L32" s="24">
        <f t="shared" si="8"/>
        <v>-0.01</v>
      </c>
      <c r="M32" s="24">
        <f t="shared" si="8"/>
        <v>0</v>
      </c>
      <c r="N32" s="24">
        <f t="shared" si="8"/>
        <v>0</v>
      </c>
      <c r="O32" s="24">
        <f t="shared" si="8"/>
        <v>0</v>
      </c>
      <c r="P32" s="24">
        <f t="shared" si="8"/>
        <v>0</v>
      </c>
    </row>
    <row r="33" spans="2:16" ht="20.100000000000001" customHeight="1">
      <c r="B33" t="s">
        <v>353</v>
      </c>
      <c r="C33" t="s">
        <v>354</v>
      </c>
      <c r="E33" s="241">
        <f>'INPUT SHEET'!B59</f>
        <v>0</v>
      </c>
      <c r="F33" s="256">
        <f>'INPUT SHEET'!C59</f>
        <v>0</v>
      </c>
      <c r="G33" s="242">
        <f>'INPUT SHEET'!D59</f>
        <v>0</v>
      </c>
      <c r="H33" s="256">
        <f>'INPUT SHEET'!E59</f>
        <v>0</v>
      </c>
      <c r="I33" s="256">
        <f>'INPUT SHEET'!F59</f>
        <v>0</v>
      </c>
      <c r="J33" s="256">
        <f>'INPUT SHEET'!G59</f>
        <v>0</v>
      </c>
      <c r="K33" s="256">
        <f>'INPUT SHEET'!H59</f>
        <v>0</v>
      </c>
      <c r="L33" s="256">
        <f>'INPUT SHEET'!I59</f>
        <v>0</v>
      </c>
      <c r="M33" s="256">
        <f>'INPUT SHEET'!J59</f>
        <v>0</v>
      </c>
      <c r="N33" s="256">
        <f>'INPUT SHEET'!K59</f>
        <v>0</v>
      </c>
      <c r="O33" s="256">
        <f>'INPUT SHEET'!L59</f>
        <v>0</v>
      </c>
      <c r="P33" s="256">
        <f>'INPUT SHEET'!M59</f>
        <v>0</v>
      </c>
    </row>
    <row r="34" spans="2:16" ht="20.100000000000001" customHeight="1">
      <c r="B34" s="225"/>
      <c r="C34" t="s">
        <v>355</v>
      </c>
      <c r="D34" s="225"/>
      <c r="E34" s="257">
        <f t="shared" ref="E34:P34" si="9">ROUND(E32-E33,2)</f>
        <v>0</v>
      </c>
      <c r="F34" s="257">
        <f t="shared" si="9"/>
        <v>0</v>
      </c>
      <c r="G34" s="257">
        <f t="shared" si="9"/>
        <v>0</v>
      </c>
      <c r="H34" s="257">
        <f t="shared" si="9"/>
        <v>0</v>
      </c>
      <c r="I34" s="257">
        <f t="shared" si="9"/>
        <v>0</v>
      </c>
      <c r="J34" s="257">
        <f t="shared" si="9"/>
        <v>0</v>
      </c>
      <c r="K34" s="257">
        <f t="shared" si="9"/>
        <v>0</v>
      </c>
      <c r="L34" s="257">
        <f t="shared" si="9"/>
        <v>-0.01</v>
      </c>
      <c r="M34" s="257">
        <f t="shared" si="9"/>
        <v>0</v>
      </c>
      <c r="N34" s="257">
        <f t="shared" si="9"/>
        <v>0</v>
      </c>
      <c r="O34" s="257">
        <f t="shared" si="9"/>
        <v>0</v>
      </c>
      <c r="P34" s="257">
        <f t="shared" si="9"/>
        <v>0</v>
      </c>
    </row>
    <row r="35" spans="2:16" ht="20.100000000000001" customHeight="1">
      <c r="B35" t="s">
        <v>356</v>
      </c>
      <c r="E35" s="232">
        <f>'INPUT SHEET'!B80</f>
        <v>0</v>
      </c>
      <c r="F35" s="232">
        <f>'INPUT SHEET'!C80</f>
        <v>0</v>
      </c>
      <c r="G35" s="232">
        <f>'INPUT SHEET'!D80</f>
        <v>0</v>
      </c>
      <c r="H35" s="232">
        <f>'INPUT SHEET'!E80</f>
        <v>0</v>
      </c>
      <c r="I35" s="232">
        <f>'INPUT SHEET'!F80</f>
        <v>0</v>
      </c>
      <c r="J35" s="232">
        <f>'INPUT SHEET'!G80</f>
        <v>0</v>
      </c>
      <c r="K35" s="232">
        <f>'INPUT SHEET'!H80</f>
        <v>0</v>
      </c>
      <c r="L35" s="232">
        <f>'INPUT SHEET'!I80</f>
        <v>0</v>
      </c>
      <c r="M35" s="232">
        <f>'INPUT SHEET'!J80</f>
        <v>0</v>
      </c>
      <c r="N35" s="232">
        <f>'INPUT SHEET'!K80</f>
        <v>0</v>
      </c>
      <c r="O35" s="232">
        <f>'INPUT SHEET'!L80</f>
        <v>0</v>
      </c>
      <c r="P35" s="232">
        <f>'INPUT SHEET'!M80</f>
        <v>0</v>
      </c>
    </row>
    <row r="36" spans="2:16" ht="20.100000000000001" customHeight="1">
      <c r="B36" s="429" t="s">
        <v>342</v>
      </c>
      <c r="C36" s="429"/>
      <c r="D36" s="429"/>
      <c r="E36" s="24">
        <f t="shared" ref="E36:P36" si="10">ROUND(E34+E35,2)</f>
        <v>0</v>
      </c>
      <c r="F36" s="24">
        <f t="shared" si="10"/>
        <v>0</v>
      </c>
      <c r="G36" s="24">
        <f t="shared" si="10"/>
        <v>0</v>
      </c>
      <c r="H36" s="24">
        <f t="shared" si="10"/>
        <v>0</v>
      </c>
      <c r="I36" s="24">
        <f t="shared" si="10"/>
        <v>0</v>
      </c>
      <c r="J36" s="24">
        <f t="shared" si="10"/>
        <v>0</v>
      </c>
      <c r="K36" s="24">
        <f t="shared" si="10"/>
        <v>0</v>
      </c>
      <c r="L36" s="24">
        <f t="shared" si="10"/>
        <v>-0.01</v>
      </c>
      <c r="M36" s="24">
        <f t="shared" si="10"/>
        <v>0</v>
      </c>
      <c r="N36" s="24">
        <f t="shared" si="10"/>
        <v>0</v>
      </c>
      <c r="O36" s="24">
        <f t="shared" si="10"/>
        <v>0</v>
      </c>
      <c r="P36" s="24">
        <f t="shared" si="10"/>
        <v>0</v>
      </c>
    </row>
    <row r="37" spans="2:16" ht="20.100000000000001" customHeight="1">
      <c r="B37" s="225" t="s">
        <v>357</v>
      </c>
      <c r="E37" s="258">
        <f t="shared" ref="E37:P37" si="11">ROUND(E15-E36,2)</f>
        <v>0</v>
      </c>
      <c r="F37" s="258">
        <f t="shared" si="11"/>
        <v>0</v>
      </c>
      <c r="G37" s="258">
        <f t="shared" si="11"/>
        <v>0</v>
      </c>
      <c r="H37" s="258">
        <f t="shared" si="11"/>
        <v>0</v>
      </c>
      <c r="I37" s="258">
        <f t="shared" si="11"/>
        <v>0</v>
      </c>
      <c r="J37" s="258">
        <f t="shared" si="11"/>
        <v>0</v>
      </c>
      <c r="K37" s="258">
        <f t="shared" si="11"/>
        <v>0</v>
      </c>
      <c r="L37" s="258">
        <f t="shared" si="11"/>
        <v>0.01</v>
      </c>
      <c r="M37" s="258">
        <f t="shared" si="11"/>
        <v>0</v>
      </c>
      <c r="N37" s="258">
        <f t="shared" si="11"/>
        <v>0</v>
      </c>
      <c r="O37" s="258">
        <f t="shared" si="11"/>
        <v>0</v>
      </c>
      <c r="P37" s="258">
        <f t="shared" si="11"/>
        <v>0</v>
      </c>
    </row>
    <row r="38" spans="2:16" ht="20.100000000000001" customHeight="1">
      <c r="B38" s="425" t="s">
        <v>273</v>
      </c>
      <c r="C38" s="425"/>
      <c r="D38" s="425"/>
      <c r="E38" s="259">
        <f>'INPUT SHEET'!B86</f>
        <v>0</v>
      </c>
      <c r="F38" s="259">
        <f>'INPUT SHEET'!C86</f>
        <v>0</v>
      </c>
      <c r="G38" s="259">
        <f>'INPUT SHEET'!D86</f>
        <v>0</v>
      </c>
      <c r="H38" s="259">
        <f>'INPUT SHEET'!E86</f>
        <v>0</v>
      </c>
      <c r="I38" s="259">
        <f>'INPUT SHEET'!F86</f>
        <v>0</v>
      </c>
      <c r="J38" s="259">
        <f>'INPUT SHEET'!G86</f>
        <v>0</v>
      </c>
      <c r="K38" s="259">
        <f>'INPUT SHEET'!H86</f>
        <v>0</v>
      </c>
      <c r="L38" s="259">
        <f>'INPUT SHEET'!I86</f>
        <v>0</v>
      </c>
      <c r="M38" s="259">
        <f>'INPUT SHEET'!J86</f>
        <v>0</v>
      </c>
      <c r="N38" s="259">
        <f>'INPUT SHEET'!K86</f>
        <v>0</v>
      </c>
      <c r="O38" s="259">
        <f>'INPUT SHEET'!L86</f>
        <v>0</v>
      </c>
      <c r="P38" s="259">
        <f>'INPUT SHEET'!M86</f>
        <v>0</v>
      </c>
    </row>
    <row r="39" spans="2:16" ht="20.100000000000001" customHeight="1">
      <c r="B39" s="427" t="str">
        <f>'INPUT SHEET'!A83</f>
        <v>Interest on Fixed Loans / Term loans</v>
      </c>
      <c r="C39" s="427"/>
      <c r="D39" s="427"/>
      <c r="E39" s="232">
        <f>'INPUT SHEET'!B83</f>
        <v>0</v>
      </c>
      <c r="F39" s="232">
        <f>'INPUT SHEET'!C83</f>
        <v>0</v>
      </c>
      <c r="G39" s="232">
        <f>'INPUT SHEET'!D83</f>
        <v>0</v>
      </c>
      <c r="H39" s="232">
        <f>'INPUT SHEET'!E83</f>
        <v>0</v>
      </c>
      <c r="I39" s="232">
        <f>'INPUT SHEET'!F83</f>
        <v>0</v>
      </c>
      <c r="J39" s="232">
        <f>'INPUT SHEET'!G83</f>
        <v>0</v>
      </c>
      <c r="K39" s="232">
        <f>'INPUT SHEET'!H83</f>
        <v>0</v>
      </c>
      <c r="L39" s="232">
        <f>'INPUT SHEET'!I83</f>
        <v>0</v>
      </c>
      <c r="M39" s="232">
        <f>'INPUT SHEET'!J83</f>
        <v>0</v>
      </c>
      <c r="N39" s="232">
        <f>'INPUT SHEET'!K83</f>
        <v>0</v>
      </c>
      <c r="O39" s="232">
        <f>'INPUT SHEET'!L83</f>
        <v>0</v>
      </c>
      <c r="P39" s="232">
        <f>'INPUT SHEET'!M83</f>
        <v>0</v>
      </c>
    </row>
    <row r="40" spans="2:16" ht="20.100000000000001" customHeight="1">
      <c r="B40" s="427" t="s">
        <v>358</v>
      </c>
      <c r="C40" s="427"/>
      <c r="D40" s="427"/>
      <c r="E40" s="232">
        <f t="shared" ref="E40:P40" si="12">E38-E39</f>
        <v>0</v>
      </c>
      <c r="F40" s="232">
        <f t="shared" si="12"/>
        <v>0</v>
      </c>
      <c r="G40" s="232">
        <f t="shared" si="12"/>
        <v>0</v>
      </c>
      <c r="H40" s="232">
        <f t="shared" si="12"/>
        <v>0</v>
      </c>
      <c r="I40" s="232">
        <f t="shared" si="12"/>
        <v>0</v>
      </c>
      <c r="J40" s="232">
        <f t="shared" si="12"/>
        <v>0</v>
      </c>
      <c r="K40" s="232">
        <f t="shared" si="12"/>
        <v>0</v>
      </c>
      <c r="L40" s="232">
        <f t="shared" si="12"/>
        <v>0</v>
      </c>
      <c r="M40" s="232">
        <f t="shared" si="12"/>
        <v>0</v>
      </c>
      <c r="N40" s="232">
        <f t="shared" si="12"/>
        <v>0</v>
      </c>
      <c r="O40" s="232">
        <f t="shared" si="12"/>
        <v>0</v>
      </c>
      <c r="P40" s="232">
        <f t="shared" si="12"/>
        <v>0</v>
      </c>
    </row>
    <row r="41" spans="2:16" ht="20.100000000000001" customHeight="1">
      <c r="B41" s="225" t="s">
        <v>359</v>
      </c>
      <c r="E41" s="257">
        <f t="shared" ref="E41:P41" si="13">ROUND(E37-E38,2)</f>
        <v>0</v>
      </c>
      <c r="F41" s="257">
        <f t="shared" si="13"/>
        <v>0</v>
      </c>
      <c r="G41" s="257">
        <f t="shared" si="13"/>
        <v>0</v>
      </c>
      <c r="H41" s="257">
        <f t="shared" si="13"/>
        <v>0</v>
      </c>
      <c r="I41" s="257">
        <f t="shared" si="13"/>
        <v>0</v>
      </c>
      <c r="J41" s="257">
        <f t="shared" si="13"/>
        <v>0</v>
      </c>
      <c r="K41" s="257">
        <f t="shared" si="13"/>
        <v>0</v>
      </c>
      <c r="L41" s="257">
        <f t="shared" si="13"/>
        <v>0.01</v>
      </c>
      <c r="M41" s="257">
        <f t="shared" si="13"/>
        <v>0</v>
      </c>
      <c r="N41" s="257">
        <f t="shared" si="13"/>
        <v>0</v>
      </c>
      <c r="O41" s="257">
        <f t="shared" si="13"/>
        <v>0</v>
      </c>
      <c r="P41" s="257">
        <f t="shared" si="13"/>
        <v>0</v>
      </c>
    </row>
    <row r="42" spans="2:16" ht="20.100000000000001" customHeight="1">
      <c r="B42" t="s">
        <v>326</v>
      </c>
      <c r="C42" t="s">
        <v>360</v>
      </c>
      <c r="E42" s="233">
        <f>'INPUT SHEET'!B35</f>
        <v>0</v>
      </c>
      <c r="F42" s="233">
        <f>'INPUT SHEET'!C35</f>
        <v>0</v>
      </c>
      <c r="G42" s="233">
        <f>'INPUT SHEET'!D35</f>
        <v>0</v>
      </c>
      <c r="H42" s="233">
        <f>'INPUT SHEET'!E35</f>
        <v>0</v>
      </c>
      <c r="I42" s="233">
        <f>'INPUT SHEET'!F35</f>
        <v>0</v>
      </c>
      <c r="J42" s="233">
        <f>'INPUT SHEET'!G35</f>
        <v>0</v>
      </c>
      <c r="K42" s="233">
        <f>'INPUT SHEET'!H35</f>
        <v>0</v>
      </c>
      <c r="L42" s="233">
        <f>'INPUT SHEET'!I35</f>
        <v>0</v>
      </c>
      <c r="M42" s="233">
        <f>'INPUT SHEET'!J35</f>
        <v>0</v>
      </c>
      <c r="N42" s="233">
        <f>'INPUT SHEET'!K35</f>
        <v>0</v>
      </c>
      <c r="O42" s="233">
        <f>'INPUT SHEET'!L35</f>
        <v>0</v>
      </c>
      <c r="P42" s="233">
        <f>'INPUT SHEET'!M35</f>
        <v>0</v>
      </c>
    </row>
    <row r="43" spans="2:16" ht="20.100000000000001" customHeight="1">
      <c r="B43" t="s">
        <v>328</v>
      </c>
      <c r="C43" t="s">
        <v>361</v>
      </c>
      <c r="E43" s="233">
        <f>'INPUT SHEET'!B94</f>
        <v>0</v>
      </c>
      <c r="F43" s="233">
        <f>'INPUT SHEET'!C94</f>
        <v>0</v>
      </c>
      <c r="G43" s="233">
        <f>'INPUT SHEET'!D94</f>
        <v>0</v>
      </c>
      <c r="H43" s="233">
        <f>'INPUT SHEET'!E94</f>
        <v>0</v>
      </c>
      <c r="I43" s="233">
        <f>'INPUT SHEET'!F94</f>
        <v>0</v>
      </c>
      <c r="J43" s="233">
        <f>'INPUT SHEET'!G94</f>
        <v>0</v>
      </c>
      <c r="K43" s="233">
        <f>'INPUT SHEET'!H94</f>
        <v>0</v>
      </c>
      <c r="L43" s="233">
        <f>'INPUT SHEET'!I94</f>
        <v>0</v>
      </c>
      <c r="M43" s="233">
        <f>'INPUT SHEET'!J94</f>
        <v>0</v>
      </c>
      <c r="N43" s="233">
        <f>'INPUT SHEET'!K94</f>
        <v>0</v>
      </c>
      <c r="O43" s="233">
        <f>'INPUT SHEET'!L94</f>
        <v>0</v>
      </c>
      <c r="P43" s="233">
        <f>'INPUT SHEET'!M94</f>
        <v>0</v>
      </c>
    </row>
    <row r="44" spans="2:16" ht="31.5" customHeight="1">
      <c r="B44" t="s">
        <v>339</v>
      </c>
      <c r="C44" s="428" t="s">
        <v>362</v>
      </c>
      <c r="D44" s="428"/>
      <c r="E44" s="235">
        <f t="shared" ref="E44:P44" si="14">E42-E43</f>
        <v>0</v>
      </c>
      <c r="F44" s="235">
        <f t="shared" si="14"/>
        <v>0</v>
      </c>
      <c r="G44" s="235">
        <f t="shared" si="14"/>
        <v>0</v>
      </c>
      <c r="H44" s="235">
        <f t="shared" si="14"/>
        <v>0</v>
      </c>
      <c r="I44" s="235">
        <f t="shared" si="14"/>
        <v>0</v>
      </c>
      <c r="J44" s="235">
        <f t="shared" si="14"/>
        <v>0</v>
      </c>
      <c r="K44" s="235">
        <f t="shared" si="14"/>
        <v>0</v>
      </c>
      <c r="L44" s="235">
        <f t="shared" si="14"/>
        <v>0</v>
      </c>
      <c r="M44" s="235">
        <f t="shared" si="14"/>
        <v>0</v>
      </c>
      <c r="N44" s="235">
        <f t="shared" si="14"/>
        <v>0</v>
      </c>
      <c r="O44" s="235">
        <f t="shared" si="14"/>
        <v>0</v>
      </c>
      <c r="P44" s="235">
        <f t="shared" si="14"/>
        <v>0</v>
      </c>
    </row>
    <row r="45" spans="2:16" ht="20.100000000000001" customHeight="1">
      <c r="B45" s="225" t="s">
        <v>363</v>
      </c>
      <c r="E45" s="257">
        <f t="shared" ref="E45:P45" si="15">ROUND(E41+E44,2)</f>
        <v>0</v>
      </c>
      <c r="F45" s="257">
        <f t="shared" si="15"/>
        <v>0</v>
      </c>
      <c r="G45" s="257">
        <f t="shared" si="15"/>
        <v>0</v>
      </c>
      <c r="H45" s="257">
        <f t="shared" si="15"/>
        <v>0</v>
      </c>
      <c r="I45" s="257">
        <f t="shared" si="15"/>
        <v>0</v>
      </c>
      <c r="J45" s="257">
        <f t="shared" si="15"/>
        <v>0</v>
      </c>
      <c r="K45" s="257">
        <f t="shared" si="15"/>
        <v>0</v>
      </c>
      <c r="L45" s="257">
        <f t="shared" si="15"/>
        <v>0.01</v>
      </c>
      <c r="M45" s="257">
        <f t="shared" si="15"/>
        <v>0</v>
      </c>
      <c r="N45" s="257">
        <f t="shared" si="15"/>
        <v>0</v>
      </c>
      <c r="O45" s="257">
        <f t="shared" si="15"/>
        <v>0</v>
      </c>
      <c r="P45" s="257">
        <f t="shared" si="15"/>
        <v>0</v>
      </c>
    </row>
    <row r="46" spans="2:16" ht="20.100000000000001" customHeight="1">
      <c r="B46" s="425" t="s">
        <v>364</v>
      </c>
      <c r="C46" s="425"/>
      <c r="D46" s="425"/>
      <c r="E46" s="235">
        <f t="shared" ref="E46:P46" si="16">E47+E48-E49</f>
        <v>0</v>
      </c>
      <c r="F46" s="235">
        <f t="shared" si="16"/>
        <v>0</v>
      </c>
      <c r="G46" s="235">
        <f t="shared" si="16"/>
        <v>0</v>
      </c>
      <c r="H46" s="235">
        <f t="shared" si="16"/>
        <v>0</v>
      </c>
      <c r="I46" s="235">
        <f t="shared" si="16"/>
        <v>0</v>
      </c>
      <c r="J46" s="235">
        <f t="shared" si="16"/>
        <v>0</v>
      </c>
      <c r="K46" s="235">
        <f t="shared" si="16"/>
        <v>0</v>
      </c>
      <c r="L46" s="235">
        <f t="shared" si="16"/>
        <v>2.5000000000000001E-3</v>
      </c>
      <c r="M46" s="235">
        <f t="shared" si="16"/>
        <v>0</v>
      </c>
      <c r="N46" s="235">
        <f t="shared" si="16"/>
        <v>0</v>
      </c>
      <c r="O46" s="235">
        <f t="shared" si="16"/>
        <v>0</v>
      </c>
      <c r="P46" s="235">
        <f t="shared" si="16"/>
        <v>0</v>
      </c>
    </row>
    <row r="47" spans="2:16" ht="20.100000000000001" customHeight="1">
      <c r="B47" s="427" t="str">
        <f>'INPUT SHEET'!A99</f>
        <v>Income Tax  provision</v>
      </c>
      <c r="C47" s="427"/>
      <c r="D47" s="427"/>
      <c r="E47" s="233">
        <f>'INPUT SHEET'!B99</f>
        <v>0</v>
      </c>
      <c r="F47" s="233">
        <f>'INPUT SHEET'!C99</f>
        <v>0</v>
      </c>
      <c r="G47" s="233">
        <f>'INPUT SHEET'!D99</f>
        <v>0</v>
      </c>
      <c r="H47" s="233">
        <f>'INPUT SHEET'!E99</f>
        <v>0</v>
      </c>
      <c r="I47" s="233">
        <f>'INPUT SHEET'!F99</f>
        <v>0</v>
      </c>
      <c r="J47" s="233">
        <f>'INPUT SHEET'!G99</f>
        <v>0</v>
      </c>
      <c r="K47" s="233">
        <f>'INPUT SHEET'!H99</f>
        <v>0</v>
      </c>
      <c r="L47" s="233">
        <f>'INPUT SHEET'!I99</f>
        <v>2.5000000000000001E-3</v>
      </c>
      <c r="M47" s="233">
        <f>'INPUT SHEET'!J99</f>
        <v>0</v>
      </c>
      <c r="N47" s="233">
        <f>'INPUT SHEET'!K99</f>
        <v>0</v>
      </c>
      <c r="O47" s="233">
        <f>'INPUT SHEET'!L99</f>
        <v>0</v>
      </c>
      <c r="P47" s="233">
        <f>'INPUT SHEET'!M99</f>
        <v>0</v>
      </c>
    </row>
    <row r="48" spans="2:16" ht="20.100000000000001" customHeight="1">
      <c r="B48" s="427" t="str">
        <f>'INPUT SHEET'!A100</f>
        <v>Deferred Tax Liability</v>
      </c>
      <c r="C48" s="427"/>
      <c r="D48" s="427"/>
      <c r="E48" s="233">
        <f>'INPUT SHEET'!B100</f>
        <v>0</v>
      </c>
      <c r="F48" s="233">
        <f>'INPUT SHEET'!C100</f>
        <v>0</v>
      </c>
      <c r="G48" s="233">
        <f>'INPUT SHEET'!D100</f>
        <v>0</v>
      </c>
      <c r="H48" s="233">
        <f>'INPUT SHEET'!E100</f>
        <v>0</v>
      </c>
      <c r="I48" s="233">
        <f>'INPUT SHEET'!F100</f>
        <v>0</v>
      </c>
      <c r="J48" s="233">
        <f>'INPUT SHEET'!G100</f>
        <v>0</v>
      </c>
      <c r="K48" s="233">
        <f>'INPUT SHEET'!H100</f>
        <v>0</v>
      </c>
      <c r="L48" s="233">
        <f>'INPUT SHEET'!I100</f>
        <v>0</v>
      </c>
      <c r="M48" s="233">
        <f>'INPUT SHEET'!J100</f>
        <v>0</v>
      </c>
      <c r="N48" s="233">
        <f>'INPUT SHEET'!K100</f>
        <v>0</v>
      </c>
      <c r="O48" s="233">
        <f>'INPUT SHEET'!L100</f>
        <v>0</v>
      </c>
      <c r="P48" s="233">
        <f>'INPUT SHEET'!M100</f>
        <v>0</v>
      </c>
    </row>
    <row r="49" spans="2:16" ht="20.100000000000001" customHeight="1">
      <c r="B49" s="427" t="str">
        <f>'INPUT SHEET'!A101</f>
        <v>Deferred Tax Asset</v>
      </c>
      <c r="C49" s="427"/>
      <c r="D49" s="427"/>
      <c r="E49" s="233">
        <f>'INPUT SHEET'!B101</f>
        <v>0</v>
      </c>
      <c r="F49" s="233">
        <f>'INPUT SHEET'!C101</f>
        <v>0</v>
      </c>
      <c r="G49" s="233">
        <f>'INPUT SHEET'!D101</f>
        <v>0</v>
      </c>
      <c r="H49" s="233">
        <f>'INPUT SHEET'!E101</f>
        <v>0</v>
      </c>
      <c r="I49" s="233">
        <f>'INPUT SHEET'!F101</f>
        <v>0</v>
      </c>
      <c r="J49" s="233">
        <f>'INPUT SHEET'!G101</f>
        <v>0</v>
      </c>
      <c r="K49" s="233">
        <f>'INPUT SHEET'!H101</f>
        <v>0</v>
      </c>
      <c r="L49" s="233">
        <f>'INPUT SHEET'!I101</f>
        <v>0</v>
      </c>
      <c r="M49" s="233">
        <f>'INPUT SHEET'!J101</f>
        <v>0</v>
      </c>
      <c r="N49" s="233">
        <f>'INPUT SHEET'!K101</f>
        <v>0</v>
      </c>
      <c r="O49" s="233">
        <f>'INPUT SHEET'!L101</f>
        <v>0</v>
      </c>
      <c r="P49" s="233">
        <f>'INPUT SHEET'!M101</f>
        <v>0</v>
      </c>
    </row>
    <row r="50" spans="2:16" ht="20.100000000000001" customHeight="1"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3"/>
      <c r="P50" s="233"/>
    </row>
    <row r="51" spans="2:16" ht="20.100000000000001" customHeight="1">
      <c r="B51" s="225" t="s">
        <v>365</v>
      </c>
      <c r="E51" s="257">
        <f t="shared" ref="E51:P51" si="17">ROUND(E45-E46,2)</f>
        <v>0</v>
      </c>
      <c r="F51" s="257">
        <f t="shared" si="17"/>
        <v>0</v>
      </c>
      <c r="G51" s="257">
        <f t="shared" si="17"/>
        <v>0</v>
      </c>
      <c r="H51" s="257">
        <f t="shared" si="17"/>
        <v>0</v>
      </c>
      <c r="I51" s="257">
        <f t="shared" si="17"/>
        <v>0</v>
      </c>
      <c r="J51" s="257">
        <f t="shared" si="17"/>
        <v>0</v>
      </c>
      <c r="K51" s="257">
        <f t="shared" si="17"/>
        <v>0</v>
      </c>
      <c r="L51" s="257">
        <f t="shared" si="17"/>
        <v>0.01</v>
      </c>
      <c r="M51" s="257">
        <f t="shared" si="17"/>
        <v>0</v>
      </c>
      <c r="N51" s="257">
        <f t="shared" si="17"/>
        <v>0</v>
      </c>
      <c r="O51" s="257">
        <f t="shared" si="17"/>
        <v>0</v>
      </c>
      <c r="P51" s="257">
        <f t="shared" si="17"/>
        <v>0</v>
      </c>
    </row>
    <row r="52" spans="2:16" ht="20.100000000000001" customHeight="1">
      <c r="B52" t="s">
        <v>336</v>
      </c>
      <c r="C52" t="s">
        <v>366</v>
      </c>
      <c r="E52" s="230"/>
      <c r="F52" s="242"/>
      <c r="G52" s="230"/>
      <c r="H52" s="242"/>
      <c r="I52" s="230"/>
      <c r="J52" s="230"/>
      <c r="K52" s="230"/>
      <c r="L52" s="230"/>
      <c r="M52" s="230"/>
      <c r="N52" s="230"/>
      <c r="O52" s="230"/>
      <c r="P52" s="230"/>
    </row>
    <row r="53" spans="2:16" ht="12.9" customHeight="1">
      <c r="C53" t="s">
        <v>367</v>
      </c>
      <c r="E53" s="233">
        <f>'INPUT SHEET'!B107</f>
        <v>0</v>
      </c>
      <c r="F53" s="242">
        <f>'INPUT SHEET'!C107</f>
        <v>0</v>
      </c>
      <c r="G53" s="233">
        <f>'INPUT SHEET'!D107</f>
        <v>0</v>
      </c>
      <c r="H53" s="242">
        <f>'INPUT SHEET'!E107</f>
        <v>0</v>
      </c>
      <c r="I53" s="233">
        <f>'INPUT SHEET'!F107</f>
        <v>0</v>
      </c>
      <c r="J53" s="233">
        <f>'INPUT SHEET'!G107</f>
        <v>0</v>
      </c>
      <c r="K53" s="233">
        <f>'INPUT SHEET'!H107</f>
        <v>0</v>
      </c>
      <c r="L53" s="233">
        <f>'INPUT SHEET'!I107</f>
        <v>0</v>
      </c>
      <c r="M53" s="233">
        <f>'INPUT SHEET'!J107</f>
        <v>0</v>
      </c>
      <c r="N53" s="233">
        <f>'INPUT SHEET'!K107</f>
        <v>0</v>
      </c>
      <c r="O53" s="233">
        <f>'INPUT SHEET'!L107</f>
        <v>0</v>
      </c>
      <c r="P53" s="233">
        <f>'INPUT SHEET'!M107</f>
        <v>0</v>
      </c>
    </row>
    <row r="54" spans="2:16" ht="20.100000000000001" customHeight="1">
      <c r="B54" t="s">
        <v>337</v>
      </c>
      <c r="C54" t="s">
        <v>368</v>
      </c>
      <c r="E54" s="233"/>
      <c r="F54" s="242"/>
      <c r="G54" s="233"/>
      <c r="H54" s="242"/>
      <c r="I54" s="233"/>
      <c r="J54" s="233"/>
      <c r="K54" s="233"/>
      <c r="L54" s="233"/>
      <c r="M54" s="233"/>
      <c r="N54" s="233"/>
      <c r="O54" s="233"/>
      <c r="P54" s="233"/>
    </row>
    <row r="55" spans="2:16" ht="20.100000000000001" customHeight="1">
      <c r="B55" s="225" t="s">
        <v>369</v>
      </c>
      <c r="E55" s="258">
        <f t="shared" ref="E55:P55" si="18">ROUND(E51-E53,2)</f>
        <v>0</v>
      </c>
      <c r="F55" s="260">
        <f t="shared" si="18"/>
        <v>0</v>
      </c>
      <c r="G55" s="258">
        <f t="shared" si="18"/>
        <v>0</v>
      </c>
      <c r="H55" s="260">
        <f t="shared" si="18"/>
        <v>0</v>
      </c>
      <c r="I55" s="258">
        <f t="shared" si="18"/>
        <v>0</v>
      </c>
      <c r="J55" s="258">
        <f t="shared" si="18"/>
        <v>0</v>
      </c>
      <c r="K55" s="258">
        <f t="shared" si="18"/>
        <v>0</v>
      </c>
      <c r="L55" s="258">
        <f t="shared" si="18"/>
        <v>0.01</v>
      </c>
      <c r="M55" s="258">
        <f t="shared" si="18"/>
        <v>0</v>
      </c>
      <c r="N55" s="258">
        <f t="shared" si="18"/>
        <v>0</v>
      </c>
      <c r="O55" s="258">
        <f t="shared" si="18"/>
        <v>0</v>
      </c>
      <c r="P55" s="258">
        <f t="shared" si="18"/>
        <v>0</v>
      </c>
    </row>
    <row r="56" spans="2:16" ht="20.100000000000001" customHeight="1">
      <c r="B56" t="s">
        <v>370</v>
      </c>
      <c r="E56" s="261" t="str">
        <f t="shared" ref="E56:P56" si="19">IF(E51&lt;&gt;0,E55/E51,"")</f>
        <v/>
      </c>
      <c r="F56" s="262" t="str">
        <f t="shared" si="19"/>
        <v/>
      </c>
      <c r="G56" s="261" t="str">
        <f t="shared" si="19"/>
        <v/>
      </c>
      <c r="H56" s="262" t="str">
        <f t="shared" si="19"/>
        <v/>
      </c>
      <c r="I56" s="261" t="str">
        <f t="shared" si="19"/>
        <v/>
      </c>
      <c r="J56" s="261" t="str">
        <f t="shared" si="19"/>
        <v/>
      </c>
      <c r="K56" s="261" t="str">
        <f t="shared" si="19"/>
        <v/>
      </c>
      <c r="L56" s="261">
        <f t="shared" si="19"/>
        <v>1</v>
      </c>
      <c r="M56" s="261" t="str">
        <f t="shared" si="19"/>
        <v/>
      </c>
      <c r="N56" s="261" t="str">
        <f t="shared" si="19"/>
        <v/>
      </c>
      <c r="O56" s="261" t="str">
        <f t="shared" si="19"/>
        <v/>
      </c>
      <c r="P56" s="261" t="str">
        <f t="shared" si="19"/>
        <v/>
      </c>
    </row>
    <row r="57" spans="2:16" ht="15" customHeight="1"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</row>
    <row r="59" spans="2:16" ht="15" customHeight="1"/>
  </sheetData>
  <mergeCells count="16">
    <mergeCell ref="B15:D15"/>
    <mergeCell ref="C28:D28"/>
    <mergeCell ref="C32:D32"/>
    <mergeCell ref="B36:D36"/>
    <mergeCell ref="B1:E1"/>
    <mergeCell ref="B2:E2"/>
    <mergeCell ref="B10:D10"/>
    <mergeCell ref="B13:D13"/>
    <mergeCell ref="B46:D46"/>
    <mergeCell ref="B47:D47"/>
    <mergeCell ref="B48:D48"/>
    <mergeCell ref="B49:D49"/>
    <mergeCell ref="B38:D38"/>
    <mergeCell ref="B39:D39"/>
    <mergeCell ref="B40:D40"/>
    <mergeCell ref="C44:D44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53" firstPageNumber="0" fitToHeight="0" orientation="portrait" horizontalDpi="300" verticalDpi="300" r:id="rId1"/>
  <headerFooter alignWithMargins="0">
    <oddFooter>&amp;L&amp;8&amp;D&amp;C&amp;8 &amp;F (&amp;A)&amp;R&amp;8 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D726-3B01-471E-B41B-C684485222F8}">
  <sheetPr>
    <pageSetUpPr fitToPage="1"/>
  </sheetPr>
  <dimension ref="A1:Q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defaultRowHeight="13.2" outlineLevelCol="1"/>
  <cols>
    <col min="1" max="1" width="2.6640625" customWidth="1"/>
    <col min="2" max="2" width="2.44140625" customWidth="1"/>
    <col min="3" max="3" width="7.6640625" customWidth="1"/>
    <col min="4" max="4" width="34.5546875" customWidth="1"/>
    <col min="5" max="5" width="14.5546875" customWidth="1"/>
    <col min="6" max="6" width="11.88671875" customWidth="1"/>
    <col min="7" max="7" width="13.5546875" customWidth="1"/>
    <col min="8" max="8" width="13.88671875" style="264" customWidth="1"/>
    <col min="9" max="13" width="14.6640625" customWidth="1"/>
    <col min="14" max="16" width="14.6640625" hidden="1" customWidth="1" outlineLevel="1"/>
    <col min="17" max="17" width="8.6640625" customWidth="1" collapsed="1"/>
  </cols>
  <sheetData>
    <row r="1" spans="1:16" ht="18.75" customHeight="1">
      <c r="A1" s="220" t="s">
        <v>371</v>
      </c>
      <c r="B1" s="220"/>
      <c r="C1" s="220"/>
      <c r="D1" s="220"/>
    </row>
    <row r="2" spans="1:16" ht="20.25" customHeight="1">
      <c r="A2" s="220" t="s">
        <v>372</v>
      </c>
      <c r="B2" s="220"/>
      <c r="D2" s="220"/>
    </row>
    <row r="3" spans="1:16" ht="15" customHeight="1">
      <c r="B3" s="432"/>
      <c r="C3" s="432"/>
      <c r="D3" s="432"/>
      <c r="E3" s="432"/>
      <c r="F3" s="432"/>
      <c r="G3" s="432"/>
      <c r="H3" s="432"/>
      <c r="I3" s="432"/>
      <c r="J3" s="221"/>
      <c r="K3" s="221"/>
      <c r="L3" s="221"/>
      <c r="M3" s="221"/>
      <c r="N3" s="221"/>
      <c r="O3" s="221"/>
      <c r="P3" s="221"/>
    </row>
    <row r="4" spans="1:16" ht="15" customHeight="1">
      <c r="B4" s="432"/>
      <c r="C4" s="432"/>
      <c r="D4" s="432"/>
      <c r="E4" s="432"/>
      <c r="F4" s="432"/>
      <c r="G4" s="432"/>
      <c r="H4" s="432"/>
      <c r="I4" s="432"/>
      <c r="J4" s="221"/>
      <c r="K4" s="221"/>
      <c r="L4" s="221"/>
      <c r="M4" s="221"/>
      <c r="N4" s="221"/>
      <c r="O4" s="221"/>
      <c r="P4" s="221"/>
    </row>
    <row r="5" spans="1:16" ht="15" customHeight="1">
      <c r="C5" s="229" t="str">
        <f>Form_II!C4</f>
        <v>Name :</v>
      </c>
      <c r="D5" s="224">
        <f>'INPUT SHEET'!B7</f>
        <v>0</v>
      </c>
    </row>
    <row r="6" spans="1:16" ht="15" customHeight="1">
      <c r="B6" s="225"/>
      <c r="C6" s="225"/>
      <c r="D6" s="225"/>
      <c r="G6" s="226">
        <f>Form_II!G6</f>
        <v>0</v>
      </c>
      <c r="H6" s="265"/>
      <c r="I6" s="226"/>
      <c r="J6" s="226"/>
      <c r="K6" s="226"/>
      <c r="L6" s="226"/>
      <c r="M6" s="226"/>
      <c r="N6" s="226"/>
      <c r="O6" s="226"/>
      <c r="P6" s="226"/>
    </row>
    <row r="7" spans="1:16" ht="15" customHeight="1">
      <c r="E7" s="266" t="str">
        <f>'INPUT SHEET'!B10</f>
        <v>Audited</v>
      </c>
      <c r="F7" s="266" t="str">
        <f>'INPUT SHEET'!C10</f>
        <v>Audited</v>
      </c>
      <c r="G7" s="266" t="str">
        <f>'INPUT SHEET'!D10</f>
        <v>Provisionals</v>
      </c>
      <c r="H7" s="266" t="str">
        <f>'INPUT SHEET'!E10</f>
        <v>Projected</v>
      </c>
      <c r="I7" s="266" t="str">
        <f>'INPUT SHEET'!F10</f>
        <v>Projected</v>
      </c>
      <c r="J7" s="266" t="str">
        <f>'INPUT SHEET'!G10</f>
        <v>Projected</v>
      </c>
      <c r="K7" s="266" t="str">
        <f>'INPUT SHEET'!H10</f>
        <v>Projected</v>
      </c>
      <c r="L7" s="266" t="str">
        <f>'INPUT SHEET'!I10</f>
        <v>Projected</v>
      </c>
      <c r="M7" s="266" t="str">
        <f>'INPUT SHEET'!J10</f>
        <v>Projected</v>
      </c>
      <c r="N7" s="266" t="str">
        <f>'INPUT SHEET'!K10</f>
        <v>Projected</v>
      </c>
      <c r="O7" s="266" t="str">
        <f>'INPUT SHEET'!L10</f>
        <v>Projected</v>
      </c>
      <c r="P7" s="266" t="str">
        <f>'INPUT SHEET'!M10</f>
        <v>Projected</v>
      </c>
    </row>
    <row r="8" spans="1:16" ht="15" customHeight="1">
      <c r="D8" s="228" t="str">
        <f>'INPUT SHEET'!A8</f>
        <v>Year</v>
      </c>
      <c r="E8" s="267">
        <f>Form_II!E8</f>
        <v>2023</v>
      </c>
      <c r="F8" s="267">
        <f>Form_II!F8</f>
        <v>2024</v>
      </c>
      <c r="G8" s="267">
        <f>Form_II!G8</f>
        <v>2025</v>
      </c>
      <c r="H8" s="267">
        <f>Form_II!H8</f>
        <v>2026</v>
      </c>
      <c r="I8" s="267">
        <f>Form_II!I8</f>
        <v>2027</v>
      </c>
      <c r="J8" s="267">
        <f>Form_II!J8</f>
        <v>2028</v>
      </c>
      <c r="K8" s="267">
        <f>Form_II!K8</f>
        <v>2029</v>
      </c>
      <c r="L8" s="267">
        <f>Form_II!L8</f>
        <v>2030</v>
      </c>
      <c r="M8" s="267">
        <f>Form_II!M8</f>
        <v>2031</v>
      </c>
      <c r="N8" s="267">
        <f>Form_II!N8</f>
        <v>2032</v>
      </c>
      <c r="O8" s="267">
        <f>Form_II!O8</f>
        <v>2033</v>
      </c>
      <c r="P8" s="267">
        <f>Form_II!P8</f>
        <v>2034</v>
      </c>
    </row>
    <row r="9" spans="1:16" ht="15" customHeight="1">
      <c r="D9" s="228" t="str">
        <f>'INPUT SHEET'!A9</f>
        <v>Number of months</v>
      </c>
      <c r="E9" s="267">
        <f>Form_II!E9</f>
        <v>12</v>
      </c>
      <c r="F9" s="267">
        <f>Form_II!F9</f>
        <v>12</v>
      </c>
      <c r="G9" s="267">
        <f>Form_II!G9</f>
        <v>12</v>
      </c>
      <c r="H9" s="267">
        <f>Form_II!H9</f>
        <v>12</v>
      </c>
      <c r="I9" s="267">
        <f>Form_II!I9</f>
        <v>12</v>
      </c>
      <c r="J9" s="267">
        <f>Form_II!J9</f>
        <v>12</v>
      </c>
      <c r="K9" s="267">
        <f>Form_II!K9</f>
        <v>12</v>
      </c>
      <c r="L9" s="267">
        <f>Form_II!L9</f>
        <v>12</v>
      </c>
      <c r="M9" s="267">
        <f>Form_II!M9</f>
        <v>12</v>
      </c>
      <c r="N9" s="267">
        <f>Form_II!N9</f>
        <v>12</v>
      </c>
      <c r="O9" s="267">
        <f>Form_II!O9</f>
        <v>12</v>
      </c>
      <c r="P9" s="267">
        <f>Form_II!P9</f>
        <v>12</v>
      </c>
    </row>
    <row r="10" spans="1:16" ht="19.5" customHeight="1">
      <c r="B10" s="225" t="s">
        <v>191</v>
      </c>
      <c r="E10" s="230"/>
      <c r="F10" s="268"/>
      <c r="G10" s="230"/>
      <c r="H10" s="230"/>
      <c r="I10" s="230"/>
      <c r="J10" s="230"/>
      <c r="K10" s="230"/>
      <c r="L10" s="230"/>
      <c r="M10" s="230"/>
      <c r="N10" s="230"/>
      <c r="O10" s="230"/>
      <c r="P10" s="230"/>
    </row>
    <row r="11" spans="1:16" ht="19.5" customHeight="1">
      <c r="A11">
        <v>1</v>
      </c>
      <c r="B11" t="s">
        <v>373</v>
      </c>
      <c r="E11" s="233"/>
      <c r="F11" s="241"/>
      <c r="G11" s="233"/>
      <c r="H11" s="233"/>
      <c r="I11" s="233"/>
      <c r="J11" s="233"/>
      <c r="K11" s="233"/>
      <c r="L11" s="233"/>
      <c r="M11" s="233"/>
      <c r="N11" s="233"/>
      <c r="O11" s="233"/>
      <c r="P11" s="233"/>
    </row>
    <row r="12" spans="1:16" ht="20.100000000000001" customHeight="1">
      <c r="B12" t="s">
        <v>326</v>
      </c>
      <c r="C12" t="s">
        <v>374</v>
      </c>
      <c r="E12" s="269">
        <f>'INPUT SHEET'!B131</f>
        <v>0</v>
      </c>
      <c r="F12" s="270">
        <f>'INPUT SHEET'!C131</f>
        <v>0</v>
      </c>
      <c r="G12" s="269">
        <f>'INPUT SHEET'!D131</f>
        <v>0</v>
      </c>
      <c r="H12" s="269">
        <f>'INPUT SHEET'!E131</f>
        <v>0</v>
      </c>
      <c r="I12" s="269">
        <f>'INPUT SHEET'!F131</f>
        <v>0</v>
      </c>
      <c r="J12" s="269">
        <f>'INPUT SHEET'!G131</f>
        <v>0</v>
      </c>
      <c r="K12" s="269">
        <f>'INPUT SHEET'!H131</f>
        <v>0</v>
      </c>
      <c r="L12" s="269">
        <f>'INPUT SHEET'!I131</f>
        <v>0</v>
      </c>
      <c r="M12" s="269">
        <f>'INPUT SHEET'!J131</f>
        <v>0</v>
      </c>
      <c r="N12" s="269">
        <f>'INPUT SHEET'!K131</f>
        <v>0</v>
      </c>
      <c r="O12" s="269">
        <f>'INPUT SHEET'!L131</f>
        <v>0</v>
      </c>
      <c r="P12" s="269">
        <f>'INPUT SHEET'!M131</f>
        <v>0</v>
      </c>
    </row>
    <row r="13" spans="1:16" ht="20.100000000000001" customHeight="1">
      <c r="B13" t="s">
        <v>328</v>
      </c>
      <c r="C13" t="s">
        <v>375</v>
      </c>
      <c r="E13" s="269">
        <f>'INPUT SHEET'!B132</f>
        <v>0</v>
      </c>
      <c r="F13" s="270">
        <f>'INPUT SHEET'!C132</f>
        <v>0</v>
      </c>
      <c r="G13" s="269">
        <f>'INPUT SHEET'!D132</f>
        <v>0</v>
      </c>
      <c r="H13" s="269">
        <f>'INPUT SHEET'!E132</f>
        <v>0</v>
      </c>
      <c r="I13" s="269">
        <f>'INPUT SHEET'!F132</f>
        <v>0</v>
      </c>
      <c r="J13" s="269">
        <f>'INPUT SHEET'!G132</f>
        <v>0</v>
      </c>
      <c r="K13" s="269">
        <f>'INPUT SHEET'!H132</f>
        <v>0</v>
      </c>
      <c r="L13" s="269">
        <f>'INPUT SHEET'!I132</f>
        <v>0</v>
      </c>
      <c r="M13" s="269">
        <f>'INPUT SHEET'!J132</f>
        <v>0</v>
      </c>
      <c r="N13" s="269">
        <f>'INPUT SHEET'!K132</f>
        <v>0</v>
      </c>
      <c r="O13" s="269">
        <f>'INPUT SHEET'!L132</f>
        <v>0</v>
      </c>
      <c r="P13" s="269">
        <f>'INPUT SHEET'!M132</f>
        <v>0</v>
      </c>
    </row>
    <row r="14" spans="1:16" ht="20.100000000000001" customHeight="1">
      <c r="B14" t="s">
        <v>339</v>
      </c>
      <c r="C14" t="s">
        <v>376</v>
      </c>
      <c r="E14" s="269">
        <f>'INPUT SHEET'!B133</f>
        <v>0</v>
      </c>
      <c r="F14" s="270">
        <f>'INPUT SHEET'!C133</f>
        <v>0</v>
      </c>
      <c r="G14" s="269">
        <f>'INPUT SHEET'!D133</f>
        <v>0</v>
      </c>
      <c r="H14" s="269">
        <f>'INPUT SHEET'!E133</f>
        <v>0</v>
      </c>
      <c r="I14" s="269">
        <f>'INPUT SHEET'!F133</f>
        <v>0</v>
      </c>
      <c r="J14" s="269">
        <f>'INPUT SHEET'!G133</f>
        <v>0</v>
      </c>
      <c r="K14" s="269">
        <f>'INPUT SHEET'!H133</f>
        <v>0</v>
      </c>
      <c r="L14" s="269">
        <f>'INPUT SHEET'!I133</f>
        <v>0</v>
      </c>
      <c r="M14" s="269">
        <f>'INPUT SHEET'!J133</f>
        <v>0</v>
      </c>
      <c r="N14" s="269">
        <f>'INPUT SHEET'!K133</f>
        <v>0</v>
      </c>
      <c r="O14" s="269">
        <f>'INPUT SHEET'!L133</f>
        <v>0</v>
      </c>
      <c r="P14" s="269">
        <f>'INPUT SHEET'!M133</f>
        <v>0</v>
      </c>
    </row>
    <row r="15" spans="1:16" ht="20.100000000000001" customHeight="1">
      <c r="C15" t="s">
        <v>377</v>
      </c>
      <c r="E15" s="235">
        <f t="shared" ref="E15:P15" si="0">ROUND(E12+E13,2)</f>
        <v>0</v>
      </c>
      <c r="F15" s="234">
        <f t="shared" si="0"/>
        <v>0</v>
      </c>
      <c r="G15" s="235">
        <f t="shared" si="0"/>
        <v>0</v>
      </c>
      <c r="H15" s="235">
        <f t="shared" si="0"/>
        <v>0</v>
      </c>
      <c r="I15" s="235">
        <f t="shared" si="0"/>
        <v>0</v>
      </c>
      <c r="J15" s="235">
        <f t="shared" si="0"/>
        <v>0</v>
      </c>
      <c r="K15" s="235">
        <f t="shared" si="0"/>
        <v>0</v>
      </c>
      <c r="L15" s="235">
        <f t="shared" si="0"/>
        <v>0</v>
      </c>
      <c r="M15" s="235">
        <f t="shared" si="0"/>
        <v>0</v>
      </c>
      <c r="N15" s="235">
        <f t="shared" si="0"/>
        <v>0</v>
      </c>
      <c r="O15" s="235">
        <f t="shared" si="0"/>
        <v>0</v>
      </c>
      <c r="P15" s="235">
        <f t="shared" si="0"/>
        <v>0</v>
      </c>
    </row>
    <row r="16" spans="1:16" ht="20.100000000000001" customHeight="1">
      <c r="A16">
        <v>2</v>
      </c>
      <c r="B16" t="s">
        <v>378</v>
      </c>
      <c r="E16" s="233">
        <f>'INPUT SHEET'!B148+'INPUT SHEET'!B154</f>
        <v>0</v>
      </c>
      <c r="F16" s="233">
        <f>'INPUT SHEET'!C148+'INPUT SHEET'!C154</f>
        <v>0</v>
      </c>
      <c r="G16" s="233">
        <f>'INPUT SHEET'!D148+'INPUT SHEET'!D154</f>
        <v>0</v>
      </c>
      <c r="H16" s="233">
        <f>'INPUT SHEET'!E148+'INPUT SHEET'!E154</f>
        <v>0</v>
      </c>
      <c r="I16" s="233">
        <f>'INPUT SHEET'!F148+'INPUT SHEET'!F154</f>
        <v>0</v>
      </c>
      <c r="J16" s="233">
        <f>'INPUT SHEET'!G148+'INPUT SHEET'!G154</f>
        <v>0</v>
      </c>
      <c r="K16" s="233">
        <f>'INPUT SHEET'!H148+'INPUT SHEET'!H154</f>
        <v>0</v>
      </c>
      <c r="L16" s="233">
        <f>'INPUT SHEET'!I148+'INPUT SHEET'!I154</f>
        <v>0</v>
      </c>
      <c r="M16" s="233">
        <f>'INPUT SHEET'!J148+'INPUT SHEET'!J154</f>
        <v>0</v>
      </c>
      <c r="N16" s="233">
        <f>'INPUT SHEET'!K148+'INPUT SHEET'!K154</f>
        <v>0</v>
      </c>
      <c r="O16" s="233">
        <f>'INPUT SHEET'!L148+'INPUT SHEET'!L154</f>
        <v>0</v>
      </c>
      <c r="P16" s="233">
        <f>'INPUT SHEET'!M148+'INPUT SHEET'!M154</f>
        <v>0</v>
      </c>
    </row>
    <row r="17" spans="1:16" ht="20.100000000000001" customHeight="1">
      <c r="A17">
        <v>3</v>
      </c>
      <c r="B17" t="str">
        <f>'INPUT SHEET'!A242</f>
        <v>Sundry Creditors for goods</v>
      </c>
      <c r="E17" s="233">
        <f>'INPUT SHEET'!B242</f>
        <v>0</v>
      </c>
      <c r="F17" s="233">
        <f>'INPUT SHEET'!C242</f>
        <v>0</v>
      </c>
      <c r="G17" s="233">
        <f>'INPUT SHEET'!D242</f>
        <v>0</v>
      </c>
      <c r="H17" s="233">
        <f>'INPUT SHEET'!E242</f>
        <v>0</v>
      </c>
      <c r="I17" s="233">
        <f>'INPUT SHEET'!F242</f>
        <v>0</v>
      </c>
      <c r="J17" s="233">
        <f>'INPUT SHEET'!G242</f>
        <v>0</v>
      </c>
      <c r="K17" s="233">
        <f>'INPUT SHEET'!H242</f>
        <v>0</v>
      </c>
      <c r="L17" s="233">
        <f>'INPUT SHEET'!I242</f>
        <v>0</v>
      </c>
      <c r="M17" s="233">
        <f>'INPUT SHEET'!J242</f>
        <v>0</v>
      </c>
      <c r="N17" s="233">
        <f>'INPUT SHEET'!K242</f>
        <v>0</v>
      </c>
      <c r="O17" s="233">
        <f>'INPUT SHEET'!L242</f>
        <v>0</v>
      </c>
      <c r="P17" s="233">
        <f>'INPUT SHEET'!M242</f>
        <v>0</v>
      </c>
    </row>
    <row r="18" spans="1:16" ht="27" customHeight="1">
      <c r="A18">
        <v>4</v>
      </c>
      <c r="B18" s="428" t="str">
        <f>'INPUT SHEET'!A243</f>
        <v xml:space="preserve">Advance received from customers </v>
      </c>
      <c r="C18" s="428"/>
      <c r="D18" s="428"/>
      <c r="E18" s="233">
        <f>'INPUT SHEET'!B243</f>
        <v>0</v>
      </c>
      <c r="F18" s="241">
        <f>'INPUT SHEET'!C243</f>
        <v>0</v>
      </c>
      <c r="G18" s="233">
        <f>'INPUT SHEET'!D243</f>
        <v>0</v>
      </c>
      <c r="H18" s="233">
        <f>'INPUT SHEET'!E243</f>
        <v>0</v>
      </c>
      <c r="I18" s="233">
        <f>'INPUT SHEET'!F243</f>
        <v>0</v>
      </c>
      <c r="J18" s="233">
        <f>'INPUT SHEET'!G243</f>
        <v>0</v>
      </c>
      <c r="K18" s="233">
        <f>'INPUT SHEET'!H243</f>
        <v>0</v>
      </c>
      <c r="L18" s="233">
        <f>'INPUT SHEET'!I243</f>
        <v>0</v>
      </c>
      <c r="M18" s="233">
        <f>'INPUT SHEET'!J243</f>
        <v>0</v>
      </c>
      <c r="N18" s="233">
        <f>'INPUT SHEET'!K243</f>
        <v>0</v>
      </c>
      <c r="O18" s="233">
        <f>'INPUT SHEET'!L243</f>
        <v>0</v>
      </c>
      <c r="P18" s="233">
        <f>'INPUT SHEET'!M243</f>
        <v>0</v>
      </c>
    </row>
    <row r="19" spans="1:16" ht="20.100000000000001" customHeight="1">
      <c r="A19">
        <v>5</v>
      </c>
      <c r="B19" t="str">
        <f>'INPUT SHEET'!A244</f>
        <v>Provision for Taxation</v>
      </c>
      <c r="E19" s="233">
        <f>'INPUT SHEET'!B244</f>
        <v>0</v>
      </c>
      <c r="F19" s="233">
        <f>'INPUT SHEET'!C244</f>
        <v>0</v>
      </c>
      <c r="G19" s="233">
        <f>'INPUT SHEET'!D244</f>
        <v>0</v>
      </c>
      <c r="H19" s="233">
        <f>'INPUT SHEET'!E244</f>
        <v>0</v>
      </c>
      <c r="I19" s="233">
        <f>'INPUT SHEET'!F244</f>
        <v>0</v>
      </c>
      <c r="J19" s="233">
        <f>'INPUT SHEET'!G244</f>
        <v>0</v>
      </c>
      <c r="K19" s="233">
        <f>'INPUT SHEET'!H244</f>
        <v>0</v>
      </c>
      <c r="L19" s="233">
        <f>'INPUT SHEET'!I244</f>
        <v>2.5000000000000001E-3</v>
      </c>
      <c r="M19" s="233">
        <f>'INPUT SHEET'!J244</f>
        <v>0</v>
      </c>
      <c r="N19" s="233">
        <f>'INPUT SHEET'!K244</f>
        <v>0</v>
      </c>
      <c r="O19" s="233">
        <f>'INPUT SHEET'!L244</f>
        <v>0</v>
      </c>
      <c r="P19" s="233">
        <f>'INPUT SHEET'!M244</f>
        <v>0</v>
      </c>
    </row>
    <row r="20" spans="1:16" ht="20.100000000000001" customHeight="1">
      <c r="A20">
        <v>6</v>
      </c>
      <c r="B20" t="str">
        <f>'INPUT SHEET'!A245</f>
        <v>Dividend payable</v>
      </c>
      <c r="E20" s="233">
        <f>'INPUT SHEET'!B245</f>
        <v>0</v>
      </c>
      <c r="F20" s="241">
        <f>'INPUT SHEET'!C245</f>
        <v>0</v>
      </c>
      <c r="G20" s="233">
        <f>'INPUT SHEET'!D245</f>
        <v>0</v>
      </c>
      <c r="H20" s="233">
        <f>'INPUT SHEET'!E245</f>
        <v>0</v>
      </c>
      <c r="I20" s="233">
        <f>'INPUT SHEET'!F245</f>
        <v>0</v>
      </c>
      <c r="J20" s="233">
        <f>'INPUT SHEET'!G245</f>
        <v>0</v>
      </c>
      <c r="K20" s="233">
        <f>'INPUT SHEET'!H245</f>
        <v>0</v>
      </c>
      <c r="L20" s="233">
        <f>'INPUT SHEET'!I245</f>
        <v>0</v>
      </c>
      <c r="M20" s="233">
        <f>'INPUT SHEET'!J245</f>
        <v>0</v>
      </c>
      <c r="N20" s="233">
        <f>'INPUT SHEET'!K245</f>
        <v>0</v>
      </c>
      <c r="O20" s="233">
        <f>'INPUT SHEET'!L245</f>
        <v>0</v>
      </c>
      <c r="P20" s="233">
        <f>'INPUT SHEET'!M245</f>
        <v>0</v>
      </c>
    </row>
    <row r="21" spans="1:16" ht="20.100000000000001" customHeight="1">
      <c r="A21">
        <v>7</v>
      </c>
      <c r="B21" t="str">
        <f>'INPUT SHEET'!A246</f>
        <v>Other statutory liabilities (due within 1 year)</v>
      </c>
      <c r="E21" s="233">
        <f>'INPUT SHEET'!B246</f>
        <v>0</v>
      </c>
      <c r="F21" s="233">
        <f>'INPUT SHEET'!C246</f>
        <v>0</v>
      </c>
      <c r="G21" s="233">
        <f>'INPUT SHEET'!D246</f>
        <v>0</v>
      </c>
      <c r="H21" s="233">
        <f>'INPUT SHEET'!E246</f>
        <v>0</v>
      </c>
      <c r="I21" s="233">
        <f>'INPUT SHEET'!F246</f>
        <v>0</v>
      </c>
      <c r="J21" s="233">
        <f>'INPUT SHEET'!G246</f>
        <v>0</v>
      </c>
      <c r="K21" s="233">
        <f>'INPUT SHEET'!H246</f>
        <v>0</v>
      </c>
      <c r="L21" s="233">
        <f>'INPUT SHEET'!I246</f>
        <v>0</v>
      </c>
      <c r="M21" s="233">
        <f>'INPUT SHEET'!J246</f>
        <v>0</v>
      </c>
      <c r="N21" s="233">
        <f>'INPUT SHEET'!K246</f>
        <v>0</v>
      </c>
      <c r="O21" s="233">
        <f>'INPUT SHEET'!L246</f>
        <v>0</v>
      </c>
      <c r="P21" s="233">
        <f>'INPUT SHEET'!M246</f>
        <v>0</v>
      </c>
    </row>
    <row r="22" spans="1:16" ht="28.5" customHeight="1">
      <c r="A22">
        <v>8</v>
      </c>
      <c r="B22" s="428" t="s">
        <v>379</v>
      </c>
      <c r="C22" s="428"/>
      <c r="D22" s="428"/>
      <c r="E22" s="233">
        <f>'INPUT SHEET'!B136+'INPUT SHEET'!B140+'INPUT SHEET'!B144</f>
        <v>0</v>
      </c>
      <c r="F22" s="233">
        <f>'INPUT SHEET'!C136+'INPUT SHEET'!C140+'INPUT SHEET'!C144</f>
        <v>0</v>
      </c>
      <c r="G22" s="233">
        <f>'INPUT SHEET'!D136+'INPUT SHEET'!D140+'INPUT SHEET'!D144</f>
        <v>0</v>
      </c>
      <c r="H22" s="233">
        <f>'INPUT SHEET'!E136+'INPUT SHEET'!E140+'INPUT SHEET'!E144</f>
        <v>0</v>
      </c>
      <c r="I22" s="233">
        <f>'INPUT SHEET'!F136+'INPUT SHEET'!F140+'INPUT SHEET'!F144</f>
        <v>0</v>
      </c>
      <c r="J22" s="233">
        <f>'INPUT SHEET'!G136+'INPUT SHEET'!G140+'INPUT SHEET'!G144</f>
        <v>0</v>
      </c>
      <c r="K22" s="233">
        <f>'INPUT SHEET'!H136+'INPUT SHEET'!H140+'INPUT SHEET'!H144</f>
        <v>0</v>
      </c>
      <c r="L22" s="233">
        <f>'INPUT SHEET'!I136+'INPUT SHEET'!I140+'INPUT SHEET'!I144</f>
        <v>0</v>
      </c>
      <c r="M22" s="233">
        <f>'INPUT SHEET'!J136+'INPUT SHEET'!J140+'INPUT SHEET'!J144</f>
        <v>0</v>
      </c>
      <c r="N22" s="233">
        <f>'INPUT SHEET'!K136+'INPUT SHEET'!K140+'INPUT SHEET'!K144</f>
        <v>0</v>
      </c>
      <c r="O22" s="233">
        <f>'INPUT SHEET'!L136+'INPUT SHEET'!L140+'INPUT SHEET'!L144</f>
        <v>0</v>
      </c>
      <c r="P22" s="233">
        <f>'INPUT SHEET'!M136+'INPUT SHEET'!M140+'INPUT SHEET'!M144</f>
        <v>0</v>
      </c>
    </row>
    <row r="23" spans="1:16" ht="20.100000000000001" customHeight="1">
      <c r="A23">
        <v>9</v>
      </c>
      <c r="B23" t="s">
        <v>380</v>
      </c>
      <c r="E23" s="24">
        <f t="shared" ref="E23:P23" si="1">SUM(E24:E27)</f>
        <v>0</v>
      </c>
      <c r="F23" s="24">
        <f t="shared" si="1"/>
        <v>0</v>
      </c>
      <c r="G23" s="24">
        <f t="shared" si="1"/>
        <v>0</v>
      </c>
      <c r="H23" s="24">
        <f t="shared" si="1"/>
        <v>0</v>
      </c>
      <c r="I23" s="24">
        <f t="shared" si="1"/>
        <v>0</v>
      </c>
      <c r="J23" s="24">
        <f t="shared" si="1"/>
        <v>0</v>
      </c>
      <c r="K23" s="24">
        <f t="shared" si="1"/>
        <v>0</v>
      </c>
      <c r="L23" s="24">
        <f t="shared" si="1"/>
        <v>0</v>
      </c>
      <c r="M23" s="24">
        <f t="shared" si="1"/>
        <v>0</v>
      </c>
      <c r="N23" s="24">
        <f t="shared" si="1"/>
        <v>0</v>
      </c>
      <c r="O23" s="24">
        <f t="shared" si="1"/>
        <v>0</v>
      </c>
      <c r="P23" s="24">
        <f t="shared" si="1"/>
        <v>0</v>
      </c>
    </row>
    <row r="24" spans="1:16" ht="20.100000000000001" customHeight="1">
      <c r="B24" t="s">
        <v>336</v>
      </c>
      <c r="C24" s="271" t="str">
        <f>'INPUT SHEET'!A247</f>
        <v>Interest Accrued but not due</v>
      </c>
      <c r="D24" s="271"/>
      <c r="E24" s="246">
        <f>'INPUT SHEET'!B247</f>
        <v>0</v>
      </c>
      <c r="F24" s="245">
        <f>'INPUT SHEET'!C247</f>
        <v>0</v>
      </c>
      <c r="G24" s="246">
        <f>'INPUT SHEET'!D247</f>
        <v>0</v>
      </c>
      <c r="H24" s="246">
        <f>'INPUT SHEET'!E247</f>
        <v>0</v>
      </c>
      <c r="I24" s="246">
        <f>'INPUT SHEET'!F247</f>
        <v>0</v>
      </c>
      <c r="J24" s="246">
        <f>'INPUT SHEET'!G247</f>
        <v>0</v>
      </c>
      <c r="K24" s="246">
        <f>'INPUT SHEET'!H247</f>
        <v>0</v>
      </c>
      <c r="L24" s="246">
        <f>'INPUT SHEET'!I247</f>
        <v>0</v>
      </c>
      <c r="M24" s="246">
        <f>'INPUT SHEET'!J247</f>
        <v>0</v>
      </c>
      <c r="N24" s="246">
        <f>'INPUT SHEET'!K247</f>
        <v>0</v>
      </c>
      <c r="O24" s="246">
        <f>'INPUT SHEET'!L247</f>
        <v>0</v>
      </c>
      <c r="P24" s="246">
        <f>'INPUT SHEET'!M247</f>
        <v>0</v>
      </c>
    </row>
    <row r="25" spans="1:16" ht="20.100000000000001" customHeight="1">
      <c r="B25" t="s">
        <v>337</v>
      </c>
      <c r="C25" s="271" t="str">
        <f>'INPUT SHEET'!A248</f>
        <v>Interest Accrued and due</v>
      </c>
      <c r="D25" s="271"/>
      <c r="E25" s="246">
        <f>'INPUT SHEET'!B248</f>
        <v>0</v>
      </c>
      <c r="F25" s="245">
        <f>'INPUT SHEET'!C248</f>
        <v>0</v>
      </c>
      <c r="G25" s="246">
        <f>'INPUT SHEET'!D248</f>
        <v>0</v>
      </c>
      <c r="H25" s="246">
        <f>'INPUT SHEET'!E248</f>
        <v>0</v>
      </c>
      <c r="I25" s="246">
        <f>'INPUT SHEET'!F248</f>
        <v>0</v>
      </c>
      <c r="J25" s="246">
        <f>'INPUT SHEET'!G248</f>
        <v>0</v>
      </c>
      <c r="K25" s="246">
        <f>'INPUT SHEET'!H248</f>
        <v>0</v>
      </c>
      <c r="L25" s="246">
        <f>'INPUT SHEET'!I248</f>
        <v>0</v>
      </c>
      <c r="M25" s="246">
        <f>'INPUT SHEET'!J248</f>
        <v>0</v>
      </c>
      <c r="N25" s="246">
        <f>'INPUT SHEET'!K248</f>
        <v>0</v>
      </c>
      <c r="O25" s="246">
        <f>'INPUT SHEET'!L248</f>
        <v>0</v>
      </c>
      <c r="P25" s="246">
        <f>'INPUT SHEET'!M248</f>
        <v>0</v>
      </c>
    </row>
    <row r="26" spans="1:16" ht="20.100000000000001" customHeight="1">
      <c r="B26" t="s">
        <v>381</v>
      </c>
      <c r="C26" s="271" t="str">
        <f>'INPUT SHEET'!A249</f>
        <v>Creditors for Expenses</v>
      </c>
      <c r="D26" s="271"/>
      <c r="E26" s="246">
        <f>'INPUT SHEET'!B249</f>
        <v>0</v>
      </c>
      <c r="F26" s="245">
        <f>'INPUT SHEET'!C249</f>
        <v>0</v>
      </c>
      <c r="G26" s="246">
        <f>'INPUT SHEET'!D249</f>
        <v>0</v>
      </c>
      <c r="H26" s="246">
        <f>'INPUT SHEET'!E249</f>
        <v>0</v>
      </c>
      <c r="I26" s="246">
        <f>'INPUT SHEET'!F249</f>
        <v>0</v>
      </c>
      <c r="J26" s="246">
        <f>'INPUT SHEET'!G249</f>
        <v>0</v>
      </c>
      <c r="K26" s="246">
        <f>'INPUT SHEET'!H249</f>
        <v>0</v>
      </c>
      <c r="L26" s="246">
        <f>'INPUT SHEET'!I249</f>
        <v>0</v>
      </c>
      <c r="M26" s="246">
        <f>'INPUT SHEET'!J249</f>
        <v>0</v>
      </c>
      <c r="N26" s="246">
        <f>'INPUT SHEET'!K249</f>
        <v>0</v>
      </c>
      <c r="O26" s="246">
        <f>'INPUT SHEET'!L249</f>
        <v>0</v>
      </c>
      <c r="P26" s="246">
        <f>'INPUT SHEET'!M249</f>
        <v>0</v>
      </c>
    </row>
    <row r="27" spans="1:16" ht="20.100000000000001" customHeight="1">
      <c r="B27" t="s">
        <v>382</v>
      </c>
      <c r="C27" s="271" t="str">
        <f>'INPUT SHEET'!A250</f>
        <v>Other current liabilities</v>
      </c>
      <c r="D27" s="271"/>
      <c r="E27" s="246">
        <f>'INPUT SHEET'!B250</f>
        <v>0</v>
      </c>
      <c r="F27" s="245">
        <f>'INPUT SHEET'!C250</f>
        <v>0</v>
      </c>
      <c r="G27" s="246">
        <f>'INPUT SHEET'!D250</f>
        <v>0</v>
      </c>
      <c r="H27" s="246">
        <f>'INPUT SHEET'!E250</f>
        <v>0</v>
      </c>
      <c r="I27" s="246">
        <f>'INPUT SHEET'!F250</f>
        <v>0</v>
      </c>
      <c r="J27" s="246">
        <f>'INPUT SHEET'!G250</f>
        <v>0</v>
      </c>
      <c r="K27" s="246">
        <f>'INPUT SHEET'!H250</f>
        <v>0</v>
      </c>
      <c r="L27" s="246">
        <f>'INPUT SHEET'!I250</f>
        <v>0</v>
      </c>
      <c r="M27" s="246">
        <f>'INPUT SHEET'!J250</f>
        <v>0</v>
      </c>
      <c r="N27" s="246">
        <f>'INPUT SHEET'!K250</f>
        <v>0</v>
      </c>
      <c r="O27" s="246">
        <f>'INPUT SHEET'!L250</f>
        <v>0</v>
      </c>
      <c r="P27" s="246">
        <f>'INPUT SHEET'!M250</f>
        <v>0</v>
      </c>
    </row>
    <row r="28" spans="1:16" ht="20.100000000000001" customHeight="1">
      <c r="B28" t="s">
        <v>383</v>
      </c>
      <c r="E28" s="235">
        <f t="shared" ref="E28:P28" si="2">ROUND(SUM(E16:E23),2)</f>
        <v>0</v>
      </c>
      <c r="F28" s="235">
        <f t="shared" si="2"/>
        <v>0</v>
      </c>
      <c r="G28" s="235">
        <f t="shared" si="2"/>
        <v>0</v>
      </c>
      <c r="H28" s="235">
        <f t="shared" si="2"/>
        <v>0</v>
      </c>
      <c r="I28" s="235">
        <f t="shared" si="2"/>
        <v>0</v>
      </c>
      <c r="J28" s="235">
        <f t="shared" si="2"/>
        <v>0</v>
      </c>
      <c r="K28" s="235">
        <f t="shared" si="2"/>
        <v>0</v>
      </c>
      <c r="L28" s="235">
        <f t="shared" si="2"/>
        <v>0</v>
      </c>
      <c r="M28" s="235">
        <f t="shared" si="2"/>
        <v>0</v>
      </c>
      <c r="N28" s="235">
        <f t="shared" si="2"/>
        <v>0</v>
      </c>
      <c r="O28" s="235">
        <f t="shared" si="2"/>
        <v>0</v>
      </c>
      <c r="P28" s="235">
        <f t="shared" si="2"/>
        <v>0</v>
      </c>
    </row>
    <row r="29" spans="1:16" ht="20.100000000000001" customHeight="1">
      <c r="A29">
        <v>10</v>
      </c>
      <c r="B29" s="225" t="s">
        <v>384</v>
      </c>
      <c r="C29" s="225"/>
      <c r="E29" s="235">
        <f t="shared" ref="E29:P29" si="3">ROUND(E28+E15,2)</f>
        <v>0</v>
      </c>
      <c r="F29" s="235">
        <f t="shared" si="3"/>
        <v>0</v>
      </c>
      <c r="G29" s="235">
        <f t="shared" si="3"/>
        <v>0</v>
      </c>
      <c r="H29" s="235">
        <f t="shared" si="3"/>
        <v>0</v>
      </c>
      <c r="I29" s="235">
        <f t="shared" si="3"/>
        <v>0</v>
      </c>
      <c r="J29" s="235">
        <f t="shared" si="3"/>
        <v>0</v>
      </c>
      <c r="K29" s="235">
        <f t="shared" si="3"/>
        <v>0</v>
      </c>
      <c r="L29" s="235">
        <f t="shared" si="3"/>
        <v>0</v>
      </c>
      <c r="M29" s="235">
        <f t="shared" si="3"/>
        <v>0</v>
      </c>
      <c r="N29" s="235">
        <f t="shared" si="3"/>
        <v>0</v>
      </c>
      <c r="O29" s="235">
        <f t="shared" si="3"/>
        <v>0</v>
      </c>
      <c r="P29" s="235">
        <f t="shared" si="3"/>
        <v>0</v>
      </c>
    </row>
    <row r="30" spans="1:16" ht="15" customHeight="1">
      <c r="E30" s="233"/>
      <c r="F30" s="241"/>
      <c r="G30" s="233"/>
      <c r="H30" s="233"/>
      <c r="I30" s="233"/>
      <c r="J30" s="233"/>
      <c r="K30" s="233"/>
      <c r="L30" s="233"/>
      <c r="M30" s="233"/>
      <c r="N30" s="233"/>
      <c r="O30" s="233"/>
      <c r="P30" s="233"/>
    </row>
    <row r="31" spans="1:16" ht="20.100000000000001" customHeight="1">
      <c r="B31" s="225" t="s">
        <v>385</v>
      </c>
      <c r="E31" s="233"/>
      <c r="F31" s="241"/>
      <c r="G31" s="233"/>
      <c r="H31" s="233"/>
      <c r="I31" s="233"/>
      <c r="J31" s="233"/>
      <c r="K31" s="233"/>
      <c r="L31" s="233"/>
      <c r="M31" s="233"/>
      <c r="N31" s="233"/>
      <c r="O31" s="233"/>
      <c r="P31" s="233"/>
    </row>
    <row r="32" spans="1:16" ht="20.100000000000001" customHeight="1">
      <c r="A32">
        <v>11</v>
      </c>
      <c r="B32" t="s">
        <v>386</v>
      </c>
      <c r="E32" s="233">
        <f>'INPUT SHEET'!B141</f>
        <v>0</v>
      </c>
      <c r="F32" s="241">
        <f>'INPUT SHEET'!C141</f>
        <v>0</v>
      </c>
      <c r="G32" s="233">
        <f>'INPUT SHEET'!D141</f>
        <v>0</v>
      </c>
      <c r="H32" s="233">
        <f>'INPUT SHEET'!E141</f>
        <v>0</v>
      </c>
      <c r="I32" s="233">
        <f>'INPUT SHEET'!F141</f>
        <v>0</v>
      </c>
      <c r="J32" s="233">
        <f>'INPUT SHEET'!G141</f>
        <v>0</v>
      </c>
      <c r="K32" s="233">
        <f>'INPUT SHEET'!H141</f>
        <v>0</v>
      </c>
      <c r="L32" s="233">
        <f>'INPUT SHEET'!I141</f>
        <v>0</v>
      </c>
      <c r="M32" s="233">
        <f>'INPUT SHEET'!J141</f>
        <v>0</v>
      </c>
      <c r="N32" s="233">
        <f>'INPUT SHEET'!K141</f>
        <v>0</v>
      </c>
      <c r="O32" s="233">
        <f>'INPUT SHEET'!L141</f>
        <v>0</v>
      </c>
      <c r="P32" s="233">
        <f>'INPUT SHEET'!M141</f>
        <v>0</v>
      </c>
    </row>
    <row r="33" spans="1:16" ht="20.100000000000001" customHeight="1">
      <c r="A33">
        <v>12</v>
      </c>
      <c r="B33" t="s">
        <v>387</v>
      </c>
      <c r="E33" s="233">
        <f>'INPUT SHEET'!B145</f>
        <v>0</v>
      </c>
      <c r="F33" s="233">
        <f>'INPUT SHEET'!C145</f>
        <v>0</v>
      </c>
      <c r="G33" s="233">
        <f>'INPUT SHEET'!D145</f>
        <v>0</v>
      </c>
      <c r="H33" s="233">
        <f>'INPUT SHEET'!E145</f>
        <v>0</v>
      </c>
      <c r="I33" s="233">
        <f>'INPUT SHEET'!F145</f>
        <v>0</v>
      </c>
      <c r="J33" s="233">
        <f>'INPUT SHEET'!G145</f>
        <v>0</v>
      </c>
      <c r="K33" s="233">
        <f>'INPUT SHEET'!H145</f>
        <v>0</v>
      </c>
      <c r="L33" s="233">
        <f>'INPUT SHEET'!I145</f>
        <v>0</v>
      </c>
      <c r="M33" s="233">
        <f>'INPUT SHEET'!J145</f>
        <v>0</v>
      </c>
      <c r="N33" s="233">
        <f>'INPUT SHEET'!K145</f>
        <v>0</v>
      </c>
      <c r="O33" s="233">
        <f>'INPUT SHEET'!L145</f>
        <v>0</v>
      </c>
      <c r="P33" s="233">
        <f>'INPUT SHEET'!M145</f>
        <v>0</v>
      </c>
    </row>
    <row r="34" spans="1:16" ht="20.100000000000001" customHeight="1">
      <c r="A34">
        <v>13</v>
      </c>
      <c r="B34" t="s">
        <v>388</v>
      </c>
      <c r="E34" s="233">
        <f>'INPUT SHEET'!B137</f>
        <v>0</v>
      </c>
      <c r="F34" s="233">
        <f>'INPUT SHEET'!C137</f>
        <v>0</v>
      </c>
      <c r="G34" s="233">
        <f>'INPUT SHEET'!D137</f>
        <v>0</v>
      </c>
      <c r="H34" s="233">
        <f>'INPUT SHEET'!E137</f>
        <v>0</v>
      </c>
      <c r="I34" s="233">
        <f>'INPUT SHEET'!F137</f>
        <v>0</v>
      </c>
      <c r="J34" s="233">
        <f>'INPUT SHEET'!G137</f>
        <v>0</v>
      </c>
      <c r="K34" s="233">
        <f>'INPUT SHEET'!H137</f>
        <v>0</v>
      </c>
      <c r="L34" s="233">
        <f>'INPUT SHEET'!I137</f>
        <v>0</v>
      </c>
      <c r="M34" s="233">
        <f>'INPUT SHEET'!J137</f>
        <v>0</v>
      </c>
      <c r="N34" s="233">
        <f>'INPUT SHEET'!K137</f>
        <v>0</v>
      </c>
      <c r="O34" s="233">
        <f>'INPUT SHEET'!L137</f>
        <v>0</v>
      </c>
      <c r="P34" s="233">
        <f>'INPUT SHEET'!M137</f>
        <v>0</v>
      </c>
    </row>
    <row r="35" spans="1:16" ht="18.75" customHeight="1">
      <c r="A35">
        <v>14</v>
      </c>
      <c r="B35" t="s">
        <v>389</v>
      </c>
      <c r="E35" s="232">
        <f>'INPUT SHEET'!B159</f>
        <v>0</v>
      </c>
      <c r="F35" s="232">
        <f>'INPUT SHEET'!C159</f>
        <v>0</v>
      </c>
      <c r="G35" s="232">
        <f>'INPUT SHEET'!D159</f>
        <v>0</v>
      </c>
      <c r="H35" s="232">
        <f>'INPUT SHEET'!E159</f>
        <v>0</v>
      </c>
      <c r="I35" s="232">
        <f>'INPUT SHEET'!F159</f>
        <v>0</v>
      </c>
      <c r="J35" s="232">
        <f>'INPUT SHEET'!G159</f>
        <v>0</v>
      </c>
      <c r="K35" s="232">
        <f>'INPUT SHEET'!H159</f>
        <v>0</v>
      </c>
      <c r="L35" s="232">
        <f>'INPUT SHEET'!I159</f>
        <v>0</v>
      </c>
      <c r="M35" s="232">
        <f>'INPUT SHEET'!J159</f>
        <v>0</v>
      </c>
      <c r="N35" s="232">
        <f>'INPUT SHEET'!K159</f>
        <v>0</v>
      </c>
      <c r="O35" s="232">
        <f>'INPUT SHEET'!L159</f>
        <v>0</v>
      </c>
      <c r="P35" s="232">
        <f>'INPUT SHEET'!M159</f>
        <v>0</v>
      </c>
    </row>
    <row r="36" spans="1:16" ht="20.100000000000001" customHeight="1">
      <c r="A36">
        <v>15</v>
      </c>
      <c r="B36" t="s">
        <v>390</v>
      </c>
      <c r="E36" s="232">
        <f>'INPUT SHEET'!B149+'INPUT SHEET'!B153</f>
        <v>0</v>
      </c>
      <c r="F36" s="232">
        <f>'INPUT SHEET'!C149+'INPUT SHEET'!C153</f>
        <v>0</v>
      </c>
      <c r="G36" s="232">
        <f>'INPUT SHEET'!D149+'INPUT SHEET'!D153</f>
        <v>0</v>
      </c>
      <c r="H36" s="232">
        <f>'INPUT SHEET'!E149+'INPUT SHEET'!E153</f>
        <v>0</v>
      </c>
      <c r="I36" s="232">
        <f>'INPUT SHEET'!F149+'INPUT SHEET'!F153</f>
        <v>0</v>
      </c>
      <c r="J36" s="232">
        <f>'INPUT SHEET'!G149+'INPUT SHEET'!G153</f>
        <v>0</v>
      </c>
      <c r="K36" s="232">
        <f>'INPUT SHEET'!H149+'INPUT SHEET'!H153</f>
        <v>0</v>
      </c>
      <c r="L36" s="232">
        <f>'INPUT SHEET'!I149+'INPUT SHEET'!I153</f>
        <v>0</v>
      </c>
      <c r="M36" s="232">
        <f>'INPUT SHEET'!J149+'INPUT SHEET'!J153</f>
        <v>0</v>
      </c>
      <c r="N36" s="232">
        <f>'INPUT SHEET'!K149+'INPUT SHEET'!K153</f>
        <v>0</v>
      </c>
      <c r="O36" s="232">
        <f>'INPUT SHEET'!L149+'INPUT SHEET'!L153</f>
        <v>0</v>
      </c>
      <c r="P36" s="232">
        <f>'INPUT SHEET'!M149+'INPUT SHEET'!M153</f>
        <v>0</v>
      </c>
    </row>
    <row r="37" spans="1:16" ht="20.100000000000001" customHeight="1">
      <c r="A37">
        <v>16</v>
      </c>
      <c r="B37" s="225" t="s">
        <v>391</v>
      </c>
      <c r="E37" s="235">
        <f t="shared" ref="E37:P37" si="4">ROUND(SUM(E32:E36),2)</f>
        <v>0</v>
      </c>
      <c r="F37" s="235">
        <f t="shared" si="4"/>
        <v>0</v>
      </c>
      <c r="G37" s="235">
        <f t="shared" si="4"/>
        <v>0</v>
      </c>
      <c r="H37" s="235">
        <f t="shared" si="4"/>
        <v>0</v>
      </c>
      <c r="I37" s="235">
        <f t="shared" si="4"/>
        <v>0</v>
      </c>
      <c r="J37" s="235">
        <f t="shared" si="4"/>
        <v>0</v>
      </c>
      <c r="K37" s="235">
        <f t="shared" si="4"/>
        <v>0</v>
      </c>
      <c r="L37" s="235">
        <f t="shared" si="4"/>
        <v>0</v>
      </c>
      <c r="M37" s="235">
        <f t="shared" si="4"/>
        <v>0</v>
      </c>
      <c r="N37" s="235">
        <f t="shared" si="4"/>
        <v>0</v>
      </c>
      <c r="O37" s="235">
        <f t="shared" si="4"/>
        <v>0</v>
      </c>
      <c r="P37" s="235">
        <f t="shared" si="4"/>
        <v>0</v>
      </c>
    </row>
    <row r="38" spans="1:16" ht="20.100000000000001" customHeight="1">
      <c r="A38">
        <v>17</v>
      </c>
      <c r="B38" s="225" t="s">
        <v>392</v>
      </c>
      <c r="E38" s="235">
        <f t="shared" ref="E38:P38" si="5">ROUND(E29+E37,2)</f>
        <v>0</v>
      </c>
      <c r="F38" s="235">
        <f t="shared" si="5"/>
        <v>0</v>
      </c>
      <c r="G38" s="235">
        <f t="shared" si="5"/>
        <v>0</v>
      </c>
      <c r="H38" s="235">
        <f t="shared" si="5"/>
        <v>0</v>
      </c>
      <c r="I38" s="235">
        <f t="shared" si="5"/>
        <v>0</v>
      </c>
      <c r="J38" s="235">
        <f t="shared" si="5"/>
        <v>0</v>
      </c>
      <c r="K38" s="235">
        <f t="shared" si="5"/>
        <v>0</v>
      </c>
      <c r="L38" s="235">
        <f t="shared" si="5"/>
        <v>0</v>
      </c>
      <c r="M38" s="235">
        <f t="shared" si="5"/>
        <v>0</v>
      </c>
      <c r="N38" s="235">
        <f t="shared" si="5"/>
        <v>0</v>
      </c>
      <c r="O38" s="235">
        <f t="shared" si="5"/>
        <v>0</v>
      </c>
      <c r="P38" s="235">
        <f t="shared" si="5"/>
        <v>0</v>
      </c>
    </row>
    <row r="39" spans="1:16" ht="20.100000000000001" customHeight="1">
      <c r="E39" s="233"/>
      <c r="F39" s="241"/>
      <c r="G39" s="233"/>
      <c r="H39" s="233"/>
      <c r="I39" s="233"/>
      <c r="J39" s="233"/>
      <c r="K39" s="233"/>
      <c r="L39" s="233"/>
      <c r="M39" s="233"/>
      <c r="N39" s="233"/>
      <c r="O39" s="233"/>
      <c r="P39" s="233"/>
    </row>
    <row r="40" spans="1:16" ht="20.100000000000001" customHeight="1">
      <c r="B40" s="225" t="s">
        <v>393</v>
      </c>
      <c r="E40" s="233"/>
      <c r="F40" s="241"/>
      <c r="G40" s="233"/>
      <c r="H40" s="233"/>
      <c r="I40" s="233"/>
      <c r="J40" s="233"/>
      <c r="K40" s="233"/>
      <c r="L40" s="233"/>
      <c r="M40" s="233"/>
      <c r="N40" s="233"/>
      <c r="O40" s="233"/>
      <c r="P40" s="233"/>
    </row>
    <row r="41" spans="1:16" ht="20.100000000000001" customHeight="1">
      <c r="A41">
        <v>18</v>
      </c>
      <c r="B41" t="s">
        <v>394</v>
      </c>
      <c r="E41" s="232">
        <f>'INPUT SHEET'!B116</f>
        <v>0</v>
      </c>
      <c r="F41" s="232">
        <f>'INPUT SHEET'!C116</f>
        <v>0</v>
      </c>
      <c r="G41" s="232">
        <f>'INPUT SHEET'!D116</f>
        <v>0</v>
      </c>
      <c r="H41" s="232">
        <f>'INPUT SHEET'!E116</f>
        <v>0</v>
      </c>
      <c r="I41" s="232">
        <f>'INPUT SHEET'!F116</f>
        <v>0</v>
      </c>
      <c r="J41" s="232">
        <f>'INPUT SHEET'!G116</f>
        <v>0</v>
      </c>
      <c r="K41" s="232">
        <f>'INPUT SHEET'!H116</f>
        <v>0</v>
      </c>
      <c r="L41" s="232">
        <f>'INPUT SHEET'!I116</f>
        <v>0</v>
      </c>
      <c r="M41" s="232">
        <f>'INPUT SHEET'!J116</f>
        <v>0</v>
      </c>
      <c r="N41" s="232">
        <f>'INPUT SHEET'!K116</f>
        <v>0</v>
      </c>
      <c r="O41" s="232">
        <f>'INPUT SHEET'!L116</f>
        <v>0</v>
      </c>
      <c r="P41" s="232">
        <f>'INPUT SHEET'!M116</f>
        <v>0</v>
      </c>
    </row>
    <row r="42" spans="1:16" ht="20.100000000000001" customHeight="1">
      <c r="A42">
        <v>19</v>
      </c>
      <c r="B42" s="272" t="s">
        <v>81</v>
      </c>
      <c r="C42" s="272"/>
      <c r="D42" s="272"/>
      <c r="E42" s="232">
        <f>'INPUT SHEET'!B117</f>
        <v>0</v>
      </c>
      <c r="F42" s="232">
        <f>'INPUT SHEET'!C117</f>
        <v>0</v>
      </c>
      <c r="G42" s="232">
        <f>'INPUT SHEET'!D117</f>
        <v>0</v>
      </c>
      <c r="H42" s="232">
        <f>'INPUT SHEET'!E117</f>
        <v>0</v>
      </c>
      <c r="I42" s="232">
        <f>'INPUT SHEET'!F117</f>
        <v>0</v>
      </c>
      <c r="J42" s="232">
        <f>'INPUT SHEET'!G117</f>
        <v>0</v>
      </c>
      <c r="K42" s="232">
        <f>'INPUT SHEET'!H117</f>
        <v>0</v>
      </c>
      <c r="L42" s="232">
        <f>'INPUT SHEET'!I117</f>
        <v>0</v>
      </c>
      <c r="M42" s="232">
        <f>'INPUT SHEET'!J117</f>
        <v>0</v>
      </c>
      <c r="N42" s="232">
        <f>'INPUT SHEET'!K117</f>
        <v>0</v>
      </c>
      <c r="O42" s="232">
        <f>'INPUT SHEET'!L117</f>
        <v>0</v>
      </c>
      <c r="P42" s="232">
        <f>'INPUT SHEET'!M117</f>
        <v>0</v>
      </c>
    </row>
    <row r="43" spans="1:16" ht="20.100000000000001" customHeight="1">
      <c r="A43">
        <v>20</v>
      </c>
      <c r="B43" t="s">
        <v>83</v>
      </c>
      <c r="E43" s="233">
        <f>'INPUT SHEET'!B121</f>
        <v>0</v>
      </c>
      <c r="F43" s="233">
        <f>'INPUT SHEET'!C121</f>
        <v>0</v>
      </c>
      <c r="G43" s="233">
        <f>'INPUT SHEET'!D121</f>
        <v>0</v>
      </c>
      <c r="H43" s="233">
        <f>'INPUT SHEET'!E121</f>
        <v>0</v>
      </c>
      <c r="I43" s="233">
        <f>'INPUT SHEET'!F121</f>
        <v>0</v>
      </c>
      <c r="J43" s="233">
        <f>'INPUT SHEET'!G121</f>
        <v>0</v>
      </c>
      <c r="K43" s="233">
        <f>'INPUT SHEET'!H121</f>
        <v>0</v>
      </c>
      <c r="L43" s="233">
        <f>'INPUT SHEET'!I121</f>
        <v>0</v>
      </c>
      <c r="M43" s="233">
        <f>'INPUT SHEET'!J121</f>
        <v>0</v>
      </c>
      <c r="N43" s="233">
        <f>'INPUT SHEET'!K121</f>
        <v>0</v>
      </c>
      <c r="O43" s="233">
        <f>'INPUT SHEET'!L121</f>
        <v>0</v>
      </c>
      <c r="P43" s="233">
        <f>'INPUT SHEET'!M121</f>
        <v>0</v>
      </c>
    </row>
    <row r="44" spans="1:16" ht="20.100000000000001" customHeight="1">
      <c r="A44">
        <v>21</v>
      </c>
      <c r="B44" t="s">
        <v>395</v>
      </c>
      <c r="E44" s="233">
        <f>'INPUT SHEET'!B122</f>
        <v>0</v>
      </c>
      <c r="F44" s="233">
        <f>'INPUT SHEET'!C122</f>
        <v>0</v>
      </c>
      <c r="G44" s="233">
        <f>'INPUT SHEET'!D122</f>
        <v>0</v>
      </c>
      <c r="H44" s="233">
        <f>'INPUT SHEET'!E122</f>
        <v>0</v>
      </c>
      <c r="I44" s="233">
        <f>'INPUT SHEET'!F122</f>
        <v>0</v>
      </c>
      <c r="J44" s="233">
        <f>'INPUT SHEET'!G122</f>
        <v>0</v>
      </c>
      <c r="K44" s="233">
        <f>'INPUT SHEET'!H122</f>
        <v>0</v>
      </c>
      <c r="L44" s="233">
        <f>'INPUT SHEET'!I122</f>
        <v>7.4999999999999997E-3</v>
      </c>
      <c r="M44" s="233">
        <f>'INPUT SHEET'!J122</f>
        <v>7.4999999999999997E-3</v>
      </c>
      <c r="N44" s="233">
        <f>'INPUT SHEET'!K122</f>
        <v>7.4999999999999997E-3</v>
      </c>
      <c r="O44" s="233">
        <f>'INPUT SHEET'!L122</f>
        <v>7.4999999999999997E-3</v>
      </c>
      <c r="P44" s="233">
        <f>'INPUT SHEET'!M122</f>
        <v>7.4999999999999997E-3</v>
      </c>
    </row>
    <row r="45" spans="1:16" ht="20.100000000000001" customHeight="1">
      <c r="A45">
        <v>22</v>
      </c>
      <c r="B45" t="s">
        <v>396</v>
      </c>
      <c r="E45" s="233">
        <f>'INPUT SHEET'!B123</f>
        <v>0</v>
      </c>
      <c r="F45" s="233">
        <f>'INPUT SHEET'!C123</f>
        <v>0</v>
      </c>
      <c r="G45" s="233">
        <f>'INPUT SHEET'!D123</f>
        <v>0</v>
      </c>
      <c r="H45" s="233">
        <f>'INPUT SHEET'!E123</f>
        <v>0</v>
      </c>
      <c r="I45" s="233">
        <f>'INPUT SHEET'!F123</f>
        <v>0</v>
      </c>
      <c r="J45" s="233">
        <f>'INPUT SHEET'!G123</f>
        <v>0</v>
      </c>
      <c r="K45" s="233">
        <f>'INPUT SHEET'!H123</f>
        <v>0</v>
      </c>
      <c r="L45" s="233">
        <f>'INPUT SHEET'!I123</f>
        <v>0</v>
      </c>
      <c r="M45" s="233">
        <f>'INPUT SHEET'!J123</f>
        <v>0</v>
      </c>
      <c r="N45" s="233">
        <f>'INPUT SHEET'!K123</f>
        <v>0</v>
      </c>
      <c r="O45" s="233">
        <f>'INPUT SHEET'!L123</f>
        <v>0</v>
      </c>
      <c r="P45" s="233">
        <f>'INPUT SHEET'!M123</f>
        <v>0</v>
      </c>
    </row>
    <row r="46" spans="1:16" ht="20.100000000000001" customHeight="1">
      <c r="A46">
        <v>23</v>
      </c>
      <c r="B46" t="s">
        <v>397</v>
      </c>
      <c r="E46" s="233">
        <f>'INPUT SHEET'!B124</f>
        <v>0</v>
      </c>
      <c r="F46" s="233">
        <f>'INPUT SHEET'!C124</f>
        <v>0</v>
      </c>
      <c r="G46" s="233">
        <f>'INPUT SHEET'!D124</f>
        <v>0</v>
      </c>
      <c r="H46" s="233">
        <f>'INPUT SHEET'!E124</f>
        <v>0</v>
      </c>
      <c r="I46" s="233">
        <f>'INPUT SHEET'!F124</f>
        <v>0</v>
      </c>
      <c r="J46" s="233">
        <f>'INPUT SHEET'!G124</f>
        <v>0</v>
      </c>
      <c r="K46" s="233">
        <f>'INPUT SHEET'!H124</f>
        <v>0</v>
      </c>
      <c r="L46" s="233">
        <f>'INPUT SHEET'!I124</f>
        <v>0</v>
      </c>
      <c r="M46" s="233">
        <f>'INPUT SHEET'!J124</f>
        <v>0</v>
      </c>
      <c r="N46" s="233">
        <f>'INPUT SHEET'!K124</f>
        <v>0</v>
      </c>
      <c r="O46" s="233">
        <f>'INPUT SHEET'!L124</f>
        <v>0</v>
      </c>
      <c r="P46" s="233">
        <f>'INPUT SHEET'!M124</f>
        <v>0</v>
      </c>
    </row>
    <row r="47" spans="1:16" ht="20.100000000000001" customHeight="1">
      <c r="A47">
        <v>24</v>
      </c>
      <c r="B47" t="s">
        <v>398</v>
      </c>
      <c r="E47" s="233">
        <f>'INPUT SHEET'!B125</f>
        <v>0</v>
      </c>
      <c r="F47" s="233">
        <f>'INPUT SHEET'!C125</f>
        <v>0</v>
      </c>
      <c r="G47" s="233">
        <f>'INPUT SHEET'!D125</f>
        <v>0</v>
      </c>
      <c r="H47" s="233">
        <f>'INPUT SHEET'!E125</f>
        <v>0</v>
      </c>
      <c r="I47" s="233">
        <f>'INPUT SHEET'!F125</f>
        <v>0</v>
      </c>
      <c r="J47" s="233">
        <f>'INPUT SHEET'!G125</f>
        <v>0</v>
      </c>
      <c r="K47" s="233">
        <f>'INPUT SHEET'!H125</f>
        <v>0</v>
      </c>
      <c r="L47" s="233">
        <f>'INPUT SHEET'!I125</f>
        <v>0</v>
      </c>
      <c r="M47" s="233">
        <f>'INPUT SHEET'!J125</f>
        <v>0</v>
      </c>
      <c r="N47" s="233">
        <f>'INPUT SHEET'!K125</f>
        <v>0</v>
      </c>
      <c r="O47" s="233">
        <f>'INPUT SHEET'!L125</f>
        <v>0</v>
      </c>
      <c r="P47" s="233">
        <f>'INPUT SHEET'!M125</f>
        <v>0</v>
      </c>
    </row>
    <row r="48" spans="1:16" ht="20.100000000000001" customHeight="1">
      <c r="A48">
        <v>25</v>
      </c>
      <c r="B48" s="271" t="s">
        <v>399</v>
      </c>
      <c r="D48" s="271"/>
      <c r="E48" s="233">
        <f>'INPUT SHEET'!B152</f>
        <v>0</v>
      </c>
      <c r="F48" s="233">
        <f>'INPUT SHEET'!C152</f>
        <v>0</v>
      </c>
      <c r="G48" s="233">
        <f>'INPUT SHEET'!D152</f>
        <v>0</v>
      </c>
      <c r="H48" s="233">
        <f>'INPUT SHEET'!E152</f>
        <v>0</v>
      </c>
      <c r="I48" s="233">
        <f>'INPUT SHEET'!F152</f>
        <v>0</v>
      </c>
      <c r="J48" s="233">
        <f>'INPUT SHEET'!G152</f>
        <v>0</v>
      </c>
      <c r="K48" s="233">
        <f>'INPUT SHEET'!H152</f>
        <v>0</v>
      </c>
      <c r="L48" s="233">
        <f>'INPUT SHEET'!I152</f>
        <v>0</v>
      </c>
      <c r="M48" s="233">
        <f>'INPUT SHEET'!J152</f>
        <v>0</v>
      </c>
      <c r="N48" s="233">
        <f>'INPUT SHEET'!K152</f>
        <v>0</v>
      </c>
      <c r="O48" s="233">
        <f>'INPUT SHEET'!L152</f>
        <v>0</v>
      </c>
      <c r="P48" s="233">
        <f>'INPUT SHEET'!M152</f>
        <v>0</v>
      </c>
    </row>
    <row r="49" spans="1:16" ht="20.100000000000001" customHeight="1">
      <c r="A49">
        <v>26</v>
      </c>
      <c r="B49" s="225" t="s">
        <v>400</v>
      </c>
      <c r="E49" s="257">
        <f t="shared" ref="E49:P49" si="6">SUM(E41:E48)</f>
        <v>0</v>
      </c>
      <c r="F49" s="257">
        <f t="shared" si="6"/>
        <v>0</v>
      </c>
      <c r="G49" s="257">
        <f t="shared" si="6"/>
        <v>0</v>
      </c>
      <c r="H49" s="257">
        <f t="shared" si="6"/>
        <v>0</v>
      </c>
      <c r="I49" s="257">
        <f t="shared" si="6"/>
        <v>0</v>
      </c>
      <c r="J49" s="257">
        <f t="shared" si="6"/>
        <v>0</v>
      </c>
      <c r="K49" s="257">
        <f t="shared" si="6"/>
        <v>0</v>
      </c>
      <c r="L49" s="257">
        <f t="shared" si="6"/>
        <v>7.4999999999999997E-3</v>
      </c>
      <c r="M49" s="257">
        <f t="shared" si="6"/>
        <v>7.4999999999999997E-3</v>
      </c>
      <c r="N49" s="257">
        <f t="shared" si="6"/>
        <v>7.4999999999999997E-3</v>
      </c>
      <c r="O49" s="257">
        <f t="shared" si="6"/>
        <v>7.4999999999999997E-3</v>
      </c>
      <c r="P49" s="257">
        <f t="shared" si="6"/>
        <v>7.4999999999999997E-3</v>
      </c>
    </row>
    <row r="50" spans="1:16" ht="20.100000000000001" customHeight="1">
      <c r="B50" s="225" t="s">
        <v>401</v>
      </c>
      <c r="E50" s="257">
        <f t="shared" ref="E50:P50" si="7">ROUND(E38+E49,2)</f>
        <v>0</v>
      </c>
      <c r="F50" s="273">
        <f t="shared" si="7"/>
        <v>0</v>
      </c>
      <c r="G50" s="257">
        <f t="shared" si="7"/>
        <v>0</v>
      </c>
      <c r="H50" s="257">
        <f t="shared" si="7"/>
        <v>0</v>
      </c>
      <c r="I50" s="257">
        <f t="shared" si="7"/>
        <v>0</v>
      </c>
      <c r="J50" s="257">
        <f t="shared" si="7"/>
        <v>0</v>
      </c>
      <c r="K50" s="257">
        <f t="shared" si="7"/>
        <v>0</v>
      </c>
      <c r="L50" s="257">
        <f t="shared" si="7"/>
        <v>0.01</v>
      </c>
      <c r="M50" s="257">
        <f t="shared" si="7"/>
        <v>0.01</v>
      </c>
      <c r="N50" s="257">
        <f t="shared" si="7"/>
        <v>0.01</v>
      </c>
      <c r="O50" s="257">
        <f t="shared" si="7"/>
        <v>0.01</v>
      </c>
      <c r="P50" s="257">
        <f t="shared" si="7"/>
        <v>0.01</v>
      </c>
    </row>
    <row r="51" spans="1:16" ht="20.100000000000001" customHeight="1">
      <c r="B51" s="225"/>
      <c r="E51" s="274"/>
      <c r="F51" s="274"/>
      <c r="G51" s="274"/>
      <c r="H51" s="274"/>
      <c r="I51" s="274"/>
      <c r="J51" s="274"/>
      <c r="K51" s="274"/>
      <c r="L51" s="274"/>
      <c r="M51" s="274"/>
      <c r="N51" s="274"/>
      <c r="O51" s="274"/>
      <c r="P51" s="274"/>
    </row>
    <row r="52" spans="1:16" ht="21.75" customHeight="1">
      <c r="A52" s="224" t="s">
        <v>371</v>
      </c>
      <c r="B52" s="224"/>
      <c r="H52"/>
    </row>
    <row r="53" spans="1:16" ht="18.75" customHeight="1">
      <c r="A53" s="224" t="s">
        <v>372</v>
      </c>
      <c r="B53" s="224"/>
      <c r="C53" s="224"/>
      <c r="D53" s="224"/>
      <c r="H53"/>
    </row>
    <row r="54" spans="1:16" ht="15" customHeight="1">
      <c r="A54" s="431"/>
      <c r="B54" s="431"/>
      <c r="C54" s="431"/>
      <c r="D54" s="431"/>
      <c r="H54"/>
    </row>
    <row r="55" spans="1:16" ht="15" customHeight="1">
      <c r="E55" s="266" t="str">
        <f t="shared" ref="E55:P55" si="8">E7</f>
        <v>Audited</v>
      </c>
      <c r="F55" s="266" t="str">
        <f t="shared" si="8"/>
        <v>Audited</v>
      </c>
      <c r="G55" s="275" t="str">
        <f t="shared" si="8"/>
        <v>Provisionals</v>
      </c>
      <c r="H55" s="275" t="str">
        <f t="shared" si="8"/>
        <v>Projected</v>
      </c>
      <c r="I55" s="275" t="str">
        <f t="shared" si="8"/>
        <v>Projected</v>
      </c>
      <c r="J55" s="275" t="str">
        <f t="shared" si="8"/>
        <v>Projected</v>
      </c>
      <c r="K55" s="275" t="str">
        <f t="shared" si="8"/>
        <v>Projected</v>
      </c>
      <c r="L55" s="275" t="str">
        <f t="shared" si="8"/>
        <v>Projected</v>
      </c>
      <c r="M55" s="275" t="str">
        <f t="shared" si="8"/>
        <v>Projected</v>
      </c>
      <c r="N55" s="275" t="str">
        <f t="shared" si="8"/>
        <v>Projected</v>
      </c>
      <c r="O55" s="275" t="str">
        <f t="shared" si="8"/>
        <v>Projected</v>
      </c>
      <c r="P55" s="275" t="str">
        <f t="shared" si="8"/>
        <v>Projected</v>
      </c>
    </row>
    <row r="56" spans="1:16" ht="15" customHeight="1">
      <c r="D56" s="228" t="str">
        <f>D8</f>
        <v>Year</v>
      </c>
      <c r="E56" s="266">
        <f t="shared" ref="E56:P56" si="9">E8</f>
        <v>2023</v>
      </c>
      <c r="F56" s="266">
        <f t="shared" si="9"/>
        <v>2024</v>
      </c>
      <c r="G56" s="267">
        <f t="shared" si="9"/>
        <v>2025</v>
      </c>
      <c r="H56" s="267">
        <f t="shared" si="9"/>
        <v>2026</v>
      </c>
      <c r="I56" s="267">
        <f t="shared" si="9"/>
        <v>2027</v>
      </c>
      <c r="J56" s="267">
        <f t="shared" si="9"/>
        <v>2028</v>
      </c>
      <c r="K56" s="267">
        <f t="shared" si="9"/>
        <v>2029</v>
      </c>
      <c r="L56" s="267">
        <f t="shared" si="9"/>
        <v>2030</v>
      </c>
      <c r="M56" s="267">
        <f t="shared" si="9"/>
        <v>2031</v>
      </c>
      <c r="N56" s="267">
        <f t="shared" si="9"/>
        <v>2032</v>
      </c>
      <c r="O56" s="267">
        <f t="shared" si="9"/>
        <v>2033</v>
      </c>
      <c r="P56" s="267">
        <f t="shared" si="9"/>
        <v>2034</v>
      </c>
    </row>
    <row r="57" spans="1:16" ht="15" customHeight="1">
      <c r="D57" s="228" t="str">
        <f>D9</f>
        <v>Number of months</v>
      </c>
      <c r="E57" s="266">
        <f t="shared" ref="E57:P57" si="10">E9</f>
        <v>12</v>
      </c>
      <c r="F57" s="266">
        <f t="shared" si="10"/>
        <v>12</v>
      </c>
      <c r="G57" s="267">
        <f t="shared" si="10"/>
        <v>12</v>
      </c>
      <c r="H57" s="267">
        <f t="shared" si="10"/>
        <v>12</v>
      </c>
      <c r="I57" s="267">
        <f t="shared" si="10"/>
        <v>12</v>
      </c>
      <c r="J57" s="267">
        <f t="shared" si="10"/>
        <v>12</v>
      </c>
      <c r="K57" s="267">
        <f t="shared" si="10"/>
        <v>12</v>
      </c>
      <c r="L57" s="267">
        <f t="shared" si="10"/>
        <v>12</v>
      </c>
      <c r="M57" s="267">
        <f t="shared" si="10"/>
        <v>12</v>
      </c>
      <c r="N57" s="267">
        <f t="shared" si="10"/>
        <v>12</v>
      </c>
      <c r="O57" s="267">
        <f t="shared" si="10"/>
        <v>12</v>
      </c>
      <c r="P57" s="267">
        <f t="shared" si="10"/>
        <v>12</v>
      </c>
    </row>
    <row r="58" spans="1:16" ht="15" customHeight="1">
      <c r="B58" s="225" t="s">
        <v>190</v>
      </c>
      <c r="E58" s="230"/>
      <c r="F58" s="242"/>
      <c r="G58" s="268"/>
      <c r="H58" s="230"/>
      <c r="I58" s="230"/>
      <c r="J58" s="230"/>
      <c r="K58" s="230"/>
      <c r="L58" s="230"/>
      <c r="M58" s="230"/>
      <c r="N58" s="230"/>
      <c r="O58" s="230"/>
      <c r="P58" s="230"/>
    </row>
    <row r="59" spans="1:16" ht="15" customHeight="1">
      <c r="A59">
        <v>1</v>
      </c>
      <c r="B59" s="422" t="s">
        <v>402</v>
      </c>
      <c r="C59" s="422"/>
      <c r="D59" s="422"/>
      <c r="E59" s="24">
        <f t="shared" ref="E59:P59" si="11">E60+E61</f>
        <v>0</v>
      </c>
      <c r="F59" s="24">
        <f t="shared" si="11"/>
        <v>0</v>
      </c>
      <c r="G59" s="24">
        <f t="shared" si="11"/>
        <v>0</v>
      </c>
      <c r="H59" s="24">
        <f t="shared" si="11"/>
        <v>0</v>
      </c>
      <c r="I59" s="24">
        <f t="shared" si="11"/>
        <v>0</v>
      </c>
      <c r="J59" s="24">
        <f t="shared" si="11"/>
        <v>0</v>
      </c>
      <c r="K59" s="24">
        <f t="shared" si="11"/>
        <v>0</v>
      </c>
      <c r="L59" s="24">
        <f t="shared" si="11"/>
        <v>0</v>
      </c>
      <c r="M59" s="24">
        <f t="shared" si="11"/>
        <v>0</v>
      </c>
      <c r="N59" s="24">
        <f t="shared" si="11"/>
        <v>0</v>
      </c>
      <c r="O59" s="24">
        <f t="shared" si="11"/>
        <v>0</v>
      </c>
      <c r="P59" s="24">
        <f t="shared" si="11"/>
        <v>0</v>
      </c>
    </row>
    <row r="60" spans="1:16" ht="15" customHeight="1">
      <c r="B60" t="s">
        <v>326</v>
      </c>
      <c r="C60" t="s">
        <v>403</v>
      </c>
      <c r="E60" s="232">
        <f>'INPUT SHEET'!B212</f>
        <v>0</v>
      </c>
      <c r="F60" s="232">
        <f>'INPUT SHEET'!C212</f>
        <v>0</v>
      </c>
      <c r="G60" s="232">
        <f>'INPUT SHEET'!D212</f>
        <v>0</v>
      </c>
      <c r="H60" s="232">
        <f>'INPUT SHEET'!E212</f>
        <v>0</v>
      </c>
      <c r="I60" s="232">
        <f>'INPUT SHEET'!F212</f>
        <v>0</v>
      </c>
      <c r="J60" s="232">
        <f>'INPUT SHEET'!G212</f>
        <v>0</v>
      </c>
      <c r="K60" s="232">
        <f>'INPUT SHEET'!H212</f>
        <v>0</v>
      </c>
      <c r="L60" s="232">
        <f>'INPUT SHEET'!I212</f>
        <v>0</v>
      </c>
      <c r="M60" s="232">
        <f>'INPUT SHEET'!J212</f>
        <v>0</v>
      </c>
      <c r="N60" s="232">
        <f>'INPUT SHEET'!K212</f>
        <v>0</v>
      </c>
      <c r="O60" s="232">
        <f>'INPUT SHEET'!L212</f>
        <v>0</v>
      </c>
      <c r="P60" s="232">
        <f>'INPUT SHEET'!M212</f>
        <v>0</v>
      </c>
    </row>
    <row r="61" spans="1:16" ht="15" customHeight="1">
      <c r="B61" t="s">
        <v>328</v>
      </c>
      <c r="C61" t="s">
        <v>404</v>
      </c>
      <c r="E61" s="232">
        <f>'INPUT SHEET'!B213</f>
        <v>0</v>
      </c>
      <c r="F61" s="232">
        <f>'INPUT SHEET'!C213</f>
        <v>0</v>
      </c>
      <c r="G61" s="232">
        <f>'INPUT SHEET'!D213</f>
        <v>0</v>
      </c>
      <c r="H61" s="232">
        <f>'INPUT SHEET'!E213</f>
        <v>0</v>
      </c>
      <c r="I61" s="232">
        <f>'INPUT SHEET'!F213</f>
        <v>0</v>
      </c>
      <c r="J61" s="232">
        <f>'INPUT SHEET'!G213</f>
        <v>0</v>
      </c>
      <c r="K61" s="232">
        <f>'INPUT SHEET'!H213</f>
        <v>0</v>
      </c>
      <c r="L61" s="232">
        <f>'INPUT SHEET'!I213</f>
        <v>0</v>
      </c>
      <c r="M61" s="232">
        <f>'INPUT SHEET'!J213</f>
        <v>0</v>
      </c>
      <c r="N61" s="232">
        <f>'INPUT SHEET'!K213</f>
        <v>0</v>
      </c>
      <c r="O61" s="232">
        <f>'INPUT SHEET'!L213</f>
        <v>0</v>
      </c>
      <c r="P61" s="232">
        <f>'INPUT SHEET'!M213</f>
        <v>0</v>
      </c>
    </row>
    <row r="62" spans="1:16" ht="15" customHeight="1">
      <c r="A62">
        <v>2</v>
      </c>
      <c r="B62" t="s">
        <v>405</v>
      </c>
      <c r="E62" s="24">
        <f t="shared" ref="E62:P62" si="12">SUM(E63:E64)</f>
        <v>0</v>
      </c>
      <c r="F62" s="24">
        <f t="shared" si="12"/>
        <v>0</v>
      </c>
      <c r="G62" s="24">
        <f t="shared" si="12"/>
        <v>0</v>
      </c>
      <c r="H62" s="24">
        <f t="shared" si="12"/>
        <v>0</v>
      </c>
      <c r="I62" s="24">
        <f t="shared" si="12"/>
        <v>0</v>
      </c>
      <c r="J62" s="24">
        <f t="shared" si="12"/>
        <v>0</v>
      </c>
      <c r="K62" s="24">
        <f t="shared" si="12"/>
        <v>0</v>
      </c>
      <c r="L62" s="24">
        <f t="shared" si="12"/>
        <v>0</v>
      </c>
      <c r="M62" s="24">
        <f t="shared" si="12"/>
        <v>0</v>
      </c>
      <c r="N62" s="24">
        <f t="shared" si="12"/>
        <v>0</v>
      </c>
      <c r="O62" s="24">
        <f t="shared" si="12"/>
        <v>0</v>
      </c>
      <c r="P62" s="24">
        <f t="shared" si="12"/>
        <v>0</v>
      </c>
    </row>
    <row r="63" spans="1:16" ht="15" customHeight="1">
      <c r="B63" t="s">
        <v>326</v>
      </c>
      <c r="C63" t="s">
        <v>406</v>
      </c>
      <c r="E63" s="233">
        <f>'INPUT SHEET'!B182+'INPUT SHEET'!B185</f>
        <v>0</v>
      </c>
      <c r="F63" s="233">
        <f>'INPUT SHEET'!C182+'INPUT SHEET'!C185</f>
        <v>0</v>
      </c>
      <c r="G63" s="233">
        <f>'INPUT SHEET'!D182+'INPUT SHEET'!D185</f>
        <v>0</v>
      </c>
      <c r="H63" s="233">
        <f>'INPUT SHEET'!E182+'INPUT SHEET'!E185</f>
        <v>0</v>
      </c>
      <c r="I63" s="233">
        <f>'INPUT SHEET'!F182+'INPUT SHEET'!F185</f>
        <v>0</v>
      </c>
      <c r="J63" s="233">
        <f>'INPUT SHEET'!G182+'INPUT SHEET'!G185</f>
        <v>0</v>
      </c>
      <c r="K63" s="233">
        <f>'INPUT SHEET'!H182+'INPUT SHEET'!H185</f>
        <v>0</v>
      </c>
      <c r="L63" s="233">
        <f>'INPUT SHEET'!I182+'INPUT SHEET'!I185</f>
        <v>0</v>
      </c>
      <c r="M63" s="233">
        <f>'INPUT SHEET'!J182+'INPUT SHEET'!J185</f>
        <v>0</v>
      </c>
      <c r="N63" s="233">
        <f>'INPUT SHEET'!K182+'INPUT SHEET'!K185</f>
        <v>0</v>
      </c>
      <c r="O63" s="233">
        <f>'INPUT SHEET'!L182+'INPUT SHEET'!L185</f>
        <v>0</v>
      </c>
      <c r="P63" s="233">
        <f>'INPUT SHEET'!M182+'INPUT SHEET'!M185</f>
        <v>0</v>
      </c>
    </row>
    <row r="64" spans="1:16" ht="15" customHeight="1">
      <c r="B64" t="s">
        <v>328</v>
      </c>
      <c r="C64" t="s">
        <v>407</v>
      </c>
      <c r="E64" s="233">
        <f>'INPUT SHEET'!B215</f>
        <v>0</v>
      </c>
      <c r="F64" s="233">
        <f>'INPUT SHEET'!C215</f>
        <v>0</v>
      </c>
      <c r="G64" s="233">
        <f>'INPUT SHEET'!D215</f>
        <v>0</v>
      </c>
      <c r="H64" s="233">
        <f>'INPUT SHEET'!E215</f>
        <v>0</v>
      </c>
      <c r="I64" s="233">
        <f>'INPUT SHEET'!F215</f>
        <v>0</v>
      </c>
      <c r="J64" s="233">
        <f>'INPUT SHEET'!G215</f>
        <v>0</v>
      </c>
      <c r="K64" s="233">
        <f>'INPUT SHEET'!H215</f>
        <v>0</v>
      </c>
      <c r="L64" s="233">
        <f>'INPUT SHEET'!I215</f>
        <v>0</v>
      </c>
      <c r="M64" s="233">
        <f>'INPUT SHEET'!J215</f>
        <v>0</v>
      </c>
      <c r="N64" s="233">
        <f>'INPUT SHEET'!K215</f>
        <v>0</v>
      </c>
      <c r="O64" s="233">
        <f>'INPUT SHEET'!L215</f>
        <v>0</v>
      </c>
      <c r="P64" s="233">
        <f>'INPUT SHEET'!M215</f>
        <v>0</v>
      </c>
    </row>
    <row r="65" spans="1:16" ht="15" customHeight="1">
      <c r="A65">
        <v>4</v>
      </c>
      <c r="B65" t="str">
        <f>'INPUT SHEET'!A205</f>
        <v>Sundry Debtors</v>
      </c>
      <c r="E65" s="24">
        <f t="shared" ref="E65:P65" si="13">E66+E67</f>
        <v>0</v>
      </c>
      <c r="F65" s="24">
        <f t="shared" si="13"/>
        <v>0</v>
      </c>
      <c r="G65" s="24">
        <f t="shared" si="13"/>
        <v>0</v>
      </c>
      <c r="H65" s="24">
        <f t="shared" si="13"/>
        <v>0</v>
      </c>
      <c r="I65" s="24">
        <f t="shared" si="13"/>
        <v>0</v>
      </c>
      <c r="J65" s="24">
        <f t="shared" si="13"/>
        <v>0</v>
      </c>
      <c r="K65" s="24">
        <f t="shared" si="13"/>
        <v>0</v>
      </c>
      <c r="L65" s="24">
        <f t="shared" si="13"/>
        <v>0</v>
      </c>
      <c r="M65" s="24">
        <f t="shared" si="13"/>
        <v>0</v>
      </c>
      <c r="N65" s="24">
        <f t="shared" si="13"/>
        <v>0</v>
      </c>
      <c r="O65" s="24">
        <f t="shared" si="13"/>
        <v>0</v>
      </c>
      <c r="P65" s="24">
        <f t="shared" si="13"/>
        <v>0</v>
      </c>
    </row>
    <row r="66" spans="1:16" ht="12.9" customHeight="1">
      <c r="B66" t="s">
        <v>326</v>
      </c>
      <c r="C66" t="str">
        <f>'INPUT SHEET'!A206</f>
        <v>Domestic Receivables ( including bills purchased and discounted)</v>
      </c>
      <c r="E66" s="232">
        <f>'INPUT SHEET'!B206</f>
        <v>0</v>
      </c>
      <c r="F66" s="232">
        <f>'INPUT SHEET'!C206</f>
        <v>0</v>
      </c>
      <c r="G66" s="232">
        <f>'INPUT SHEET'!D206</f>
        <v>0</v>
      </c>
      <c r="H66" s="232">
        <f>'INPUT SHEET'!E206</f>
        <v>0</v>
      </c>
      <c r="I66" s="232">
        <f>'INPUT SHEET'!F206</f>
        <v>0</v>
      </c>
      <c r="J66" s="232">
        <f>'INPUT SHEET'!G206</f>
        <v>0</v>
      </c>
      <c r="K66" s="232">
        <f>'INPUT SHEET'!H206</f>
        <v>0</v>
      </c>
      <c r="L66" s="232">
        <f>'INPUT SHEET'!I206</f>
        <v>0</v>
      </c>
      <c r="M66" s="232">
        <f>'INPUT SHEET'!J206</f>
        <v>0</v>
      </c>
      <c r="N66" s="232">
        <f>'INPUT SHEET'!K206</f>
        <v>0</v>
      </c>
      <c r="O66" s="232">
        <f>'INPUT SHEET'!L206</f>
        <v>0</v>
      </c>
      <c r="P66" s="232">
        <f>'INPUT SHEET'!M206</f>
        <v>0</v>
      </c>
    </row>
    <row r="67" spans="1:16" ht="15" customHeight="1">
      <c r="B67" t="s">
        <v>328</v>
      </c>
      <c r="C67" t="str">
        <f>'INPUT SHEET'!A207</f>
        <v>Export Receivables ( including bills purchased and discounted)</v>
      </c>
      <c r="E67" s="233">
        <f>'INPUT SHEET'!B207</f>
        <v>0</v>
      </c>
      <c r="F67" s="233">
        <f>'INPUT SHEET'!C207</f>
        <v>0</v>
      </c>
      <c r="G67" s="233">
        <f>'INPUT SHEET'!D207</f>
        <v>0</v>
      </c>
      <c r="H67" s="233">
        <f>'INPUT SHEET'!E207</f>
        <v>0</v>
      </c>
      <c r="I67" s="233">
        <f>'INPUT SHEET'!F207</f>
        <v>0</v>
      </c>
      <c r="J67" s="233">
        <f>'INPUT SHEET'!G207</f>
        <v>0</v>
      </c>
      <c r="K67" s="233">
        <f>'INPUT SHEET'!H207</f>
        <v>0</v>
      </c>
      <c r="L67" s="233">
        <f>'INPUT SHEET'!I207</f>
        <v>0</v>
      </c>
      <c r="M67" s="233">
        <f>'INPUT SHEET'!J207</f>
        <v>0</v>
      </c>
      <c r="N67" s="233">
        <f>'INPUT SHEET'!K207</f>
        <v>0</v>
      </c>
      <c r="O67" s="233">
        <f>'INPUT SHEET'!L207</f>
        <v>0</v>
      </c>
      <c r="P67" s="233">
        <f>'INPUT SHEET'!M207</f>
        <v>0</v>
      </c>
    </row>
    <row r="68" spans="1:16" ht="15" customHeight="1">
      <c r="A68">
        <v>5</v>
      </c>
      <c r="B68" t="str">
        <f>'INPUT SHEET'!A191</f>
        <v>Inventories</v>
      </c>
      <c r="E68" s="277">
        <f t="shared" ref="E68:P68" si="14">E69+E72+E73+E74</f>
        <v>0</v>
      </c>
      <c r="F68" s="277">
        <f t="shared" si="14"/>
        <v>0</v>
      </c>
      <c r="G68" s="277">
        <f t="shared" si="14"/>
        <v>0</v>
      </c>
      <c r="H68" s="277">
        <f t="shared" si="14"/>
        <v>0</v>
      </c>
      <c r="I68" s="277">
        <f t="shared" si="14"/>
        <v>0</v>
      </c>
      <c r="J68" s="277">
        <f t="shared" si="14"/>
        <v>0</v>
      </c>
      <c r="K68" s="277">
        <f t="shared" si="14"/>
        <v>0</v>
      </c>
      <c r="L68" s="277">
        <f t="shared" si="14"/>
        <v>0</v>
      </c>
      <c r="M68" s="277">
        <f t="shared" si="14"/>
        <v>0</v>
      </c>
      <c r="N68" s="277">
        <f t="shared" si="14"/>
        <v>0</v>
      </c>
      <c r="O68" s="277">
        <f t="shared" si="14"/>
        <v>0</v>
      </c>
      <c r="P68" s="277">
        <f t="shared" si="14"/>
        <v>0</v>
      </c>
    </row>
    <row r="69" spans="1:16" ht="15" customHeight="1">
      <c r="B69" t="s">
        <v>326</v>
      </c>
      <c r="C69" t="str">
        <f>'INPUT SHEET'!A192</f>
        <v>Raw Material</v>
      </c>
      <c r="E69" s="24">
        <f t="shared" ref="E69:P69" si="15">E70+E71</f>
        <v>0</v>
      </c>
      <c r="F69" s="24">
        <f t="shared" si="15"/>
        <v>0</v>
      </c>
      <c r="G69" s="24">
        <f t="shared" si="15"/>
        <v>0</v>
      </c>
      <c r="H69" s="24">
        <f t="shared" si="15"/>
        <v>0</v>
      </c>
      <c r="I69" s="24">
        <f t="shared" si="15"/>
        <v>0</v>
      </c>
      <c r="J69" s="24">
        <f t="shared" si="15"/>
        <v>0</v>
      </c>
      <c r="K69" s="24">
        <f t="shared" si="15"/>
        <v>0</v>
      </c>
      <c r="L69" s="24">
        <f t="shared" si="15"/>
        <v>0</v>
      </c>
      <c r="M69" s="24">
        <f t="shared" si="15"/>
        <v>0</v>
      </c>
      <c r="N69" s="24">
        <f t="shared" si="15"/>
        <v>0</v>
      </c>
      <c r="O69" s="24">
        <f t="shared" si="15"/>
        <v>0</v>
      </c>
      <c r="P69" s="24">
        <f t="shared" si="15"/>
        <v>0</v>
      </c>
    </row>
    <row r="70" spans="1:16" ht="15" customHeight="1">
      <c r="C70" t="s">
        <v>336</v>
      </c>
      <c r="D70" t="str">
        <f>'INPUT SHEET'!A193</f>
        <v>Imported</v>
      </c>
      <c r="E70" s="233">
        <f>'INPUT SHEET'!B193</f>
        <v>0</v>
      </c>
      <c r="F70" s="242">
        <f>'INPUT SHEET'!C193</f>
        <v>0</v>
      </c>
      <c r="G70" s="241">
        <f>'INPUT SHEET'!D193</f>
        <v>0</v>
      </c>
      <c r="H70" s="233">
        <f>'INPUT SHEET'!E193</f>
        <v>0</v>
      </c>
      <c r="I70" s="233">
        <f>'INPUT SHEET'!F193</f>
        <v>0</v>
      </c>
      <c r="J70" s="233">
        <f>'INPUT SHEET'!G193</f>
        <v>0</v>
      </c>
      <c r="K70" s="233">
        <f>'INPUT SHEET'!H193</f>
        <v>0</v>
      </c>
      <c r="L70" s="233">
        <f>'INPUT SHEET'!I193</f>
        <v>0</v>
      </c>
      <c r="M70" s="233">
        <f>'INPUT SHEET'!J193</f>
        <v>0</v>
      </c>
      <c r="N70" s="233">
        <f>'INPUT SHEET'!K193</f>
        <v>0</v>
      </c>
      <c r="O70" s="233">
        <f>'INPUT SHEET'!L193</f>
        <v>0</v>
      </c>
      <c r="P70" s="233">
        <f>'INPUT SHEET'!M193</f>
        <v>0</v>
      </c>
    </row>
    <row r="71" spans="1:16" ht="15" customHeight="1">
      <c r="C71" t="s">
        <v>337</v>
      </c>
      <c r="D71" t="str">
        <f>'INPUT SHEET'!A194</f>
        <v>Indigenous</v>
      </c>
      <c r="E71" s="233">
        <f>'INPUT SHEET'!B194</f>
        <v>0</v>
      </c>
      <c r="F71" s="242">
        <f>'INPUT SHEET'!C194</f>
        <v>0</v>
      </c>
      <c r="G71" s="241">
        <f>'INPUT SHEET'!D194</f>
        <v>0</v>
      </c>
      <c r="H71" s="233">
        <f>'INPUT SHEET'!E194</f>
        <v>0</v>
      </c>
      <c r="I71" s="233">
        <f>'INPUT SHEET'!F194</f>
        <v>0</v>
      </c>
      <c r="J71" s="233">
        <f>'INPUT SHEET'!G194</f>
        <v>0</v>
      </c>
      <c r="K71" s="233">
        <f>'INPUT SHEET'!H194</f>
        <v>0</v>
      </c>
      <c r="L71" s="233">
        <f>'INPUT SHEET'!I194</f>
        <v>0</v>
      </c>
      <c r="M71" s="233">
        <f>'INPUT SHEET'!J194</f>
        <v>0</v>
      </c>
      <c r="N71" s="233">
        <f>'INPUT SHEET'!K194</f>
        <v>0</v>
      </c>
      <c r="O71" s="233">
        <f>'INPUT SHEET'!L194</f>
        <v>0</v>
      </c>
      <c r="P71" s="233">
        <f>'INPUT SHEET'!M194</f>
        <v>0</v>
      </c>
    </row>
    <row r="72" spans="1:16" ht="15" customHeight="1">
      <c r="B72" t="s">
        <v>328</v>
      </c>
      <c r="C72" t="str">
        <f>'INPUT SHEET'!A200</f>
        <v>Stocks-in-process</v>
      </c>
      <c r="E72" s="232">
        <f>'INPUT SHEET'!B200</f>
        <v>0</v>
      </c>
      <c r="F72" s="232">
        <f>'INPUT SHEET'!C200</f>
        <v>0</v>
      </c>
      <c r="G72" s="232">
        <f>'INPUT SHEET'!D200</f>
        <v>0</v>
      </c>
      <c r="H72" s="232">
        <f>'INPUT SHEET'!E200</f>
        <v>0</v>
      </c>
      <c r="I72" s="232">
        <f>'INPUT SHEET'!F200</f>
        <v>0</v>
      </c>
      <c r="J72" s="232">
        <f>'INPUT SHEET'!G200</f>
        <v>0</v>
      </c>
      <c r="K72" s="232">
        <f>'INPUT SHEET'!H200</f>
        <v>0</v>
      </c>
      <c r="L72" s="232">
        <f>'INPUT SHEET'!I200</f>
        <v>0</v>
      </c>
      <c r="M72" s="232">
        <f>'INPUT SHEET'!J200</f>
        <v>0</v>
      </c>
      <c r="N72" s="232">
        <f>'INPUT SHEET'!K200</f>
        <v>0</v>
      </c>
      <c r="O72" s="232">
        <f>'INPUT SHEET'!L200</f>
        <v>0</v>
      </c>
      <c r="P72" s="232">
        <f>'INPUT SHEET'!M200</f>
        <v>0</v>
      </c>
    </row>
    <row r="73" spans="1:16" ht="15" customHeight="1">
      <c r="B73" t="s">
        <v>339</v>
      </c>
      <c r="C73" s="278" t="str">
        <f>'INPUT SHEET'!A201</f>
        <v>Finished Goods</v>
      </c>
      <c r="E73" s="232">
        <f>'INPUT SHEET'!B201</f>
        <v>0</v>
      </c>
      <c r="F73" s="232">
        <f>'INPUT SHEET'!C201</f>
        <v>0</v>
      </c>
      <c r="G73" s="232">
        <f>'INPUT SHEET'!D201</f>
        <v>0</v>
      </c>
      <c r="H73" s="232">
        <f>'INPUT SHEET'!E201</f>
        <v>0</v>
      </c>
      <c r="I73" s="232">
        <f>'INPUT SHEET'!F201</f>
        <v>0</v>
      </c>
      <c r="J73" s="232">
        <f>'INPUT SHEET'!G201</f>
        <v>0</v>
      </c>
      <c r="K73" s="232">
        <f>'INPUT SHEET'!H201</f>
        <v>0</v>
      </c>
      <c r="L73" s="232">
        <f>'INPUT SHEET'!I201</f>
        <v>0</v>
      </c>
      <c r="M73" s="232">
        <f>'INPUT SHEET'!J201</f>
        <v>0</v>
      </c>
      <c r="N73" s="232">
        <f>'INPUT SHEET'!K201</f>
        <v>0</v>
      </c>
      <c r="O73" s="232">
        <f>'INPUT SHEET'!L201</f>
        <v>0</v>
      </c>
      <c r="P73" s="232">
        <f>'INPUT SHEET'!M201</f>
        <v>0</v>
      </c>
    </row>
    <row r="74" spans="1:16" ht="15" customHeight="1">
      <c r="B74" t="s">
        <v>340</v>
      </c>
      <c r="C74" t="str">
        <f>'INPUT SHEET'!A196</f>
        <v>Stores and Spares</v>
      </c>
      <c r="E74" s="277">
        <f t="shared" ref="E74:P74" si="16">E75+E76</f>
        <v>0</v>
      </c>
      <c r="F74" s="277">
        <f t="shared" si="16"/>
        <v>0</v>
      </c>
      <c r="G74" s="277">
        <f t="shared" si="16"/>
        <v>0</v>
      </c>
      <c r="H74" s="277">
        <f t="shared" si="16"/>
        <v>0</v>
      </c>
      <c r="I74" s="277">
        <f t="shared" si="16"/>
        <v>0</v>
      </c>
      <c r="J74" s="277">
        <f t="shared" si="16"/>
        <v>0</v>
      </c>
      <c r="K74" s="277">
        <f t="shared" si="16"/>
        <v>0</v>
      </c>
      <c r="L74" s="277">
        <f t="shared" si="16"/>
        <v>0</v>
      </c>
      <c r="M74" s="277">
        <f t="shared" si="16"/>
        <v>0</v>
      </c>
      <c r="N74" s="277">
        <f t="shared" si="16"/>
        <v>0</v>
      </c>
      <c r="O74" s="277">
        <f t="shared" si="16"/>
        <v>0</v>
      </c>
      <c r="P74" s="277">
        <f t="shared" si="16"/>
        <v>0</v>
      </c>
    </row>
    <row r="75" spans="1:16" ht="15" customHeight="1">
      <c r="C75" t="s">
        <v>336</v>
      </c>
      <c r="D75" t="str">
        <f>'INPUT SHEET'!A197</f>
        <v>Imported</v>
      </c>
      <c r="E75" s="233">
        <f>'INPUT SHEET'!B197</f>
        <v>0</v>
      </c>
      <c r="F75" s="233">
        <f>'INPUT SHEET'!C197</f>
        <v>0</v>
      </c>
      <c r="G75" s="233">
        <f>'INPUT SHEET'!D197</f>
        <v>0</v>
      </c>
      <c r="H75" s="233">
        <f>'INPUT SHEET'!E197</f>
        <v>0</v>
      </c>
      <c r="I75" s="233">
        <f>'INPUT SHEET'!F197</f>
        <v>0</v>
      </c>
      <c r="J75" s="233">
        <f>'INPUT SHEET'!G197</f>
        <v>0</v>
      </c>
      <c r="K75" s="233">
        <f>'INPUT SHEET'!H197</f>
        <v>0</v>
      </c>
      <c r="L75" s="233">
        <f>'INPUT SHEET'!I197</f>
        <v>0</v>
      </c>
      <c r="M75" s="233">
        <f>'INPUT SHEET'!J197</f>
        <v>0</v>
      </c>
      <c r="N75" s="233">
        <f>'INPUT SHEET'!K197</f>
        <v>0</v>
      </c>
      <c r="O75" s="233">
        <f>'INPUT SHEET'!L197</f>
        <v>0</v>
      </c>
      <c r="P75" s="233">
        <f>'INPUT SHEET'!M197</f>
        <v>0</v>
      </c>
    </row>
    <row r="76" spans="1:16" ht="15" customHeight="1">
      <c r="C76" t="s">
        <v>337</v>
      </c>
      <c r="D76" t="str">
        <f>'INPUT SHEET'!A198</f>
        <v>Indigenous</v>
      </c>
      <c r="E76" s="233">
        <f>'INPUT SHEET'!B198</f>
        <v>0</v>
      </c>
      <c r="F76" s="233">
        <f>'INPUT SHEET'!C198</f>
        <v>0</v>
      </c>
      <c r="G76" s="233">
        <f>'INPUT SHEET'!D198</f>
        <v>0</v>
      </c>
      <c r="H76" s="233">
        <f>'INPUT SHEET'!E198</f>
        <v>0</v>
      </c>
      <c r="I76" s="233">
        <f>'INPUT SHEET'!F198</f>
        <v>0</v>
      </c>
      <c r="J76" s="233">
        <f>'INPUT SHEET'!G198</f>
        <v>0</v>
      </c>
      <c r="K76" s="233">
        <f>'INPUT SHEET'!H198</f>
        <v>0</v>
      </c>
      <c r="L76" s="233">
        <f>'INPUT SHEET'!I198</f>
        <v>0</v>
      </c>
      <c r="M76" s="233">
        <f>'INPUT SHEET'!J198</f>
        <v>0</v>
      </c>
      <c r="N76" s="233">
        <f>'INPUT SHEET'!K198</f>
        <v>0</v>
      </c>
      <c r="O76" s="233">
        <f>'INPUT SHEET'!L198</f>
        <v>0</v>
      </c>
      <c r="P76" s="233">
        <f>'INPUT SHEET'!M198</f>
        <v>0</v>
      </c>
    </row>
    <row r="77" spans="1:16" ht="15" customHeight="1">
      <c r="A77">
        <v>6</v>
      </c>
      <c r="B77" t="str">
        <f>'INPUT SHEET'!A219</f>
        <v xml:space="preserve">Advances recoverable in cash or in kind </v>
      </c>
      <c r="E77" s="233">
        <f>'INPUT SHEET'!B219</f>
        <v>0</v>
      </c>
      <c r="F77" s="233">
        <f>'INPUT SHEET'!C219</f>
        <v>0</v>
      </c>
      <c r="G77" s="233">
        <f>'INPUT SHEET'!D219</f>
        <v>0</v>
      </c>
      <c r="H77" s="233">
        <f>'INPUT SHEET'!E219</f>
        <v>0</v>
      </c>
      <c r="I77" s="233">
        <f>'INPUT SHEET'!F219</f>
        <v>0</v>
      </c>
      <c r="J77" s="233">
        <f>'INPUT SHEET'!G219</f>
        <v>0</v>
      </c>
      <c r="K77" s="233">
        <f>'INPUT SHEET'!H219</f>
        <v>0</v>
      </c>
      <c r="L77" s="233">
        <f>'INPUT SHEET'!I219</f>
        <v>0</v>
      </c>
      <c r="M77" s="233">
        <f>'INPUT SHEET'!J219</f>
        <v>0</v>
      </c>
      <c r="N77" s="233">
        <f>'INPUT SHEET'!K219</f>
        <v>0</v>
      </c>
      <c r="O77" s="233">
        <f>'INPUT SHEET'!L219</f>
        <v>0</v>
      </c>
      <c r="P77" s="233">
        <f>'INPUT SHEET'!M219</f>
        <v>0</v>
      </c>
    </row>
    <row r="78" spans="1:16" ht="12.9" customHeight="1">
      <c r="A78">
        <v>7</v>
      </c>
      <c r="B78" t="str">
        <f>'INPUT SHEET'!A220</f>
        <v>Advances to suppliers of raw materials</v>
      </c>
      <c r="E78" s="233">
        <f>'INPUT SHEET'!B220</f>
        <v>0</v>
      </c>
      <c r="F78" s="233">
        <f>'INPUT SHEET'!C220</f>
        <v>0</v>
      </c>
      <c r="G78" s="233">
        <f>'INPUT SHEET'!D220</f>
        <v>0</v>
      </c>
      <c r="H78" s="233">
        <f>'INPUT SHEET'!E220</f>
        <v>0</v>
      </c>
      <c r="I78" s="233">
        <f>'INPUT SHEET'!F220</f>
        <v>0</v>
      </c>
      <c r="J78" s="233">
        <f>'INPUT SHEET'!G220</f>
        <v>0</v>
      </c>
      <c r="K78" s="233">
        <f>'INPUT SHEET'!H220</f>
        <v>0</v>
      </c>
      <c r="L78" s="233">
        <f>'INPUT SHEET'!I220</f>
        <v>0</v>
      </c>
      <c r="M78" s="233">
        <f>'INPUT SHEET'!J220</f>
        <v>0</v>
      </c>
      <c r="N78" s="233">
        <f>'INPUT SHEET'!K220</f>
        <v>0</v>
      </c>
      <c r="O78" s="233">
        <f>'INPUT SHEET'!L220</f>
        <v>0</v>
      </c>
      <c r="P78" s="233">
        <f>'INPUT SHEET'!M220</f>
        <v>0</v>
      </c>
    </row>
    <row r="79" spans="1:16" ht="12.9" customHeight="1">
      <c r="A79">
        <v>8</v>
      </c>
      <c r="B79" t="str">
        <f>'INPUT SHEET'!A221</f>
        <v>Advance Income Tax</v>
      </c>
      <c r="E79" s="233">
        <f>'INPUT SHEET'!B221</f>
        <v>0</v>
      </c>
      <c r="F79" s="233">
        <f>'INPUT SHEET'!C221</f>
        <v>0</v>
      </c>
      <c r="G79" s="233">
        <f>'INPUT SHEET'!D221</f>
        <v>0</v>
      </c>
      <c r="H79" s="233">
        <f>'INPUT SHEET'!E221</f>
        <v>0</v>
      </c>
      <c r="I79" s="233">
        <f>'INPUT SHEET'!F221</f>
        <v>0</v>
      </c>
      <c r="J79" s="233">
        <f>'INPUT SHEET'!G221</f>
        <v>0</v>
      </c>
      <c r="K79" s="233">
        <f>'INPUT SHEET'!H221</f>
        <v>0</v>
      </c>
      <c r="L79" s="233">
        <f>'INPUT SHEET'!I221</f>
        <v>2.5000000000000001E-3</v>
      </c>
      <c r="M79" s="233">
        <f>'INPUT SHEET'!J221</f>
        <v>0</v>
      </c>
      <c r="N79" s="233">
        <f>'INPUT SHEET'!K221</f>
        <v>0</v>
      </c>
      <c r="O79" s="233">
        <f>'INPUT SHEET'!L221</f>
        <v>0</v>
      </c>
      <c r="P79" s="233">
        <f>'INPUT SHEET'!M221</f>
        <v>0</v>
      </c>
    </row>
    <row r="80" spans="1:16" ht="15" customHeight="1">
      <c r="A80">
        <v>9</v>
      </c>
      <c r="B80" t="s">
        <v>408</v>
      </c>
      <c r="E80" s="277">
        <f t="shared" ref="E80:P80" si="17">SUM(E81:E82)</f>
        <v>0</v>
      </c>
      <c r="F80" s="277">
        <f t="shared" si="17"/>
        <v>0</v>
      </c>
      <c r="G80" s="277">
        <f t="shared" si="17"/>
        <v>0</v>
      </c>
      <c r="H80" s="277">
        <f t="shared" si="17"/>
        <v>0</v>
      </c>
      <c r="I80" s="277">
        <f t="shared" si="17"/>
        <v>0</v>
      </c>
      <c r="J80" s="277">
        <f t="shared" si="17"/>
        <v>0</v>
      </c>
      <c r="K80" s="277">
        <f t="shared" si="17"/>
        <v>0</v>
      </c>
      <c r="L80" s="277">
        <f t="shared" si="17"/>
        <v>0</v>
      </c>
      <c r="M80" s="277">
        <f t="shared" si="17"/>
        <v>0</v>
      </c>
      <c r="N80" s="277">
        <f t="shared" si="17"/>
        <v>0</v>
      </c>
      <c r="O80" s="277">
        <f t="shared" si="17"/>
        <v>1</v>
      </c>
      <c r="P80" s="277">
        <f t="shared" si="17"/>
        <v>0</v>
      </c>
    </row>
    <row r="81" spans="1:16" ht="15" customHeight="1">
      <c r="B81" t="s">
        <v>336</v>
      </c>
      <c r="C81" s="271" t="str">
        <f>'INPUT SHEET'!A222</f>
        <v>Prepaid Expenses</v>
      </c>
      <c r="D81" s="271"/>
      <c r="E81" s="232">
        <f>'INPUT SHEET'!B222</f>
        <v>0</v>
      </c>
      <c r="F81" s="252">
        <f>'INPUT SHEET'!C222</f>
        <v>0</v>
      </c>
      <c r="G81" s="251">
        <f>'INPUT SHEET'!D222</f>
        <v>0</v>
      </c>
      <c r="H81" s="232">
        <f>'INPUT SHEET'!E222</f>
        <v>0</v>
      </c>
      <c r="I81" s="232">
        <f>'INPUT SHEET'!F222</f>
        <v>0</v>
      </c>
      <c r="J81" s="232">
        <f>'INPUT SHEET'!G222</f>
        <v>0</v>
      </c>
      <c r="K81" s="232">
        <f>'INPUT SHEET'!H222</f>
        <v>0</v>
      </c>
      <c r="L81" s="232">
        <f>'INPUT SHEET'!I222</f>
        <v>0</v>
      </c>
      <c r="M81" s="232">
        <f>'INPUT SHEET'!J222</f>
        <v>0</v>
      </c>
      <c r="N81" s="232">
        <f>'INPUT SHEET'!K222</f>
        <v>0</v>
      </c>
      <c r="O81" s="232">
        <f>'INPUT SHEET'!L222</f>
        <v>0</v>
      </c>
      <c r="P81" s="232">
        <f>'INPUT SHEET'!M222</f>
        <v>0</v>
      </c>
    </row>
    <row r="82" spans="1:16" ht="15" customHeight="1">
      <c r="B82" t="s">
        <v>337</v>
      </c>
      <c r="C82" s="271" t="str">
        <f>'INPUT SHEET'!A223</f>
        <v>Other Advances / current asset</v>
      </c>
      <c r="D82" s="271"/>
      <c r="E82" s="232">
        <f>'INPUT SHEET'!B223</f>
        <v>0</v>
      </c>
      <c r="F82" s="252">
        <f>'INPUT SHEET'!C223</f>
        <v>0</v>
      </c>
      <c r="G82" s="251">
        <f>'INPUT SHEET'!D223</f>
        <v>0</v>
      </c>
      <c r="H82" s="232">
        <f>'INPUT SHEET'!E223</f>
        <v>0</v>
      </c>
      <c r="I82" s="232">
        <f>'INPUT SHEET'!F223</f>
        <v>0</v>
      </c>
      <c r="J82" s="232">
        <f>'INPUT SHEET'!G223</f>
        <v>0</v>
      </c>
      <c r="K82" s="232">
        <f>'INPUT SHEET'!H223</f>
        <v>0</v>
      </c>
      <c r="L82" s="232">
        <f>'INPUT SHEET'!I223</f>
        <v>0</v>
      </c>
      <c r="M82" s="232">
        <f>'INPUT SHEET'!J223</f>
        <v>0</v>
      </c>
      <c r="N82" s="232">
        <f>'INPUT SHEET'!K223</f>
        <v>0</v>
      </c>
      <c r="O82" s="232">
        <f>'INPUT SHEET'!L223</f>
        <v>1</v>
      </c>
      <c r="P82" s="232">
        <f>'INPUT SHEET'!M223</f>
        <v>0</v>
      </c>
    </row>
    <row r="83" spans="1:16" ht="15" customHeight="1">
      <c r="A83">
        <v>10</v>
      </c>
      <c r="B83" s="225" t="s">
        <v>409</v>
      </c>
      <c r="E83" s="273">
        <f t="shared" ref="E83:P83" si="18">E59+E62+E65+E68+E77+E78+E79+E80</f>
        <v>0</v>
      </c>
      <c r="F83" s="273">
        <f t="shared" si="18"/>
        <v>0</v>
      </c>
      <c r="G83" s="273">
        <f t="shared" si="18"/>
        <v>0</v>
      </c>
      <c r="H83" s="273">
        <f t="shared" si="18"/>
        <v>0</v>
      </c>
      <c r="I83" s="273">
        <f t="shared" si="18"/>
        <v>0</v>
      </c>
      <c r="J83" s="273">
        <f t="shared" si="18"/>
        <v>0</v>
      </c>
      <c r="K83" s="273">
        <f t="shared" si="18"/>
        <v>0</v>
      </c>
      <c r="L83" s="273">
        <f t="shared" si="18"/>
        <v>2.5000000000000001E-3</v>
      </c>
      <c r="M83" s="273">
        <f t="shared" si="18"/>
        <v>0</v>
      </c>
      <c r="N83" s="273">
        <f t="shared" si="18"/>
        <v>0</v>
      </c>
      <c r="O83" s="273">
        <f t="shared" si="18"/>
        <v>1</v>
      </c>
      <c r="P83" s="273">
        <f t="shared" si="18"/>
        <v>0</v>
      </c>
    </row>
    <row r="84" spans="1:16" ht="15" customHeight="1">
      <c r="E84" s="233"/>
      <c r="F84" s="242"/>
      <c r="G84" s="241"/>
      <c r="H84" s="233"/>
      <c r="I84" s="233"/>
      <c r="J84" s="233"/>
      <c r="K84" s="233"/>
      <c r="L84" s="233"/>
      <c r="M84" s="233"/>
      <c r="N84" s="233"/>
      <c r="O84" s="233"/>
      <c r="P84" s="233"/>
    </row>
    <row r="85" spans="1:16" ht="15" customHeight="1">
      <c r="B85" s="225" t="s">
        <v>410</v>
      </c>
      <c r="E85" s="233"/>
      <c r="F85" s="242"/>
      <c r="G85" s="241"/>
      <c r="H85" s="233"/>
      <c r="I85" s="233"/>
      <c r="J85" s="233"/>
      <c r="K85" s="233"/>
      <c r="L85" s="233"/>
      <c r="M85" s="233"/>
      <c r="N85" s="233"/>
      <c r="O85" s="233"/>
      <c r="P85" s="233"/>
    </row>
    <row r="86" spans="1:16" ht="15" customHeight="1">
      <c r="A86">
        <v>11</v>
      </c>
      <c r="B86" t="str">
        <f>'INPUT SHEET'!A162</f>
        <v>Gross Block</v>
      </c>
      <c r="E86" s="233">
        <f>'INPUT SHEET'!B162</f>
        <v>0</v>
      </c>
      <c r="F86" s="233">
        <f>'INPUT SHEET'!C162</f>
        <v>0</v>
      </c>
      <c r="G86" s="233">
        <f>'INPUT SHEET'!D162</f>
        <v>0</v>
      </c>
      <c r="H86" s="233">
        <f>'INPUT SHEET'!E162</f>
        <v>0</v>
      </c>
      <c r="I86" s="233">
        <f>'INPUT SHEET'!F162</f>
        <v>0</v>
      </c>
      <c r="J86" s="233">
        <f>'INPUT SHEET'!G162</f>
        <v>0</v>
      </c>
      <c r="K86" s="233">
        <f>'INPUT SHEET'!H162</f>
        <v>0</v>
      </c>
      <c r="L86" s="233">
        <f>'INPUT SHEET'!I162</f>
        <v>0</v>
      </c>
      <c r="M86" s="233">
        <f>'INPUT SHEET'!J162</f>
        <v>0</v>
      </c>
      <c r="N86" s="233">
        <f>'INPUT SHEET'!K162</f>
        <v>0</v>
      </c>
      <c r="O86" s="233">
        <f>'INPUT SHEET'!L162</f>
        <v>0</v>
      </c>
      <c r="P86" s="233">
        <f>'INPUT SHEET'!M162</f>
        <v>0</v>
      </c>
    </row>
    <row r="87" spans="1:16" ht="15" customHeight="1">
      <c r="A87">
        <v>12</v>
      </c>
      <c r="B87" t="str">
        <f>'INPUT SHEET'!A165</f>
        <v>Add : Capital Work in Progress</v>
      </c>
      <c r="E87" s="232">
        <f>'INPUT SHEET'!B165</f>
        <v>0</v>
      </c>
      <c r="F87" s="232">
        <f>'INPUT SHEET'!C165</f>
        <v>0</v>
      </c>
      <c r="G87" s="232">
        <f>'INPUT SHEET'!D165</f>
        <v>0</v>
      </c>
      <c r="H87" s="232">
        <f>'INPUT SHEET'!E165</f>
        <v>0</v>
      </c>
      <c r="I87" s="232">
        <f>'INPUT SHEET'!F165</f>
        <v>0</v>
      </c>
      <c r="J87" s="232">
        <f>'INPUT SHEET'!G165</f>
        <v>0</v>
      </c>
      <c r="K87" s="232">
        <f>'INPUT SHEET'!H165</f>
        <v>0</v>
      </c>
      <c r="L87" s="232">
        <f>'INPUT SHEET'!I165</f>
        <v>0</v>
      </c>
      <c r="M87" s="232">
        <f>'INPUT SHEET'!J165</f>
        <v>0</v>
      </c>
      <c r="N87" s="232">
        <f>'INPUT SHEET'!K165</f>
        <v>0</v>
      </c>
      <c r="O87" s="232">
        <f>'INPUT SHEET'!L165</f>
        <v>0</v>
      </c>
      <c r="P87" s="232">
        <f>'INPUT SHEET'!M165</f>
        <v>0</v>
      </c>
    </row>
    <row r="88" spans="1:16" ht="15" customHeight="1">
      <c r="A88">
        <v>13</v>
      </c>
      <c r="B88" s="429" t="s">
        <v>29</v>
      </c>
      <c r="C88" s="429"/>
      <c r="D88" s="429"/>
      <c r="E88" s="279">
        <f t="shared" ref="E88:P88" si="19">SUM(E86:E87)</f>
        <v>0</v>
      </c>
      <c r="F88" s="279">
        <f t="shared" si="19"/>
        <v>0</v>
      </c>
      <c r="G88" s="279">
        <f t="shared" si="19"/>
        <v>0</v>
      </c>
      <c r="H88" s="279">
        <f t="shared" si="19"/>
        <v>0</v>
      </c>
      <c r="I88" s="279">
        <f t="shared" si="19"/>
        <v>0</v>
      </c>
      <c r="J88" s="279">
        <f t="shared" si="19"/>
        <v>0</v>
      </c>
      <c r="K88" s="279">
        <f t="shared" si="19"/>
        <v>0</v>
      </c>
      <c r="L88" s="279">
        <f t="shared" si="19"/>
        <v>0</v>
      </c>
      <c r="M88" s="279">
        <f t="shared" si="19"/>
        <v>0</v>
      </c>
      <c r="N88" s="279">
        <f t="shared" si="19"/>
        <v>0</v>
      </c>
      <c r="O88" s="279">
        <f t="shared" si="19"/>
        <v>0</v>
      </c>
      <c r="P88" s="279">
        <f t="shared" si="19"/>
        <v>0</v>
      </c>
    </row>
    <row r="89" spans="1:16" ht="15" customHeight="1">
      <c r="A89" t="s">
        <v>411</v>
      </c>
      <c r="B89" t="str">
        <f>'INPUT SHEET'!A163</f>
        <v>Less Accumulated Depreciation</v>
      </c>
      <c r="E89" s="232">
        <f>'INPUT SHEET'!B163</f>
        <v>0</v>
      </c>
      <c r="F89" s="232">
        <f>'INPUT SHEET'!C163</f>
        <v>0</v>
      </c>
      <c r="G89" s="232">
        <f>'INPUT SHEET'!D163</f>
        <v>0</v>
      </c>
      <c r="H89" s="232">
        <f>'INPUT SHEET'!E163</f>
        <v>0</v>
      </c>
      <c r="I89" s="232">
        <f>'INPUT SHEET'!F163</f>
        <v>0</v>
      </c>
      <c r="J89" s="232">
        <f>'INPUT SHEET'!G163</f>
        <v>0</v>
      </c>
      <c r="K89" s="232">
        <f>'INPUT SHEET'!H163</f>
        <v>0</v>
      </c>
      <c r="L89" s="232">
        <f>'INPUT SHEET'!I163</f>
        <v>0</v>
      </c>
      <c r="M89" s="232">
        <f>'INPUT SHEET'!J163</f>
        <v>0</v>
      </c>
      <c r="N89" s="232">
        <f>'INPUT SHEET'!K163</f>
        <v>0</v>
      </c>
      <c r="O89" s="232">
        <f>'INPUT SHEET'!L163</f>
        <v>0</v>
      </c>
      <c r="P89" s="232">
        <f>'INPUT SHEET'!M163</f>
        <v>0</v>
      </c>
    </row>
    <row r="90" spans="1:16" ht="15" customHeight="1">
      <c r="B90" t="s">
        <v>412</v>
      </c>
      <c r="E90" s="235">
        <f t="shared" ref="E90:P90" si="20">E88-E89</f>
        <v>0</v>
      </c>
      <c r="F90" s="235">
        <f t="shared" si="20"/>
        <v>0</v>
      </c>
      <c r="G90" s="235">
        <f t="shared" si="20"/>
        <v>0</v>
      </c>
      <c r="H90" s="235">
        <f t="shared" si="20"/>
        <v>0</v>
      </c>
      <c r="I90" s="235">
        <f t="shared" si="20"/>
        <v>0</v>
      </c>
      <c r="J90" s="235">
        <f t="shared" si="20"/>
        <v>0</v>
      </c>
      <c r="K90" s="235">
        <f t="shared" si="20"/>
        <v>0</v>
      </c>
      <c r="L90" s="235">
        <f t="shared" si="20"/>
        <v>0</v>
      </c>
      <c r="M90" s="235">
        <f t="shared" si="20"/>
        <v>0</v>
      </c>
      <c r="N90" s="235">
        <f t="shared" si="20"/>
        <v>0</v>
      </c>
      <c r="O90" s="235">
        <f t="shared" si="20"/>
        <v>0</v>
      </c>
      <c r="P90" s="235">
        <f t="shared" si="20"/>
        <v>0</v>
      </c>
    </row>
    <row r="91" spans="1:16" ht="15" customHeight="1">
      <c r="E91" s="233"/>
      <c r="F91" s="242"/>
      <c r="G91" s="241"/>
      <c r="H91" s="233"/>
      <c r="I91" s="233"/>
      <c r="J91" s="233"/>
      <c r="K91" s="233"/>
      <c r="L91" s="233"/>
      <c r="M91" s="233"/>
      <c r="N91" s="233"/>
      <c r="O91" s="233"/>
      <c r="P91" s="233"/>
    </row>
    <row r="92" spans="1:16" ht="15" customHeight="1">
      <c r="B92" s="225" t="s">
        <v>413</v>
      </c>
      <c r="E92" s="233"/>
      <c r="F92" s="242"/>
      <c r="G92" s="241"/>
      <c r="H92" s="233"/>
      <c r="I92" s="233"/>
      <c r="J92" s="233"/>
      <c r="K92" s="233"/>
      <c r="L92" s="233"/>
      <c r="M92" s="233"/>
      <c r="N92" s="233"/>
      <c r="O92" s="233"/>
      <c r="P92" s="233"/>
    </row>
    <row r="93" spans="1:16" ht="15" customHeight="1">
      <c r="A93">
        <v>15</v>
      </c>
      <c r="B93" t="str">
        <f>'INPUT SHEET'!A228</f>
        <v>Exposure in group companies</v>
      </c>
      <c r="E93" s="24">
        <f t="shared" ref="E93:P93" si="21">E94+E95</f>
        <v>0</v>
      </c>
      <c r="F93" s="24">
        <f t="shared" si="21"/>
        <v>0</v>
      </c>
      <c r="G93" s="24">
        <f t="shared" si="21"/>
        <v>0</v>
      </c>
      <c r="H93" s="24">
        <f t="shared" si="21"/>
        <v>0</v>
      </c>
      <c r="I93" s="24">
        <f t="shared" si="21"/>
        <v>0</v>
      </c>
      <c r="J93" s="24">
        <f t="shared" si="21"/>
        <v>0</v>
      </c>
      <c r="K93" s="24">
        <f t="shared" si="21"/>
        <v>0</v>
      </c>
      <c r="L93" s="24">
        <f t="shared" si="21"/>
        <v>0</v>
      </c>
      <c r="M93" s="24">
        <f t="shared" si="21"/>
        <v>0</v>
      </c>
      <c r="N93" s="24">
        <f t="shared" si="21"/>
        <v>0</v>
      </c>
      <c r="O93" s="24">
        <f t="shared" si="21"/>
        <v>0</v>
      </c>
      <c r="P93" s="24">
        <f t="shared" si="21"/>
        <v>0</v>
      </c>
    </row>
    <row r="94" spans="1:16" ht="15" customHeight="1">
      <c r="B94" t="s">
        <v>336</v>
      </c>
      <c r="C94" t="str">
        <f>'INPUT SHEET'!A229</f>
        <v>Investments</v>
      </c>
      <c r="E94" s="233">
        <f>'INPUT SHEET'!B229</f>
        <v>0</v>
      </c>
      <c r="F94" s="233">
        <f>'INPUT SHEET'!C229</f>
        <v>0</v>
      </c>
      <c r="G94" s="233">
        <f>'INPUT SHEET'!D229</f>
        <v>0</v>
      </c>
      <c r="H94" s="233">
        <f>'INPUT SHEET'!E229</f>
        <v>0</v>
      </c>
      <c r="I94" s="233">
        <f>'INPUT SHEET'!F229</f>
        <v>0</v>
      </c>
      <c r="J94" s="233">
        <f>'INPUT SHEET'!G229</f>
        <v>0</v>
      </c>
      <c r="K94" s="233">
        <f>'INPUT SHEET'!H229</f>
        <v>0</v>
      </c>
      <c r="L94" s="233">
        <f>'INPUT SHEET'!I229</f>
        <v>0</v>
      </c>
      <c r="M94" s="233">
        <f>'INPUT SHEET'!J229</f>
        <v>0</v>
      </c>
      <c r="N94" s="233">
        <f>'INPUT SHEET'!K229</f>
        <v>0</v>
      </c>
      <c r="O94" s="233">
        <f>'INPUT SHEET'!L229</f>
        <v>0</v>
      </c>
      <c r="P94" s="233">
        <f>'INPUT SHEET'!M229</f>
        <v>0</v>
      </c>
    </row>
    <row r="95" spans="1:16" ht="15" customHeight="1">
      <c r="B95" t="s">
        <v>337</v>
      </c>
      <c r="C95" t="str">
        <f>'INPUT SHEET'!A230</f>
        <v>Advances</v>
      </c>
      <c r="E95" s="233">
        <f>'INPUT SHEET'!B230</f>
        <v>0</v>
      </c>
      <c r="F95" s="233">
        <f>'INPUT SHEET'!C230</f>
        <v>0</v>
      </c>
      <c r="G95" s="233">
        <f>'INPUT SHEET'!D230</f>
        <v>0</v>
      </c>
      <c r="H95" s="233">
        <f>'INPUT SHEET'!E230</f>
        <v>0</v>
      </c>
      <c r="I95" s="233">
        <f>'INPUT SHEET'!F230</f>
        <v>0</v>
      </c>
      <c r="J95" s="233">
        <f>'INPUT SHEET'!G230</f>
        <v>0</v>
      </c>
      <c r="K95" s="233">
        <f>'INPUT SHEET'!H230</f>
        <v>0</v>
      </c>
      <c r="L95" s="233">
        <f>'INPUT SHEET'!I230</f>
        <v>0</v>
      </c>
      <c r="M95" s="233">
        <f>'INPUT SHEET'!J230</f>
        <v>0</v>
      </c>
      <c r="N95" s="233">
        <f>'INPUT SHEET'!K230</f>
        <v>0</v>
      </c>
      <c r="O95" s="233">
        <f>'INPUT SHEET'!L230</f>
        <v>0</v>
      </c>
      <c r="P95" s="233">
        <f>'INPUT SHEET'!M230</f>
        <v>0</v>
      </c>
    </row>
    <row r="96" spans="1:16" ht="15" customHeight="1">
      <c r="A96">
        <v>16</v>
      </c>
      <c r="B96" t="str">
        <f>'INPUT SHEET'!A232</f>
        <v>Debtors more than six months</v>
      </c>
      <c r="E96" s="233">
        <f>'INPUT SHEET'!B232</f>
        <v>0</v>
      </c>
      <c r="F96" s="233">
        <f>'INPUT SHEET'!C232</f>
        <v>0</v>
      </c>
      <c r="G96" s="233">
        <f>'INPUT SHEET'!D232</f>
        <v>0</v>
      </c>
      <c r="H96" s="233">
        <f>'INPUT SHEET'!E232</f>
        <v>0</v>
      </c>
      <c r="I96" s="233">
        <f>'INPUT SHEET'!F232</f>
        <v>0</v>
      </c>
      <c r="J96" s="233">
        <f>'INPUT SHEET'!G232</f>
        <v>0</v>
      </c>
      <c r="K96" s="233">
        <f>'INPUT SHEET'!H232</f>
        <v>0</v>
      </c>
      <c r="L96" s="233">
        <f>'INPUT SHEET'!I232</f>
        <v>0</v>
      </c>
      <c r="M96" s="233">
        <f>'INPUT SHEET'!J232</f>
        <v>0</v>
      </c>
      <c r="N96" s="233">
        <f>'INPUT SHEET'!K232</f>
        <v>0</v>
      </c>
      <c r="O96" s="233">
        <f>'INPUT SHEET'!L232</f>
        <v>0</v>
      </c>
      <c r="P96" s="233">
        <f>'INPUT SHEET'!M232</f>
        <v>0</v>
      </c>
    </row>
    <row r="97" spans="1:16" ht="15" customHeight="1">
      <c r="A97">
        <v>17</v>
      </c>
      <c r="B97" t="str">
        <f>'INPUT SHEET'!A233</f>
        <v>Investments</v>
      </c>
      <c r="E97" s="233">
        <f>'INPUT SHEET'!B233</f>
        <v>0</v>
      </c>
      <c r="F97" s="233">
        <f>'INPUT SHEET'!C233</f>
        <v>0</v>
      </c>
      <c r="G97" s="233">
        <f>'INPUT SHEET'!D233</f>
        <v>0</v>
      </c>
      <c r="H97" s="233">
        <f>'INPUT SHEET'!E233</f>
        <v>0</v>
      </c>
      <c r="I97" s="233">
        <f>'INPUT SHEET'!F233</f>
        <v>0</v>
      </c>
      <c r="J97" s="233">
        <f>'INPUT SHEET'!G233</f>
        <v>0</v>
      </c>
      <c r="K97" s="233">
        <f>'INPUT SHEET'!H233</f>
        <v>0</v>
      </c>
      <c r="L97" s="233">
        <f>'INPUT SHEET'!I233</f>
        <v>0</v>
      </c>
      <c r="M97" s="233">
        <f>'INPUT SHEET'!J233</f>
        <v>0</v>
      </c>
      <c r="N97" s="233">
        <f>'INPUT SHEET'!K233</f>
        <v>0</v>
      </c>
      <c r="O97" s="233">
        <f>'INPUT SHEET'!L233</f>
        <v>0</v>
      </c>
      <c r="P97" s="233">
        <f>'INPUT SHEET'!M233</f>
        <v>0</v>
      </c>
    </row>
    <row r="98" spans="1:16" ht="12.9" customHeight="1">
      <c r="A98">
        <v>18</v>
      </c>
      <c r="B98" t="str">
        <f>'INPUT SHEET'!A234</f>
        <v>Fixed Deposits ( Non Current )</v>
      </c>
      <c r="E98" s="233">
        <f>'INPUT SHEET'!B234</f>
        <v>0</v>
      </c>
      <c r="F98" s="233">
        <f>'INPUT SHEET'!C234</f>
        <v>0</v>
      </c>
      <c r="G98" s="233">
        <f>'INPUT SHEET'!D234</f>
        <v>0</v>
      </c>
      <c r="H98" s="233">
        <f>'INPUT SHEET'!E234</f>
        <v>0</v>
      </c>
      <c r="I98" s="233">
        <f>'INPUT SHEET'!F234</f>
        <v>0</v>
      </c>
      <c r="J98" s="233">
        <f>'INPUT SHEET'!G234</f>
        <v>0</v>
      </c>
      <c r="K98" s="233">
        <f>'INPUT SHEET'!H234</f>
        <v>0</v>
      </c>
      <c r="L98" s="233">
        <f>'INPUT SHEET'!I234</f>
        <v>0</v>
      </c>
      <c r="M98" s="233">
        <f>'INPUT SHEET'!J234</f>
        <v>0</v>
      </c>
      <c r="N98" s="233">
        <f>'INPUT SHEET'!K234</f>
        <v>0</v>
      </c>
      <c r="O98" s="233">
        <f>'INPUT SHEET'!L234</f>
        <v>0</v>
      </c>
      <c r="P98" s="233">
        <f>'INPUT SHEET'!M234</f>
        <v>0</v>
      </c>
    </row>
    <row r="99" spans="1:16" ht="15" customHeight="1">
      <c r="A99">
        <v>19</v>
      </c>
      <c r="B99" t="s">
        <v>28</v>
      </c>
      <c r="E99" s="277">
        <f t="shared" ref="E99:P99" si="22">E100+E101+E102+E103</f>
        <v>0</v>
      </c>
      <c r="F99" s="277">
        <f t="shared" si="22"/>
        <v>0</v>
      </c>
      <c r="G99" s="277">
        <f t="shared" si="22"/>
        <v>0</v>
      </c>
      <c r="H99" s="277">
        <f t="shared" si="22"/>
        <v>0</v>
      </c>
      <c r="I99" s="277">
        <f t="shared" si="22"/>
        <v>0</v>
      </c>
      <c r="J99" s="277">
        <f t="shared" si="22"/>
        <v>0</v>
      </c>
      <c r="K99" s="277">
        <f t="shared" si="22"/>
        <v>0</v>
      </c>
      <c r="L99" s="277">
        <f t="shared" si="22"/>
        <v>0</v>
      </c>
      <c r="M99" s="277">
        <f t="shared" si="22"/>
        <v>0</v>
      </c>
      <c r="N99" s="277">
        <f t="shared" si="22"/>
        <v>0</v>
      </c>
      <c r="O99" s="277">
        <f t="shared" si="22"/>
        <v>0</v>
      </c>
      <c r="P99" s="277">
        <f t="shared" si="22"/>
        <v>0</v>
      </c>
    </row>
    <row r="100" spans="1:16" ht="15" customHeight="1">
      <c r="B100" t="s">
        <v>336</v>
      </c>
      <c r="C100" s="271" t="str">
        <f>'INPUT SHEET'!A235</f>
        <v>Dues from directors / partners / promoters</v>
      </c>
      <c r="E100" s="269">
        <f>'INPUT SHEET'!B235</f>
        <v>0</v>
      </c>
      <c r="F100" s="269">
        <f>'INPUT SHEET'!C235</f>
        <v>0</v>
      </c>
      <c r="G100" s="269">
        <f>'INPUT SHEET'!D235</f>
        <v>0</v>
      </c>
      <c r="H100" s="269">
        <f>'INPUT SHEET'!E235</f>
        <v>0</v>
      </c>
      <c r="I100" s="269">
        <f>'INPUT SHEET'!F235</f>
        <v>0</v>
      </c>
      <c r="J100" s="269">
        <f>'INPUT SHEET'!G235</f>
        <v>0</v>
      </c>
      <c r="K100" s="269">
        <f>'INPUT SHEET'!H235</f>
        <v>0</v>
      </c>
      <c r="L100" s="269">
        <f>'INPUT SHEET'!I235</f>
        <v>0</v>
      </c>
      <c r="M100" s="269">
        <f>'INPUT SHEET'!J235</f>
        <v>0</v>
      </c>
      <c r="N100" s="269">
        <f>'INPUT SHEET'!K235</f>
        <v>0</v>
      </c>
      <c r="O100" s="269">
        <f>'INPUT SHEET'!L235</f>
        <v>0</v>
      </c>
      <c r="P100" s="269">
        <f>'INPUT SHEET'!M235</f>
        <v>0</v>
      </c>
    </row>
    <row r="101" spans="1:16" ht="15" customHeight="1">
      <c r="B101" t="s">
        <v>337</v>
      </c>
      <c r="C101" s="271" t="str">
        <f>'INPUT SHEET'!A236</f>
        <v>Advances to suppliers of capital goods</v>
      </c>
      <c r="E101" s="269">
        <f>'INPUT SHEET'!B236</f>
        <v>0</v>
      </c>
      <c r="F101" s="269">
        <f>'INPUT SHEET'!C236</f>
        <v>0</v>
      </c>
      <c r="G101" s="269">
        <f>'INPUT SHEET'!D236</f>
        <v>0</v>
      </c>
      <c r="H101" s="269">
        <f>'INPUT SHEET'!E236</f>
        <v>0</v>
      </c>
      <c r="I101" s="269">
        <f>'INPUT SHEET'!F236</f>
        <v>0</v>
      </c>
      <c r="J101" s="269">
        <f>'INPUT SHEET'!G236</f>
        <v>0</v>
      </c>
      <c r="K101" s="269">
        <f>'INPUT SHEET'!H236</f>
        <v>0</v>
      </c>
      <c r="L101" s="269">
        <f>'INPUT SHEET'!I236</f>
        <v>0</v>
      </c>
      <c r="M101" s="269">
        <f>'INPUT SHEET'!J236</f>
        <v>0</v>
      </c>
      <c r="N101" s="269">
        <f>'INPUT SHEET'!K236</f>
        <v>0</v>
      </c>
      <c r="O101" s="269">
        <f>'INPUT SHEET'!L236</f>
        <v>0</v>
      </c>
      <c r="P101" s="269">
        <f>'INPUT SHEET'!M236</f>
        <v>0</v>
      </c>
    </row>
    <row r="102" spans="1:16" ht="15" customHeight="1">
      <c r="B102" t="s">
        <v>381</v>
      </c>
      <c r="C102" s="271" t="str">
        <f>'INPUT SHEET'!A237</f>
        <v>Security deposits with government departments</v>
      </c>
      <c r="E102" s="269">
        <f>'INPUT SHEET'!B237</f>
        <v>0</v>
      </c>
      <c r="F102" s="269">
        <f>'INPUT SHEET'!C237</f>
        <v>0</v>
      </c>
      <c r="G102" s="269">
        <f>'INPUT SHEET'!D237</f>
        <v>0</v>
      </c>
      <c r="H102" s="269">
        <f>'INPUT SHEET'!E237</f>
        <v>0</v>
      </c>
      <c r="I102" s="269">
        <f>'INPUT SHEET'!F237</f>
        <v>0</v>
      </c>
      <c r="J102" s="269">
        <f>'INPUT SHEET'!G237</f>
        <v>0</v>
      </c>
      <c r="K102" s="269">
        <f>'INPUT SHEET'!H237</f>
        <v>0</v>
      </c>
      <c r="L102" s="269">
        <f>'INPUT SHEET'!I237</f>
        <v>0</v>
      </c>
      <c r="M102" s="269">
        <f>'INPUT SHEET'!J237</f>
        <v>0</v>
      </c>
      <c r="N102" s="269">
        <f>'INPUT SHEET'!K237</f>
        <v>0</v>
      </c>
      <c r="O102" s="269">
        <f>'INPUT SHEET'!L237</f>
        <v>0</v>
      </c>
      <c r="P102" s="269">
        <f>'INPUT SHEET'!M237</f>
        <v>0</v>
      </c>
    </row>
    <row r="103" spans="1:16" ht="15" customHeight="1">
      <c r="B103" t="s">
        <v>382</v>
      </c>
      <c r="C103" s="271" t="str">
        <f>'INPUT SHEET'!A238</f>
        <v>Other non current assets</v>
      </c>
      <c r="E103" s="269">
        <f>'INPUT SHEET'!B238</f>
        <v>0</v>
      </c>
      <c r="F103" s="269">
        <f>'INPUT SHEET'!C238</f>
        <v>0</v>
      </c>
      <c r="G103" s="269">
        <f>'INPUT SHEET'!D238</f>
        <v>0</v>
      </c>
      <c r="H103" s="269">
        <f>'INPUT SHEET'!E238</f>
        <v>0</v>
      </c>
      <c r="I103" s="269">
        <f>'INPUT SHEET'!F238</f>
        <v>0</v>
      </c>
      <c r="J103" s="269">
        <f>'INPUT SHEET'!G238</f>
        <v>0</v>
      </c>
      <c r="K103" s="269">
        <f>'INPUT SHEET'!H238</f>
        <v>0</v>
      </c>
      <c r="L103" s="269">
        <f>'INPUT SHEET'!I238</f>
        <v>0</v>
      </c>
      <c r="M103" s="269">
        <f>'INPUT SHEET'!J238</f>
        <v>0</v>
      </c>
      <c r="N103" s="269">
        <f>'INPUT SHEET'!K238</f>
        <v>0</v>
      </c>
      <c r="O103" s="269">
        <f>'INPUT SHEET'!L238</f>
        <v>0</v>
      </c>
      <c r="P103" s="269">
        <f>'INPUT SHEET'!M238</f>
        <v>0</v>
      </c>
    </row>
    <row r="104" spans="1:16" ht="15" customHeight="1">
      <c r="A104">
        <v>20</v>
      </c>
      <c r="B104" s="225" t="s">
        <v>414</v>
      </c>
      <c r="E104" s="280">
        <f t="shared" ref="E104:P104" si="23">ROUND(E94+E95+E96+E97+E98+E100+E101+E102+E103,2)</f>
        <v>0</v>
      </c>
      <c r="F104" s="280">
        <f t="shared" si="23"/>
        <v>0</v>
      </c>
      <c r="G104" s="280">
        <f t="shared" si="23"/>
        <v>0</v>
      </c>
      <c r="H104" s="280">
        <f t="shared" si="23"/>
        <v>0</v>
      </c>
      <c r="I104" s="280">
        <f t="shared" si="23"/>
        <v>0</v>
      </c>
      <c r="J104" s="280">
        <f t="shared" si="23"/>
        <v>0</v>
      </c>
      <c r="K104" s="280">
        <f t="shared" si="23"/>
        <v>0</v>
      </c>
      <c r="L104" s="280">
        <f t="shared" si="23"/>
        <v>0</v>
      </c>
      <c r="M104" s="280">
        <f t="shared" si="23"/>
        <v>0</v>
      </c>
      <c r="N104" s="280">
        <f t="shared" si="23"/>
        <v>0</v>
      </c>
      <c r="O104" s="280">
        <f t="shared" si="23"/>
        <v>0</v>
      </c>
      <c r="P104" s="280">
        <f t="shared" si="23"/>
        <v>0</v>
      </c>
    </row>
    <row r="105" spans="1:16" ht="15" customHeight="1">
      <c r="E105" s="233"/>
      <c r="F105" s="242"/>
      <c r="G105" s="241"/>
      <c r="H105" s="233"/>
      <c r="I105" s="233"/>
      <c r="J105" s="233"/>
      <c r="K105" s="233"/>
      <c r="L105" s="233"/>
      <c r="M105" s="233"/>
      <c r="N105" s="233"/>
      <c r="O105" s="233"/>
      <c r="P105" s="233"/>
    </row>
    <row r="106" spans="1:16" ht="15" customHeight="1">
      <c r="A106">
        <v>21</v>
      </c>
      <c r="B106" t="s">
        <v>415</v>
      </c>
      <c r="E106" s="233">
        <f>'INPUT SHEET'!B173</f>
        <v>0</v>
      </c>
      <c r="F106" s="233">
        <f>'INPUT SHEET'!C173</f>
        <v>0</v>
      </c>
      <c r="G106" s="233">
        <f>'INPUT SHEET'!D173</f>
        <v>0</v>
      </c>
      <c r="H106" s="233">
        <f>'INPUT SHEET'!E173</f>
        <v>0</v>
      </c>
      <c r="I106" s="233">
        <f>'INPUT SHEET'!F173</f>
        <v>0</v>
      </c>
      <c r="J106" s="233">
        <f>'INPUT SHEET'!G173</f>
        <v>0</v>
      </c>
      <c r="K106" s="233">
        <f>'INPUT SHEET'!H173</f>
        <v>0</v>
      </c>
      <c r="L106" s="233">
        <f>'INPUT SHEET'!I173</f>
        <v>0</v>
      </c>
      <c r="M106" s="233">
        <f>'INPUT SHEET'!J173</f>
        <v>0</v>
      </c>
      <c r="N106" s="233">
        <f>'INPUT SHEET'!K173</f>
        <v>0</v>
      </c>
      <c r="O106" s="233">
        <f>'INPUT SHEET'!L173</f>
        <v>0</v>
      </c>
      <c r="P106" s="233">
        <f>'INPUT SHEET'!M173</f>
        <v>0</v>
      </c>
    </row>
    <row r="107" spans="1:16" ht="15" customHeight="1">
      <c r="A107">
        <v>22</v>
      </c>
      <c r="B107" s="225" t="s">
        <v>416</v>
      </c>
      <c r="E107" s="257">
        <f t="shared" ref="E107:P107" si="24">ROUND(E83+E90+E104+E106,2)</f>
        <v>0</v>
      </c>
      <c r="F107" s="281">
        <f t="shared" si="24"/>
        <v>0</v>
      </c>
      <c r="G107" s="273">
        <f t="shared" si="24"/>
        <v>0</v>
      </c>
      <c r="H107" s="257">
        <f t="shared" si="24"/>
        <v>0</v>
      </c>
      <c r="I107" s="257">
        <f t="shared" si="24"/>
        <v>0</v>
      </c>
      <c r="J107" s="257">
        <f t="shared" si="24"/>
        <v>0</v>
      </c>
      <c r="K107" s="257">
        <f t="shared" si="24"/>
        <v>0</v>
      </c>
      <c r="L107" s="257">
        <f t="shared" si="24"/>
        <v>0</v>
      </c>
      <c r="M107" s="257">
        <f t="shared" si="24"/>
        <v>0</v>
      </c>
      <c r="N107" s="257">
        <f t="shared" si="24"/>
        <v>0</v>
      </c>
      <c r="O107" s="257">
        <f t="shared" si="24"/>
        <v>1</v>
      </c>
      <c r="P107" s="257">
        <f t="shared" si="24"/>
        <v>0</v>
      </c>
    </row>
    <row r="108" spans="1:16" ht="15" customHeight="1">
      <c r="B108" s="225"/>
      <c r="E108" s="282"/>
      <c r="F108" s="274"/>
      <c r="G108" s="283"/>
      <c r="H108" s="282"/>
      <c r="I108" s="282"/>
      <c r="J108" s="282"/>
      <c r="K108" s="282"/>
      <c r="L108" s="282"/>
      <c r="M108" s="282"/>
      <c r="N108" s="282"/>
      <c r="O108" s="282"/>
      <c r="P108" s="282"/>
    </row>
    <row r="109" spans="1:16" ht="15" customHeight="1">
      <c r="B109" t="s">
        <v>193</v>
      </c>
      <c r="E109" s="233">
        <f t="shared" ref="E109:P109" si="25">E49-E46-E106</f>
        <v>0</v>
      </c>
      <c r="F109" s="233">
        <f t="shared" si="25"/>
        <v>0</v>
      </c>
      <c r="G109" s="233">
        <f t="shared" si="25"/>
        <v>0</v>
      </c>
      <c r="H109" s="233">
        <f t="shared" si="25"/>
        <v>0</v>
      </c>
      <c r="I109" s="233">
        <f t="shared" si="25"/>
        <v>0</v>
      </c>
      <c r="J109" s="233">
        <f t="shared" si="25"/>
        <v>0</v>
      </c>
      <c r="K109" s="233">
        <f t="shared" si="25"/>
        <v>0</v>
      </c>
      <c r="L109" s="233">
        <f t="shared" si="25"/>
        <v>7.4999999999999997E-3</v>
      </c>
      <c r="M109" s="233">
        <f t="shared" si="25"/>
        <v>7.4999999999999997E-3</v>
      </c>
      <c r="N109" s="233">
        <f t="shared" si="25"/>
        <v>7.4999999999999997E-3</v>
      </c>
      <c r="O109" s="233">
        <f t="shared" si="25"/>
        <v>7.4999999999999997E-3</v>
      </c>
      <c r="P109" s="233">
        <f t="shared" si="25"/>
        <v>7.4999999999999997E-3</v>
      </c>
    </row>
    <row r="110" spans="1:16" ht="15" customHeight="1">
      <c r="B110" s="224" t="s">
        <v>294</v>
      </c>
      <c r="E110" s="284">
        <f t="shared" ref="E110:P110" si="26">ROUND(E83-E29,2)</f>
        <v>0</v>
      </c>
      <c r="F110" s="285">
        <f t="shared" si="26"/>
        <v>0</v>
      </c>
      <c r="G110" s="286">
        <f t="shared" si="26"/>
        <v>0</v>
      </c>
      <c r="H110" s="284">
        <f t="shared" si="26"/>
        <v>0</v>
      </c>
      <c r="I110" s="284">
        <f t="shared" si="26"/>
        <v>0</v>
      </c>
      <c r="J110" s="284">
        <f t="shared" si="26"/>
        <v>0</v>
      </c>
      <c r="K110" s="284">
        <f t="shared" si="26"/>
        <v>0</v>
      </c>
      <c r="L110" s="284">
        <f t="shared" si="26"/>
        <v>0</v>
      </c>
      <c r="M110" s="284">
        <f t="shared" si="26"/>
        <v>0</v>
      </c>
      <c r="N110" s="284">
        <f t="shared" si="26"/>
        <v>0</v>
      </c>
      <c r="O110" s="284">
        <f t="shared" si="26"/>
        <v>1</v>
      </c>
      <c r="P110" s="284">
        <f t="shared" si="26"/>
        <v>0</v>
      </c>
    </row>
    <row r="111" spans="1:16" ht="15" customHeight="1">
      <c r="B111" t="s">
        <v>417</v>
      </c>
      <c r="E111" s="233" t="str">
        <f t="shared" ref="E111:P111" si="27">IF(E83&lt;&gt;0,E83/E29,"")</f>
        <v/>
      </c>
      <c r="F111" s="242" t="str">
        <f t="shared" si="27"/>
        <v/>
      </c>
      <c r="G111" s="241" t="str">
        <f t="shared" si="27"/>
        <v/>
      </c>
      <c r="H111" s="233" t="str">
        <f t="shared" si="27"/>
        <v/>
      </c>
      <c r="I111" s="233" t="str">
        <f t="shared" si="27"/>
        <v/>
      </c>
      <c r="J111" s="233" t="str">
        <f t="shared" si="27"/>
        <v/>
      </c>
      <c r="K111" s="233" t="str">
        <f t="shared" si="27"/>
        <v/>
      </c>
      <c r="L111" s="233" t="e">
        <f t="shared" si="27"/>
        <v>#DIV/0!</v>
      </c>
      <c r="M111" s="233" t="str">
        <f t="shared" si="27"/>
        <v/>
      </c>
      <c r="N111" s="233" t="str">
        <f t="shared" si="27"/>
        <v/>
      </c>
      <c r="O111" s="233" t="e">
        <f t="shared" si="27"/>
        <v>#DIV/0!</v>
      </c>
      <c r="P111" s="233" t="str">
        <f t="shared" si="27"/>
        <v/>
      </c>
    </row>
    <row r="112" spans="1:16" ht="12.9" customHeight="1">
      <c r="B112" t="s">
        <v>221</v>
      </c>
      <c r="E112" s="233" t="str">
        <f t="shared" ref="E112:P112" si="28">IF(E38&lt;&gt;0,E38/E109,"")</f>
        <v/>
      </c>
      <c r="F112" s="242" t="str">
        <f t="shared" si="28"/>
        <v/>
      </c>
      <c r="G112" s="241" t="str">
        <f t="shared" si="28"/>
        <v/>
      </c>
      <c r="H112" s="233" t="str">
        <f t="shared" si="28"/>
        <v/>
      </c>
      <c r="I112" s="233" t="str">
        <f t="shared" si="28"/>
        <v/>
      </c>
      <c r="J112" s="233" t="str">
        <f t="shared" si="28"/>
        <v/>
      </c>
      <c r="K112" s="233" t="str">
        <f t="shared" si="28"/>
        <v/>
      </c>
      <c r="L112" s="233" t="str">
        <f t="shared" si="28"/>
        <v/>
      </c>
      <c r="M112" s="233" t="str">
        <f t="shared" si="28"/>
        <v/>
      </c>
      <c r="N112" s="233" t="str">
        <f t="shared" si="28"/>
        <v/>
      </c>
      <c r="O112" s="233" t="str">
        <f t="shared" si="28"/>
        <v/>
      </c>
      <c r="P112" s="233" t="str">
        <f t="shared" si="28"/>
        <v/>
      </c>
    </row>
    <row r="113" spans="2:16" ht="12.9" customHeight="1">
      <c r="B113" t="s">
        <v>418</v>
      </c>
      <c r="E113" s="233" t="str">
        <f t="shared" ref="E113:P113" si="29">IF(E37&lt;&gt;0,E37/E109,"")</f>
        <v/>
      </c>
      <c r="F113" s="242" t="str">
        <f t="shared" si="29"/>
        <v/>
      </c>
      <c r="G113" s="241" t="str">
        <f t="shared" si="29"/>
        <v/>
      </c>
      <c r="H113" s="233" t="str">
        <f t="shared" si="29"/>
        <v/>
      </c>
      <c r="I113" s="233" t="str">
        <f t="shared" si="29"/>
        <v/>
      </c>
      <c r="J113" s="233" t="str">
        <f t="shared" si="29"/>
        <v/>
      </c>
      <c r="K113" s="233" t="str">
        <f t="shared" si="29"/>
        <v/>
      </c>
      <c r="L113" s="233" t="str">
        <f t="shared" si="29"/>
        <v/>
      </c>
      <c r="M113" s="233" t="str">
        <f t="shared" si="29"/>
        <v/>
      </c>
      <c r="N113" s="233" t="str">
        <f t="shared" si="29"/>
        <v/>
      </c>
      <c r="O113" s="233" t="str">
        <f t="shared" si="29"/>
        <v/>
      </c>
      <c r="P113" s="233" t="str">
        <f t="shared" si="29"/>
        <v/>
      </c>
    </row>
    <row r="114" spans="2:16" ht="15" customHeight="1">
      <c r="E114" s="233"/>
      <c r="F114" s="242"/>
      <c r="G114" s="241"/>
      <c r="H114" s="233"/>
      <c r="I114" s="233"/>
      <c r="J114" s="233"/>
      <c r="K114" s="233"/>
      <c r="L114" s="233"/>
      <c r="M114" s="233"/>
      <c r="N114" s="233"/>
      <c r="O114" s="233"/>
      <c r="P114" s="233"/>
    </row>
    <row r="115" spans="2:16" ht="15" customHeight="1">
      <c r="B115" s="225" t="s">
        <v>419</v>
      </c>
      <c r="E115" s="233"/>
      <c r="F115" s="242"/>
      <c r="G115" s="241"/>
      <c r="H115" s="233"/>
      <c r="I115" s="233"/>
      <c r="J115" s="233"/>
      <c r="K115" s="233"/>
      <c r="L115" s="233"/>
      <c r="M115" s="233"/>
      <c r="N115" s="233"/>
      <c r="O115" s="233"/>
      <c r="P115" s="233"/>
    </row>
    <row r="116" spans="2:16" ht="15" customHeight="1">
      <c r="B116" t="str">
        <f>'INPUT SHEET'!A253</f>
        <v>Contingent Liabilities:</v>
      </c>
      <c r="E116" s="233"/>
      <c r="F116" s="242"/>
      <c r="G116" s="241"/>
      <c r="H116" s="233"/>
      <c r="I116" s="233"/>
      <c r="J116" s="233"/>
      <c r="K116" s="233"/>
      <c r="L116" s="233"/>
      <c r="M116" s="233"/>
      <c r="N116" s="233"/>
      <c r="O116" s="233"/>
      <c r="P116" s="233"/>
    </row>
    <row r="117" spans="2:16" ht="15" customHeight="1">
      <c r="B117" t="s">
        <v>326</v>
      </c>
      <c r="C117" t="str">
        <f>'INPUT SHEET'!A254</f>
        <v>Arrears of cumulative dividends</v>
      </c>
      <c r="E117" s="233">
        <f>'INPUT SHEET'!B254</f>
        <v>0</v>
      </c>
      <c r="F117" s="242">
        <f>'INPUT SHEET'!C254</f>
        <v>0</v>
      </c>
      <c r="G117" s="241">
        <f>'INPUT SHEET'!D254</f>
        <v>0</v>
      </c>
      <c r="H117" s="233">
        <f>'INPUT SHEET'!E254</f>
        <v>0</v>
      </c>
      <c r="I117" s="233">
        <f>'INPUT SHEET'!F254</f>
        <v>0</v>
      </c>
      <c r="J117" s="233">
        <f>'INPUT SHEET'!G254</f>
        <v>0</v>
      </c>
      <c r="K117" s="233">
        <f>'INPUT SHEET'!H254</f>
        <v>0</v>
      </c>
      <c r="L117" s="233">
        <f>'INPUT SHEET'!I254</f>
        <v>0</v>
      </c>
      <c r="M117" s="233">
        <f>'INPUT SHEET'!J254</f>
        <v>0</v>
      </c>
      <c r="N117" s="233">
        <f>'INPUT SHEET'!K254</f>
        <v>0</v>
      </c>
      <c r="O117" s="233">
        <f>'INPUT SHEET'!L254</f>
        <v>0</v>
      </c>
      <c r="P117" s="233">
        <f>'INPUT SHEET'!M254</f>
        <v>0</v>
      </c>
    </row>
    <row r="118" spans="2:16" ht="15" customHeight="1">
      <c r="B118" t="s">
        <v>328</v>
      </c>
      <c r="C118" t="str">
        <f>'INPUT SHEET'!A255</f>
        <v>Gratuity liability not provided for</v>
      </c>
      <c r="E118" s="233">
        <f>'INPUT SHEET'!B255</f>
        <v>0</v>
      </c>
      <c r="F118" s="242">
        <f>'INPUT SHEET'!C255</f>
        <v>0</v>
      </c>
      <c r="G118" s="241">
        <f>'INPUT SHEET'!D255</f>
        <v>0</v>
      </c>
      <c r="H118" s="233">
        <f>'INPUT SHEET'!E255</f>
        <v>0</v>
      </c>
      <c r="I118" s="233">
        <f>'INPUT SHEET'!F255</f>
        <v>0</v>
      </c>
      <c r="J118" s="233">
        <f>'INPUT SHEET'!G255</f>
        <v>0</v>
      </c>
      <c r="K118" s="233">
        <f>'INPUT SHEET'!H255</f>
        <v>0</v>
      </c>
      <c r="L118" s="233">
        <f>'INPUT SHEET'!I255</f>
        <v>0</v>
      </c>
      <c r="M118" s="233">
        <f>'INPUT SHEET'!J255</f>
        <v>0</v>
      </c>
      <c r="N118" s="233">
        <f>'INPUT SHEET'!K255</f>
        <v>0</v>
      </c>
      <c r="O118" s="233">
        <f>'INPUT SHEET'!L255</f>
        <v>0</v>
      </c>
      <c r="P118" s="233">
        <f>'INPUT SHEET'!M255</f>
        <v>0</v>
      </c>
    </row>
    <row r="119" spans="2:16" ht="15" customHeight="1">
      <c r="B119" t="s">
        <v>339</v>
      </c>
      <c r="C119" t="str">
        <f>'INPUT SHEET'!A256</f>
        <v>Disputed excise / customs / tax liabilities</v>
      </c>
      <c r="E119" s="233">
        <f>'INPUT SHEET'!B256</f>
        <v>0</v>
      </c>
      <c r="F119" s="242">
        <f>'INPUT SHEET'!C256</f>
        <v>0</v>
      </c>
      <c r="G119" s="241">
        <f>'INPUT SHEET'!D256</f>
        <v>0</v>
      </c>
      <c r="H119" s="233">
        <f>'INPUT SHEET'!E256</f>
        <v>0</v>
      </c>
      <c r="I119" s="233">
        <f>'INPUT SHEET'!F256</f>
        <v>0</v>
      </c>
      <c r="J119" s="233">
        <f>'INPUT SHEET'!G256</f>
        <v>0</v>
      </c>
      <c r="K119" s="233">
        <f>'INPUT SHEET'!H256</f>
        <v>0</v>
      </c>
      <c r="L119" s="233">
        <f>'INPUT SHEET'!I256</f>
        <v>0</v>
      </c>
      <c r="M119" s="233">
        <f>'INPUT SHEET'!J256</f>
        <v>0</v>
      </c>
      <c r="N119" s="233">
        <f>'INPUT SHEET'!K256</f>
        <v>0</v>
      </c>
      <c r="O119" s="233">
        <f>'INPUT SHEET'!L256</f>
        <v>0</v>
      </c>
      <c r="P119" s="233">
        <f>'INPUT SHEET'!M256</f>
        <v>0</v>
      </c>
    </row>
    <row r="120" spans="2:16" ht="15" customHeight="1">
      <c r="B120" t="s">
        <v>340</v>
      </c>
      <c r="C120" t="str">
        <f>'INPUT SHEET'!A257</f>
        <v>Bank guarantee / Letter of credit outstanding</v>
      </c>
      <c r="E120" s="233"/>
      <c r="F120" s="242"/>
      <c r="G120" s="241"/>
      <c r="H120" s="233"/>
      <c r="I120" s="233"/>
      <c r="J120" s="233"/>
      <c r="K120" s="233"/>
      <c r="L120" s="233"/>
      <c r="M120" s="233"/>
      <c r="N120" s="233"/>
      <c r="O120" s="233"/>
      <c r="P120" s="233"/>
    </row>
    <row r="121" spans="2:16" ht="15" customHeight="1">
      <c r="B121" t="s">
        <v>420</v>
      </c>
      <c r="C121" t="str">
        <f>'INPUT SHEET'!A258</f>
        <v>Other contingent liabilities</v>
      </c>
      <c r="E121" s="256">
        <f>'INPUT SHEET'!B258</f>
        <v>0</v>
      </c>
      <c r="F121" s="256">
        <f>'INPUT SHEET'!C258</f>
        <v>0</v>
      </c>
      <c r="G121" s="287">
        <f>'INPUT SHEET'!D258</f>
        <v>0</v>
      </c>
      <c r="H121" s="256">
        <f>'INPUT SHEET'!E258</f>
        <v>0</v>
      </c>
      <c r="I121" s="256">
        <f>'INPUT SHEET'!F258</f>
        <v>0</v>
      </c>
      <c r="J121" s="256">
        <f>'INPUT SHEET'!G258</f>
        <v>0</v>
      </c>
      <c r="K121" s="256">
        <f>'INPUT SHEET'!H258</f>
        <v>0</v>
      </c>
      <c r="L121" s="256">
        <f>'INPUT SHEET'!I258</f>
        <v>0</v>
      </c>
      <c r="M121" s="256">
        <f>'INPUT SHEET'!J258</f>
        <v>0</v>
      </c>
      <c r="N121" s="256">
        <f>'INPUT SHEET'!K258</f>
        <v>0</v>
      </c>
      <c r="O121" s="256">
        <f>'INPUT SHEET'!L258</f>
        <v>0</v>
      </c>
      <c r="P121" s="256">
        <f>'INPUT SHEET'!M258</f>
        <v>0</v>
      </c>
    </row>
    <row r="122" spans="2:16">
      <c r="H122"/>
    </row>
    <row r="123" spans="2:16">
      <c r="H123"/>
    </row>
    <row r="124" spans="2:16">
      <c r="H124"/>
    </row>
    <row r="125" spans="2:16">
      <c r="H125"/>
    </row>
    <row r="126" spans="2:16">
      <c r="H126"/>
    </row>
    <row r="127" spans="2:16">
      <c r="H127"/>
    </row>
    <row r="128" spans="2:16">
      <c r="H128"/>
    </row>
    <row r="129" spans="8:8">
      <c r="H129"/>
    </row>
    <row r="130" spans="8:8">
      <c r="H130"/>
    </row>
    <row r="131" spans="8:8">
      <c r="H131"/>
    </row>
    <row r="132" spans="8:8">
      <c r="H132"/>
    </row>
    <row r="133" spans="8:8">
      <c r="H133"/>
    </row>
    <row r="134" spans="8:8">
      <c r="H134"/>
    </row>
    <row r="135" spans="8:8">
      <c r="H135"/>
    </row>
    <row r="136" spans="8:8">
      <c r="H136"/>
    </row>
    <row r="137" spans="8:8">
      <c r="H137"/>
    </row>
    <row r="138" spans="8:8">
      <c r="H138"/>
    </row>
    <row r="139" spans="8:8">
      <c r="H139"/>
    </row>
    <row r="140" spans="8:8">
      <c r="H140"/>
    </row>
    <row r="141" spans="8:8">
      <c r="H141"/>
    </row>
    <row r="142" spans="8:8">
      <c r="H142"/>
    </row>
  </sheetData>
  <mergeCells count="7">
    <mergeCell ref="A54:D54"/>
    <mergeCell ref="B59:D59"/>
    <mergeCell ref="B88:D88"/>
    <mergeCell ref="B3:I3"/>
    <mergeCell ref="B4:I4"/>
    <mergeCell ref="B18:D18"/>
    <mergeCell ref="B22:D22"/>
  </mergeCells>
  <phoneticPr fontId="19" type="noConversion"/>
  <pageMargins left="0.98425196850393704" right="0.78740157480314965" top="0.78740157480314965" bottom="0.78740157480314965" header="0.51181102362204722" footer="0.74803149606299213"/>
  <pageSetup paperSize="9" scale="41" firstPageNumber="0" fitToHeight="0" orientation="portrait" horizontalDpi="300" verticalDpi="300" r:id="rId1"/>
  <headerFooter alignWithMargins="0">
    <oddHeader>&amp;L&amp;"Century Gothic,Bold"&amp;12ICICI Bank Limited</oddHeader>
    <oddFooter>&amp;L&amp;8&amp;D&amp;C&amp;8 &amp;F (&amp;A)&amp;R&amp;8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Line="0" autoPict="0">
                <anchor moveWithCells="1" sizeWithCells="1">
                  <from>
                    <xdr:col>4</xdr:col>
                    <xdr:colOff>213360</xdr:colOff>
                    <xdr:row>121</xdr:row>
                    <xdr:rowOff>30480</xdr:rowOff>
                  </from>
                  <to>
                    <xdr:col>7</xdr:col>
                    <xdr:colOff>335280</xdr:colOff>
                    <xdr:row>122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9FCD-A678-4D09-9A16-C1A6AD5011F0}">
  <sheetPr>
    <pageSetUpPr fitToPage="1"/>
  </sheetPr>
  <dimension ref="A1:Q4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defaultRowHeight="13.2" outlineLevelCol="1"/>
  <cols>
    <col min="1" max="1" width="4.109375" customWidth="1"/>
    <col min="2" max="2" width="3.88671875" customWidth="1"/>
    <col min="3" max="3" width="8" customWidth="1"/>
    <col min="4" max="4" width="30.109375" customWidth="1"/>
    <col min="5" max="6" width="13" customWidth="1"/>
    <col min="7" max="7" width="13.5546875" customWidth="1"/>
    <col min="8" max="8" width="14.88671875" customWidth="1"/>
    <col min="9" max="13" width="9.6640625" customWidth="1"/>
    <col min="14" max="16" width="9.6640625" hidden="1" customWidth="1" outlineLevel="1"/>
    <col min="17" max="17" width="8.6640625" customWidth="1" collapsed="1"/>
  </cols>
  <sheetData>
    <row r="1" spans="1:16" ht="15" customHeight="1">
      <c r="A1" s="229" t="s">
        <v>454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</row>
    <row r="2" spans="1:16" ht="15" customHeight="1">
      <c r="A2" s="229" t="s">
        <v>455</v>
      </c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</row>
    <row r="3" spans="1:16" ht="15" customHeight="1">
      <c r="A3" s="221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</row>
    <row r="4" spans="1:16" ht="15" customHeight="1">
      <c r="C4" s="229" t="str">
        <f>Form_II!C4</f>
        <v>Name :</v>
      </c>
      <c r="D4">
        <f>'INPUT SHEET'!B7</f>
        <v>0</v>
      </c>
    </row>
    <row r="5" spans="1:16" ht="15" customHeight="1">
      <c r="A5" s="225"/>
    </row>
    <row r="6" spans="1:16" ht="15" customHeight="1">
      <c r="A6" s="304" t="s">
        <v>456</v>
      </c>
      <c r="D6" s="225"/>
    </row>
    <row r="7" spans="1:16" ht="15" customHeight="1">
      <c r="E7" s="266" t="str">
        <f>'INPUT SHEET'!B10</f>
        <v>Audited</v>
      </c>
      <c r="F7" s="266" t="str">
        <f>'INPUT SHEET'!C10</f>
        <v>Audited</v>
      </c>
      <c r="G7" s="266" t="str">
        <f>'INPUT SHEET'!D10</f>
        <v>Provisionals</v>
      </c>
      <c r="H7" s="266" t="str">
        <f>'INPUT SHEET'!E10</f>
        <v>Projected</v>
      </c>
      <c r="I7" s="266" t="str">
        <f>'INPUT SHEET'!F10</f>
        <v>Projected</v>
      </c>
      <c r="J7" s="266" t="str">
        <f>'INPUT SHEET'!G10</f>
        <v>Projected</v>
      </c>
      <c r="K7" s="266" t="str">
        <f>'INPUT SHEET'!H10</f>
        <v>Projected</v>
      </c>
      <c r="L7" s="266" t="str">
        <f>'INPUT SHEET'!I10</f>
        <v>Projected</v>
      </c>
      <c r="M7" s="266" t="str">
        <f>'INPUT SHEET'!J10</f>
        <v>Projected</v>
      </c>
      <c r="N7" s="266" t="str">
        <f>'INPUT SHEET'!K10</f>
        <v>Projected</v>
      </c>
      <c r="O7" s="266" t="str">
        <f>'INPUT SHEET'!L10</f>
        <v>Projected</v>
      </c>
      <c r="P7" s="266" t="str">
        <f>'INPUT SHEET'!M10</f>
        <v>Projected</v>
      </c>
    </row>
    <row r="8" spans="1:16" ht="15" customHeight="1">
      <c r="D8" s="289" t="str">
        <f>'INPUT SHEET'!A8</f>
        <v>Year</v>
      </c>
      <c r="E8" s="266">
        <f>'INPUT SHEET'!B8</f>
        <v>2023</v>
      </c>
      <c r="F8" s="266">
        <f>'INPUT SHEET'!C8</f>
        <v>2024</v>
      </c>
      <c r="G8" s="266">
        <f>'INPUT SHEET'!D8</f>
        <v>2025</v>
      </c>
      <c r="H8" s="266">
        <f>'INPUT SHEET'!E8</f>
        <v>2026</v>
      </c>
      <c r="I8" s="266">
        <f>'INPUT SHEET'!F8</f>
        <v>2027</v>
      </c>
      <c r="J8" s="266">
        <f>'INPUT SHEET'!G8</f>
        <v>2028</v>
      </c>
      <c r="K8" s="266">
        <f>'INPUT SHEET'!H8</f>
        <v>2029</v>
      </c>
      <c r="L8" s="266">
        <f>'INPUT SHEET'!I8</f>
        <v>2030</v>
      </c>
      <c r="M8" s="266">
        <f>'INPUT SHEET'!J8</f>
        <v>2031</v>
      </c>
      <c r="N8" s="266">
        <f>'INPUT SHEET'!K8</f>
        <v>2032</v>
      </c>
      <c r="O8" s="266">
        <f>'INPUT SHEET'!L8</f>
        <v>2033</v>
      </c>
      <c r="P8" s="266">
        <f>'INPUT SHEET'!M8</f>
        <v>2034</v>
      </c>
    </row>
    <row r="9" spans="1:16" ht="15" customHeight="1">
      <c r="D9" s="289" t="str">
        <f>'INPUT SHEET'!A9</f>
        <v>Number of months</v>
      </c>
      <c r="E9" s="266">
        <f>'INPUT SHEET'!B9</f>
        <v>12</v>
      </c>
      <c r="F9" s="266">
        <f>'INPUT SHEET'!C9</f>
        <v>12</v>
      </c>
      <c r="G9" s="266">
        <f>'INPUT SHEET'!D9</f>
        <v>12</v>
      </c>
      <c r="H9" s="266">
        <f>'INPUT SHEET'!E9</f>
        <v>12</v>
      </c>
      <c r="I9" s="266">
        <f>'INPUT SHEET'!F9</f>
        <v>12</v>
      </c>
      <c r="J9" s="266">
        <f>'INPUT SHEET'!G9</f>
        <v>12</v>
      </c>
      <c r="K9" s="266">
        <f>'INPUT SHEET'!H9</f>
        <v>12</v>
      </c>
      <c r="L9" s="266">
        <f>'INPUT SHEET'!I9</f>
        <v>12</v>
      </c>
      <c r="M9" s="266">
        <f>'INPUT SHEET'!J9</f>
        <v>12</v>
      </c>
      <c r="N9" s="266">
        <f>'INPUT SHEET'!K9</f>
        <v>12</v>
      </c>
      <c r="O9" s="266">
        <f>'INPUT SHEET'!L9</f>
        <v>12</v>
      </c>
      <c r="P9" s="266">
        <f>'INPUT SHEET'!M9</f>
        <v>12</v>
      </c>
    </row>
    <row r="10" spans="1:16" ht="15" customHeight="1">
      <c r="A10" s="305" t="s">
        <v>424</v>
      </c>
      <c r="B10" t="s">
        <v>457</v>
      </c>
      <c r="E10" s="230">
        <f>Form_IV!E39</f>
        <v>0</v>
      </c>
      <c r="F10" s="230">
        <f>Form_IV!F39</f>
        <v>0</v>
      </c>
      <c r="G10" s="230">
        <f>Form_IV!G39</f>
        <v>0</v>
      </c>
      <c r="H10" s="230">
        <f>Form_IV!H39</f>
        <v>0</v>
      </c>
      <c r="I10" s="230">
        <f>Form_IV!I39</f>
        <v>0</v>
      </c>
      <c r="J10" s="230">
        <f>Form_IV!J39</f>
        <v>0</v>
      </c>
      <c r="K10" s="230">
        <f>Form_IV!K39</f>
        <v>0</v>
      </c>
      <c r="L10" s="230">
        <f>Form_IV!L39</f>
        <v>0</v>
      </c>
      <c r="M10" s="230">
        <f>Form_IV!M39</f>
        <v>0</v>
      </c>
      <c r="N10" s="230">
        <f>Form_IV!N39</f>
        <v>0</v>
      </c>
      <c r="O10" s="230">
        <f>Form_IV!O39</f>
        <v>1</v>
      </c>
      <c r="P10" s="230">
        <f>Form_IV!P39</f>
        <v>0</v>
      </c>
    </row>
    <row r="11" spans="1:16" ht="27.75" customHeight="1">
      <c r="A11" s="305" t="s">
        <v>427</v>
      </c>
      <c r="B11" s="428" t="s">
        <v>458</v>
      </c>
      <c r="C11" s="428"/>
      <c r="D11" s="428"/>
      <c r="E11" s="233">
        <f>Form_IV!E63</f>
        <v>0</v>
      </c>
      <c r="F11" s="233" t="e">
        <f>Form_IV!F63</f>
        <v>#VALUE!</v>
      </c>
      <c r="G11" s="233" t="e">
        <f>Form_IV!G63</f>
        <v>#VALUE!</v>
      </c>
      <c r="H11" s="233" t="e">
        <f>Form_IV!H63</f>
        <v>#VALUE!</v>
      </c>
      <c r="I11" s="233" t="e">
        <f>Form_IV!I63</f>
        <v>#VALUE!</v>
      </c>
      <c r="J11" s="233" t="e">
        <f>Form_IV!J63</f>
        <v>#VALUE!</v>
      </c>
      <c r="K11" s="233" t="e">
        <f>Form_IV!K63</f>
        <v>#VALUE!</v>
      </c>
      <c r="L11" s="233" t="e">
        <f>Form_IV!L63</f>
        <v>#VALUE!</v>
      </c>
      <c r="M11" s="233" t="e">
        <f>Form_IV!M63</f>
        <v>#VALUE!</v>
      </c>
      <c r="N11" s="233" t="e">
        <f>Form_IV!N63</f>
        <v>#VALUE!</v>
      </c>
      <c r="O11" s="233" t="e">
        <f>Form_IV!O63</f>
        <v>#VALUE!</v>
      </c>
      <c r="P11" s="233" t="e">
        <f>Form_IV!P63</f>
        <v>#VALUE!</v>
      </c>
    </row>
    <row r="12" spans="1:16" ht="15" customHeight="1">
      <c r="A12" s="305" t="s">
        <v>428</v>
      </c>
      <c r="B12" t="s">
        <v>459</v>
      </c>
      <c r="E12" s="233">
        <f t="shared" ref="E12:P12" si="0">E10-E11</f>
        <v>0</v>
      </c>
      <c r="F12" s="233" t="e">
        <f t="shared" si="0"/>
        <v>#VALUE!</v>
      </c>
      <c r="G12" s="233" t="e">
        <f t="shared" si="0"/>
        <v>#VALUE!</v>
      </c>
      <c r="H12" s="233" t="e">
        <f t="shared" si="0"/>
        <v>#VALUE!</v>
      </c>
      <c r="I12" s="233" t="e">
        <f t="shared" si="0"/>
        <v>#VALUE!</v>
      </c>
      <c r="J12" s="233" t="e">
        <f t="shared" si="0"/>
        <v>#VALUE!</v>
      </c>
      <c r="K12" s="233" t="e">
        <f t="shared" si="0"/>
        <v>#VALUE!</v>
      </c>
      <c r="L12" s="233" t="e">
        <f t="shared" si="0"/>
        <v>#VALUE!</v>
      </c>
      <c r="M12" s="233" t="e">
        <f t="shared" si="0"/>
        <v>#VALUE!</v>
      </c>
      <c r="N12" s="233" t="e">
        <f t="shared" si="0"/>
        <v>#VALUE!</v>
      </c>
      <c r="O12" s="233" t="e">
        <f t="shared" si="0"/>
        <v>#VALUE!</v>
      </c>
      <c r="P12" s="233" t="e">
        <f t="shared" si="0"/>
        <v>#VALUE!</v>
      </c>
    </row>
    <row r="13" spans="1:16" ht="33" customHeight="1">
      <c r="A13" s="305" t="s">
        <v>430</v>
      </c>
      <c r="B13" s="428" t="s">
        <v>460</v>
      </c>
      <c r="C13" s="428"/>
      <c r="D13" s="428"/>
      <c r="E13" s="233">
        <f>(E12-Form_IV!E27)*0.25</f>
        <v>0</v>
      </c>
      <c r="F13" s="233" t="e">
        <f>(F12-Form_IV!F27)*0.25</f>
        <v>#VALUE!</v>
      </c>
      <c r="G13" s="233" t="e">
        <f>(G12-Form_IV!G27)*0.25</f>
        <v>#VALUE!</v>
      </c>
      <c r="H13" s="233" t="e">
        <f>(H12-Form_IV!H27)*0.25</f>
        <v>#VALUE!</v>
      </c>
      <c r="I13" s="233" t="e">
        <f>(I12-Form_IV!I27)*0.25</f>
        <v>#VALUE!</v>
      </c>
      <c r="J13" s="233" t="e">
        <f>(J12-Form_IV!J27)*0.25</f>
        <v>#VALUE!</v>
      </c>
      <c r="K13" s="233" t="e">
        <f>(K12-Form_IV!K27)*0.25</f>
        <v>#VALUE!</v>
      </c>
      <c r="L13" s="233" t="e">
        <f>(L12-Form_IV!L27)*0.25</f>
        <v>#VALUE!</v>
      </c>
      <c r="M13" s="233" t="e">
        <f>(M12-Form_IV!M27)*0.25</f>
        <v>#VALUE!</v>
      </c>
      <c r="N13" s="233" t="e">
        <f>(N12-Form_IV!N27)*0.25</f>
        <v>#VALUE!</v>
      </c>
      <c r="O13" s="233" t="e">
        <f>(O12-Form_IV!O27)*0.25</f>
        <v>#VALUE!</v>
      </c>
      <c r="P13" s="233" t="e">
        <f>(P12-Form_IV!P27)*0.25</f>
        <v>#VALUE!</v>
      </c>
    </row>
    <row r="14" spans="1:16" ht="18.75" customHeight="1">
      <c r="A14" s="305" t="s">
        <v>432</v>
      </c>
      <c r="B14" t="s">
        <v>461</v>
      </c>
      <c r="E14" s="233">
        <f>Form_III!E110</f>
        <v>0</v>
      </c>
      <c r="F14" s="233">
        <f>Form_III!F110</f>
        <v>0</v>
      </c>
      <c r="G14" s="233">
        <f>Form_III!G110</f>
        <v>0</v>
      </c>
      <c r="H14" s="233">
        <f>Form_III!H110</f>
        <v>0</v>
      </c>
      <c r="I14" s="233">
        <f>Form_III!I110</f>
        <v>0</v>
      </c>
      <c r="J14" s="233">
        <f>Form_III!J110</f>
        <v>0</v>
      </c>
      <c r="K14" s="233">
        <f>Form_III!K110</f>
        <v>0</v>
      </c>
      <c r="L14" s="233">
        <f>Form_III!L110</f>
        <v>0</v>
      </c>
      <c r="M14" s="233">
        <f>Form_III!M110</f>
        <v>0</v>
      </c>
      <c r="N14" s="233">
        <f>Form_III!N110</f>
        <v>0</v>
      </c>
      <c r="O14" s="233">
        <f>Form_III!O110</f>
        <v>1</v>
      </c>
      <c r="P14" s="233">
        <f>Form_III!P110</f>
        <v>0</v>
      </c>
    </row>
    <row r="15" spans="1:16" ht="15" customHeight="1">
      <c r="A15" s="305" t="s">
        <v>434</v>
      </c>
      <c r="B15" t="s">
        <v>462</v>
      </c>
      <c r="E15" s="233">
        <f t="shared" ref="E15:P15" si="1">E12-E13</f>
        <v>0</v>
      </c>
      <c r="F15" s="233" t="e">
        <f t="shared" si="1"/>
        <v>#VALUE!</v>
      </c>
      <c r="G15" s="233" t="e">
        <f t="shared" si="1"/>
        <v>#VALUE!</v>
      </c>
      <c r="H15" s="233" t="e">
        <f t="shared" si="1"/>
        <v>#VALUE!</v>
      </c>
      <c r="I15" s="233" t="e">
        <f t="shared" si="1"/>
        <v>#VALUE!</v>
      </c>
      <c r="J15" s="233" t="e">
        <f t="shared" si="1"/>
        <v>#VALUE!</v>
      </c>
      <c r="K15" s="233" t="e">
        <f t="shared" si="1"/>
        <v>#VALUE!</v>
      </c>
      <c r="L15" s="233" t="e">
        <f t="shared" si="1"/>
        <v>#VALUE!</v>
      </c>
      <c r="M15" s="233" t="e">
        <f t="shared" si="1"/>
        <v>#VALUE!</v>
      </c>
      <c r="N15" s="233" t="e">
        <f t="shared" si="1"/>
        <v>#VALUE!</v>
      </c>
      <c r="O15" s="233" t="e">
        <f t="shared" si="1"/>
        <v>#VALUE!</v>
      </c>
      <c r="P15" s="233" t="e">
        <f t="shared" si="1"/>
        <v>#VALUE!</v>
      </c>
    </row>
    <row r="16" spans="1:16" ht="15" customHeight="1">
      <c r="A16" s="305" t="s">
        <v>436</v>
      </c>
      <c r="B16" t="s">
        <v>463</v>
      </c>
      <c r="E16" s="233">
        <f t="shared" ref="E16:P16" si="2">E12-E14</f>
        <v>0</v>
      </c>
      <c r="F16" s="233" t="e">
        <f t="shared" si="2"/>
        <v>#VALUE!</v>
      </c>
      <c r="G16" s="233" t="e">
        <f t="shared" si="2"/>
        <v>#VALUE!</v>
      </c>
      <c r="H16" s="233" t="e">
        <f t="shared" si="2"/>
        <v>#VALUE!</v>
      </c>
      <c r="I16" s="233" t="e">
        <f t="shared" si="2"/>
        <v>#VALUE!</v>
      </c>
      <c r="J16" s="233" t="e">
        <f t="shared" si="2"/>
        <v>#VALUE!</v>
      </c>
      <c r="K16" s="233" t="e">
        <f t="shared" si="2"/>
        <v>#VALUE!</v>
      </c>
      <c r="L16" s="233" t="e">
        <f t="shared" si="2"/>
        <v>#VALUE!</v>
      </c>
      <c r="M16" s="233" t="e">
        <f t="shared" si="2"/>
        <v>#VALUE!</v>
      </c>
      <c r="N16" s="233" t="e">
        <f t="shared" si="2"/>
        <v>#VALUE!</v>
      </c>
      <c r="O16" s="233" t="e">
        <f t="shared" si="2"/>
        <v>#VALUE!</v>
      </c>
      <c r="P16" s="233" t="e">
        <f t="shared" si="2"/>
        <v>#VALUE!</v>
      </c>
    </row>
    <row r="17" spans="1:16" ht="27.75" customHeight="1">
      <c r="A17" s="305" t="s">
        <v>437</v>
      </c>
      <c r="B17" s="428" t="s">
        <v>464</v>
      </c>
      <c r="C17" s="428"/>
      <c r="D17" s="428"/>
      <c r="E17" s="233">
        <f t="shared" ref="E17:P17" si="3">IF(E15&lt;E16,E15,E16)</f>
        <v>0</v>
      </c>
      <c r="F17" s="233" t="e">
        <f t="shared" si="3"/>
        <v>#VALUE!</v>
      </c>
      <c r="G17" s="233" t="e">
        <f t="shared" si="3"/>
        <v>#VALUE!</v>
      </c>
      <c r="H17" s="233" t="e">
        <f t="shared" si="3"/>
        <v>#VALUE!</v>
      </c>
      <c r="I17" s="233" t="e">
        <f t="shared" si="3"/>
        <v>#VALUE!</v>
      </c>
      <c r="J17" s="233" t="e">
        <f t="shared" si="3"/>
        <v>#VALUE!</v>
      </c>
      <c r="K17" s="233" t="e">
        <f t="shared" si="3"/>
        <v>#VALUE!</v>
      </c>
      <c r="L17" s="233" t="e">
        <f t="shared" si="3"/>
        <v>#VALUE!</v>
      </c>
      <c r="M17" s="233" t="e">
        <f t="shared" si="3"/>
        <v>#VALUE!</v>
      </c>
      <c r="N17" s="233" t="e">
        <f t="shared" si="3"/>
        <v>#VALUE!</v>
      </c>
      <c r="O17" s="233" t="e">
        <f t="shared" si="3"/>
        <v>#VALUE!</v>
      </c>
      <c r="P17" s="233" t="e">
        <f t="shared" si="3"/>
        <v>#VALUE!</v>
      </c>
    </row>
    <row r="18" spans="1:16" ht="24" customHeight="1">
      <c r="A18" s="305" t="s">
        <v>438</v>
      </c>
      <c r="B18" s="428" t="s">
        <v>465</v>
      </c>
      <c r="C18" s="428"/>
      <c r="D18" s="428"/>
      <c r="E18" s="256" t="str">
        <f t="shared" ref="E18:P18" si="4">IF(E13-E14&gt;0,E13-E14,"")</f>
        <v/>
      </c>
      <c r="F18" s="256" t="e">
        <f t="shared" si="4"/>
        <v>#VALUE!</v>
      </c>
      <c r="G18" s="256" t="e">
        <f t="shared" si="4"/>
        <v>#VALUE!</v>
      </c>
      <c r="H18" s="256" t="e">
        <f t="shared" si="4"/>
        <v>#VALUE!</v>
      </c>
      <c r="I18" s="256" t="e">
        <f t="shared" si="4"/>
        <v>#VALUE!</v>
      </c>
      <c r="J18" s="256" t="e">
        <f t="shared" si="4"/>
        <v>#VALUE!</v>
      </c>
      <c r="K18" s="256" t="e">
        <f t="shared" si="4"/>
        <v>#VALUE!</v>
      </c>
      <c r="L18" s="256" t="e">
        <f t="shared" si="4"/>
        <v>#VALUE!</v>
      </c>
      <c r="M18" s="256" t="e">
        <f t="shared" si="4"/>
        <v>#VALUE!</v>
      </c>
      <c r="N18" s="256" t="e">
        <f t="shared" si="4"/>
        <v>#VALUE!</v>
      </c>
      <c r="O18" s="256" t="e">
        <f t="shared" si="4"/>
        <v>#VALUE!</v>
      </c>
      <c r="P18" s="256" t="e">
        <f t="shared" si="4"/>
        <v>#VALUE!</v>
      </c>
    </row>
    <row r="19" spans="1:16" ht="15" customHeight="1"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</row>
    <row r="20" spans="1:16" ht="15" customHeight="1">
      <c r="A20" s="304" t="s">
        <v>466</v>
      </c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</row>
    <row r="21" spans="1:16" ht="15" customHeight="1">
      <c r="E21" s="306">
        <f>'INPUT SHEET'!B8</f>
        <v>2023</v>
      </c>
      <c r="F21" s="306">
        <f>'INPUT SHEET'!C8</f>
        <v>2024</v>
      </c>
      <c r="G21" s="306">
        <f>'INPUT SHEET'!D8</f>
        <v>2025</v>
      </c>
      <c r="H21" s="306">
        <f>'INPUT SHEET'!E8</f>
        <v>2026</v>
      </c>
      <c r="I21" s="306">
        <f>'INPUT SHEET'!F8</f>
        <v>2027</v>
      </c>
      <c r="J21" s="306">
        <f>'INPUT SHEET'!G8</f>
        <v>2028</v>
      </c>
      <c r="K21" s="306">
        <f>'INPUT SHEET'!H8</f>
        <v>2029</v>
      </c>
      <c r="L21" s="306">
        <f>'INPUT SHEET'!I8</f>
        <v>2030</v>
      </c>
      <c r="M21" s="306">
        <f>'INPUT SHEET'!J8</f>
        <v>2031</v>
      </c>
      <c r="N21" s="306">
        <f>'INPUT SHEET'!K8</f>
        <v>2032</v>
      </c>
      <c r="O21" s="306">
        <f>'INPUT SHEET'!L8</f>
        <v>2033</v>
      </c>
      <c r="P21" s="306">
        <f>'INPUT SHEET'!M8</f>
        <v>2034</v>
      </c>
    </row>
    <row r="22" spans="1:16" ht="15" customHeight="1">
      <c r="A22" s="305" t="s">
        <v>424</v>
      </c>
      <c r="B22" t="str">
        <f>B10</f>
        <v>Total Current Assets (Form-IV-10)</v>
      </c>
      <c r="E22" s="230">
        <f t="shared" ref="E22:P22" si="5">E10</f>
        <v>0</v>
      </c>
      <c r="F22" s="230">
        <f t="shared" si="5"/>
        <v>0</v>
      </c>
      <c r="G22" s="230">
        <f t="shared" si="5"/>
        <v>0</v>
      </c>
      <c r="H22" s="230">
        <f t="shared" si="5"/>
        <v>0</v>
      </c>
      <c r="I22" s="230">
        <f t="shared" si="5"/>
        <v>0</v>
      </c>
      <c r="J22" s="230">
        <f t="shared" si="5"/>
        <v>0</v>
      </c>
      <c r="K22" s="230">
        <f t="shared" si="5"/>
        <v>0</v>
      </c>
      <c r="L22" s="230">
        <f t="shared" si="5"/>
        <v>0</v>
      </c>
      <c r="M22" s="230">
        <f t="shared" si="5"/>
        <v>0</v>
      </c>
      <c r="N22" s="230">
        <f t="shared" si="5"/>
        <v>0</v>
      </c>
      <c r="O22" s="230">
        <f t="shared" si="5"/>
        <v>1</v>
      </c>
      <c r="P22" s="230">
        <f t="shared" si="5"/>
        <v>0</v>
      </c>
    </row>
    <row r="23" spans="1:16" ht="33" customHeight="1">
      <c r="A23" s="305" t="s">
        <v>427</v>
      </c>
      <c r="B23" s="428" t="str">
        <f>B11</f>
        <v>Other Current Liabilities (other than bank borrowings (Form-IV-18)</v>
      </c>
      <c r="C23" s="428"/>
      <c r="D23" s="428"/>
      <c r="E23" s="233">
        <f t="shared" ref="E23:P23" si="6">E11</f>
        <v>0</v>
      </c>
      <c r="F23" s="233" t="e">
        <f t="shared" si="6"/>
        <v>#VALUE!</v>
      </c>
      <c r="G23" s="233" t="e">
        <f t="shared" si="6"/>
        <v>#VALUE!</v>
      </c>
      <c r="H23" s="233" t="e">
        <f t="shared" si="6"/>
        <v>#VALUE!</v>
      </c>
      <c r="I23" s="233" t="e">
        <f t="shared" si="6"/>
        <v>#VALUE!</v>
      </c>
      <c r="J23" s="233" t="e">
        <f t="shared" si="6"/>
        <v>#VALUE!</v>
      </c>
      <c r="K23" s="233" t="e">
        <f t="shared" si="6"/>
        <v>#VALUE!</v>
      </c>
      <c r="L23" s="233" t="e">
        <f t="shared" si="6"/>
        <v>#VALUE!</v>
      </c>
      <c r="M23" s="233" t="e">
        <f t="shared" si="6"/>
        <v>#VALUE!</v>
      </c>
      <c r="N23" s="233" t="e">
        <f t="shared" si="6"/>
        <v>#VALUE!</v>
      </c>
      <c r="O23" s="233" t="e">
        <f t="shared" si="6"/>
        <v>#VALUE!</v>
      </c>
      <c r="P23" s="233" t="e">
        <f t="shared" si="6"/>
        <v>#VALUE!</v>
      </c>
    </row>
    <row r="24" spans="1:16" ht="15" customHeight="1">
      <c r="A24" s="305" t="s">
        <v>428</v>
      </c>
      <c r="B24" t="str">
        <f>B12</f>
        <v>Working Capital Gap (WCG) (1-2)</v>
      </c>
      <c r="E24" s="233">
        <f t="shared" ref="E24:P24" si="7">E12</f>
        <v>0</v>
      </c>
      <c r="F24" s="233" t="e">
        <f t="shared" si="7"/>
        <v>#VALUE!</v>
      </c>
      <c r="G24" s="233" t="e">
        <f t="shared" si="7"/>
        <v>#VALUE!</v>
      </c>
      <c r="H24" s="233" t="e">
        <f t="shared" si="7"/>
        <v>#VALUE!</v>
      </c>
      <c r="I24" s="233" t="e">
        <f t="shared" si="7"/>
        <v>#VALUE!</v>
      </c>
      <c r="J24" s="233" t="e">
        <f t="shared" si="7"/>
        <v>#VALUE!</v>
      </c>
      <c r="K24" s="233" t="e">
        <f t="shared" si="7"/>
        <v>#VALUE!</v>
      </c>
      <c r="L24" s="233" t="e">
        <f t="shared" si="7"/>
        <v>#VALUE!</v>
      </c>
      <c r="M24" s="233" t="e">
        <f t="shared" si="7"/>
        <v>#VALUE!</v>
      </c>
      <c r="N24" s="233" t="e">
        <f t="shared" si="7"/>
        <v>#VALUE!</v>
      </c>
      <c r="O24" s="233" t="e">
        <f t="shared" si="7"/>
        <v>#VALUE!</v>
      </c>
      <c r="P24" s="233" t="e">
        <f t="shared" si="7"/>
        <v>#VALUE!</v>
      </c>
    </row>
    <row r="25" spans="1:16" ht="39.75" customHeight="1">
      <c r="A25" s="305" t="s">
        <v>430</v>
      </c>
      <c r="B25" s="428" t="s">
        <v>467</v>
      </c>
      <c r="C25" s="428"/>
      <c r="D25" s="428"/>
      <c r="E25" s="233">
        <f>(E22-Form_IV!E27)*0.25</f>
        <v>0</v>
      </c>
      <c r="F25" s="233">
        <f>(F22-Form_IV!F27)*0.25</f>
        <v>0</v>
      </c>
      <c r="G25" s="233">
        <f>(G22-Form_IV!G27)*0.25</f>
        <v>0</v>
      </c>
      <c r="H25" s="233">
        <f>(H22-Form_IV!H27)*0.25</f>
        <v>0</v>
      </c>
      <c r="I25" s="233">
        <f>(I22-Form_IV!I27)*0.25</f>
        <v>0</v>
      </c>
      <c r="J25" s="233">
        <f>(J22-Form_IV!J27)*0.25</f>
        <v>0</v>
      </c>
      <c r="K25" s="233">
        <f>(K22-Form_IV!K27)*0.25</f>
        <v>0</v>
      </c>
      <c r="L25" s="233">
        <f>(L22-Form_IV!L27)*0.25</f>
        <v>0</v>
      </c>
      <c r="M25" s="233">
        <f>(M22-Form_IV!M27)*0.25</f>
        <v>0</v>
      </c>
      <c r="N25" s="233">
        <f>(N22-Form_IV!N27)*0.25</f>
        <v>0</v>
      </c>
      <c r="O25" s="233">
        <f>(O22-Form_IV!O27)*0.25</f>
        <v>0.25</v>
      </c>
      <c r="P25" s="233">
        <f>(P22-Form_IV!P27)*0.25</f>
        <v>0</v>
      </c>
    </row>
    <row r="26" spans="1:16" ht="15" customHeight="1">
      <c r="A26" s="305" t="s">
        <v>432</v>
      </c>
      <c r="B26" t="str">
        <f>B14</f>
        <v>Actual / Projected net working capital</v>
      </c>
      <c r="E26" s="233">
        <f t="shared" ref="E26:P26" si="8">E14</f>
        <v>0</v>
      </c>
      <c r="F26" s="233">
        <f t="shared" si="8"/>
        <v>0</v>
      </c>
      <c r="G26" s="233">
        <f t="shared" si="8"/>
        <v>0</v>
      </c>
      <c r="H26" s="233">
        <f t="shared" si="8"/>
        <v>0</v>
      </c>
      <c r="I26" s="233">
        <f t="shared" si="8"/>
        <v>0</v>
      </c>
      <c r="J26" s="233">
        <f t="shared" si="8"/>
        <v>0</v>
      </c>
      <c r="K26" s="233">
        <f t="shared" si="8"/>
        <v>0</v>
      </c>
      <c r="L26" s="233">
        <f t="shared" si="8"/>
        <v>0</v>
      </c>
      <c r="M26" s="233">
        <f t="shared" si="8"/>
        <v>0</v>
      </c>
      <c r="N26" s="233">
        <f t="shared" si="8"/>
        <v>0</v>
      </c>
      <c r="O26" s="233">
        <f t="shared" si="8"/>
        <v>1</v>
      </c>
      <c r="P26" s="233">
        <f t="shared" si="8"/>
        <v>0</v>
      </c>
    </row>
    <row r="27" spans="1:16" ht="15" customHeight="1">
      <c r="A27" s="305" t="s">
        <v>434</v>
      </c>
      <c r="B27" t="s">
        <v>462</v>
      </c>
      <c r="E27" s="233">
        <f t="shared" ref="E27:P27" si="9">E24-E25</f>
        <v>0</v>
      </c>
      <c r="F27" s="233" t="e">
        <f t="shared" si="9"/>
        <v>#VALUE!</v>
      </c>
      <c r="G27" s="233" t="e">
        <f t="shared" si="9"/>
        <v>#VALUE!</v>
      </c>
      <c r="H27" s="233" t="e">
        <f t="shared" si="9"/>
        <v>#VALUE!</v>
      </c>
      <c r="I27" s="233" t="e">
        <f t="shared" si="9"/>
        <v>#VALUE!</v>
      </c>
      <c r="J27" s="233" t="e">
        <f t="shared" si="9"/>
        <v>#VALUE!</v>
      </c>
      <c r="K27" s="233" t="e">
        <f t="shared" si="9"/>
        <v>#VALUE!</v>
      </c>
      <c r="L27" s="233" t="e">
        <f t="shared" si="9"/>
        <v>#VALUE!</v>
      </c>
      <c r="M27" s="233" t="e">
        <f t="shared" si="9"/>
        <v>#VALUE!</v>
      </c>
      <c r="N27" s="233" t="e">
        <f t="shared" si="9"/>
        <v>#VALUE!</v>
      </c>
      <c r="O27" s="233" t="e">
        <f t="shared" si="9"/>
        <v>#VALUE!</v>
      </c>
      <c r="P27" s="233" t="e">
        <f t="shared" si="9"/>
        <v>#VALUE!</v>
      </c>
    </row>
    <row r="28" spans="1:16" ht="15" customHeight="1">
      <c r="A28" s="305" t="s">
        <v>436</v>
      </c>
      <c r="B28" t="s">
        <v>463</v>
      </c>
      <c r="E28" s="233">
        <f t="shared" ref="E28:P28" si="10">E24-E26</f>
        <v>0</v>
      </c>
      <c r="F28" s="233" t="e">
        <f t="shared" si="10"/>
        <v>#VALUE!</v>
      </c>
      <c r="G28" s="233" t="e">
        <f t="shared" si="10"/>
        <v>#VALUE!</v>
      </c>
      <c r="H28" s="233" t="e">
        <f t="shared" si="10"/>
        <v>#VALUE!</v>
      </c>
      <c r="I28" s="233" t="e">
        <f t="shared" si="10"/>
        <v>#VALUE!</v>
      </c>
      <c r="J28" s="233" t="e">
        <f t="shared" si="10"/>
        <v>#VALUE!</v>
      </c>
      <c r="K28" s="233" t="e">
        <f t="shared" si="10"/>
        <v>#VALUE!</v>
      </c>
      <c r="L28" s="233" t="e">
        <f t="shared" si="10"/>
        <v>#VALUE!</v>
      </c>
      <c r="M28" s="233" t="e">
        <f t="shared" si="10"/>
        <v>#VALUE!</v>
      </c>
      <c r="N28" s="233" t="e">
        <f t="shared" si="10"/>
        <v>#VALUE!</v>
      </c>
      <c r="O28" s="233" t="e">
        <f t="shared" si="10"/>
        <v>#VALUE!</v>
      </c>
      <c r="P28" s="233" t="e">
        <f t="shared" si="10"/>
        <v>#VALUE!</v>
      </c>
    </row>
    <row r="29" spans="1:16" ht="26.25" customHeight="1">
      <c r="A29" s="305" t="s">
        <v>437</v>
      </c>
      <c r="B29" s="428" t="str">
        <f>B17</f>
        <v>Max. permissible bank finance (item-6 or 7, whichever is lower)</v>
      </c>
      <c r="C29" s="428"/>
      <c r="D29" s="428"/>
      <c r="E29" s="233">
        <f t="shared" ref="E29:P29" si="11">IF(E27&lt;E28,E27,E28)</f>
        <v>0</v>
      </c>
      <c r="F29" s="233" t="e">
        <f t="shared" si="11"/>
        <v>#VALUE!</v>
      </c>
      <c r="G29" s="233" t="e">
        <f t="shared" si="11"/>
        <v>#VALUE!</v>
      </c>
      <c r="H29" s="233" t="e">
        <f t="shared" si="11"/>
        <v>#VALUE!</v>
      </c>
      <c r="I29" s="233" t="e">
        <f t="shared" si="11"/>
        <v>#VALUE!</v>
      </c>
      <c r="J29" s="233" t="e">
        <f t="shared" si="11"/>
        <v>#VALUE!</v>
      </c>
      <c r="K29" s="233" t="e">
        <f t="shared" si="11"/>
        <v>#VALUE!</v>
      </c>
      <c r="L29" s="233" t="e">
        <f t="shared" si="11"/>
        <v>#VALUE!</v>
      </c>
      <c r="M29" s="233" t="e">
        <f t="shared" si="11"/>
        <v>#VALUE!</v>
      </c>
      <c r="N29" s="233" t="e">
        <f t="shared" si="11"/>
        <v>#VALUE!</v>
      </c>
      <c r="O29" s="233" t="e">
        <f t="shared" si="11"/>
        <v>#VALUE!</v>
      </c>
      <c r="P29" s="233" t="e">
        <f t="shared" si="11"/>
        <v>#VALUE!</v>
      </c>
    </row>
    <row r="30" spans="1:16" ht="27" customHeight="1">
      <c r="A30">
        <v>9</v>
      </c>
      <c r="B30" s="423" t="str">
        <f>B18</f>
        <v>Excess borrowings representing shortfall in NWC (4 - 5)</v>
      </c>
      <c r="C30" s="423"/>
      <c r="D30" s="423"/>
      <c r="E30" s="256" t="str">
        <f t="shared" ref="E30:P30" si="12">IF(E25-E26&gt;0,E25-E26,"")</f>
        <v/>
      </c>
      <c r="F30" s="256" t="str">
        <f t="shared" si="12"/>
        <v/>
      </c>
      <c r="G30" s="256" t="str">
        <f t="shared" si="12"/>
        <v/>
      </c>
      <c r="H30" s="256" t="str">
        <f t="shared" si="12"/>
        <v/>
      </c>
      <c r="I30" s="256" t="str">
        <f t="shared" si="12"/>
        <v/>
      </c>
      <c r="J30" s="256" t="str">
        <f t="shared" si="12"/>
        <v/>
      </c>
      <c r="K30" s="256" t="str">
        <f t="shared" si="12"/>
        <v/>
      </c>
      <c r="L30" s="256" t="str">
        <f t="shared" si="12"/>
        <v/>
      </c>
      <c r="M30" s="256" t="str">
        <f t="shared" si="12"/>
        <v/>
      </c>
      <c r="N30" s="256" t="str">
        <f t="shared" si="12"/>
        <v/>
      </c>
      <c r="O30" s="256" t="str">
        <f t="shared" si="12"/>
        <v/>
      </c>
      <c r="P30" s="256" t="str">
        <f t="shared" si="12"/>
        <v/>
      </c>
    </row>
    <row r="31" spans="1:16" ht="15" customHeight="1"/>
    <row r="32" spans="1:1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23:D23"/>
    <mergeCell ref="B25:D25"/>
    <mergeCell ref="B29:D29"/>
    <mergeCell ref="B30:D30"/>
    <mergeCell ref="B11:D11"/>
    <mergeCell ref="B13:D13"/>
    <mergeCell ref="B17:D17"/>
    <mergeCell ref="B18:D18"/>
  </mergeCells>
  <phoneticPr fontId="19" type="noConversion"/>
  <printOptions horizontalCentered="1"/>
  <pageMargins left="0.78740157480314965" right="0.78740157480314965" top="0.78740157480314965" bottom="0.78740157480314965" header="0.51181102362204722" footer="0.51181102362204722"/>
  <pageSetup scale="64" firstPageNumber="0" orientation="portrait" horizontalDpi="300" verticalDpi="300" r:id="rId1"/>
  <headerFooter alignWithMargins="0">
    <oddFooter>&amp;L&amp;D&amp;C&amp;F (&amp;A)&amp;RPage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6620-FE11-41AC-83B6-2334D2CC66E4}">
  <sheetPr>
    <pageSetUpPr fitToPage="1"/>
  </sheetPr>
  <dimension ref="A1:O59"/>
  <sheetViews>
    <sheetView showGridLines="0" topLeftCell="A25" zoomScale="90" zoomScaleNormal="90" workbookViewId="0">
      <selection activeCell="I37" activeCellId="1" sqref="I34 I37"/>
    </sheetView>
  </sheetViews>
  <sheetFormatPr defaultRowHeight="13.2"/>
  <cols>
    <col min="1" max="1" width="4.109375" customWidth="1"/>
    <col min="2" max="2" width="3.88671875" customWidth="1"/>
    <col min="3" max="3" width="7.33203125" customWidth="1"/>
    <col min="4" max="4" width="30.109375" customWidth="1"/>
    <col min="5" max="15" width="12.6640625" customWidth="1"/>
  </cols>
  <sheetData>
    <row r="1" spans="1:15" ht="15" customHeight="1">
      <c r="A1" s="229" t="s">
        <v>468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</row>
    <row r="2" spans="1:15" ht="15" customHeight="1">
      <c r="A2" s="229" t="s">
        <v>469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</row>
    <row r="3" spans="1:15" ht="15" customHeight="1">
      <c r="A3" s="221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</row>
    <row r="4" spans="1:15" ht="18" customHeight="1">
      <c r="C4" s="229" t="str">
        <f>Form_II!C4</f>
        <v>Name :</v>
      </c>
      <c r="D4">
        <f>'INPUT SHEET'!B7</f>
        <v>0</v>
      </c>
    </row>
    <row r="5" spans="1:15" ht="15" customHeight="1">
      <c r="A5" s="225"/>
    </row>
    <row r="6" spans="1:15" ht="15" customHeight="1">
      <c r="B6" s="225"/>
      <c r="C6" s="225"/>
      <c r="D6" s="225"/>
      <c r="H6" s="226"/>
      <c r="I6" s="226"/>
      <c r="J6" s="226"/>
      <c r="K6" s="226"/>
      <c r="L6" s="226"/>
      <c r="M6" s="226"/>
      <c r="N6" s="226"/>
      <c r="O6" s="226"/>
    </row>
    <row r="7" spans="1:15" ht="15" customHeight="1">
      <c r="E7" s="307" t="str">
        <f>'INPUT SHEET'!C10</f>
        <v>Audited</v>
      </c>
      <c r="F7" s="307" t="str">
        <f>'INPUT SHEET'!D10</f>
        <v>Provisionals</v>
      </c>
      <c r="G7" s="307" t="str">
        <f>'INPUT SHEET'!E10</f>
        <v>Projected</v>
      </c>
      <c r="H7" s="307" t="str">
        <f>'INPUT SHEET'!F10</f>
        <v>Projected</v>
      </c>
      <c r="I7" s="307" t="str">
        <f>'INPUT SHEET'!G10</f>
        <v>Projected</v>
      </c>
      <c r="J7" s="307" t="str">
        <f>'INPUT SHEET'!H10</f>
        <v>Projected</v>
      </c>
      <c r="K7" s="307" t="str">
        <f>'INPUT SHEET'!I10</f>
        <v>Projected</v>
      </c>
      <c r="L7" s="307" t="str">
        <f>'INPUT SHEET'!J10</f>
        <v>Projected</v>
      </c>
      <c r="M7" s="307" t="str">
        <f>'INPUT SHEET'!K10</f>
        <v>Projected</v>
      </c>
      <c r="N7" s="307" t="str">
        <f>'INPUT SHEET'!L10</f>
        <v>Projected</v>
      </c>
      <c r="O7" s="307" t="str">
        <f>'INPUT SHEET'!M10</f>
        <v>Projected</v>
      </c>
    </row>
    <row r="8" spans="1:15" ht="15" customHeight="1">
      <c r="D8" s="308" t="str">
        <f>'INPUT SHEET'!A8</f>
        <v>Year</v>
      </c>
      <c r="E8" s="307">
        <f>'INPUT SHEET'!C8</f>
        <v>2024</v>
      </c>
      <c r="F8" s="307">
        <f>'INPUT SHEET'!D8</f>
        <v>2025</v>
      </c>
      <c r="G8" s="307">
        <f>'INPUT SHEET'!E8</f>
        <v>2026</v>
      </c>
      <c r="H8" s="307">
        <f>'INPUT SHEET'!F8</f>
        <v>2027</v>
      </c>
      <c r="I8" s="307">
        <f>'INPUT SHEET'!G8</f>
        <v>2028</v>
      </c>
      <c r="J8" s="307">
        <f>'INPUT SHEET'!H8</f>
        <v>2029</v>
      </c>
      <c r="K8" s="307">
        <f>'INPUT SHEET'!I8</f>
        <v>2030</v>
      </c>
      <c r="L8" s="307">
        <f>'INPUT SHEET'!J8</f>
        <v>2031</v>
      </c>
      <c r="M8" s="307">
        <f>'INPUT SHEET'!K8</f>
        <v>2032</v>
      </c>
      <c r="N8" s="307">
        <f>'INPUT SHEET'!L8</f>
        <v>2033</v>
      </c>
      <c r="O8" s="307">
        <f>'INPUT SHEET'!M8</f>
        <v>2034</v>
      </c>
    </row>
    <row r="9" spans="1:15" ht="15" customHeight="1">
      <c r="D9" s="289" t="str">
        <f>'INPUT SHEET'!A9</f>
        <v>Number of months</v>
      </c>
      <c r="E9" s="266">
        <f>'INPUT SHEET'!C9</f>
        <v>12</v>
      </c>
      <c r="F9" s="266">
        <f>'INPUT SHEET'!D9</f>
        <v>12</v>
      </c>
      <c r="G9" s="266">
        <f>'INPUT SHEET'!E9</f>
        <v>12</v>
      </c>
      <c r="H9" s="266">
        <f>'INPUT SHEET'!F9</f>
        <v>12</v>
      </c>
      <c r="I9" s="266">
        <f>'INPUT SHEET'!G9</f>
        <v>12</v>
      </c>
      <c r="J9" s="266">
        <f>'INPUT SHEET'!H9</f>
        <v>12</v>
      </c>
      <c r="K9" s="266">
        <f>'INPUT SHEET'!I9</f>
        <v>12</v>
      </c>
      <c r="L9" s="266">
        <f>'INPUT SHEET'!J9</f>
        <v>12</v>
      </c>
      <c r="M9" s="266">
        <f>'INPUT SHEET'!K9</f>
        <v>12</v>
      </c>
      <c r="N9" s="266">
        <f>'INPUT SHEET'!L9</f>
        <v>12</v>
      </c>
      <c r="O9" s="266">
        <f>'INPUT SHEET'!M9</f>
        <v>12</v>
      </c>
    </row>
    <row r="10" spans="1:15" ht="20.100000000000001" customHeight="1">
      <c r="A10" s="305" t="s">
        <v>424</v>
      </c>
      <c r="B10" s="224" t="s">
        <v>470</v>
      </c>
      <c r="E10" s="268"/>
      <c r="F10" s="268"/>
      <c r="G10" s="268"/>
      <c r="H10" s="230"/>
      <c r="I10" s="230"/>
      <c r="J10" s="230"/>
      <c r="K10" s="230"/>
      <c r="L10" s="230"/>
      <c r="M10" s="230"/>
      <c r="N10" s="230"/>
      <c r="O10" s="230"/>
    </row>
    <row r="11" spans="1:15" ht="20.100000000000001" customHeight="1">
      <c r="B11" t="s">
        <v>336</v>
      </c>
      <c r="C11" t="s">
        <v>471</v>
      </c>
      <c r="E11" s="241">
        <f>IF(Form_II!F51&gt;=0,Form_II!F51,"")</f>
        <v>0</v>
      </c>
      <c r="F11" s="241">
        <f>IF(Form_II!G51&gt;=0,Form_II!G51,"")</f>
        <v>0</v>
      </c>
      <c r="G11" s="241">
        <f>IF(Form_II!H51&gt;=0,Form_II!H51,"")</f>
        <v>0</v>
      </c>
      <c r="H11" s="233">
        <f>IF(Form_II!I51&gt;=0,Form_II!I51,"")</f>
        <v>0</v>
      </c>
      <c r="I11" s="233">
        <f>IF(Form_II!J51&gt;=0,Form_II!J51,"")</f>
        <v>0</v>
      </c>
      <c r="J11" s="233">
        <f>IF(Form_II!K51&gt;=0,Form_II!K51,"")</f>
        <v>0</v>
      </c>
      <c r="K11" s="233">
        <f>IF(Form_II!L51&gt;=0,Form_II!L51,"")</f>
        <v>0.01</v>
      </c>
      <c r="L11" s="233">
        <f>IF(Form_II!M51&gt;=0,Form_II!M51,"")</f>
        <v>0</v>
      </c>
      <c r="M11" s="233">
        <f>IF(Form_II!N51&gt;=0,Form_II!N51,"")</f>
        <v>0</v>
      </c>
      <c r="N11" s="233">
        <f>IF(Form_II!O51&gt;=0,Form_II!O51,"")</f>
        <v>0</v>
      </c>
      <c r="O11" s="233">
        <f>IF(Form_II!P51&gt;=0,Form_II!P51,"")</f>
        <v>0</v>
      </c>
    </row>
    <row r="12" spans="1:15" ht="20.100000000000001" customHeight="1">
      <c r="A12" s="305"/>
      <c r="B12" t="s">
        <v>337</v>
      </c>
      <c r="C12" t="s">
        <v>43</v>
      </c>
      <c r="E12" s="241">
        <f>Form_III!F89-Form_III!E89</f>
        <v>0</v>
      </c>
      <c r="F12" s="241">
        <f>Form_III!G89-Form_III!F89</f>
        <v>0</v>
      </c>
      <c r="G12" s="241">
        <f>Form_III!H89-Form_III!G89</f>
        <v>0</v>
      </c>
      <c r="H12" s="233">
        <f>Form_III!I89-Form_III!H89</f>
        <v>0</v>
      </c>
      <c r="I12" s="233">
        <f>Form_III!J89-Form_III!I89</f>
        <v>0</v>
      </c>
      <c r="J12" s="233">
        <f>Form_III!K89-Form_III!J89</f>
        <v>0</v>
      </c>
      <c r="K12" s="233">
        <f>Form_III!L89-Form_III!K89</f>
        <v>0</v>
      </c>
      <c r="L12" s="233">
        <f>Form_III!M89-Form_III!L89</f>
        <v>0</v>
      </c>
      <c r="M12" s="233">
        <f>Form_III!N89-Form_III!M89</f>
        <v>0</v>
      </c>
      <c r="N12" s="233">
        <f>Form_III!O89-Form_III!N89</f>
        <v>0</v>
      </c>
      <c r="O12" s="233">
        <f>Form_III!P89-Form_III!O89</f>
        <v>0</v>
      </c>
    </row>
    <row r="13" spans="1:15" ht="20.100000000000001" customHeight="1">
      <c r="A13" s="305"/>
      <c r="B13" t="s">
        <v>381</v>
      </c>
      <c r="C13" t="s">
        <v>472</v>
      </c>
      <c r="E13" s="241">
        <f>Form_III!F41-Form_III!E41</f>
        <v>0</v>
      </c>
      <c r="F13" s="241">
        <f>Form_III!G41-Form_III!F41</f>
        <v>0</v>
      </c>
      <c r="G13" s="241">
        <f>Form_III!H41-Form_III!G41</f>
        <v>0</v>
      </c>
      <c r="H13" s="233">
        <f>Form_III!I41-Form_III!H41</f>
        <v>0</v>
      </c>
      <c r="I13" s="233">
        <f>Form_III!J41-Form_III!I41</f>
        <v>0</v>
      </c>
      <c r="J13" s="233">
        <f>Form_III!K41-Form_III!J41</f>
        <v>0</v>
      </c>
      <c r="K13" s="233">
        <f>Form_III!L41-Form_III!K41</f>
        <v>0</v>
      </c>
      <c r="L13" s="233">
        <f>Form_III!M41-Form_III!L41</f>
        <v>0</v>
      </c>
      <c r="M13" s="233">
        <f>Form_III!N41-Form_III!M41</f>
        <v>0</v>
      </c>
      <c r="N13" s="233">
        <f>Form_III!O41-Form_III!N41</f>
        <v>0</v>
      </c>
      <c r="O13" s="233">
        <f>Form_III!P41-Form_III!O41</f>
        <v>0</v>
      </c>
    </row>
    <row r="14" spans="1:15" ht="20.100000000000001" customHeight="1">
      <c r="A14" s="305"/>
      <c r="B14" t="s">
        <v>382</v>
      </c>
      <c r="C14" t="s">
        <v>473</v>
      </c>
      <c r="E14" s="241">
        <f>IF(Form_III!F37-Form_III!E37&gt;=0,Form_III!F37-Form_III!E37,"")</f>
        <v>0</v>
      </c>
      <c r="F14" s="241">
        <f>IF(Form_III!G37-Form_III!F37&gt;=0,Form_III!G37-Form_III!F37,"")</f>
        <v>0</v>
      </c>
      <c r="G14" s="241">
        <f>IF(Form_III!H37-Form_III!G37&gt;=0,Form_III!H37-Form_III!G37,"")</f>
        <v>0</v>
      </c>
      <c r="H14" s="233">
        <f>IF(Form_III!I37-Form_III!H37&gt;=0,Form_III!I37-Form_III!H37,"")</f>
        <v>0</v>
      </c>
      <c r="I14" s="233">
        <f>IF(Form_III!J37-Form_III!I37&gt;=0,Form_III!J37-Form_III!I37,"")</f>
        <v>0</v>
      </c>
      <c r="J14" s="233">
        <f>IF(Form_III!K37-Form_III!J37&gt;=0,Form_III!K37-Form_III!J37,"")</f>
        <v>0</v>
      </c>
      <c r="K14" s="233">
        <f>IF(Form_III!L37-Form_III!K37&gt;=0,Form_III!L37-Form_III!K37,"")</f>
        <v>0</v>
      </c>
      <c r="L14" s="233">
        <f>IF(Form_III!M37-Form_III!L37&gt;=0,Form_III!M37-Form_III!L37,"")</f>
        <v>0</v>
      </c>
      <c r="M14" s="233">
        <f>IF(Form_III!N37-Form_III!M37&gt;=0,Form_III!N37-Form_III!M37,"")</f>
        <v>0</v>
      </c>
      <c r="N14" s="233">
        <f>IF(Form_III!O37-Form_III!N37&gt;=0,Form_III!O37-Form_III!N37,"")</f>
        <v>0</v>
      </c>
      <c r="O14" s="233">
        <f>IF(Form_III!P37-Form_III!O37&gt;=0,Form_III!P37-Form_III!O37,"")</f>
        <v>0</v>
      </c>
    </row>
    <row r="15" spans="1:15" ht="20.100000000000001" customHeight="1">
      <c r="A15" s="225"/>
      <c r="B15" t="s">
        <v>474</v>
      </c>
      <c r="C15" t="s">
        <v>475</v>
      </c>
      <c r="E15" s="241"/>
      <c r="F15" s="241"/>
      <c r="G15" s="241"/>
      <c r="H15" s="233"/>
      <c r="I15" s="233"/>
      <c r="J15" s="233"/>
      <c r="K15" s="233"/>
      <c r="L15" s="233"/>
      <c r="M15" s="233"/>
      <c r="N15" s="233"/>
      <c r="O15" s="233"/>
    </row>
    <row r="16" spans="1:15" ht="20.100000000000001" customHeight="1">
      <c r="A16" s="305"/>
      <c r="C16" t="s">
        <v>326</v>
      </c>
      <c r="D16" t="s">
        <v>106</v>
      </c>
      <c r="E16" s="241" t="str">
        <f>IF(Form_III!F88-Form_III!E88&lt;0,(Form_III!F88-Form_III!E88)*-1,"")</f>
        <v/>
      </c>
      <c r="F16" s="241" t="str">
        <f>IF(Form_III!G88-Form_III!F88&lt;0,(Form_III!G88-Form_III!F88)*-1,"")</f>
        <v/>
      </c>
      <c r="G16" s="241" t="str">
        <f>IF(Form_III!H88-Form_III!G88&lt;0,(Form_III!H88-Form_III!G88)*-1,"")</f>
        <v/>
      </c>
      <c r="H16" s="233" t="str">
        <f>IF(Form_III!I88-Form_III!H88&lt;0,(Form_III!I88-Form_III!H88)*-1,"")</f>
        <v/>
      </c>
      <c r="I16" s="233" t="str">
        <f>IF(Form_III!J88-Form_III!I88&lt;0,(Form_III!J88-Form_III!I88)*-1,"")</f>
        <v/>
      </c>
      <c r="J16" s="233" t="str">
        <f>IF(Form_III!K88-Form_III!J88&lt;0,(Form_III!K88-Form_III!J88)*-1,"")</f>
        <v/>
      </c>
      <c r="K16" s="233" t="str">
        <f>IF(Form_III!L88-Form_III!K88&lt;0,(Form_III!L88-Form_III!K88)*-1,"")</f>
        <v/>
      </c>
      <c r="L16" s="233" t="str">
        <f>IF(Form_III!M88-Form_III!L88&lt;0,(Form_III!M88-Form_III!L88)*-1,"")</f>
        <v/>
      </c>
      <c r="M16" s="233" t="str">
        <f>IF(Form_III!N88-Form_III!M88&lt;0,(Form_III!N88-Form_III!M88)*-1,"")</f>
        <v/>
      </c>
      <c r="N16" s="233" t="str">
        <f>IF(Form_III!O88-Form_III!N88&lt;0,(Form_III!O88-Form_III!N88)*-1,"")</f>
        <v/>
      </c>
      <c r="O16" s="233" t="str">
        <f>IF(Form_III!P88-Form_III!O88&lt;0,(Form_III!P88-Form_III!O88)*-1,"")</f>
        <v/>
      </c>
    </row>
    <row r="17" spans="1:15" ht="20.100000000000001" customHeight="1">
      <c r="A17" s="305"/>
      <c r="C17" t="s">
        <v>328</v>
      </c>
      <c r="D17" t="s">
        <v>476</v>
      </c>
      <c r="E17" s="241" t="str">
        <f>IF((Form_III!F104+Form_III!F106-(Form_III!E104+Form_III!E106))&lt;0,(Form_III!F104+Form_III!F106-(Form_III!E104+Form_III!E106))*-1,"")</f>
        <v/>
      </c>
      <c r="F17" s="241" t="str">
        <f>IF((Form_III!G104+Form_III!G106-(Form_III!F104+Form_III!F106))&lt;0,(Form_III!G104+Form_III!G106-(Form_III!F104+Form_III!F106))*-1,"")</f>
        <v/>
      </c>
      <c r="G17" s="241" t="str">
        <f>IF((Form_III!H104+Form_III!H106-(Form_III!G104+Form_III!G106))&lt;0,(Form_III!H104+Form_III!H106-(Form_III!G104+Form_III!G106))*-1,"")</f>
        <v/>
      </c>
      <c r="H17" s="233" t="str">
        <f>IF((Form_III!I104+Form_III!I106-(Form_III!H104+Form_III!H106))&lt;0,(Form_III!I104+Form_III!I106-(Form_III!H104+Form_III!H106))*-1,"")</f>
        <v/>
      </c>
      <c r="I17" s="233" t="str">
        <f>IF((Form_III!J104+Form_III!J106-(Form_III!I104+Form_III!I106))&lt;0,(Form_III!J104+Form_III!J106-(Form_III!I104+Form_III!I106))*-1,"")</f>
        <v/>
      </c>
      <c r="J17" s="233" t="str">
        <f>IF((Form_III!K104+Form_III!K106-(Form_III!J104+Form_III!J106))&lt;0,(Form_III!K104+Form_III!K106-(Form_III!J104+Form_III!J106))*-1,"")</f>
        <v/>
      </c>
      <c r="K17" s="233" t="str">
        <f>IF((Form_III!L104+Form_III!L106-(Form_III!K104+Form_III!K106))&lt;0,(Form_III!L104+Form_III!L106-(Form_III!K104+Form_III!K106))*-1,"")</f>
        <v/>
      </c>
      <c r="L17" s="233" t="str">
        <f>IF((Form_III!M104+Form_III!M106-(Form_III!L104+Form_III!L106))&lt;0,(Form_III!M104+Form_III!M106-(Form_III!L104+Form_III!L106))*-1,"")</f>
        <v/>
      </c>
      <c r="M17" s="233" t="str">
        <f>IF((Form_III!N104+Form_III!N106-(Form_III!M104+Form_III!M106))&lt;0,(Form_III!N104+Form_III!N106-(Form_III!M104+Form_III!M106))*-1,"")</f>
        <v/>
      </c>
      <c r="N17" s="233" t="str">
        <f>IF((Form_III!O104+Form_III!O106-(Form_III!N104+Form_III!N106))&lt;0,(Form_III!O104+Form_III!O106-(Form_III!N104+Form_III!N106))*-1,"")</f>
        <v/>
      </c>
      <c r="O17" s="233" t="str">
        <f>IF((Form_III!P104+Form_III!P106-(Form_III!O104+Form_III!O106))&lt;0,(Form_III!P104+Form_III!P106-(Form_III!O104+Form_III!O106))*-1,"")</f>
        <v/>
      </c>
    </row>
    <row r="18" spans="1:15" ht="20.100000000000001" customHeight="1">
      <c r="A18" s="305"/>
      <c r="B18" t="s">
        <v>477</v>
      </c>
      <c r="C18" s="429" t="s">
        <v>28</v>
      </c>
      <c r="D18" s="429"/>
      <c r="E18" s="241">
        <f>IF(Form_III!F49+Form_III!F20-Form_III!F41-Form_II!F51-(Form_III!E49-Form_III!E41)&gt;=0,(Form_III!F49+Form_III!F20-Form_III!F41-Form_II!F51-(Form_III!E49-Form_III!E41)),"")</f>
        <v>0</v>
      </c>
      <c r="F18" s="241">
        <f>IF(Form_III!G49+Form_III!G20-Form_III!G41-Form_II!G51-(Form_III!F49-Form_III!F41)&gt;=0,(Form_III!G49+Form_III!G20-Form_III!G41-Form_II!G51-(Form_III!F49-Form_III!F41)),"")</f>
        <v>0</v>
      </c>
      <c r="G18" s="241">
        <f>IF(Form_III!H49+Form_III!H20-Form_III!H41-Form_II!H51-(Form_III!G49-Form_III!G41)&gt;=0,(Form_III!H49+Form_III!H20-Form_III!H41-Form_II!H51-(Form_III!G49-Form_III!G41)),"")</f>
        <v>0</v>
      </c>
      <c r="H18" s="233">
        <f>IF(Form_III!I49+Form_III!I20-Form_III!I41-Form_II!I51-(Form_III!H49-Form_III!H41)&gt;=0,(Form_III!I49+Form_III!I20-Form_III!I41-Form_II!I51-(Form_III!H49-Form_III!H41)),"")</f>
        <v>0</v>
      </c>
      <c r="I18" s="233">
        <f>IF(Form_III!J49+Form_III!J20-Form_III!J41-Form_II!J51-(Form_III!I49-Form_III!I41)&gt;=0,(Form_III!J49+Form_III!J20-Form_III!J41-Form_II!J51-(Form_III!I49-Form_III!I41)),"")</f>
        <v>0</v>
      </c>
      <c r="J18" s="233">
        <f>IF(Form_III!K49+Form_III!K20-Form_III!K41-Form_II!K51-(Form_III!J49-Form_III!J41)&gt;=0,(Form_III!K49+Form_III!K20-Form_III!K41-Form_II!K51-(Form_III!J49-Form_III!J41)),"")</f>
        <v>0</v>
      </c>
      <c r="K18" s="233" t="str">
        <f>IF(Form_III!L49+Form_III!L20-Form_III!L41-Form_II!L51-(Form_III!K49-Form_III!K41)&gt;=0,(Form_III!L49+Form_III!L20-Form_III!L41-Form_II!L51-(Form_III!K49-Form_III!K41)),"")</f>
        <v/>
      </c>
      <c r="L18" s="233">
        <f>IF(Form_III!M49+Form_III!M20-Form_III!M41-Form_II!M51-(Form_III!L49-Form_III!L41)&gt;=0,(Form_III!M49+Form_III!M20-Form_III!M41-Form_II!M51-(Form_III!L49-Form_III!L41)),"")</f>
        <v>0</v>
      </c>
      <c r="M18" s="233">
        <f>IF(Form_III!N49+Form_III!N20-Form_III!N41-Form_II!N51-(Form_III!M49-Form_III!M41)&gt;=0,(Form_III!N49+Form_III!N20-Form_III!N41-Form_II!N51-(Form_III!M49-Form_III!M41)),"")</f>
        <v>0</v>
      </c>
      <c r="N18" s="233">
        <f>IF(Form_III!O49+Form_III!O20-Form_III!O41-Form_II!O51-(Form_III!N49-Form_III!N41)&gt;=0,(Form_III!O49+Form_III!O20-Form_III!O41-Form_II!O51-(Form_III!N49-Form_III!N41)),"")</f>
        <v>0</v>
      </c>
      <c r="O18" s="233">
        <f>IF(Form_III!P49+Form_III!P20-Form_III!P41-Form_II!P51-(Form_III!O49-Form_III!O41)&gt;=0,(Form_III!P49+Form_III!P20-Form_III!P41-Form_II!P51-(Form_III!O49-Form_III!O41)),"")</f>
        <v>0</v>
      </c>
    </row>
    <row r="19" spans="1:15" ht="20.100000000000001" customHeight="1">
      <c r="A19" s="305"/>
      <c r="B19" t="s">
        <v>478</v>
      </c>
      <c r="C19" t="s">
        <v>479</v>
      </c>
      <c r="E19" s="309">
        <f t="shared" ref="E19:O19" si="0">SUM(E11:E18)</f>
        <v>0</v>
      </c>
      <c r="F19" s="309">
        <f t="shared" si="0"/>
        <v>0</v>
      </c>
      <c r="G19" s="309">
        <f t="shared" si="0"/>
        <v>0</v>
      </c>
      <c r="H19" s="310">
        <f t="shared" si="0"/>
        <v>0</v>
      </c>
      <c r="I19" s="310">
        <f t="shared" si="0"/>
        <v>0</v>
      </c>
      <c r="J19" s="310">
        <f t="shared" si="0"/>
        <v>0</v>
      </c>
      <c r="K19" s="310">
        <f t="shared" si="0"/>
        <v>0.01</v>
      </c>
      <c r="L19" s="310">
        <f t="shared" si="0"/>
        <v>0</v>
      </c>
      <c r="M19" s="310">
        <f t="shared" si="0"/>
        <v>0</v>
      </c>
      <c r="N19" s="310">
        <f t="shared" si="0"/>
        <v>0</v>
      </c>
      <c r="O19" s="310">
        <f t="shared" si="0"/>
        <v>0</v>
      </c>
    </row>
    <row r="20" spans="1:15" ht="20.100000000000001" customHeight="1">
      <c r="A20" s="305"/>
      <c r="E20" s="241"/>
      <c r="F20" s="241"/>
      <c r="G20" s="241"/>
      <c r="H20" s="233"/>
      <c r="I20" s="233"/>
      <c r="J20" s="233"/>
      <c r="K20" s="233"/>
      <c r="L20" s="233"/>
      <c r="M20" s="233"/>
      <c r="N20" s="233"/>
      <c r="O20" s="233"/>
    </row>
    <row r="21" spans="1:15" ht="20.100000000000001" customHeight="1">
      <c r="A21" s="305" t="s">
        <v>427</v>
      </c>
      <c r="B21" s="224" t="s">
        <v>480</v>
      </c>
      <c r="E21" s="241"/>
      <c r="F21" s="241"/>
      <c r="G21" s="241"/>
      <c r="H21" s="233"/>
      <c r="I21" s="233"/>
      <c r="J21" s="233"/>
      <c r="K21" s="233"/>
      <c r="L21" s="233"/>
      <c r="M21" s="233"/>
      <c r="N21" s="233"/>
      <c r="O21" s="233"/>
    </row>
    <row r="22" spans="1:15" ht="20.100000000000001" customHeight="1">
      <c r="B22" t="s">
        <v>336</v>
      </c>
      <c r="C22" t="s">
        <v>481</v>
      </c>
      <c r="E22" s="241" t="str">
        <f>IF(Form_II!F51&lt;0,Form_II!F51*-1,"")</f>
        <v/>
      </c>
      <c r="F22" s="241" t="str">
        <f>IF(Form_II!G51&lt;0,Form_II!G51*-1,"")</f>
        <v/>
      </c>
      <c r="G22" s="241" t="str">
        <f>IF(Form_II!H51&lt;0,Form_II!H51*-1,"")</f>
        <v/>
      </c>
      <c r="H22" s="233" t="str">
        <f>IF(Form_II!I51&lt;0,Form_II!I51*-1,"")</f>
        <v/>
      </c>
      <c r="I22" s="233" t="str">
        <f>IF(Form_II!J51&lt;0,Form_II!J51*-1,"")</f>
        <v/>
      </c>
      <c r="J22" s="233" t="str">
        <f>IF(Form_II!K51&lt;0,Form_II!K51*-1,"")</f>
        <v/>
      </c>
      <c r="K22" s="233" t="str">
        <f>IF(Form_II!L51&lt;0,Form_II!L51*-1,"")</f>
        <v/>
      </c>
      <c r="L22" s="233" t="str">
        <f>IF(Form_II!M51&lt;0,Form_II!M51*-1,"")</f>
        <v/>
      </c>
      <c r="M22" s="233" t="str">
        <f>IF(Form_II!N51&lt;0,Form_II!N51*-1,"")</f>
        <v/>
      </c>
      <c r="N22" s="233" t="str">
        <f>IF(Form_II!O51&lt;0,Form_II!O51*-1,"")</f>
        <v/>
      </c>
      <c r="O22" s="233" t="str">
        <f>IF(Form_II!P51&lt;0,Form_II!P51*-1,"")</f>
        <v/>
      </c>
    </row>
    <row r="23" spans="1:15" ht="20.100000000000001" customHeight="1">
      <c r="B23" s="272" t="s">
        <v>337</v>
      </c>
      <c r="C23" t="s">
        <v>482</v>
      </c>
      <c r="E23" s="241" t="str">
        <f>IF(Form_III!F37-Form_III!E37&lt;0,(Form_III!F37-Form_III!E37)*-1,"")</f>
        <v/>
      </c>
      <c r="F23" s="241" t="str">
        <f>IF(Form_III!G37-Form_III!F37&lt;0,(Form_III!G37-Form_III!F37)*-1,"")</f>
        <v/>
      </c>
      <c r="G23" s="241" t="str">
        <f>IF(Form_III!H37-Form_III!G37&lt;0,(Form_III!H37-Form_III!G37)*-1,"")</f>
        <v/>
      </c>
      <c r="H23" s="233" t="str">
        <f>IF(Form_III!I37-Form_III!H37&lt;0,(Form_III!I37-Form_III!H37)*-1,"")</f>
        <v/>
      </c>
      <c r="I23" s="233" t="str">
        <f>IF(Form_III!J37-Form_III!I37&lt;0,(Form_III!J37-Form_III!I37)*-1,"")</f>
        <v/>
      </c>
      <c r="J23" s="233" t="str">
        <f>IF(Form_III!K37-Form_III!J37&lt;0,(Form_III!K37-Form_III!J37)*-1,"")</f>
        <v/>
      </c>
      <c r="K23" s="233" t="str">
        <f>IF(Form_III!L37-Form_III!K37&lt;0,(Form_III!L37-Form_III!K37)*-1,"")</f>
        <v/>
      </c>
      <c r="L23" s="233" t="str">
        <f>IF(Form_III!M37-Form_III!L37&lt;0,(Form_III!M37-Form_III!L37)*-1,"")</f>
        <v/>
      </c>
      <c r="M23" s="233" t="str">
        <f>IF(Form_III!N37-Form_III!M37&lt;0,(Form_III!N37-Form_III!M37)*-1,"")</f>
        <v/>
      </c>
      <c r="N23" s="233" t="str">
        <f>IF(Form_III!O37-Form_III!N37&lt;0,(Form_III!O37-Form_III!N37)*-1,"")</f>
        <v/>
      </c>
      <c r="O23" s="233" t="str">
        <f>IF(Form_III!P37-Form_III!O37&lt;0,(Form_III!P37-Form_III!O37)*-1,"")</f>
        <v/>
      </c>
    </row>
    <row r="24" spans="1:15" ht="20.100000000000001" customHeight="1">
      <c r="B24" t="s">
        <v>381</v>
      </c>
      <c r="C24" t="s">
        <v>483</v>
      </c>
      <c r="E24" s="241"/>
      <c r="F24" s="241"/>
      <c r="G24" s="241"/>
      <c r="H24" s="233"/>
      <c r="I24" s="233"/>
      <c r="J24" s="233"/>
      <c r="K24" s="233"/>
      <c r="L24" s="233"/>
      <c r="M24" s="233"/>
      <c r="N24" s="233"/>
      <c r="O24" s="233"/>
    </row>
    <row r="25" spans="1:15" ht="20.100000000000001" customHeight="1">
      <c r="A25" s="304"/>
      <c r="C25" t="s">
        <v>326</v>
      </c>
      <c r="D25" t="s">
        <v>106</v>
      </c>
      <c r="E25" s="241">
        <f>IF(Form_III!F88-Form_III!E88&gt;=0,Form_III!F88-Form_III!E88,"")</f>
        <v>0</v>
      </c>
      <c r="F25" s="241">
        <f>IF(Form_III!G88-Form_III!F88&gt;=0,Form_III!G88-Form_III!F88,"")</f>
        <v>0</v>
      </c>
      <c r="G25" s="241">
        <f>IF(Form_III!H88-Form_III!G88&gt;=0,Form_III!H88-Form_III!G88,"")</f>
        <v>0</v>
      </c>
      <c r="H25" s="233">
        <f>IF(Form_III!I88-Form_III!H88&gt;=0,Form_III!I88-Form_III!H88,"")</f>
        <v>0</v>
      </c>
      <c r="I25" s="233">
        <f>IF(Form_III!J88-Form_III!I88&gt;=0,Form_III!J88-Form_III!I88,"")</f>
        <v>0</v>
      </c>
      <c r="J25" s="233">
        <f>IF(Form_III!K88-Form_III!J88&gt;=0,Form_III!K88-Form_III!J88,"")</f>
        <v>0</v>
      </c>
      <c r="K25" s="233">
        <f>IF(Form_III!L88-Form_III!K88&gt;=0,Form_III!L88-Form_III!K88,"")</f>
        <v>0</v>
      </c>
      <c r="L25" s="233">
        <f>IF(Form_III!M88-Form_III!L88&gt;=0,Form_III!M88-Form_III!L88,"")</f>
        <v>0</v>
      </c>
      <c r="M25" s="233">
        <f>IF(Form_III!N88-Form_III!M88&gt;=0,Form_III!N88-Form_III!M88,"")</f>
        <v>0</v>
      </c>
      <c r="N25" s="233">
        <f>IF(Form_III!O88-Form_III!N88&gt;=0,Form_III!O88-Form_III!N88,"")</f>
        <v>0</v>
      </c>
      <c r="O25" s="233">
        <f>IF(Form_III!P88-Form_III!O88&gt;=0,Form_III!P88-Form_III!O88,"")</f>
        <v>0</v>
      </c>
    </row>
    <row r="26" spans="1:15" ht="20.100000000000001" customHeight="1">
      <c r="C26" t="s">
        <v>328</v>
      </c>
      <c r="D26" t="s">
        <v>476</v>
      </c>
      <c r="E26" s="241">
        <f>IF((Form_III!F104+Form_III!F106-(Form_III!E104+Form_III!F106))&gt;=0,(Form_III!F104+Form_III!F106-(Form_III!E104+Form_III!E106)),"")</f>
        <v>0</v>
      </c>
      <c r="F26" s="241">
        <f>IF((Form_III!G104+Form_III!G106-(Form_III!F104+Form_III!G106))&gt;=0,(Form_III!G104+Form_III!G106-(Form_III!F104+Form_III!F106)),"")</f>
        <v>0</v>
      </c>
      <c r="G26" s="241">
        <f>IF((Form_III!H104+Form_III!H106-(Form_III!G104+Form_III!H106))&gt;=0,(Form_III!H104+Form_III!H106-(Form_III!G104+Form_III!G106)),"")</f>
        <v>0</v>
      </c>
      <c r="H26" s="233">
        <f>IF((Form_III!I104+Form_III!I106-(Form_III!H104+Form_III!I106))&gt;=0,(Form_III!I104+Form_III!I106-(Form_III!H104+Form_III!H106)),"")</f>
        <v>0</v>
      </c>
      <c r="I26" s="233">
        <f>IF((Form_III!J104+Form_III!J106-(Form_III!I104+Form_III!J106))&gt;=0,(Form_III!J104+Form_III!J106-(Form_III!I104+Form_III!I106)),"")</f>
        <v>0</v>
      </c>
      <c r="J26" s="233">
        <f>IF((Form_III!K104+Form_III!K106-(Form_III!J104+Form_III!K106))&gt;=0,(Form_III!K104+Form_III!K106-(Form_III!J104+Form_III!J106)),"")</f>
        <v>0</v>
      </c>
      <c r="K26" s="233">
        <f>IF((Form_III!L104+Form_III!L106-(Form_III!K104+Form_III!L106))&gt;=0,(Form_III!L104+Form_III!L106-(Form_III!K104+Form_III!K106)),"")</f>
        <v>0</v>
      </c>
      <c r="L26" s="233">
        <f>IF((Form_III!M104+Form_III!M106-(Form_III!L104+Form_III!M106))&gt;=0,(Form_III!M104+Form_III!M106-(Form_III!L104+Form_III!L106)),"")</f>
        <v>0</v>
      </c>
      <c r="M26" s="233">
        <f>IF((Form_III!N104+Form_III!N106-(Form_III!M104+Form_III!N106))&gt;=0,(Form_III!N104+Form_III!N106-(Form_III!M104+Form_III!M106)),"")</f>
        <v>0</v>
      </c>
      <c r="N26" s="233">
        <f>IF((Form_III!O104+Form_III!O106-(Form_III!N104+Form_III!O106))&gt;=0,(Form_III!O104+Form_III!O106-(Form_III!N104+Form_III!N106)),"")</f>
        <v>0</v>
      </c>
      <c r="O26" s="233">
        <f>IF((Form_III!P104+Form_III!P106-(Form_III!O104+Form_III!P106))&gt;=0,(Form_III!P104+Form_III!P106-(Form_III!O104+Form_III!O106)),"")</f>
        <v>0</v>
      </c>
    </row>
    <row r="27" spans="1:15" ht="20.100000000000001" customHeight="1">
      <c r="A27" s="305"/>
      <c r="B27" t="s">
        <v>382</v>
      </c>
      <c r="C27" t="s">
        <v>484</v>
      </c>
      <c r="E27" s="241">
        <f>Form_II!F53</f>
        <v>0</v>
      </c>
      <c r="F27" s="241">
        <f>Form_II!G53</f>
        <v>0</v>
      </c>
      <c r="G27" s="241">
        <f>Form_II!H53</f>
        <v>0</v>
      </c>
      <c r="H27" s="233">
        <f>Form_II!I53</f>
        <v>0</v>
      </c>
      <c r="I27" s="233">
        <f>Form_II!J53</f>
        <v>0</v>
      </c>
      <c r="J27" s="233">
        <f>Form_II!K53</f>
        <v>0</v>
      </c>
      <c r="K27" s="233">
        <f>Form_II!L53</f>
        <v>0</v>
      </c>
      <c r="L27" s="233">
        <f>Form_II!M53</f>
        <v>0</v>
      </c>
      <c r="M27" s="233">
        <f>Form_II!N53</f>
        <v>0</v>
      </c>
      <c r="N27" s="233">
        <f>Form_II!O53</f>
        <v>0</v>
      </c>
      <c r="O27" s="233">
        <f>Form_II!P53</f>
        <v>0</v>
      </c>
    </row>
    <row r="28" spans="1:15" ht="20.100000000000001" customHeight="1">
      <c r="A28" s="305"/>
      <c r="B28" t="s">
        <v>474</v>
      </c>
      <c r="C28" s="429" t="s">
        <v>28</v>
      </c>
      <c r="D28" s="429"/>
      <c r="E28" s="241" t="str">
        <f>IF(Form_III!F49+Form_III!F20-Form_III!F41-Form_II!F51-(Form_III!E49-Form_III!E41)&lt;0,(Form_III!F49+Form_III!F20-Form_III!F41-Form_II!F51-(Form_III!E49-Form_III!E41))*-1,"")</f>
        <v/>
      </c>
      <c r="F28" s="241" t="str">
        <f>IF(Form_III!G49+Form_III!G20-Form_III!G41-Form_II!G51-(Form_III!F49-Form_III!F41)&lt;0,(Form_III!G49+Form_III!G20-Form_III!G41-Form_II!G51-(Form_III!F49-Form_III!F41))*-1,"")</f>
        <v/>
      </c>
      <c r="G28" s="241" t="str">
        <f>IF(Form_III!H49+Form_III!H20-Form_III!H41-Form_II!H51-(Form_III!G49-Form_III!G41)&lt;0,(Form_III!H49+Form_III!H20-Form_III!H41-Form_II!H51-(Form_III!G49-Form_III!G41))*-1,"")</f>
        <v/>
      </c>
      <c r="H28" s="233" t="str">
        <f>IF(Form_III!I49+Form_III!I20-Form_III!I41-Form_II!I51-(Form_III!H49-Form_III!H41)&lt;0,(Form_III!I49+Form_III!I20-Form_III!I41-Form_II!I51-(Form_III!H49-Form_III!H41))*-1,"")</f>
        <v/>
      </c>
      <c r="I28" s="233" t="str">
        <f>IF(Form_III!J49+Form_III!J20-Form_III!J41-Form_II!J51-(Form_III!I49-Form_III!I41)&lt;0,(Form_III!J49+Form_III!J20-Form_III!J41-Form_II!J51-(Form_III!I49-Form_III!I41))*-1,"")</f>
        <v/>
      </c>
      <c r="J28" s="233" t="str">
        <f>IF(Form_III!K49+Form_III!K20-Form_III!K41-Form_II!K51-(Form_III!J49-Form_III!J41)&lt;0,(Form_III!K49+Form_III!K20-Form_III!K41-Form_II!K51-(Form_III!J49-Form_III!J41))*-1,"")</f>
        <v/>
      </c>
      <c r="K28" s="233">
        <f>IF(Form_III!L49+Form_III!L20-Form_III!L41-Form_II!L51-(Form_III!K49-Form_III!K41)&lt;0,(Form_III!L49+Form_III!L20-Form_III!L41-Form_II!L51-(Form_III!K49-Form_III!K41))*-1,"")</f>
        <v>2.5000000000000005E-3</v>
      </c>
      <c r="L28" s="233" t="str">
        <f>IF(Form_III!M49+Form_III!M20-Form_III!M41-Form_II!M51-(Form_III!L49-Form_III!L41)&lt;0,(Form_III!M49+Form_III!M20-Form_III!M41-Form_II!M51-(Form_III!L49-Form_III!L41))*-1,"")</f>
        <v/>
      </c>
      <c r="M28" s="233" t="str">
        <f>IF(Form_III!N49+Form_III!N20-Form_III!N41-Form_II!N51-(Form_III!M49-Form_III!M41)&lt;0,(Form_III!N49+Form_III!N20-Form_III!N41-Form_II!N51-(Form_III!M49-Form_III!M41))*-1,"")</f>
        <v/>
      </c>
      <c r="N28" s="233" t="str">
        <f>IF(Form_III!O49+Form_III!O20-Form_III!O41-Form_II!O51-(Form_III!N49-Form_III!N41)&lt;0,(Form_III!O49+Form_III!O20-Form_III!O41-Form_II!O51-(Form_III!N49-Form_III!N41))*-1,"")</f>
        <v/>
      </c>
      <c r="O28" s="233" t="str">
        <f>IF(Form_III!P49+Form_III!P20-Form_III!P41-Form_II!P51-(Form_III!O49-Form_III!O41)&lt;0,(Form_III!P49+Form_III!P20-Form_III!P41-Form_II!P51-(Form_III!O49-Form_III!O41))*-1,"")</f>
        <v/>
      </c>
    </row>
    <row r="29" spans="1:15" ht="20.100000000000001" customHeight="1">
      <c r="A29" s="305"/>
      <c r="B29" t="s">
        <v>477</v>
      </c>
      <c r="C29" s="429" t="s">
        <v>479</v>
      </c>
      <c r="D29" s="429"/>
      <c r="E29" s="309">
        <f t="shared" ref="E29:O29" si="1">SUM(E22:E28)</f>
        <v>0</v>
      </c>
      <c r="F29" s="309">
        <f t="shared" si="1"/>
        <v>0</v>
      </c>
      <c r="G29" s="309">
        <f t="shared" si="1"/>
        <v>0</v>
      </c>
      <c r="H29" s="310">
        <f t="shared" si="1"/>
        <v>0</v>
      </c>
      <c r="I29" s="310">
        <f t="shared" si="1"/>
        <v>0</v>
      </c>
      <c r="J29" s="310">
        <f t="shared" si="1"/>
        <v>0</v>
      </c>
      <c r="K29" s="310">
        <f t="shared" si="1"/>
        <v>2.5000000000000005E-3</v>
      </c>
      <c r="L29" s="310">
        <f t="shared" si="1"/>
        <v>0</v>
      </c>
      <c r="M29" s="310">
        <f t="shared" si="1"/>
        <v>0</v>
      </c>
      <c r="N29" s="310">
        <f t="shared" si="1"/>
        <v>0</v>
      </c>
      <c r="O29" s="310">
        <f t="shared" si="1"/>
        <v>0</v>
      </c>
    </row>
    <row r="30" spans="1:15" ht="20.100000000000001" customHeight="1">
      <c r="A30" s="305"/>
      <c r="B30" s="431"/>
      <c r="C30" s="431"/>
      <c r="D30" s="431"/>
      <c r="E30" s="230"/>
      <c r="F30" s="230"/>
      <c r="G30" s="242"/>
      <c r="H30" s="230"/>
      <c r="I30" s="230"/>
      <c r="J30" s="230"/>
      <c r="K30" s="230"/>
      <c r="L30" s="230"/>
      <c r="M30" s="230"/>
      <c r="N30" s="230"/>
      <c r="O30" s="230"/>
    </row>
    <row r="31" spans="1:15" ht="20.100000000000001" customHeight="1">
      <c r="A31" s="305" t="s">
        <v>428</v>
      </c>
      <c r="B31" t="s">
        <v>485</v>
      </c>
      <c r="E31" s="233">
        <f t="shared" ref="E31:O31" si="2">E19-E29</f>
        <v>0</v>
      </c>
      <c r="F31" s="233">
        <f t="shared" si="2"/>
        <v>0</v>
      </c>
      <c r="G31" s="242">
        <f t="shared" si="2"/>
        <v>0</v>
      </c>
      <c r="H31" s="233">
        <f t="shared" si="2"/>
        <v>0</v>
      </c>
      <c r="I31" s="233">
        <f t="shared" si="2"/>
        <v>0</v>
      </c>
      <c r="J31" s="233">
        <f t="shared" si="2"/>
        <v>0</v>
      </c>
      <c r="K31" s="233">
        <f t="shared" si="2"/>
        <v>7.4999999999999997E-3</v>
      </c>
      <c r="L31" s="233">
        <f t="shared" si="2"/>
        <v>0</v>
      </c>
      <c r="M31" s="233">
        <f t="shared" si="2"/>
        <v>0</v>
      </c>
      <c r="N31" s="233">
        <f t="shared" si="2"/>
        <v>0</v>
      </c>
      <c r="O31" s="233">
        <f t="shared" si="2"/>
        <v>0</v>
      </c>
    </row>
    <row r="32" spans="1:15" ht="20.100000000000001" customHeight="1">
      <c r="A32" s="305" t="s">
        <v>430</v>
      </c>
      <c r="B32" t="s">
        <v>486</v>
      </c>
      <c r="E32" s="233"/>
      <c r="F32" s="233"/>
      <c r="G32" s="242"/>
      <c r="H32" s="233"/>
      <c r="I32" s="233"/>
      <c r="J32" s="233"/>
      <c r="K32" s="233"/>
      <c r="L32" s="233"/>
      <c r="M32" s="233"/>
      <c r="N32" s="233"/>
      <c r="O32" s="233"/>
    </row>
    <row r="33" spans="1:15" ht="12.9" customHeight="1">
      <c r="A33" s="225"/>
      <c r="B33" t="s">
        <v>487</v>
      </c>
      <c r="E33" s="233">
        <f>Form_III!F83-Form_III!E83</f>
        <v>0</v>
      </c>
      <c r="F33" s="233">
        <f>Form_III!G83-Form_III!F83</f>
        <v>0</v>
      </c>
      <c r="G33" s="242">
        <f>Form_III!H83-Form_III!G83</f>
        <v>0</v>
      </c>
      <c r="H33" s="233">
        <f>Form_III!I83-Form_III!H83</f>
        <v>0</v>
      </c>
      <c r="I33" s="233">
        <f>Form_III!J83-Form_III!I83</f>
        <v>0</v>
      </c>
      <c r="J33" s="233">
        <f>Form_III!K83-Form_III!J83</f>
        <v>0</v>
      </c>
      <c r="K33" s="233">
        <f>Form_III!L83-Form_III!K83</f>
        <v>2.5000000000000001E-3</v>
      </c>
      <c r="L33" s="233">
        <f>Form_III!M83-Form_III!L83</f>
        <v>-2.5000000000000001E-3</v>
      </c>
      <c r="M33" s="233">
        <f>Form_III!N83-Form_III!M83</f>
        <v>0</v>
      </c>
      <c r="N33" s="233">
        <f>Form_III!O83-Form_III!N83</f>
        <v>1</v>
      </c>
      <c r="O33" s="233">
        <f>Form_III!P83-Form_III!O83</f>
        <v>-1</v>
      </c>
    </row>
    <row r="34" spans="1:15" ht="29.25" customHeight="1">
      <c r="A34" s="305" t="s">
        <v>432</v>
      </c>
      <c r="B34" s="433" t="s">
        <v>488</v>
      </c>
      <c r="C34" s="433"/>
      <c r="D34" s="433"/>
      <c r="E34" s="233">
        <f>Form_III!F28-Form_III!E28</f>
        <v>0</v>
      </c>
      <c r="F34" s="233">
        <f>Form_III!G28-Form_III!F28</f>
        <v>0</v>
      </c>
      <c r="G34" s="242">
        <f>Form_III!H28-Form_III!G28</f>
        <v>0</v>
      </c>
      <c r="H34" s="233">
        <f>Form_III!I28-Form_III!H28</f>
        <v>0</v>
      </c>
      <c r="I34" s="233">
        <f>Form_III!J28-Form_III!I28</f>
        <v>0</v>
      </c>
      <c r="J34" s="233">
        <f>Form_III!K28-Form_III!J28</f>
        <v>0</v>
      </c>
      <c r="K34" s="233">
        <f>Form_III!L28-Form_III!K28</f>
        <v>0</v>
      </c>
      <c r="L34" s="233">
        <f>Form_III!M28-Form_III!L28</f>
        <v>0</v>
      </c>
      <c r="M34" s="233">
        <f>Form_III!N28-Form_III!M28</f>
        <v>0</v>
      </c>
      <c r="N34" s="233">
        <f>Form_III!O28-Form_III!N28</f>
        <v>0</v>
      </c>
      <c r="O34" s="233">
        <f>Form_III!P28-Form_III!O28</f>
        <v>0</v>
      </c>
    </row>
    <row r="35" spans="1:15" ht="20.100000000000001" customHeight="1">
      <c r="A35" s="305" t="s">
        <v>434</v>
      </c>
      <c r="B35" t="s">
        <v>489</v>
      </c>
      <c r="E35" s="233">
        <f>(Form_III!F83-Form_III!F28)-(Form_III!E83-Form_III!E28)</f>
        <v>0</v>
      </c>
      <c r="F35" s="233">
        <f>(Form_III!G83-Form_III!G28)-(Form_III!F83-Form_III!F28)</f>
        <v>0</v>
      </c>
      <c r="G35" s="242">
        <f>(Form_III!H83-Form_III!H28)-(Form_III!G83-Form_III!G28)</f>
        <v>0</v>
      </c>
      <c r="H35" s="233">
        <f>(Form_III!I83-Form_III!I28)-(Form_III!H83-Form_III!H28)</f>
        <v>0</v>
      </c>
      <c r="I35" s="233">
        <f>(Form_III!J83-Form_III!J28)-(Form_III!I83-Form_III!I28)</f>
        <v>0</v>
      </c>
      <c r="J35" s="233">
        <f>(Form_III!K83-Form_III!K28)-(Form_III!J83-Form_III!J28)</f>
        <v>0</v>
      </c>
      <c r="K35" s="233">
        <f>(Form_III!L83-Form_III!L28)-(Form_III!K83-Form_III!K28)</f>
        <v>2.5000000000000001E-3</v>
      </c>
      <c r="L35" s="233">
        <f>(Form_III!M83-Form_III!M28)-(Form_III!L83-Form_III!L28)</f>
        <v>-2.5000000000000001E-3</v>
      </c>
      <c r="M35" s="233">
        <f>(Form_III!N83-Form_III!N28)-(Form_III!M83-Form_III!M28)</f>
        <v>0</v>
      </c>
      <c r="N35" s="233">
        <f>(Form_III!O83-Form_III!O28)-(Form_III!N83-Form_III!N28)</f>
        <v>1</v>
      </c>
      <c r="O35" s="233">
        <f>(Form_III!P83-Form_III!P28)-(Form_III!O83-Form_III!O28)</f>
        <v>-1</v>
      </c>
    </row>
    <row r="36" spans="1:15" ht="20.100000000000001" customHeight="1">
      <c r="A36" s="305" t="s">
        <v>436</v>
      </c>
      <c r="B36" t="s">
        <v>490</v>
      </c>
      <c r="E36" s="233">
        <f t="shared" ref="E36:O36" si="3">E31-E35</f>
        <v>0</v>
      </c>
      <c r="F36" s="233">
        <f t="shared" si="3"/>
        <v>0</v>
      </c>
      <c r="G36" s="242">
        <f t="shared" si="3"/>
        <v>0</v>
      </c>
      <c r="H36" s="233">
        <f t="shared" si="3"/>
        <v>0</v>
      </c>
      <c r="I36" s="233">
        <f t="shared" si="3"/>
        <v>0</v>
      </c>
      <c r="J36" s="233">
        <f t="shared" si="3"/>
        <v>0</v>
      </c>
      <c r="K36" s="233">
        <f t="shared" si="3"/>
        <v>4.9999999999999992E-3</v>
      </c>
      <c r="L36" s="233">
        <f t="shared" si="3"/>
        <v>2.5000000000000001E-3</v>
      </c>
      <c r="M36" s="233">
        <f t="shared" si="3"/>
        <v>0</v>
      </c>
      <c r="N36" s="233">
        <f t="shared" si="3"/>
        <v>-1</v>
      </c>
      <c r="O36" s="233">
        <f t="shared" si="3"/>
        <v>1</v>
      </c>
    </row>
    <row r="37" spans="1:15" ht="20.100000000000001" customHeight="1">
      <c r="A37" s="305" t="s">
        <v>437</v>
      </c>
      <c r="B37" t="s">
        <v>491</v>
      </c>
      <c r="E37" s="233">
        <f>Form_III!F15-Form_III!E15</f>
        <v>0</v>
      </c>
      <c r="F37" s="233">
        <f>Form_III!G15-Form_III!F15</f>
        <v>0</v>
      </c>
      <c r="G37" s="242">
        <f>Form_III!H15-Form_III!G15</f>
        <v>0</v>
      </c>
      <c r="H37" s="233">
        <f>Form_III!I15-Form_III!H15</f>
        <v>0</v>
      </c>
      <c r="I37" s="233">
        <f>Form_III!J15-Form_III!I15</f>
        <v>0</v>
      </c>
      <c r="J37" s="233">
        <f>Form_III!K15-Form_III!J15</f>
        <v>0</v>
      </c>
      <c r="K37" s="233">
        <f>Form_III!L15-Form_III!K15</f>
        <v>0</v>
      </c>
      <c r="L37" s="233">
        <f>Form_III!M15-Form_III!L15</f>
        <v>0</v>
      </c>
      <c r="M37" s="233">
        <f>Form_III!N15-Form_III!M15</f>
        <v>0</v>
      </c>
      <c r="N37" s="233">
        <f>Form_III!O15-Form_III!N15</f>
        <v>0</v>
      </c>
      <c r="O37" s="233">
        <f>Form_III!P15-Form_III!O15</f>
        <v>0</v>
      </c>
    </row>
    <row r="38" spans="1:15" ht="20.100000000000001" customHeight="1">
      <c r="A38" s="305" t="s">
        <v>438</v>
      </c>
      <c r="B38" t="s">
        <v>492</v>
      </c>
      <c r="E38" s="311" t="str">
        <f>IF(Form_II!E15&lt;&gt;0,Form_II!F15-Form_II!E15,"N/A")</f>
        <v>N/A</v>
      </c>
      <c r="F38" s="311" t="str">
        <f>IF(Form_II!F15&lt;&gt;0,Form_II!G15-Form_II!F15,"N/A")</f>
        <v>N/A</v>
      </c>
      <c r="G38" s="312" t="str">
        <f>IF(Form_II!G15&lt;&gt;0,Form_II!H15-Form_II!G15,"N/A")</f>
        <v>N/A</v>
      </c>
      <c r="H38" s="311" t="str">
        <f>IF(Form_II!H15&lt;&gt;0,Form_II!I15-Form_II!H15,"N/A")</f>
        <v>N/A</v>
      </c>
      <c r="I38" s="311" t="str">
        <f>IF(Form_II!I15&lt;&gt;0,Form_II!J15-Form_II!I15,"N/A")</f>
        <v>N/A</v>
      </c>
      <c r="J38" s="311" t="str">
        <f>IF(Form_II!J15&lt;&gt;0,Form_II!K15-Form_II!J15,"N/A")</f>
        <v>N/A</v>
      </c>
      <c r="K38" s="311" t="str">
        <f>IF(Form_II!K15&lt;&gt;0,Form_II!L15-Form_II!K15,"N/A")</f>
        <v>N/A</v>
      </c>
      <c r="L38" s="311" t="str">
        <f>IF(Form_II!L15&lt;&gt;0,Form_II!M15-Form_II!L15,"N/A")</f>
        <v>N/A</v>
      </c>
      <c r="M38" s="311" t="str">
        <f>IF(Form_II!M15&lt;&gt;0,Form_II!N15-Form_II!M15,"N/A")</f>
        <v>N/A</v>
      </c>
      <c r="N38" s="311" t="str">
        <f>IF(Form_II!N15&lt;&gt;0,Form_II!O15-Form_II!N15,"N/A")</f>
        <v>N/A</v>
      </c>
      <c r="O38" s="311" t="str">
        <f>IF(Form_II!O15&lt;&gt;0,Form_II!P15-Form_II!O15,"N/A")</f>
        <v>N/A</v>
      </c>
    </row>
    <row r="39" spans="1:15" ht="20.100000000000001" customHeight="1">
      <c r="A39" s="305"/>
      <c r="B39" s="431"/>
      <c r="C39" s="431"/>
      <c r="D39" s="431"/>
      <c r="E39" s="233"/>
      <c r="F39" s="233"/>
      <c r="G39" s="242"/>
      <c r="H39" s="233"/>
      <c r="I39" s="233"/>
      <c r="J39" s="233"/>
      <c r="K39" s="233"/>
      <c r="L39" s="233"/>
      <c r="M39" s="233"/>
      <c r="N39" s="233"/>
      <c r="O39" s="233"/>
    </row>
    <row r="40" spans="1:15" ht="20.100000000000001" customHeight="1">
      <c r="A40" s="313" t="s">
        <v>493</v>
      </c>
      <c r="E40" s="233"/>
      <c r="F40" s="233"/>
      <c r="G40" s="242"/>
      <c r="H40" s="233"/>
      <c r="I40" s="233"/>
      <c r="J40" s="233"/>
      <c r="K40" s="233"/>
      <c r="L40" s="233"/>
      <c r="M40" s="233"/>
      <c r="N40" s="233"/>
      <c r="O40" s="233"/>
    </row>
    <row r="41" spans="1:15" ht="20.100000000000001" customHeight="1">
      <c r="A41" s="305" t="s">
        <v>326</v>
      </c>
      <c r="B41" t="s">
        <v>494</v>
      </c>
      <c r="E41" s="233">
        <f>Form_III!F69-Form_III!E69</f>
        <v>0</v>
      </c>
      <c r="F41" s="233">
        <f>Form_III!G69-Form_III!F69</f>
        <v>0</v>
      </c>
      <c r="G41" s="242">
        <f>Form_III!H69-Form_III!G69</f>
        <v>0</v>
      </c>
      <c r="H41" s="233">
        <f>Form_III!I69-Form_III!H69</f>
        <v>0</v>
      </c>
      <c r="I41" s="233">
        <f>Form_III!J69-Form_III!I69</f>
        <v>0</v>
      </c>
      <c r="J41" s="233">
        <f>Form_III!K69-Form_III!J69</f>
        <v>0</v>
      </c>
      <c r="K41" s="233">
        <f>Form_III!L69-Form_III!K69</f>
        <v>0</v>
      </c>
      <c r="L41" s="233">
        <f>Form_III!M69-Form_III!L69</f>
        <v>0</v>
      </c>
      <c r="M41" s="233">
        <f>Form_III!N69-Form_III!M69</f>
        <v>0</v>
      </c>
      <c r="N41" s="233">
        <f>Form_III!O69-Form_III!N69</f>
        <v>0</v>
      </c>
      <c r="O41" s="233">
        <f>Form_III!P69-Form_III!O69</f>
        <v>0</v>
      </c>
    </row>
    <row r="42" spans="1:15" ht="20.100000000000001" customHeight="1">
      <c r="A42" s="305" t="s">
        <v>328</v>
      </c>
      <c r="B42" t="s">
        <v>495</v>
      </c>
      <c r="E42" s="233">
        <f>Form_III!F72-Form_III!E72</f>
        <v>0</v>
      </c>
      <c r="F42" s="233">
        <f>Form_III!G72-Form_III!F72</f>
        <v>0</v>
      </c>
      <c r="G42" s="242">
        <f>Form_III!H72-Form_III!G72</f>
        <v>0</v>
      </c>
      <c r="H42" s="233">
        <f>Form_III!I72-Form_III!H72</f>
        <v>0</v>
      </c>
      <c r="I42" s="233">
        <f>Form_III!J72-Form_III!I72</f>
        <v>0</v>
      </c>
      <c r="J42" s="233">
        <f>Form_III!K72-Form_III!J72</f>
        <v>0</v>
      </c>
      <c r="K42" s="233">
        <f>Form_III!L72-Form_III!K72</f>
        <v>0</v>
      </c>
      <c r="L42" s="233">
        <f>Form_III!M72-Form_III!L72</f>
        <v>0</v>
      </c>
      <c r="M42" s="233">
        <f>Form_III!N72-Form_III!M72</f>
        <v>0</v>
      </c>
      <c r="N42" s="233">
        <f>Form_III!O72-Form_III!N72</f>
        <v>0</v>
      </c>
      <c r="O42" s="233">
        <f>Form_III!P72-Form_III!O72</f>
        <v>0</v>
      </c>
    </row>
    <row r="43" spans="1:15" ht="20.100000000000001" customHeight="1">
      <c r="A43" s="305" t="s">
        <v>339</v>
      </c>
      <c r="B43" t="s">
        <v>496</v>
      </c>
      <c r="E43" s="233">
        <f>Form_III!F73-Form_III!E73</f>
        <v>0</v>
      </c>
      <c r="F43" s="233">
        <f>Form_III!G73-Form_III!F73</f>
        <v>0</v>
      </c>
      <c r="G43" s="242">
        <f>Form_III!H73-Form_III!G73</f>
        <v>0</v>
      </c>
      <c r="H43" s="233">
        <f>Form_III!I73-Form_III!H73</f>
        <v>0</v>
      </c>
      <c r="I43" s="233">
        <f>Form_III!J73-Form_III!I73</f>
        <v>0</v>
      </c>
      <c r="J43" s="233">
        <f>Form_III!K73-Form_III!J73</f>
        <v>0</v>
      </c>
      <c r="K43" s="233">
        <f>Form_III!L73-Form_III!K73</f>
        <v>0</v>
      </c>
      <c r="L43" s="233">
        <f>Form_III!M73-Form_III!L73</f>
        <v>0</v>
      </c>
      <c r="M43" s="233">
        <f>Form_III!N73-Form_III!M73</f>
        <v>0</v>
      </c>
      <c r="N43" s="233">
        <f>Form_III!O73-Form_III!N73</f>
        <v>0</v>
      </c>
      <c r="O43" s="233">
        <f>Form_III!P73-Form_III!O73</f>
        <v>0</v>
      </c>
    </row>
    <row r="44" spans="1:15" ht="20.100000000000001" customHeight="1">
      <c r="A44" s="305" t="s">
        <v>340</v>
      </c>
      <c r="B44" t="s">
        <v>497</v>
      </c>
      <c r="E44" s="233"/>
      <c r="F44" s="233"/>
      <c r="G44" s="242"/>
      <c r="H44" s="233"/>
      <c r="I44" s="233"/>
      <c r="J44" s="233"/>
      <c r="K44" s="233"/>
      <c r="L44" s="233"/>
      <c r="M44" s="233"/>
      <c r="N44" s="233"/>
      <c r="O44" s="233"/>
    </row>
    <row r="45" spans="1:15" ht="20.100000000000001" customHeight="1">
      <c r="A45" s="305"/>
      <c r="B45" t="s">
        <v>498</v>
      </c>
      <c r="C45" t="s">
        <v>18</v>
      </c>
      <c r="E45" s="233">
        <f>Form_III!F66-Form_III!E66</f>
        <v>0</v>
      </c>
      <c r="F45" s="233">
        <f>Form_III!G66-Form_III!F66</f>
        <v>0</v>
      </c>
      <c r="G45" s="242">
        <f>Form_III!H66-Form_III!G66</f>
        <v>0</v>
      </c>
      <c r="H45" s="233">
        <f>Form_III!I66-Form_III!H66</f>
        <v>0</v>
      </c>
      <c r="I45" s="233">
        <f>Form_III!J66-Form_III!I66</f>
        <v>0</v>
      </c>
      <c r="J45" s="233">
        <f>Form_III!K66-Form_III!J66</f>
        <v>0</v>
      </c>
      <c r="K45" s="233">
        <f>Form_III!L66-Form_III!K66</f>
        <v>0</v>
      </c>
      <c r="L45" s="233">
        <f>Form_III!M66-Form_III!L66</f>
        <v>0</v>
      </c>
      <c r="M45" s="233">
        <f>Form_III!N66-Form_III!M66</f>
        <v>0</v>
      </c>
      <c r="N45" s="233">
        <f>Form_III!O66-Form_III!N66</f>
        <v>0</v>
      </c>
      <c r="O45" s="233">
        <f>Form_III!P66-Form_III!O66</f>
        <v>0</v>
      </c>
    </row>
    <row r="46" spans="1:15" ht="20.100000000000001" customHeight="1">
      <c r="A46" s="305"/>
      <c r="B46" t="s">
        <v>499</v>
      </c>
      <c r="C46" s="429" t="s">
        <v>500</v>
      </c>
      <c r="D46" s="429"/>
      <c r="E46" s="233">
        <f>Form_III!F67-Form_III!E67</f>
        <v>0</v>
      </c>
      <c r="F46" s="233">
        <f>Form_III!G67-Form_III!F67</f>
        <v>0</v>
      </c>
      <c r="G46" s="242">
        <f>Form_III!H67-Form_III!G67</f>
        <v>0</v>
      </c>
      <c r="H46" s="233">
        <f>Form_III!I67-Form_III!H67</f>
        <v>0</v>
      </c>
      <c r="I46" s="233">
        <f>Form_III!J67-Form_III!I67</f>
        <v>0</v>
      </c>
      <c r="J46" s="233">
        <f>Form_III!K67-Form_III!J67</f>
        <v>0</v>
      </c>
      <c r="K46" s="233">
        <f>Form_III!L67-Form_III!K67</f>
        <v>0</v>
      </c>
      <c r="L46" s="233">
        <f>Form_III!M67-Form_III!L67</f>
        <v>0</v>
      </c>
      <c r="M46" s="233">
        <f>Form_III!N67-Form_III!M67</f>
        <v>0</v>
      </c>
      <c r="N46" s="233">
        <f>Form_III!O67-Form_III!N67</f>
        <v>0</v>
      </c>
      <c r="O46" s="233">
        <f>Form_III!P67-Form_III!O67</f>
        <v>0</v>
      </c>
    </row>
    <row r="47" spans="1:15" ht="20.100000000000001" customHeight="1">
      <c r="A47" s="305" t="s">
        <v>420</v>
      </c>
      <c r="B47" t="s">
        <v>501</v>
      </c>
      <c r="E47" s="233">
        <f>Form_III!F74-Form_III!E74</f>
        <v>0</v>
      </c>
      <c r="F47" s="233">
        <f>Form_III!G74-Form_III!F74</f>
        <v>0</v>
      </c>
      <c r="G47" s="242">
        <f>Form_III!H74-Form_III!G74</f>
        <v>0</v>
      </c>
      <c r="H47" s="233">
        <f>Form_III!I74-Form_III!H74</f>
        <v>0</v>
      </c>
      <c r="I47" s="233">
        <f>Form_III!J74-Form_III!I74</f>
        <v>0</v>
      </c>
      <c r="J47" s="233">
        <f>Form_III!K74-Form_III!J74</f>
        <v>0</v>
      </c>
      <c r="K47" s="233">
        <f>Form_III!L74-Form_III!K74</f>
        <v>0</v>
      </c>
      <c r="L47" s="233">
        <f>Form_III!M74-Form_III!L74</f>
        <v>0</v>
      </c>
      <c r="M47" s="233">
        <f>Form_III!N74-Form_III!M74</f>
        <v>0</v>
      </c>
      <c r="N47" s="233">
        <f>Form_III!O74-Form_III!N74</f>
        <v>0</v>
      </c>
      <c r="O47" s="233">
        <f>Form_III!P74-Form_III!O74</f>
        <v>0</v>
      </c>
    </row>
    <row r="48" spans="1:15" ht="20.100000000000001" customHeight="1">
      <c r="A48" s="305" t="s">
        <v>343</v>
      </c>
      <c r="B48" t="s">
        <v>502</v>
      </c>
      <c r="E48" s="233">
        <f t="shared" ref="E48:O48" si="4">E33-(SUM(E41:E47))</f>
        <v>0</v>
      </c>
      <c r="F48" s="233">
        <f t="shared" si="4"/>
        <v>0</v>
      </c>
      <c r="G48" s="242">
        <f t="shared" si="4"/>
        <v>0</v>
      </c>
      <c r="H48" s="233">
        <f t="shared" si="4"/>
        <v>0</v>
      </c>
      <c r="I48" s="233">
        <f t="shared" si="4"/>
        <v>0</v>
      </c>
      <c r="J48" s="233">
        <f t="shared" si="4"/>
        <v>0</v>
      </c>
      <c r="K48" s="233">
        <f t="shared" si="4"/>
        <v>2.5000000000000001E-3</v>
      </c>
      <c r="L48" s="233">
        <f t="shared" si="4"/>
        <v>-2.5000000000000001E-3</v>
      </c>
      <c r="M48" s="233">
        <f t="shared" si="4"/>
        <v>0</v>
      </c>
      <c r="N48" s="233">
        <f t="shared" si="4"/>
        <v>1</v>
      </c>
      <c r="O48" s="233">
        <f t="shared" si="4"/>
        <v>-1</v>
      </c>
    </row>
    <row r="49" spans="2:15" ht="15.9" customHeight="1">
      <c r="B49" s="429" t="s">
        <v>479</v>
      </c>
      <c r="C49" s="429"/>
      <c r="D49" s="429"/>
      <c r="E49" s="310">
        <f t="shared" ref="E49:O49" si="5">SUM(E41:E48)</f>
        <v>0</v>
      </c>
      <c r="F49" s="310">
        <f t="shared" si="5"/>
        <v>0</v>
      </c>
      <c r="G49" s="314">
        <f t="shared" si="5"/>
        <v>0</v>
      </c>
      <c r="H49" s="310">
        <f t="shared" si="5"/>
        <v>0</v>
      </c>
      <c r="I49" s="310">
        <f t="shared" si="5"/>
        <v>0</v>
      </c>
      <c r="J49" s="310">
        <f t="shared" si="5"/>
        <v>0</v>
      </c>
      <c r="K49" s="310">
        <f t="shared" si="5"/>
        <v>2.5000000000000001E-3</v>
      </c>
      <c r="L49" s="310">
        <f t="shared" si="5"/>
        <v>-2.5000000000000001E-3</v>
      </c>
      <c r="M49" s="310">
        <f t="shared" si="5"/>
        <v>0</v>
      </c>
      <c r="N49" s="310">
        <f t="shared" si="5"/>
        <v>1</v>
      </c>
      <c r="O49" s="310">
        <f t="shared" si="5"/>
        <v>-1</v>
      </c>
    </row>
    <row r="50" spans="2:15" ht="15.9" customHeight="1"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</row>
    <row r="51" spans="2:15" ht="15" customHeight="1"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</row>
    <row r="52" spans="2:15" ht="15" customHeight="1"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</row>
    <row r="53" spans="2:15" ht="15" customHeight="1"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</row>
    <row r="54" spans="2:15" ht="15" customHeight="1">
      <c r="E54" s="242"/>
      <c r="F54" s="242"/>
      <c r="G54" s="242"/>
      <c r="H54" s="242"/>
      <c r="I54" s="242"/>
      <c r="J54" s="242"/>
      <c r="K54" s="242"/>
      <c r="L54" s="242"/>
      <c r="M54" s="242"/>
      <c r="N54" s="242"/>
      <c r="O54" s="242"/>
    </row>
    <row r="55" spans="2:15" ht="15" customHeight="1">
      <c r="E55" s="242"/>
      <c r="F55" s="242"/>
      <c r="G55" s="242"/>
      <c r="H55" s="242"/>
      <c r="I55" s="242"/>
      <c r="J55" s="242"/>
      <c r="K55" s="242"/>
      <c r="L55" s="242"/>
      <c r="M55" s="242"/>
      <c r="N55" s="242"/>
      <c r="O55" s="242"/>
    </row>
    <row r="56" spans="2:15" ht="15" customHeight="1"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2:15" ht="15" customHeight="1"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</row>
    <row r="58" spans="2:15" ht="15" customHeight="1"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</row>
    <row r="59" spans="2:15" ht="15" customHeight="1"/>
  </sheetData>
  <sheetProtection sheet="1" objects="1" scenarios="1"/>
  <mergeCells count="8">
    <mergeCell ref="B34:D34"/>
    <mergeCell ref="B39:D39"/>
    <mergeCell ref="C46:D46"/>
    <mergeCell ref="B49:D49"/>
    <mergeCell ref="C18:D18"/>
    <mergeCell ref="C28:D28"/>
    <mergeCell ref="C29:D29"/>
    <mergeCell ref="B30:D30"/>
  </mergeCells>
  <phoneticPr fontId="19" type="noConversion"/>
  <pageMargins left="1" right="0.78749999999999998" top="0.78750000000000009" bottom="0.78749999999999998" header="0.5" footer="0.75"/>
  <pageSetup paperSize="9" firstPageNumber="0" fitToHeight="0" orientation="portrait" horizontalDpi="300" verticalDpi="300"/>
  <headerFooter alignWithMargins="0">
    <oddHeader>&amp;L&amp;"Century Gothic,Bold"&amp;12ICICI Banking Corporation Ltd.</oddHeader>
    <oddFooter>&amp;L&amp;8&amp;D&amp;C&amp;8 &amp;F (&amp;A)&amp;R&amp;8 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2DDC-E441-4481-8730-E00C399C90FB}">
  <sheetPr>
    <pageSetUpPr fitToPage="1"/>
  </sheetPr>
  <dimension ref="A2:K57"/>
  <sheetViews>
    <sheetView showGridLines="0" zoomScale="90" zoomScaleNormal="90" workbookViewId="0">
      <selection activeCell="B13" sqref="B13"/>
    </sheetView>
  </sheetViews>
  <sheetFormatPr defaultRowHeight="13.2"/>
  <cols>
    <col min="2" max="2" width="21.5546875" customWidth="1"/>
    <col min="3" max="3" width="9.88671875" customWidth="1"/>
    <col min="4" max="4" width="10.33203125" customWidth="1"/>
    <col min="5" max="5" width="9.44140625" customWidth="1"/>
    <col min="7" max="7" width="9.88671875" customWidth="1"/>
    <col min="8" max="8" width="19.44140625" customWidth="1"/>
    <col min="10" max="10" width="9.33203125" customWidth="1"/>
  </cols>
  <sheetData>
    <row r="2" spans="1:11">
      <c r="G2" s="315"/>
    </row>
    <row r="4" spans="1:11">
      <c r="A4" s="316" t="s">
        <v>268</v>
      </c>
      <c r="B4" s="317" t="s">
        <v>503</v>
      </c>
      <c r="C4" s="318">
        <v>2000</v>
      </c>
      <c r="D4" s="318">
        <v>2001</v>
      </c>
      <c r="E4" s="318">
        <v>2002</v>
      </c>
      <c r="F4" s="318">
        <v>2003</v>
      </c>
    </row>
    <row r="5" spans="1:11">
      <c r="A5" s="316"/>
      <c r="B5" s="317"/>
      <c r="C5" s="318" t="s">
        <v>504</v>
      </c>
      <c r="D5" s="318" t="s">
        <v>504</v>
      </c>
      <c r="E5" s="318" t="s">
        <v>505</v>
      </c>
      <c r="F5" s="318" t="s">
        <v>2</v>
      </c>
    </row>
    <row r="6" spans="1:11">
      <c r="A6" s="316">
        <v>1</v>
      </c>
      <c r="B6" s="317" t="s">
        <v>506</v>
      </c>
      <c r="C6" s="319">
        <f>Form_II!E15</f>
        <v>0</v>
      </c>
      <c r="D6" s="319">
        <f>Form_II!F15</f>
        <v>0</v>
      </c>
      <c r="E6" s="319">
        <f>Form_II!H15</f>
        <v>0</v>
      </c>
      <c r="F6" s="319" t="e">
        <f>#N/A</f>
        <v>#N/A</v>
      </c>
    </row>
    <row r="7" spans="1:11">
      <c r="A7" s="316">
        <v>2</v>
      </c>
      <c r="B7" s="317" t="s">
        <v>507</v>
      </c>
      <c r="C7" s="319" t="e">
        <f>#N/A</f>
        <v>#N/A</v>
      </c>
      <c r="D7" s="319" t="e">
        <f>#N/A</f>
        <v>#N/A</v>
      </c>
      <c r="E7" s="319" t="e">
        <f>#N/A</f>
        <v>#N/A</v>
      </c>
      <c r="F7" s="319" t="e">
        <f>#N/A</f>
        <v>#N/A</v>
      </c>
      <c r="G7" s="315"/>
      <c r="H7" s="317"/>
      <c r="I7" s="317"/>
      <c r="J7" s="317"/>
      <c r="K7" s="317"/>
    </row>
    <row r="8" spans="1:11">
      <c r="A8" s="316">
        <v>3</v>
      </c>
      <c r="B8" s="317" t="s">
        <v>508</v>
      </c>
      <c r="C8" s="319">
        <f>Form_II!E45</f>
        <v>0</v>
      </c>
      <c r="D8" s="319">
        <f>Form_II!F45</f>
        <v>0</v>
      </c>
      <c r="E8" s="319">
        <f>Form_II!H45</f>
        <v>0</v>
      </c>
      <c r="F8" s="319" t="e">
        <f>#N/A</f>
        <v>#N/A</v>
      </c>
      <c r="H8" s="317" t="s">
        <v>17</v>
      </c>
      <c r="I8" s="319">
        <f>'Financials improper'!E6</f>
        <v>0</v>
      </c>
      <c r="J8" s="320" t="str">
        <f>"$#REF!.S44"</f>
        <v>$#REF!.S44</v>
      </c>
      <c r="K8" s="321" t="str">
        <f>"$#REF!.Z44"</f>
        <v>$#REF!.Z44</v>
      </c>
    </row>
    <row r="9" spans="1:11">
      <c r="A9" s="316">
        <v>4</v>
      </c>
      <c r="B9" s="317" t="s">
        <v>509</v>
      </c>
      <c r="C9" s="319">
        <f>Form_II!E51</f>
        <v>0</v>
      </c>
      <c r="D9" s="319">
        <f>Form_II!F51</f>
        <v>0</v>
      </c>
      <c r="E9" s="319">
        <f>Form_II!H51</f>
        <v>0</v>
      </c>
      <c r="F9" s="319" t="e">
        <f>#N/A</f>
        <v>#N/A</v>
      </c>
      <c r="H9" s="317" t="s">
        <v>507</v>
      </c>
      <c r="I9" s="319" t="e">
        <f>E7</f>
        <v>#N/A</v>
      </c>
      <c r="J9" s="322" t="str">
        <f>"$#REF!.S47"</f>
        <v>$#REF!.S47</v>
      </c>
      <c r="K9" s="322" t="str">
        <f>"$#REF!.Z47"</f>
        <v>$#REF!.Z47</v>
      </c>
    </row>
    <row r="10" spans="1:11">
      <c r="A10" s="316">
        <v>5</v>
      </c>
      <c r="B10" s="317" t="s">
        <v>510</v>
      </c>
      <c r="C10" s="319" t="e">
        <f>#N/A</f>
        <v>#N/A</v>
      </c>
      <c r="D10" s="319" t="e">
        <f>#N/A</f>
        <v>#N/A</v>
      </c>
      <c r="E10" s="319" t="e">
        <f>#N/A</f>
        <v>#N/A</v>
      </c>
      <c r="F10" s="319" t="e">
        <f>#N/A</f>
        <v>#N/A</v>
      </c>
      <c r="H10" s="317" t="s">
        <v>212</v>
      </c>
      <c r="I10" s="319">
        <f>E9</f>
        <v>0</v>
      </c>
      <c r="J10" s="322" t="str">
        <f>"$#REF!.S48"</f>
        <v>$#REF!.S48</v>
      </c>
      <c r="K10" s="322" t="str">
        <f>"$#REF!.Z48"</f>
        <v>$#REF!.Z48</v>
      </c>
    </row>
    <row r="11" spans="1:11">
      <c r="A11" s="316">
        <v>6</v>
      </c>
      <c r="B11" s="317" t="s">
        <v>511</v>
      </c>
      <c r="C11" s="323" t="e">
        <f>C7/C6</f>
        <v>#N/A</v>
      </c>
      <c r="D11" s="323" t="e">
        <f>D7/D6</f>
        <v>#N/A</v>
      </c>
      <c r="E11" s="323" t="e">
        <f>E7/E6</f>
        <v>#N/A</v>
      </c>
      <c r="F11" s="323" t="e">
        <f>F7/F6</f>
        <v>#N/A</v>
      </c>
      <c r="H11" s="317" t="s">
        <v>512</v>
      </c>
      <c r="I11" s="324" t="e">
        <f>E11</f>
        <v>#N/A</v>
      </c>
      <c r="J11" s="324" t="str">
        <f>"$#REF!.S49"</f>
        <v>$#REF!.S49</v>
      </c>
      <c r="K11" s="324" t="str">
        <f>"$#REF!.Z49"</f>
        <v>$#REF!.Z49</v>
      </c>
    </row>
    <row r="12" spans="1:11">
      <c r="A12" s="316">
        <v>7</v>
      </c>
      <c r="B12" s="317" t="s">
        <v>513</v>
      </c>
      <c r="C12" s="323" t="e">
        <f>C9/C6</f>
        <v>#DIV/0!</v>
      </c>
      <c r="D12" s="323" t="e">
        <f>D9/D6</f>
        <v>#DIV/0!</v>
      </c>
      <c r="E12" s="323" t="e">
        <f>E9/E6</f>
        <v>#DIV/0!</v>
      </c>
      <c r="F12" s="323" t="e">
        <f>F9/F6</f>
        <v>#N/A</v>
      </c>
      <c r="H12" s="317" t="s">
        <v>514</v>
      </c>
      <c r="I12" s="324" t="e">
        <f>E12</f>
        <v>#DIV/0!</v>
      </c>
      <c r="J12" s="324" t="str">
        <f>"$#REF!.S50"</f>
        <v>$#REF!.S50</v>
      </c>
      <c r="K12" s="324" t="str">
        <f>"$#REF!.Z50"</f>
        <v>$#REF!.Z50</v>
      </c>
    </row>
    <row r="13" spans="1:11">
      <c r="A13" s="316">
        <v>8</v>
      </c>
      <c r="B13" s="317" t="s">
        <v>515</v>
      </c>
      <c r="C13" s="323" t="e">
        <f>Form_II!E53/Form_II!E51</f>
        <v>#DIV/0!</v>
      </c>
      <c r="D13" s="323" t="e">
        <f>Form_II!F53/Form_II!F51</f>
        <v>#DIV/0!</v>
      </c>
      <c r="E13" s="323" t="e">
        <f>Form_II!H53/Form_II!H51</f>
        <v>#DIV/0!</v>
      </c>
      <c r="F13" s="323" t="e">
        <f>#N/A</f>
        <v>#N/A</v>
      </c>
    </row>
    <row r="14" spans="1:11">
      <c r="A14" s="316">
        <v>9</v>
      </c>
      <c r="B14" s="317" t="s">
        <v>516</v>
      </c>
      <c r="C14" s="319">
        <f>Form_III!E87</f>
        <v>0</v>
      </c>
      <c r="D14" s="319">
        <f>Form_III!F87</f>
        <v>0</v>
      </c>
      <c r="E14" s="319">
        <f>Form_III!H87</f>
        <v>0</v>
      </c>
      <c r="F14" s="319" t="e">
        <f>#N/A</f>
        <v>#N/A</v>
      </c>
    </row>
    <row r="15" spans="1:11">
      <c r="A15" s="316">
        <v>10</v>
      </c>
      <c r="B15" s="317" t="s">
        <v>517</v>
      </c>
      <c r="C15" s="319">
        <f>Form_III!E90</f>
        <v>0</v>
      </c>
      <c r="D15" s="319">
        <f>Form_III!F90</f>
        <v>0</v>
      </c>
      <c r="E15" s="319">
        <f>Form_III!H90</f>
        <v>0</v>
      </c>
      <c r="F15" s="319" t="e">
        <f>#N/A</f>
        <v>#N/A</v>
      </c>
    </row>
    <row r="16" spans="1:11">
      <c r="A16" s="316">
        <v>11</v>
      </c>
      <c r="B16" s="317" t="s">
        <v>518</v>
      </c>
      <c r="C16" s="319">
        <f>Form_III!E41</f>
        <v>0</v>
      </c>
      <c r="D16" s="319">
        <f>Form_III!F41</f>
        <v>0</v>
      </c>
      <c r="E16" s="319">
        <f>Form_III!H41</f>
        <v>0</v>
      </c>
      <c r="F16" s="319" t="e">
        <f>#N/A</f>
        <v>#N/A</v>
      </c>
    </row>
    <row r="17" spans="1:10">
      <c r="A17" s="316">
        <v>12</v>
      </c>
      <c r="B17" s="317" t="s">
        <v>519</v>
      </c>
      <c r="C17" s="319">
        <f>Form_III!E109-Form_III!E46</f>
        <v>0</v>
      </c>
      <c r="D17" s="319">
        <f>Form_III!F109-Form_III!F46</f>
        <v>0</v>
      </c>
      <c r="E17" s="319">
        <f>Form_III!H109-Form_III!H46</f>
        <v>0</v>
      </c>
      <c r="F17" s="319" t="e">
        <f>#N/A</f>
        <v>#N/A</v>
      </c>
    </row>
    <row r="18" spans="1:10">
      <c r="A18" s="316">
        <v>13</v>
      </c>
      <c r="B18" s="317" t="s">
        <v>520</v>
      </c>
      <c r="C18" s="319" t="e">
        <f>#N/A</f>
        <v>#N/A</v>
      </c>
      <c r="D18" s="319" t="e">
        <f>#N/A</f>
        <v>#N/A</v>
      </c>
      <c r="E18" s="319" t="e">
        <f>#N/A</f>
        <v>#N/A</v>
      </c>
      <c r="F18" s="319" t="e">
        <f>#N/A</f>
        <v>#N/A</v>
      </c>
      <c r="H18">
        <f>(1.0002)^365</f>
        <v>1.0757226851573212</v>
      </c>
    </row>
    <row r="19" spans="1:10">
      <c r="A19" s="316">
        <v>14</v>
      </c>
      <c r="B19" s="317" t="s">
        <v>521</v>
      </c>
      <c r="C19" s="319" t="e">
        <f>C17-C18</f>
        <v>#N/A</v>
      </c>
      <c r="D19" s="319" t="e">
        <f>D17-D18</f>
        <v>#N/A</v>
      </c>
      <c r="E19" s="319" t="e">
        <f>E17-E18</f>
        <v>#N/A</v>
      </c>
      <c r="F19" s="319" t="e">
        <f>F17-F18</f>
        <v>#N/A</v>
      </c>
    </row>
    <row r="20" spans="1:10">
      <c r="A20" s="316">
        <v>15</v>
      </c>
      <c r="B20" s="317" t="s">
        <v>522</v>
      </c>
      <c r="C20" s="319" t="e">
        <f>Form_III!E37/'Financials improper'!C17</f>
        <v>#DIV/0!</v>
      </c>
      <c r="D20" s="319" t="e">
        <f>Form_III!F37/'Financials improper'!D17</f>
        <v>#DIV/0!</v>
      </c>
      <c r="E20" s="319" t="e">
        <f>Form_III!H37/'Financials improper'!E17</f>
        <v>#DIV/0!</v>
      </c>
      <c r="F20" s="319" t="e">
        <f>#N/A</f>
        <v>#N/A</v>
      </c>
    </row>
    <row r="21" spans="1:10">
      <c r="A21" s="316">
        <v>16</v>
      </c>
      <c r="B21" s="317" t="s">
        <v>523</v>
      </c>
      <c r="C21" s="319" t="e">
        <f>#N/A</f>
        <v>#N/A</v>
      </c>
      <c r="D21" s="319" t="e">
        <f>#N/A</f>
        <v>#N/A</v>
      </c>
      <c r="E21" s="319" t="e">
        <f>#N/A</f>
        <v>#N/A</v>
      </c>
      <c r="F21" s="319" t="e">
        <f>#N/A</f>
        <v>#N/A</v>
      </c>
      <c r="I21">
        <v>2000</v>
      </c>
      <c r="J21">
        <v>2001</v>
      </c>
    </row>
    <row r="22" spans="1:10">
      <c r="A22" s="316">
        <v>17</v>
      </c>
      <c r="B22" s="317" t="s">
        <v>221</v>
      </c>
      <c r="C22" s="319" t="e">
        <f>Form_III!E38/'Financials improper'!C17</f>
        <v>#DIV/0!</v>
      </c>
      <c r="D22" s="319" t="e">
        <f>Form_III!F38/'Financials improper'!D17</f>
        <v>#DIV/0!</v>
      </c>
      <c r="E22" s="319" t="e">
        <f>Form_III!H38/'Financials improper'!E17</f>
        <v>#DIV/0!</v>
      </c>
      <c r="F22" s="319" t="e">
        <f>#N/A</f>
        <v>#N/A</v>
      </c>
      <c r="I22">
        <f>61.15/(27.38+23.03)</f>
        <v>1.2130529656814124</v>
      </c>
      <c r="J22">
        <f>52.58/(21.65+23.2)</f>
        <v>1.1723522853957637</v>
      </c>
    </row>
    <row r="23" spans="1:10">
      <c r="A23" s="316">
        <v>18</v>
      </c>
      <c r="B23" s="317" t="s">
        <v>524</v>
      </c>
      <c r="C23" s="319">
        <f>Form_III!E83</f>
        <v>0</v>
      </c>
      <c r="D23" s="319">
        <f>Form_III!F83</f>
        <v>0</v>
      </c>
      <c r="E23" s="319">
        <f>Form_III!H83</f>
        <v>0</v>
      </c>
      <c r="F23" s="319" t="e">
        <f>#N/A</f>
        <v>#N/A</v>
      </c>
      <c r="I23">
        <f>(36.34+27.38)/39.1</f>
        <v>1.6296675191815857</v>
      </c>
      <c r="J23">
        <f>(36.13+21.66)/39.1</f>
        <v>1.4780051150895142</v>
      </c>
    </row>
    <row r="24" spans="1:10">
      <c r="A24" s="316">
        <v>19</v>
      </c>
      <c r="B24" s="317" t="s">
        <v>160</v>
      </c>
      <c r="C24" s="319">
        <f>Form_III!E29</f>
        <v>0</v>
      </c>
      <c r="D24" s="319">
        <f>Form_III!F29</f>
        <v>0</v>
      </c>
      <c r="E24" s="319">
        <f>Form_III!H29</f>
        <v>0</v>
      </c>
      <c r="F24" s="319" t="e">
        <f>#N/A</f>
        <v>#N/A</v>
      </c>
    </row>
    <row r="25" spans="1:10">
      <c r="A25" s="316">
        <v>20</v>
      </c>
      <c r="B25" s="317" t="s">
        <v>294</v>
      </c>
      <c r="C25" s="319">
        <f>C23-C24</f>
        <v>0</v>
      </c>
      <c r="D25" s="319">
        <f>D23-D24</f>
        <v>0</v>
      </c>
      <c r="E25" s="319">
        <f>E23-E24</f>
        <v>0</v>
      </c>
      <c r="F25" s="319" t="e">
        <f>F23-F24</f>
        <v>#N/A</v>
      </c>
    </row>
    <row r="26" spans="1:10">
      <c r="A26" s="316">
        <v>21</v>
      </c>
      <c r="B26" s="317" t="s">
        <v>295</v>
      </c>
      <c r="C26" s="319" t="e">
        <f>C23/C24</f>
        <v>#DIV/0!</v>
      </c>
      <c r="D26" s="319" t="e">
        <f>D23/D24</f>
        <v>#DIV/0!</v>
      </c>
      <c r="E26" s="319" t="e">
        <f>E23/E24</f>
        <v>#DIV/0!</v>
      </c>
      <c r="F26" s="319" t="e">
        <f>F23/F24</f>
        <v>#N/A</v>
      </c>
    </row>
    <row r="30" spans="1:10">
      <c r="B30" s="224" t="s">
        <v>525</v>
      </c>
    </row>
    <row r="32" spans="1:10">
      <c r="B32" s="325" t="s">
        <v>503</v>
      </c>
      <c r="C32" s="325">
        <f>Form_VI!E9</f>
        <v>12</v>
      </c>
      <c r="D32" s="325">
        <f>Form_VI!G9</f>
        <v>12</v>
      </c>
      <c r="E32" s="325" t="e">
        <f>#N/A</f>
        <v>#N/A</v>
      </c>
    </row>
    <row r="33" spans="2:6">
      <c r="B33" s="317" t="s">
        <v>302</v>
      </c>
      <c r="C33" s="319">
        <f>Form_VI!E19</f>
        <v>0</v>
      </c>
      <c r="D33" s="319">
        <f>Form_VI!G19</f>
        <v>0</v>
      </c>
      <c r="E33" s="319" t="e">
        <f>#N/A</f>
        <v>#N/A</v>
      </c>
    </row>
    <row r="34" spans="2:6">
      <c r="B34" s="317" t="s">
        <v>526</v>
      </c>
      <c r="C34" s="319">
        <f>Form_VI!E29</f>
        <v>0</v>
      </c>
      <c r="D34" s="319">
        <f>Form_VI!G29</f>
        <v>0</v>
      </c>
      <c r="E34" s="319" t="e">
        <f>#N/A</f>
        <v>#N/A</v>
      </c>
    </row>
    <row r="35" spans="2:6">
      <c r="B35" s="317" t="s">
        <v>304</v>
      </c>
      <c r="C35" s="319">
        <f>Form_VI!E31</f>
        <v>0</v>
      </c>
      <c r="D35" s="319">
        <f>Form_VI!G31</f>
        <v>0</v>
      </c>
      <c r="E35" s="319" t="e">
        <f>#N/A</f>
        <v>#N/A</v>
      </c>
    </row>
    <row r="36" spans="2:6">
      <c r="B36" s="317" t="s">
        <v>527</v>
      </c>
      <c r="C36" s="323" t="e">
        <f>C35/Form_VI!E33</f>
        <v>#DIV/0!</v>
      </c>
      <c r="D36" s="323" t="e">
        <f>D35/Form_VI!G33</f>
        <v>#DIV/0!</v>
      </c>
      <c r="E36" s="323" t="e">
        <f>#N/A</f>
        <v>#N/A</v>
      </c>
    </row>
    <row r="38" spans="2:6">
      <c r="B38" s="224" t="s">
        <v>306</v>
      </c>
    </row>
    <row r="39" spans="2:6">
      <c r="B39" s="317" t="s">
        <v>503</v>
      </c>
      <c r="C39" s="317">
        <f>Form_III!E8</f>
        <v>2023</v>
      </c>
      <c r="D39" s="317">
        <f>Form_III!F8</f>
        <v>2024</v>
      </c>
      <c r="E39" s="317">
        <f>Form_III!H8</f>
        <v>2026</v>
      </c>
      <c r="F39" s="317" t="e">
        <f>#N/A</f>
        <v>#N/A</v>
      </c>
    </row>
    <row r="40" spans="2:6">
      <c r="B40" s="317" t="s">
        <v>308</v>
      </c>
      <c r="C40" s="323" t="e">
        <f>Form_III!E17/Form_III!E83</f>
        <v>#DIV/0!</v>
      </c>
      <c r="D40" s="323" t="e">
        <f>Form_III!F17/Form_III!F83</f>
        <v>#DIV/0!</v>
      </c>
      <c r="E40" s="323" t="e">
        <f>Form_III!H17/Form_III!H83</f>
        <v>#DIV/0!</v>
      </c>
      <c r="F40" s="323" t="e">
        <f>#N/A</f>
        <v>#N/A</v>
      </c>
    </row>
    <row r="41" spans="2:6">
      <c r="B41" s="317" t="s">
        <v>189</v>
      </c>
      <c r="C41" s="323" t="e">
        <f>#N/A</f>
        <v>#N/A</v>
      </c>
      <c r="D41" s="323" t="e">
        <f>#N/A</f>
        <v>#N/A</v>
      </c>
      <c r="E41" s="323" t="e">
        <f>#N/A</f>
        <v>#N/A</v>
      </c>
      <c r="F41" s="323" t="e">
        <f>#N/A</f>
        <v>#N/A</v>
      </c>
    </row>
    <row r="42" spans="2:6">
      <c r="B42" s="317" t="s">
        <v>528</v>
      </c>
      <c r="C42" s="323" t="e">
        <f>Form_III!E15/Form_III!E83</f>
        <v>#DIV/0!</v>
      </c>
      <c r="D42" s="323" t="e">
        <f>Form_III!F15/Form_III!F83</f>
        <v>#DIV/0!</v>
      </c>
      <c r="E42" s="323" t="e">
        <f>Form_III!H15/Form_III!H83</f>
        <v>#DIV/0!</v>
      </c>
      <c r="F42" s="323" t="e">
        <f>#N/A</f>
        <v>#N/A</v>
      </c>
    </row>
    <row r="43" spans="2:6">
      <c r="B43" s="317" t="s">
        <v>294</v>
      </c>
      <c r="C43" s="323" t="e">
        <f>1-(C40+C41+C42)</f>
        <v>#DIV/0!</v>
      </c>
      <c r="D43" s="323" t="e">
        <f>1-(D40+D41+D42)</f>
        <v>#DIV/0!</v>
      </c>
      <c r="E43" s="323" t="e">
        <f>1-(E40+E41+E42)</f>
        <v>#DIV/0!</v>
      </c>
      <c r="F43" s="323" t="e">
        <f>1-(F40+F41+F42)</f>
        <v>#N/A</v>
      </c>
    </row>
    <row r="44" spans="2:6">
      <c r="B44" s="317"/>
      <c r="C44" s="324" t="e">
        <f>SUM(C40:C43)</f>
        <v>#DIV/0!</v>
      </c>
      <c r="D44" s="324" t="e">
        <f>SUM(D40:D43)</f>
        <v>#DIV/0!</v>
      </c>
      <c r="E44" s="324" t="e">
        <f>SUM(E40:E43)</f>
        <v>#DIV/0!</v>
      </c>
      <c r="F44" s="324" t="e">
        <f>SUM(F40:F43)</f>
        <v>#N/A</v>
      </c>
    </row>
    <row r="47" spans="2:6">
      <c r="B47" s="224" t="s">
        <v>529</v>
      </c>
    </row>
    <row r="48" spans="2:6">
      <c r="B48" s="317" t="s">
        <v>503</v>
      </c>
      <c r="C48" s="317">
        <f>Form_III!F8</f>
        <v>2024</v>
      </c>
      <c r="D48" s="317">
        <f>Form_III!H8</f>
        <v>2026</v>
      </c>
      <c r="E48" s="317" t="e">
        <f>#N/A</f>
        <v>#N/A</v>
      </c>
    </row>
    <row r="49" spans="2:5">
      <c r="B49" s="317" t="s">
        <v>530</v>
      </c>
      <c r="C49" s="319" t="e">
        <f>#N/A</f>
        <v>#N/A</v>
      </c>
      <c r="D49" s="319" t="e">
        <f>#N/A</f>
        <v>#N/A</v>
      </c>
      <c r="E49" s="319" t="e">
        <f>#N/A</f>
        <v>#N/A</v>
      </c>
    </row>
    <row r="50" spans="2:5">
      <c r="B50" s="317" t="s">
        <v>531</v>
      </c>
      <c r="C50" s="319">
        <f>Form_III!F89-Form_III!E89</f>
        <v>0</v>
      </c>
      <c r="D50" s="319">
        <f>Form_III!H89-Form_III!F89</f>
        <v>0</v>
      </c>
      <c r="E50" s="319" t="e">
        <f>#N/A</f>
        <v>#N/A</v>
      </c>
    </row>
    <row r="51" spans="2:5">
      <c r="B51" s="317" t="s">
        <v>532</v>
      </c>
      <c r="C51" s="319" t="e">
        <f>C49-C50</f>
        <v>#N/A</v>
      </c>
      <c r="D51" s="319" t="e">
        <f>D49-D50</f>
        <v>#N/A</v>
      </c>
      <c r="E51" s="319" t="e">
        <f>E49-E50</f>
        <v>#N/A</v>
      </c>
    </row>
    <row r="53" spans="2:5">
      <c r="B53" s="224" t="s">
        <v>533</v>
      </c>
    </row>
    <row r="54" spans="2:5">
      <c r="B54" s="317" t="s">
        <v>503</v>
      </c>
      <c r="C54" s="317">
        <f>Form_III!F8</f>
        <v>2024</v>
      </c>
      <c r="D54" s="317">
        <f>Form_III!H8</f>
        <v>2026</v>
      </c>
      <c r="E54" s="317" t="e">
        <f>#N/A</f>
        <v>#N/A</v>
      </c>
    </row>
    <row r="55" spans="2:5">
      <c r="B55" s="317" t="s">
        <v>534</v>
      </c>
      <c r="C55" s="319">
        <f>Form_II!F55</f>
        <v>0</v>
      </c>
      <c r="D55" s="319">
        <f>Form_II!H55</f>
        <v>0</v>
      </c>
      <c r="E55" s="319" t="e">
        <f>#N/A</f>
        <v>#N/A</v>
      </c>
    </row>
    <row r="56" spans="2:5">
      <c r="B56" s="317" t="s">
        <v>535</v>
      </c>
      <c r="C56" s="319">
        <f>((Form_III!F49-Form_III!F41)-(Form_III!E49-Form_III!E41))</f>
        <v>0</v>
      </c>
      <c r="D56" s="319">
        <f>((Form_III!H49-Form_III!H41)-(Form_III!F49-Form_III!F41))</f>
        <v>0</v>
      </c>
      <c r="E56" s="319" t="e">
        <f>#N/A</f>
        <v>#N/A</v>
      </c>
    </row>
    <row r="57" spans="2:5">
      <c r="B57" s="317" t="s">
        <v>532</v>
      </c>
      <c r="C57" s="319">
        <f>C55-C56</f>
        <v>0</v>
      </c>
      <c r="D57" s="319">
        <f>D55-D56</f>
        <v>0</v>
      </c>
      <c r="E57" s="319" t="e">
        <f>E55-E56</f>
        <v>#N/A</v>
      </c>
    </row>
  </sheetData>
  <phoneticPr fontId="19" type="noConversion"/>
  <pageMargins left="0.78749999999999998" right="0.78749999999999998" top="0.78749999999999998" bottom="0.78749999999999998" header="0.51180555555555562" footer="0.51180555555555562"/>
  <pageSetup paperSize="9" firstPageNumber="0" orientation="landscape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5F35-8093-45B1-B222-EF9E904C285D}">
  <dimension ref="A1"/>
  <sheetViews>
    <sheetView showGridLines="0" zoomScale="90" zoomScaleNormal="90" workbookViewId="0"/>
  </sheetViews>
  <sheetFormatPr defaultColWidth="11.6640625" defaultRowHeight="13.2"/>
  <sheetData/>
  <phoneticPr fontId="19" type="noConversion"/>
  <pageMargins left="0.78749999999999998" right="0.78749999999999998" top="0.78749999999999998" bottom="0.78749999999999998" header="0.51180555555555562" footer="0.51180555555555562"/>
  <pageSetup paperSize="9" orientation="portrait" useFirstPageNumber="1" horizontalDpi="300" verticalDpi="3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60B1F-A38D-458D-BCA6-2D98BFCDDEFA}"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defaultRowHeight="13.2"/>
  <cols>
    <col min="1" max="1" width="30.109375" customWidth="1"/>
    <col min="6" max="6" width="9.88671875" bestFit="1" customWidth="1"/>
    <col min="7" max="7" width="9.44140625" bestFit="1" customWidth="1"/>
    <col min="8" max="13" width="11" bestFit="1" customWidth="1"/>
  </cols>
  <sheetData>
    <row r="1" spans="1:13">
      <c r="A1" s="411">
        <f>'INPUT SHEET'!B7</f>
        <v>0</v>
      </c>
      <c r="B1" s="411"/>
      <c r="C1" s="411"/>
      <c r="D1" s="411"/>
    </row>
    <row r="3" spans="1:13" ht="14.4">
      <c r="A3" s="326"/>
      <c r="B3" s="327">
        <f>Form_IV!E8</f>
        <v>2023</v>
      </c>
      <c r="C3" s="327">
        <f>Form_IV!F8</f>
        <v>2024</v>
      </c>
      <c r="D3" s="327">
        <f>Form_IV!G8</f>
        <v>2025</v>
      </c>
      <c r="E3" s="327">
        <f>Form_IV!H8</f>
        <v>2026</v>
      </c>
      <c r="F3" s="327">
        <f>Form_IV!I8</f>
        <v>2027</v>
      </c>
      <c r="G3" s="327">
        <f>Form_IV!J8</f>
        <v>2028</v>
      </c>
      <c r="H3" s="327">
        <f>Form_IV!K8</f>
        <v>2029</v>
      </c>
      <c r="I3" s="327">
        <f>Form_IV!L8</f>
        <v>2030</v>
      </c>
      <c r="J3" s="327">
        <f>Form_IV!M8</f>
        <v>2031</v>
      </c>
      <c r="K3" s="327">
        <f>Form_IV!N8</f>
        <v>2032</v>
      </c>
      <c r="L3" s="327">
        <f>Form_IV!O8</f>
        <v>2033</v>
      </c>
      <c r="M3" s="327">
        <f>Form_IV!P8</f>
        <v>2034</v>
      </c>
    </row>
    <row r="4" spans="1:13" ht="14.4">
      <c r="A4" s="326" t="s">
        <v>561</v>
      </c>
      <c r="B4" s="327">
        <f>Form_IV!E9</f>
        <v>12</v>
      </c>
      <c r="C4" s="327">
        <f>Form_IV!F9</f>
        <v>12</v>
      </c>
      <c r="D4" s="327">
        <f>Form_IV!G9</f>
        <v>12</v>
      </c>
      <c r="E4" s="327">
        <f>Form_IV!H9</f>
        <v>12</v>
      </c>
      <c r="F4" s="327">
        <f>Form_IV!I9</f>
        <v>12</v>
      </c>
      <c r="G4" s="327">
        <f>Form_IV!J9</f>
        <v>12</v>
      </c>
      <c r="H4" s="327">
        <f>Form_IV!K9</f>
        <v>12</v>
      </c>
      <c r="I4" s="327">
        <f>Form_IV!L9</f>
        <v>12</v>
      </c>
      <c r="J4" s="327">
        <f>Form_IV!M9</f>
        <v>12</v>
      </c>
      <c r="K4" s="327">
        <f>Form_IV!N9</f>
        <v>12</v>
      </c>
      <c r="L4" s="327">
        <f>Form_IV!O9</f>
        <v>12</v>
      </c>
      <c r="M4" s="327">
        <f>Form_IV!P9</f>
        <v>12</v>
      </c>
    </row>
    <row r="5" spans="1:13">
      <c r="A5" t="s">
        <v>560</v>
      </c>
      <c r="E5">
        <f>22</f>
        <v>22</v>
      </c>
      <c r="F5">
        <f>E5</f>
        <v>22</v>
      </c>
      <c r="G5">
        <f t="shared" ref="G5:M5" si="0">F5</f>
        <v>22</v>
      </c>
      <c r="H5">
        <f t="shared" si="0"/>
        <v>22</v>
      </c>
      <c r="I5">
        <f t="shared" si="0"/>
        <v>22</v>
      </c>
      <c r="J5">
        <f t="shared" si="0"/>
        <v>22</v>
      </c>
      <c r="K5">
        <f t="shared" si="0"/>
        <v>22</v>
      </c>
      <c r="L5">
        <f t="shared" si="0"/>
        <v>22</v>
      </c>
      <c r="M5">
        <f t="shared" si="0"/>
        <v>22</v>
      </c>
    </row>
    <row r="6" spans="1:13">
      <c r="A6" t="s">
        <v>562</v>
      </c>
      <c r="E6">
        <v>5000</v>
      </c>
      <c r="F6">
        <f>E6</f>
        <v>5000</v>
      </c>
      <c r="G6">
        <f t="shared" ref="G6:M6" si="1">F6</f>
        <v>5000</v>
      </c>
      <c r="H6">
        <f t="shared" si="1"/>
        <v>5000</v>
      </c>
      <c r="I6">
        <f t="shared" si="1"/>
        <v>5000</v>
      </c>
      <c r="J6">
        <f t="shared" si="1"/>
        <v>5000</v>
      </c>
      <c r="K6">
        <f t="shared" si="1"/>
        <v>5000</v>
      </c>
      <c r="L6">
        <f t="shared" si="1"/>
        <v>5000</v>
      </c>
      <c r="M6">
        <f t="shared" si="1"/>
        <v>5000</v>
      </c>
    </row>
    <row r="7" spans="1:13">
      <c r="A7" t="s">
        <v>563</v>
      </c>
      <c r="F7" s="355">
        <v>0.65</v>
      </c>
      <c r="G7" s="355">
        <v>0.8</v>
      </c>
      <c r="H7" s="355">
        <v>0.85</v>
      </c>
      <c r="I7" s="355">
        <v>0.9</v>
      </c>
      <c r="J7" s="355">
        <v>0.95</v>
      </c>
      <c r="K7" s="355">
        <f>J7</f>
        <v>0.95</v>
      </c>
      <c r="L7" s="355">
        <f>K7</f>
        <v>0.95</v>
      </c>
      <c r="M7" s="355">
        <f>L7</f>
        <v>0.95</v>
      </c>
    </row>
    <row r="8" spans="1:13">
      <c r="A8" t="s">
        <v>564</v>
      </c>
      <c r="F8">
        <f>F6*F7</f>
        <v>3250</v>
      </c>
      <c r="G8">
        <f t="shared" ref="G8:M8" si="2">G6*G7</f>
        <v>4000</v>
      </c>
      <c r="H8">
        <f t="shared" si="2"/>
        <v>4250</v>
      </c>
      <c r="I8">
        <f t="shared" si="2"/>
        <v>4500</v>
      </c>
      <c r="J8">
        <f t="shared" si="2"/>
        <v>4750</v>
      </c>
      <c r="K8">
        <f t="shared" si="2"/>
        <v>4750</v>
      </c>
      <c r="L8">
        <f t="shared" si="2"/>
        <v>4750</v>
      </c>
      <c r="M8">
        <f t="shared" si="2"/>
        <v>4750</v>
      </c>
    </row>
    <row r="9" spans="1:13">
      <c r="A9" t="s">
        <v>565</v>
      </c>
      <c r="F9" s="358">
        <v>92300</v>
      </c>
      <c r="G9" s="358">
        <f>F9*(1+G10)</f>
        <v>94146</v>
      </c>
      <c r="H9" s="358">
        <f t="shared" ref="H9:M9" si="3">G9*(1+H10)</f>
        <v>96028.92</v>
      </c>
      <c r="I9" s="358">
        <f t="shared" si="3"/>
        <v>97949.498399999997</v>
      </c>
      <c r="J9" s="358">
        <f t="shared" si="3"/>
        <v>99908.488367999991</v>
      </c>
      <c r="K9" s="358">
        <f t="shared" si="3"/>
        <v>101906.65813535999</v>
      </c>
      <c r="L9" s="358">
        <f t="shared" si="3"/>
        <v>103944.7912980672</v>
      </c>
      <c r="M9" s="358">
        <f t="shared" si="3"/>
        <v>106023.68712402854</v>
      </c>
    </row>
    <row r="10" spans="1:13">
      <c r="A10" s="301" t="s">
        <v>566</v>
      </c>
      <c r="G10" s="356">
        <v>0.02</v>
      </c>
      <c r="H10" s="356">
        <f t="shared" ref="H10:M10" si="4">G10</f>
        <v>0.02</v>
      </c>
      <c r="I10" s="356">
        <f t="shared" si="4"/>
        <v>0.02</v>
      </c>
      <c r="J10" s="356">
        <f t="shared" si="4"/>
        <v>0.02</v>
      </c>
      <c r="K10" s="356">
        <f t="shared" si="4"/>
        <v>0.02</v>
      </c>
      <c r="L10" s="356">
        <f t="shared" si="4"/>
        <v>0.02</v>
      </c>
      <c r="M10" s="356">
        <f t="shared" si="4"/>
        <v>0.02</v>
      </c>
    </row>
    <row r="11" spans="1:13">
      <c r="A11" s="272" t="s">
        <v>567</v>
      </c>
      <c r="F11" s="357">
        <f>F8*F9/10^7</f>
        <v>29.997499999999999</v>
      </c>
      <c r="G11" s="357">
        <f t="shared" ref="G11:M11" si="5">G8*G9/10^7</f>
        <v>37.6584</v>
      </c>
      <c r="H11" s="357">
        <f t="shared" si="5"/>
        <v>40.812291000000002</v>
      </c>
      <c r="I11" s="357">
        <f t="shared" si="5"/>
        <v>44.077274280000005</v>
      </c>
      <c r="J11" s="357">
        <f t="shared" si="5"/>
        <v>47.456531974799994</v>
      </c>
      <c r="K11" s="357">
        <f t="shared" si="5"/>
        <v>48.405662614295998</v>
      </c>
      <c r="L11" s="357">
        <f t="shared" si="5"/>
        <v>49.373775866581916</v>
      </c>
      <c r="M11" s="357">
        <f t="shared" si="5"/>
        <v>50.361251383913562</v>
      </c>
    </row>
    <row r="13" spans="1:13">
      <c r="A13" s="224" t="s">
        <v>568</v>
      </c>
    </row>
    <row r="14" spans="1:13">
      <c r="A14" s="272" t="s">
        <v>569</v>
      </c>
      <c r="F14" s="359">
        <v>0.35526315789473684</v>
      </c>
      <c r="G14" s="359">
        <v>0.35526315789473684</v>
      </c>
      <c r="H14" s="359">
        <v>0.35526315789473684</v>
      </c>
      <c r="I14" s="359">
        <v>0.35526315789473684</v>
      </c>
      <c r="J14" s="359">
        <v>0.35526315789473684</v>
      </c>
      <c r="K14" s="359">
        <v>0.35526315789473684</v>
      </c>
      <c r="L14" s="359">
        <v>0.35526315789473684</v>
      </c>
      <c r="M14" s="359">
        <v>0.35526315789473684</v>
      </c>
    </row>
    <row r="15" spans="1:13">
      <c r="A15" s="272" t="s">
        <v>570</v>
      </c>
      <c r="F15" s="359">
        <v>0.30263157894736842</v>
      </c>
      <c r="G15" s="359">
        <v>0.30263157894736842</v>
      </c>
      <c r="H15" s="359">
        <v>0.30263157894736842</v>
      </c>
      <c r="I15" s="359">
        <v>0.30263157894736842</v>
      </c>
      <c r="J15" s="359">
        <v>0.30263157894736842</v>
      </c>
      <c r="K15" s="359">
        <v>0.30263157894736842</v>
      </c>
      <c r="L15" s="359">
        <v>0.30263157894736842</v>
      </c>
      <c r="M15" s="359">
        <v>0.30263157894736842</v>
      </c>
    </row>
    <row r="16" spans="1:13">
      <c r="A16" s="272" t="s">
        <v>571</v>
      </c>
      <c r="F16" s="359">
        <v>0.18421052631578949</v>
      </c>
      <c r="G16" s="359">
        <v>0.18421052631578949</v>
      </c>
      <c r="H16" s="359">
        <v>0.18421052631578949</v>
      </c>
      <c r="I16" s="359">
        <v>0.18421052631578949</v>
      </c>
      <c r="J16" s="359">
        <v>0.18421052631578949</v>
      </c>
      <c r="K16" s="359">
        <v>0.18421052631578949</v>
      </c>
      <c r="L16" s="359">
        <v>0.18421052631578949</v>
      </c>
      <c r="M16" s="359">
        <v>0.18421052631578949</v>
      </c>
    </row>
    <row r="17" spans="1:13">
      <c r="A17" s="272" t="s">
        <v>572</v>
      </c>
      <c r="F17" s="359">
        <v>0.15789473684210525</v>
      </c>
      <c r="G17" s="359">
        <v>0.15789473684210525</v>
      </c>
      <c r="H17" s="359">
        <v>0.15789473684210525</v>
      </c>
      <c r="I17" s="359">
        <v>0.15789473684210525</v>
      </c>
      <c r="J17" s="359">
        <v>0.15789473684210525</v>
      </c>
      <c r="K17" s="359">
        <v>0.15789473684210525</v>
      </c>
      <c r="L17" s="359">
        <v>0.15789473684210525</v>
      </c>
      <c r="M17" s="359">
        <v>0.15789473684210525</v>
      </c>
    </row>
    <row r="18" spans="1:13">
      <c r="A18" s="272" t="s">
        <v>573</v>
      </c>
      <c r="F18" s="359"/>
      <c r="G18" s="359"/>
      <c r="H18" s="359"/>
      <c r="I18" s="359"/>
      <c r="J18" s="359"/>
      <c r="K18" s="359"/>
      <c r="L18" s="359"/>
      <c r="M18" s="359"/>
    </row>
    <row r="19" spans="1:13">
      <c r="A19" s="272" t="s">
        <v>29</v>
      </c>
      <c r="F19" s="360">
        <f>SUM(F14:F18)</f>
        <v>1</v>
      </c>
      <c r="G19" s="360">
        <f t="shared" ref="G19:M19" si="6">SUM(G14:G18)</f>
        <v>1</v>
      </c>
      <c r="H19" s="360">
        <f t="shared" si="6"/>
        <v>1</v>
      </c>
      <c r="I19" s="360">
        <f t="shared" si="6"/>
        <v>1</v>
      </c>
      <c r="J19" s="360">
        <f t="shared" si="6"/>
        <v>1</v>
      </c>
      <c r="K19" s="360">
        <f t="shared" si="6"/>
        <v>1</v>
      </c>
      <c r="L19" s="360">
        <f t="shared" si="6"/>
        <v>1</v>
      </c>
      <c r="M19" s="360">
        <f t="shared" si="6"/>
        <v>1</v>
      </c>
    </row>
    <row r="20" spans="1:13">
      <c r="A20" s="224" t="s">
        <v>574</v>
      </c>
    </row>
    <row r="21" spans="1:13">
      <c r="A21" s="272" t="s">
        <v>569</v>
      </c>
      <c r="F21" s="358">
        <v>80000</v>
      </c>
      <c r="G21" s="358">
        <f>F21*(1+G$26)</f>
        <v>84000</v>
      </c>
      <c r="H21" s="358">
        <f t="shared" ref="H21:M21" si="7">G21*(1+H$26)</f>
        <v>88200</v>
      </c>
      <c r="I21" s="358">
        <f t="shared" si="7"/>
        <v>92610</v>
      </c>
      <c r="J21" s="358">
        <f t="shared" si="7"/>
        <v>97240.5</v>
      </c>
      <c r="K21" s="358">
        <f t="shared" si="7"/>
        <v>102102.52500000001</v>
      </c>
      <c r="L21" s="358">
        <f t="shared" si="7"/>
        <v>107207.65125000001</v>
      </c>
      <c r="M21" s="358">
        <f t="shared" si="7"/>
        <v>112568.03381250001</v>
      </c>
    </row>
    <row r="22" spans="1:13">
      <c r="A22" s="272" t="s">
        <v>570</v>
      </c>
      <c r="F22" s="358">
        <v>10000</v>
      </c>
      <c r="G22" s="358">
        <f t="shared" ref="G22:M24" si="8">F22*(1+G$26)</f>
        <v>10500</v>
      </c>
      <c r="H22" s="358">
        <f t="shared" si="8"/>
        <v>11025</v>
      </c>
      <c r="I22" s="358">
        <f t="shared" si="8"/>
        <v>11576.25</v>
      </c>
      <c r="J22" s="358">
        <f t="shared" si="8"/>
        <v>12155.0625</v>
      </c>
      <c r="K22" s="358">
        <f t="shared" si="8"/>
        <v>12762.815625000001</v>
      </c>
      <c r="L22" s="358">
        <f t="shared" si="8"/>
        <v>13400.956406250001</v>
      </c>
      <c r="M22" s="358">
        <f t="shared" si="8"/>
        <v>14071.004226562502</v>
      </c>
    </row>
    <row r="23" spans="1:13">
      <c r="A23" s="272" t="s">
        <v>571</v>
      </c>
      <c r="F23" s="358">
        <v>10000</v>
      </c>
      <c r="G23" s="358">
        <f t="shared" si="8"/>
        <v>10500</v>
      </c>
      <c r="H23" s="358">
        <f t="shared" si="8"/>
        <v>11025</v>
      </c>
      <c r="I23" s="358">
        <f t="shared" si="8"/>
        <v>11576.25</v>
      </c>
      <c r="J23" s="358">
        <f t="shared" si="8"/>
        <v>12155.0625</v>
      </c>
      <c r="K23" s="358">
        <f t="shared" si="8"/>
        <v>12762.815625000001</v>
      </c>
      <c r="L23" s="358">
        <f t="shared" si="8"/>
        <v>13400.956406250001</v>
      </c>
      <c r="M23" s="358">
        <f t="shared" si="8"/>
        <v>14071.004226562502</v>
      </c>
    </row>
    <row r="24" spans="1:13">
      <c r="A24" s="272" t="s">
        <v>572</v>
      </c>
      <c r="F24" s="358">
        <v>10000</v>
      </c>
      <c r="G24" s="358">
        <f t="shared" si="8"/>
        <v>10500</v>
      </c>
      <c r="H24" s="358">
        <f t="shared" si="8"/>
        <v>11025</v>
      </c>
      <c r="I24" s="358">
        <f t="shared" si="8"/>
        <v>11576.25</v>
      </c>
      <c r="J24" s="358">
        <f t="shared" si="8"/>
        <v>12155.0625</v>
      </c>
      <c r="K24" s="358">
        <f t="shared" si="8"/>
        <v>12762.815625000001</v>
      </c>
      <c r="L24" s="358">
        <f t="shared" si="8"/>
        <v>13400.956406250001</v>
      </c>
      <c r="M24" s="358">
        <f t="shared" si="8"/>
        <v>14071.004226562502</v>
      </c>
    </row>
    <row r="25" spans="1:13">
      <c r="A25" s="272" t="s">
        <v>573</v>
      </c>
    </row>
    <row r="26" spans="1:13">
      <c r="A26" s="301" t="s">
        <v>566</v>
      </c>
      <c r="G26" s="356">
        <v>0.05</v>
      </c>
      <c r="H26" s="356">
        <f t="shared" ref="H26:M26" si="9">G26</f>
        <v>0.05</v>
      </c>
      <c r="I26" s="356">
        <f t="shared" si="9"/>
        <v>0.05</v>
      </c>
      <c r="J26" s="356">
        <f t="shared" si="9"/>
        <v>0.05</v>
      </c>
      <c r="K26" s="356">
        <f t="shared" si="9"/>
        <v>0.05</v>
      </c>
      <c r="L26" s="356">
        <f t="shared" si="9"/>
        <v>0.05</v>
      </c>
      <c r="M26" s="356">
        <f t="shared" si="9"/>
        <v>0.05</v>
      </c>
    </row>
    <row r="27" spans="1:13">
      <c r="A27" s="272" t="s">
        <v>575</v>
      </c>
    </row>
    <row r="28" spans="1:13">
      <c r="A28" s="272" t="s">
        <v>569</v>
      </c>
      <c r="F28" s="358">
        <f>F21*F14</f>
        <v>28421.052631578947</v>
      </c>
      <c r="G28" s="358">
        <f t="shared" ref="G28:M28" si="10">G21*G14</f>
        <v>29842.105263157893</v>
      </c>
      <c r="H28" s="358">
        <f t="shared" si="10"/>
        <v>31334.21052631579</v>
      </c>
      <c r="I28" s="358">
        <f t="shared" si="10"/>
        <v>32900.92105263158</v>
      </c>
      <c r="J28" s="358">
        <f t="shared" si="10"/>
        <v>34545.96710526316</v>
      </c>
      <c r="K28" s="358">
        <f t="shared" si="10"/>
        <v>36273.265460526316</v>
      </c>
      <c r="L28" s="358">
        <f t="shared" si="10"/>
        <v>38086.928733552631</v>
      </c>
      <c r="M28" s="358">
        <f t="shared" si="10"/>
        <v>39991.27517023027</v>
      </c>
    </row>
    <row r="29" spans="1:13">
      <c r="A29" s="272" t="s">
        <v>570</v>
      </c>
      <c r="F29" s="358">
        <f t="shared" ref="F29:M31" si="11">F22*F15</f>
        <v>3026.3157894736842</v>
      </c>
      <c r="G29" s="358">
        <f t="shared" si="11"/>
        <v>3177.6315789473683</v>
      </c>
      <c r="H29" s="358">
        <f t="shared" si="11"/>
        <v>3336.5131578947367</v>
      </c>
      <c r="I29" s="358">
        <f t="shared" si="11"/>
        <v>3503.3388157894738</v>
      </c>
      <c r="J29" s="358">
        <f t="shared" si="11"/>
        <v>3678.5057565789475</v>
      </c>
      <c r="K29" s="358">
        <f t="shared" si="11"/>
        <v>3862.4310444078951</v>
      </c>
      <c r="L29" s="358">
        <f t="shared" si="11"/>
        <v>4055.5525966282898</v>
      </c>
      <c r="M29" s="358">
        <f t="shared" si="11"/>
        <v>4258.3302264597041</v>
      </c>
    </row>
    <row r="30" spans="1:13">
      <c r="A30" s="272" t="s">
        <v>571</v>
      </c>
      <c r="F30" s="358">
        <f t="shared" si="11"/>
        <v>1842.105263157895</v>
      </c>
      <c r="G30" s="358">
        <f t="shared" si="11"/>
        <v>1934.2105263157896</v>
      </c>
      <c r="H30" s="358">
        <f t="shared" si="11"/>
        <v>2030.9210526315792</v>
      </c>
      <c r="I30" s="358">
        <f t="shared" si="11"/>
        <v>2132.4671052631579</v>
      </c>
      <c r="J30" s="358">
        <f t="shared" si="11"/>
        <v>2239.0904605263158</v>
      </c>
      <c r="K30" s="358">
        <f t="shared" si="11"/>
        <v>2351.0449835526319</v>
      </c>
      <c r="L30" s="358">
        <f t="shared" si="11"/>
        <v>2468.5972327302638</v>
      </c>
      <c r="M30" s="358">
        <f t="shared" si="11"/>
        <v>2592.027094366777</v>
      </c>
    </row>
    <row r="31" spans="1:13">
      <c r="A31" s="272" t="s">
        <v>572</v>
      </c>
      <c r="F31" s="358">
        <f t="shared" si="11"/>
        <v>1578.9473684210525</v>
      </c>
      <c r="G31" s="358">
        <f t="shared" si="11"/>
        <v>1657.8947368421052</v>
      </c>
      <c r="H31" s="358">
        <f t="shared" si="11"/>
        <v>1740.7894736842104</v>
      </c>
      <c r="I31" s="358">
        <f t="shared" si="11"/>
        <v>1827.828947368421</v>
      </c>
      <c r="J31" s="358">
        <f t="shared" si="11"/>
        <v>1919.2203947368421</v>
      </c>
      <c r="K31" s="358">
        <f t="shared" si="11"/>
        <v>2015.1814144736843</v>
      </c>
      <c r="L31" s="358">
        <f t="shared" si="11"/>
        <v>2115.9404851973686</v>
      </c>
      <c r="M31" s="358">
        <f t="shared" si="11"/>
        <v>2221.7375094572371</v>
      </c>
    </row>
    <row r="32" spans="1:13">
      <c r="A32" s="272" t="s">
        <v>573</v>
      </c>
    </row>
    <row r="33" spans="1:13">
      <c r="A33" s="224" t="s">
        <v>576</v>
      </c>
      <c r="B33" s="224"/>
      <c r="C33" s="224"/>
      <c r="D33" s="224"/>
      <c r="E33" s="224"/>
      <c r="F33" s="361">
        <f>SUM(F28:F32)</f>
        <v>34868.42105263158</v>
      </c>
      <c r="G33" s="361">
        <f t="shared" ref="G33:M33" si="12">SUM(G28:G32)</f>
        <v>36611.842105263153</v>
      </c>
      <c r="H33" s="361">
        <f t="shared" si="12"/>
        <v>38442.43421052632</v>
      </c>
      <c r="I33" s="361">
        <f t="shared" si="12"/>
        <v>40364.555921052633</v>
      </c>
      <c r="J33" s="361">
        <f t="shared" si="12"/>
        <v>42382.78371710526</v>
      </c>
      <c r="K33" s="361">
        <f t="shared" si="12"/>
        <v>44501.922902960527</v>
      </c>
      <c r="L33" s="361">
        <f t="shared" si="12"/>
        <v>46727.019048108552</v>
      </c>
      <c r="M33" s="361">
        <f t="shared" si="12"/>
        <v>49063.370000513991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Details</vt:lpstr>
      <vt:lpstr>Sheet1</vt:lpstr>
      <vt:lpstr>TL</vt:lpstr>
      <vt:lpstr>INPUT SHEET</vt:lpstr>
      <vt:lpstr>Summary spread</vt:lpstr>
      <vt:lpstr>Cash flows</vt:lpstr>
      <vt:lpstr>Key Financials</vt:lpstr>
      <vt:lpstr>Form_IV</vt:lpstr>
      <vt:lpstr>Trend Analysis</vt:lpstr>
      <vt:lpstr>Form_II</vt:lpstr>
      <vt:lpstr>Form_III</vt:lpstr>
      <vt:lpstr>Form_V</vt:lpstr>
      <vt:lpstr>Form_VI</vt:lpstr>
      <vt:lpstr>Financials improper</vt:lpstr>
      <vt:lpstr>CMAcode</vt:lpstr>
      <vt:lpstr>assumptions</vt:lpstr>
      <vt:lpstr>Form_V!Print_Area</vt:lpstr>
      <vt:lpstr>Form_III!Print_Titles</vt:lpstr>
      <vt:lpstr>Form_IV!Print_Titles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CMA for 8 years</dc:title>
  <dc:subject>Credit Monitoring Arrangement</dc:subject>
  <dc:creator>Amrish Doshi</dc:creator>
  <dc:description>This package is the property of _x000d_
ICICI Bank Limited</dc:description>
  <cp:lastModifiedBy>Ashutosh Rathi</cp:lastModifiedBy>
  <cp:revision>5</cp:revision>
  <cp:lastPrinted>2020-08-10T09:46:35Z</cp:lastPrinted>
  <dcterms:created xsi:type="dcterms:W3CDTF">1999-03-27T08:33:39Z</dcterms:created>
  <dcterms:modified xsi:type="dcterms:W3CDTF">2026-03-22T22:20:30Z</dcterms:modified>
</cp:coreProperties>
</file>