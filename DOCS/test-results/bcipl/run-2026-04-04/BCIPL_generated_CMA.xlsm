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heet1" sheetId="2" state="visible" r:id="rId2"/>
    <sheet xmlns:r="http://schemas.openxmlformats.org/officeDocument/2006/relationships" name="TL" sheetId="3" state="visible" r:id="rId3"/>
    <sheet xmlns:r="http://schemas.openxmlformats.org/officeDocument/2006/relationships" name="INPUT SHEET" sheetId="4" state="visible" r:id="rId4"/>
    <sheet xmlns:r="http://schemas.openxmlformats.org/officeDocument/2006/relationships" name="Summary spread" sheetId="5" state="hidden" r:id="rId5"/>
    <sheet xmlns:r="http://schemas.openxmlformats.org/officeDocument/2006/relationships" name="Cash flows" sheetId="6" state="hidden" r:id="rId6"/>
    <sheet xmlns:r="http://schemas.openxmlformats.org/officeDocument/2006/relationships" name="Key Financials" sheetId="7" state="visible" r:id="rId7"/>
    <sheet xmlns:r="http://schemas.openxmlformats.org/officeDocument/2006/relationships" name="Form_IV" sheetId="8" state="visible" r:id="rId8"/>
    <sheet xmlns:r="http://schemas.openxmlformats.org/officeDocument/2006/relationships" name="Trend Analysis" sheetId="9" state="hidden" r:id="rId9"/>
    <sheet xmlns:r="http://schemas.openxmlformats.org/officeDocument/2006/relationships" name="Form_II" sheetId="10" state="visible" r:id="rId10"/>
    <sheet xmlns:r="http://schemas.openxmlformats.org/officeDocument/2006/relationships" name="Form_III" sheetId="11" state="visible" r:id="rId11"/>
    <sheet xmlns:r="http://schemas.openxmlformats.org/officeDocument/2006/relationships" name="Form_V" sheetId="12" state="visible" r:id="rId12"/>
    <sheet xmlns:r="http://schemas.openxmlformats.org/officeDocument/2006/relationships" name="Form_VI" sheetId="13" state="hidden" r:id="rId13"/>
    <sheet xmlns:r="http://schemas.openxmlformats.org/officeDocument/2006/relationships" name="Financials improper" sheetId="14" state="hidden" r:id="rId14"/>
    <sheet xmlns:r="http://schemas.openxmlformats.org/officeDocument/2006/relationships" name="CMAcode" sheetId="15" state="hidden" r:id="rId15"/>
    <sheet xmlns:r="http://schemas.openxmlformats.org/officeDocument/2006/relationships"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>
        <f>105.43+0.55+105.43+123.97</f>
        <v/>
      </c>
      <c r="C22" s="472">
        <f>237.08+278.31+278.32+237.08</f>
        <v/>
      </c>
      <c r="D22" s="472">
        <f>264.07+262.70+1.72+310.54+264.07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0</v>
      </c>
      <c r="C30" s="472" t="n">
        <v>0</v>
      </c>
      <c r="D30" s="472" t="n">
        <v>0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>
        <f>-0.07+0.07</f>
        <v/>
      </c>
      <c r="C31" s="472" t="n"/>
      <c r="D31" s="472">
        <f>-0.13+0.13</f>
        <v/>
      </c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/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>
        <f>0.09-0.08+0.08+0.01</f>
        <v/>
      </c>
      <c r="C34" s="472" t="n">
        <v>6.55</v>
      </c>
      <c r="D34" s="472">
        <f>0.57-0.06+0.06+0.15+0</f>
        <v/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>
        <f>84.35+6.95</f>
        <v/>
      </c>
      <c r="C42" s="472">
        <f>196.42+8.05</f>
        <v/>
      </c>
      <c r="D42" s="472">
        <f>217.71+16.83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-0.01+84.35+1.77</f>
        <v/>
      </c>
      <c r="C44" s="472">
        <f>196.42+3.49</f>
        <v/>
      </c>
      <c r="D44" s="472">
        <f>0.03+217.71+4.39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>
        <f>6.68-0.06-0.09+0.80+0.32+0.23+0.08+5.60+0.54</f>
        <v/>
      </c>
      <c r="C45" s="472">
        <f>11.98+10.24</f>
        <v/>
      </c>
      <c r="D45" s="472">
        <f>13.79-0.12-0.19+0.42+0.07+0.66+0.70+11.54+1.10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0.24+1.22</f>
        <v/>
      </c>
      <c r="C46" s="472" t="n">
        <v>2.05</v>
      </c>
      <c r="D46" s="472">
        <f>0.02+0.12+2.26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0.8</v>
      </c>
      <c r="C48" s="472">
        <f>0</f>
        <v/>
      </c>
      <c r="D48" s="472" t="n">
        <v>1.22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>
        <f>0+0.10+0.03</f>
        <v/>
      </c>
      <c r="C49" s="472">
        <f>0</f>
        <v/>
      </c>
      <c r="D49" s="472">
        <f>0.12+0.13+0.03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 t="n">
        <v>0.05</v>
      </c>
      <c r="C50" s="472">
        <f>0</f>
        <v/>
      </c>
      <c r="D50" s="472">
        <f>0.31+0.40+0.31+0.42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>
        <f>1.13+0.06</f>
        <v/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10-1.84+1.42-0.03</f>
        <v/>
      </c>
      <c r="C54" s="472">
        <f>11.46-1.84-1.45</f>
        <v/>
      </c>
      <c r="D54" s="472">
        <f>18.64+1.59-7.18+0.08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>
        <f>4.07+4.07+1.31+4.07</f>
        <v/>
      </c>
      <c r="C56" s="472">
        <f>3.92+3.92+1.17+3.91+11.07+11.14+11.23+8.88+2.12+1.99+8.48</f>
        <v/>
      </c>
      <c r="D56" s="472">
        <f>4.30+4.30+1.39+4.16+11.14+11.23+11.23+1.87+0.89+2.75+0.15+8.48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>
        <f>6.95+3.03</f>
        <v/>
      </c>
      <c r="C59" s="472">
        <f>3.40+8.05</f>
        <v/>
      </c>
      <c r="D59" s="472">
        <f>1.81+16.83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>
        <f>0.15+0.15+0.01+0.02+0.53</f>
        <v/>
      </c>
      <c r="C67" s="472">
        <f>15471+11.98</f>
        <v/>
      </c>
      <c r="D67" s="472">
        <f>0.96+0.02+0.70+1.15</f>
        <v/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>
        <f>18.54+0.04</f>
        <v/>
      </c>
      <c r="C68" s="472" t="n">
        <v>41.24</v>
      </c>
      <c r="D68" s="472">
        <f>-0.12+46.48+46.48+0.07</f>
        <v/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0.01+0.01</f>
        <v/>
      </c>
      <c r="C69" s="472">
        <f>0</f>
        <v/>
      </c>
      <c r="D69" s="472">
        <f>0-0.26+0.02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 t="n">
        <v>1.96</v>
      </c>
      <c r="C70" s="472">
        <f>237.03+3.21</f>
        <v/>
      </c>
      <c r="D70" s="472">
        <f>2.95+4.54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>
        <f>103.77-0.31+0.32+0.05+0.50+0.31+0.09+0.08+0.01+0+0+0.96+0.01+20.82+0.02+0+0.01+0.29+1.17+0.14+0.29+10.02+0.48+0+27.27+0.02+0.02+0.64+0.25+0.95+0.06+18.54+81.07+0.07+0+0.77+1.47+2.36+11.07+0.07+0.56+0.97</f>
        <v/>
      </c>
      <c r="C71" s="472">
        <f>448.13+5+3.09+228.60+1.04+436.17+438.62+1.93+1.47+12.55+2.11+1.17+197.51+1.82+196.30+196.42+1.34</f>
        <v/>
      </c>
      <c r="D71" s="472">
        <f>0.70+258.44+0+6.19+14.34+0.50+0.31+0.96+0.04+0.24+0.65+0.01+0.03+10.46+1.47+0.55+13.74+0.55+0.12+0.02+0.03+0.01+0+0.02+0.01+0.04+0+0.36+0.74+0.42+0.20+226.48+215.40+2.31+0.03+0.14+0.70+1.34+2.23+0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>
        <f>1.24+1.94+0.96+0.03+0.01+0.02</f>
        <v/>
      </c>
      <c r="C73" s="472">
        <f>15471+15471</f>
        <v/>
      </c>
      <c r="D73" s="472">
        <f>0.15+0.15+0.15+0.15+1.24+1.93+0.05+0.04+0.02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>
        <f>0-0.01+0.79</f>
        <v/>
      </c>
      <c r="C75" s="472" t="n"/>
      <c r="D75" s="472">
        <f>0+0.03</f>
        <v/>
      </c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>
        <v>0.01</v>
      </c>
      <c r="C77" s="472" t="n">
        <v>3.92</v>
      </c>
      <c r="D77" s="472" t="n">
        <v>0.14</v>
      </c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0.15</v>
      </c>
      <c r="C83" s="472">
        <f>0</f>
        <v/>
      </c>
      <c r="D83" s="472" t="n">
        <v>0.18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>
        <f>0.04+0.08+0.65</f>
        <v/>
      </c>
      <c r="C84" s="472">
        <f>0</f>
        <v/>
      </c>
      <c r="D84" s="472">
        <f>0.04+0.06+0.02+1.89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>
        <f>1.95+1.95-1.95+0.09</f>
        <v/>
      </c>
      <c r="C85" s="472">
        <f>2.75-2.75+2.75</f>
        <v/>
      </c>
      <c r="D85" s="472">
        <f>4.19+4.19-4.19+0.17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>
        <f>0.16+0.16</f>
        <v/>
      </c>
      <c r="C91" s="472" t="n"/>
      <c r="D91" s="472">
        <f>-0.03+0.03</f>
        <v/>
      </c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/>
      <c r="D93" s="472" t="n"/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1.01+1.30</f>
        <v/>
      </c>
      <c r="C99" s="472">
        <f>2.19+2.17+2.01</f>
        <v/>
      </c>
      <c r="D99" s="472">
        <f>1.64+1.94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1.16-0.08+1.16+1.23-0.08+1.16</f>
        <v/>
      </c>
      <c r="C101" s="472">
        <f>1.16+1.16+1.16+1.16</f>
        <v/>
      </c>
      <c r="D101" s="472">
        <f>1.08+0.26+1.08+0.82+0.26+1.08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4.26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3.09</v>
      </c>
      <c r="C116" s="472" t="n">
        <v>3.09</v>
      </c>
      <c r="D116" s="472" t="n">
        <v>3.09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>
        <v>7.05</v>
      </c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>
        <v>18.07</v>
      </c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>
        <f>12.03+3.44+5.98+5.15</f>
        <v/>
      </c>
      <c r="C131" s="472">
        <f>13.91+8.33+5.15</f>
        <v/>
      </c>
      <c r="D131" s="472">
        <f>9.07+4.02</f>
        <v/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>
        <v>0.9</v>
      </c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>
        <f>4.23+0.40+3</f>
        <v/>
      </c>
      <c r="C136" s="472">
        <f>-3.64+4.12</f>
        <v/>
      </c>
      <c r="D136" s="472" t="n">
        <v>5.05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>
        <f>1.22+1.91+2.28+0.23+1.23+2.87+0.68+0.01+0.03+0.10+0.02+0.50+1.19</f>
        <v/>
      </c>
      <c r="C137" s="472">
        <f>1.17+1.91+2.28+1.23+3.02+1.19+1.64+1.89+446.82+447.64</f>
        <v/>
      </c>
      <c r="D137" s="472">
        <f>-6.44+1.17+0.05+0.62+1.81+0.03+0.67+0.41+1.63+0.15+0.71+0.01+0.03+0.08+0.01+0.04+0.08+0.10+0.02</f>
        <v/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 xml:space="preserve"> </t>
        </is>
      </c>
      <c r="C143" s="494" t="inlineStr">
        <is>
          <t xml:space="preserve"> </t>
        </is>
      </c>
      <c r="D143" s="494" t="inlineStr">
        <is>
          <t xml:space="preserve"> </t>
        </is>
      </c>
      <c r="E143" s="494" t="inlineStr">
        <is>
          <t xml:space="preserve"> </t>
        </is>
      </c>
      <c r="F143" s="494" t="inlineStr">
        <is>
          <t xml:space="preserve"> </t>
        </is>
      </c>
      <c r="G143" s="494" t="inlineStr">
        <is>
          <t xml:space="preserve"> </t>
        </is>
      </c>
      <c r="H143" s="494" t="inlineStr">
        <is>
          <t xml:space="preserve"> </t>
        </is>
      </c>
      <c r="I143" s="494" t="inlineStr">
        <is>
          <t xml:space="preserve"> </t>
        </is>
      </c>
      <c r="J143" s="494" t="inlineStr">
        <is>
          <t xml:space="preserve"> </t>
        </is>
      </c>
      <c r="K143" s="494" t="inlineStr">
        <is>
          <t xml:space="preserve"> </t>
        </is>
      </c>
      <c r="L143" s="494" t="inlineStr">
        <is>
          <t xml:space="preserve"> </t>
        </is>
      </c>
      <c r="M143" s="494" t="inlineStr">
        <is>
          <t xml:space="preserve"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>
        <f>20.82+0.25</f>
        <v/>
      </c>
      <c r="C153" s="482" t="n">
        <v>16.89</v>
      </c>
      <c r="D153" s="472" t="n">
        <v>10.46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>
        <v>1.3</v>
      </c>
      <c r="C154" s="472" t="n"/>
      <c r="D154" s="472" t="n">
        <v>0.74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27.27</v>
      </c>
      <c r="C162" s="472">
        <f>27.32+27.32</f>
        <v/>
      </c>
      <c r="D162" s="472">
        <f>30.44+30.44</f>
        <v/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>
        <f>1.87+2.75+9.27</f>
        <v/>
      </c>
      <c r="D163" s="472">
        <f>1.74+1.62+2.90+8.33</f>
        <v/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>
        <f>0.17+0.17</f>
        <v/>
      </c>
      <c r="C165" s="472" t="n">
        <v>2.36</v>
      </c>
      <c r="D165" s="472">
        <f>0.31+0.31+0.09+4.68</f>
        <v/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>
        <f>0.01+0.01</f>
        <v/>
      </c>
      <c r="C172" s="472" t="n">
        <v>27.51</v>
      </c>
      <c r="D172" s="472">
        <f>0.08+0.08</f>
        <v/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-1.64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>
        <v>-7.19</v>
      </c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>
        <f>-4.40+18.52+18.51</f>
        <v/>
      </c>
      <c r="C206" s="472">
        <f>36.32-17.75+36.32</f>
        <v/>
      </c>
      <c r="D206" s="472">
        <f>16.62+19.73+16.58</f>
        <v/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>
        <f>1.75+2.90+1.75</f>
        <v/>
      </c>
      <c r="C212" s="472">
        <f>-1.09+1.75+1.75</f>
        <v/>
      </c>
      <c r="D212" s="472">
        <f>0.66+1.16</f>
        <v/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>
        <f>-1.15+0.01</f>
        <v/>
      </c>
      <c r="C213" s="472" t="n">
        <v>11.28</v>
      </c>
      <c r="D213" s="472">
        <f>1.16+0.50+8.14+0.01</f>
        <v/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0.04</v>
      </c>
      <c r="C219" s="472" t="n">
        <v>1.21</v>
      </c>
      <c r="D219" s="472" t="n">
        <v>2.2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>
        <v>0.75</v>
      </c>
      <c r="C220" s="472" t="n">
        <v>1.24</v>
      </c>
      <c r="D220" s="472" t="n">
        <v>0.35</v>
      </c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>
        <f>-0.13+0.04+0.08+1.07+0.12</f>
        <v/>
      </c>
      <c r="C221" s="472">
        <f>-2.48+1.34+2.38</f>
        <v/>
      </c>
      <c r="D221" s="472">
        <f>-1.09+0.11+0.14+0.26+1.57</f>
        <v/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0.12</v>
      </c>
      <c r="C222" s="472" t="n"/>
      <c r="D222" s="472" t="n">
        <v>0.14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1.21</v>
      </c>
      <c r="C223" s="472">
        <f>2.11+1.21</f>
        <v/>
      </c>
      <c r="D223" s="472">
        <f>2.62-1.78</f>
        <v/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-0.05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>
        <f>0.34+0.09+0.03+0.25</f>
        <v/>
      </c>
      <c r="C238" s="472" t="n"/>
      <c r="D238" s="472">
        <f>0.38-0.06+0.03+0.36+0.32</f>
        <v/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>
        <f>10.31-7.13</f>
        <v/>
      </c>
      <c r="C242" s="472">
        <f>12.79+2.49</f>
        <v/>
      </c>
      <c r="D242" s="472">
        <f>14.29+1.50</f>
        <v/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1.27</v>
      </c>
      <c r="C243" s="472" t="n">
        <v>1.37</v>
      </c>
      <c r="D243" s="472" t="n">
        <v>0.9</v>
      </c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>
        <f>8.57+0.31+0.18</f>
        <v/>
      </c>
      <c r="C249" s="472">
        <f>13.82+2.01</f>
        <v/>
      </c>
      <c r="D249" s="472">
        <f>16.84+0.31+0.38</f>
        <v/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>
        <f>0.31+6.04+0.99-3+0.16</f>
        <v/>
      </c>
      <c r="C250" s="472">
        <f>17.27+3.09+3.09+14.24-4.12</f>
        <v/>
      </c>
      <c r="D250" s="472">
        <f>14.25-7.85+0.31-5.05+3.24</f>
        <v/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Amrish Doshi</dc:creator>
  <dc:title xmlns:dc="http://purl.org/dc/elements/1.1/">CMA for 8 years</dc:title>
  <dc:description xmlns:dc="http://purl.org/dc/elements/1.1/">This package is the property of _x000d_
ICICI Bank Limited</dc:description>
  <dc:subject xmlns:dc="http://purl.org/dc/elements/1.1/">Credit Monitoring Arrangement</dc:subject>
  <dcterms:created xmlns:dcterms="http://purl.org/dc/terms/" xmlns:xsi="http://www.w3.org/2001/XMLSchema-instance" xsi:type="dcterms:W3CDTF">1999-03-27T08:33:39Z</dcterms:created>
  <dcterms:modified xmlns:dcterms="http://purl.org/dc/terms/" xmlns:xsi="http://www.w3.org/2001/XMLSchema-instance" xsi:type="dcterms:W3CDTF">2026-04-04T11:55:42Z</dcterms:modified>
  <cp:lastModifiedBy>Ashutosh Rathi</cp:lastModifiedBy>
  <cp:revision>5</cp:revision>
  <cp:lastPrinted>2020-08-10T09:46:35Z</cp:lastPrinted>
</cp:coreProperties>
</file>