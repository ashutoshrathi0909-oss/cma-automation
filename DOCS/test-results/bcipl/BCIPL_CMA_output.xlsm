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1" autoFilterDateGrouping="1"/>
  </bookViews>
  <sheets>
    <sheet name="Details" sheetId="1" state="visible" r:id="rId1"/>
    <sheet name="TL" sheetId="2" state="visible" r:id="rId2"/>
    <sheet name="INPUT SHEET" sheetId="3" state="visible" r:id="rId3"/>
    <sheet name="Summary spread" sheetId="4" state="hidden" r:id="rId4"/>
    <sheet name="Cash flows" sheetId="5" state="hidden" r:id="rId5"/>
    <sheet name="Key Financials" sheetId="6" state="visible" r:id="rId6"/>
    <sheet name="Form_IV" sheetId="7" state="visible" r:id="rId7"/>
    <sheet name="Trend Analysis" sheetId="8" state="hidden" r:id="rId8"/>
    <sheet name="Form_II" sheetId="9" state="visible" r:id="rId9"/>
    <sheet name="Form_III" sheetId="10" state="visible" r:id="rId10"/>
    <sheet name="Form_V" sheetId="11" state="visible" r:id="rId11"/>
    <sheet name="Form_VI" sheetId="12" state="hidden" r:id="rId12"/>
    <sheet name="Financials improper" sheetId="13" state="hidden" r:id="rId13"/>
    <sheet name="CMAcode" sheetId="14" state="hidden" r:id="rId14"/>
    <sheet name="assumptions" sheetId="15" state="hidden" r:id="rId15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6">'Form_IV'!$9:$9</definedName>
    <definedName name="_xlnm.Print_Titles" localSheetId="9">'Form_III'!$8:$8</definedName>
    <definedName name="_xlnm.Print_Area" localSheetId="10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0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I54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opLeftCell="A6" zoomScale="90" zoomScaleNormal="90" workbookViewId="0">
      <pane ySplit="3" topLeftCell="A9" activePane="bottomLeft" state="frozen"/>
      <selection activeCell="A6" sqref="A6"/>
      <selection pane="bottomLeft" activeCell="E141" sqref="E141:I141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>BCIPL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2021</v>
      </c>
      <c r="C8" s="5" t="n">
        <v>2022</v>
      </c>
      <c r="D8" s="401" t="n">
        <v>2023</v>
      </c>
      <c r="E8" s="5" t="n">
        <v>2024</v>
      </c>
      <c r="F8" s="6" t="n">
        <v>2025</v>
      </c>
      <c r="G8" s="6" t="n">
        <v>2026</v>
      </c>
      <c r="H8" s="6" t="n">
        <v>2027</v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audited</t>
        </is>
      </c>
      <c r="C10" s="5" t="inlineStr">
        <is>
          <t>audited</t>
        </is>
      </c>
      <c r="D10" s="401" t="inlineStr">
        <is>
          <t>audited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 t="n">
        <v>54634.25000000001</v>
      </c>
      <c r="C22" s="472" t="n">
        <v>169282.76</v>
      </c>
      <c r="D22" s="472" t="n">
        <v>110432.94</v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76.56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>
        <v>5.87</v>
      </c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/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 t="n">
        <v>138.27</v>
      </c>
      <c r="C30" s="472" t="n">
        <v>856.3499999999999</v>
      </c>
      <c r="D30" s="472" t="n">
        <v>8.32</v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 t="n">
        <v>56.06</v>
      </c>
      <c r="C31" s="472" t="n"/>
      <c r="D31" s="472" t="n">
        <v>173.65</v>
      </c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>
        <v>2.97</v>
      </c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/>
      <c r="C33" s="472" t="n"/>
      <c r="D33" s="472" t="n"/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 t="n">
        <v>1277.77</v>
      </c>
      <c r="C34" s="472" t="n">
        <v>12017.02</v>
      </c>
      <c r="D34" s="472" t="n">
        <v>30136.98</v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/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 t="n">
        <v>211.76</v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 t="n">
        <v>25685.81</v>
      </c>
      <c r="C42" s="472" t="n">
        <v>147454.15</v>
      </c>
      <c r="D42" s="472" t="n">
        <v>89643.06</v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 t="n">
        <v>176.29</v>
      </c>
      <c r="C44" s="472" t="n">
        <v>1055.47</v>
      </c>
      <c r="D44" s="472" t="n">
        <v>442.21</v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 t="n">
        <v>663.6799999999999</v>
      </c>
      <c r="C45" s="472" t="n">
        <v>2375.22</v>
      </c>
      <c r="D45" s="472" t="n">
        <v>1250.63</v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>
        <f>0</f>
        <v/>
      </c>
      <c r="C46" s="472" t="n">
        <v>46193.18</v>
      </c>
      <c r="D46" s="472" t="n">
        <v>0.45</v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>
        <f>0</f>
        <v/>
      </c>
      <c r="C47" s="472" t="n">
        <v>206.44</v>
      </c>
      <c r="D47" s="472">
        <f>0</f>
        <v/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 t="n">
        <v>80.37</v>
      </c>
      <c r="C48" s="472" t="n">
        <v>162.05</v>
      </c>
      <c r="D48" s="472" t="n">
        <v>121.64</v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 t="n">
        <v>-82.33000000000003</v>
      </c>
      <c r="C49" s="472" t="n">
        <v>2257.35</v>
      </c>
      <c r="D49" s="472" t="n">
        <v>1215.26</v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>
        <f>0</f>
        <v/>
      </c>
      <c r="C50" s="472" t="n">
        <v>321.06</v>
      </c>
      <c r="D50" s="472" t="n">
        <v>101.82</v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 t="n">
        <v>545.3499999999999</v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0</f>
        <v/>
      </c>
      <c r="C54" s="472">
        <f>0</f>
        <v/>
      </c>
      <c r="D54" s="472">
        <f>0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 t="n">
        <v>1028.55</v>
      </c>
      <c r="C56" s="472" t="n">
        <v>8565.009999999998</v>
      </c>
      <c r="D56" s="472" t="n">
        <v>6199.11</v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0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 t="n">
        <v>9419.789999999999</v>
      </c>
      <c r="C59" s="472" t="n">
        <v>1143.7</v>
      </c>
      <c r="D59" s="472" t="n">
        <v>1863.66</v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 t="n">
        <v>34.75</v>
      </c>
      <c r="C67" s="472" t="n">
        <v>1357.87</v>
      </c>
      <c r="D67" s="472" t="n">
        <v>1450.58</v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 t="n">
        <v>9.800000000000001</v>
      </c>
      <c r="C68" s="472">
        <f>0</f>
        <v/>
      </c>
      <c r="D68" s="472" t="n">
        <v>25.13</v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 t="n">
        <v>2.36</v>
      </c>
      <c r="C69" s="472">
        <f>0</f>
        <v/>
      </c>
      <c r="D69" s="472" t="n">
        <v>0.33</v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>
        <f>0</f>
        <v/>
      </c>
      <c r="C70" s="472">
        <f>0</f>
        <v/>
      </c>
      <c r="D70" s="472">
        <f>0</f>
        <v/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 t="n">
        <v>14361.37</v>
      </c>
      <c r="C71" s="472" t="n">
        <v>61097.97000000001</v>
      </c>
      <c r="D71" s="472" t="n">
        <v>28335.02</v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>
        <f>0</f>
        <v/>
      </c>
      <c r="C72" s="472">
        <f>0</f>
        <v/>
      </c>
      <c r="D72" s="472">
        <f>0</f>
        <v/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 t="n">
        <v>5.77</v>
      </c>
      <c r="C73" s="472" t="n">
        <v>130.78</v>
      </c>
      <c r="D73" s="472" t="n">
        <v>11.4</v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 t="n"/>
      <c r="C75" s="472" t="n"/>
      <c r="D75" s="472" t="n"/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>
        <v>0.76</v>
      </c>
      <c r="C77" s="472" t="n">
        <v>391.77</v>
      </c>
      <c r="D77" s="472" t="n">
        <v>13.54</v>
      </c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/>
      <c r="C81" s="468" t="n"/>
      <c r="D81" s="468" t="n"/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/>
      <c r="C82" s="468" t="n"/>
      <c r="D82" s="468" t="n"/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 t="n">
        <v>130.52</v>
      </c>
      <c r="C83" s="472" t="n">
        <v>405.99</v>
      </c>
      <c r="D83" s="472" t="n">
        <v>559.5100000000001</v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 t="n">
        <v>285.14</v>
      </c>
      <c r="C84" s="472" t="n">
        <v>112.08</v>
      </c>
      <c r="D84" s="472" t="n">
        <v>69.52</v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 t="n">
        <v>614.7099999999999</v>
      </c>
      <c r="C85" s="472" t="n">
        <v>3229.97</v>
      </c>
      <c r="D85" s="472" t="n">
        <v>264.53</v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>
        <v>-415.04</v>
      </c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>
        <v>-1.2</v>
      </c>
      <c r="C90" s="472" t="n"/>
      <c r="D90" s="472" t="n">
        <v>-10.72</v>
      </c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 t="n">
        <v>32.9</v>
      </c>
      <c r="C91" s="472" t="n"/>
      <c r="D91" s="472" t="n">
        <v>-2.97</v>
      </c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>
        <v>-350.78</v>
      </c>
      <c r="C93" s="472" t="n">
        <v>1029.04</v>
      </c>
      <c r="D93" s="472" t="n">
        <v>1465.92</v>
      </c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 t="n"/>
      <c r="C95" s="468" t="n"/>
      <c r="D95" s="468" t="n"/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/>
      <c r="C97" s="366" t="n"/>
      <c r="D97" s="468" t="n"/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>
        <f>0</f>
        <v/>
      </c>
      <c r="C99" s="472" t="n">
        <v>219.24</v>
      </c>
      <c r="D99" s="472" t="n">
        <v>163.75</v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 t="n">
        <v>-15.38</v>
      </c>
      <c r="C100" s="472">
        <f>0</f>
        <v/>
      </c>
      <c r="D100" s="472" t="n">
        <v>52.08</v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>
        <f>0</f>
        <v/>
      </c>
      <c r="C101" s="472">
        <f>0</f>
        <v/>
      </c>
      <c r="D101" s="472">
        <f>0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183.16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/>
      <c r="D107" s="472" t="n"/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>
        <v>270.67</v>
      </c>
      <c r="C108" s="472" t="n"/>
      <c r="D108" s="472" t="n">
        <v>417.5</v>
      </c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 t="n">
        <v>390.36</v>
      </c>
      <c r="C116" s="472" t="n">
        <v>2302.28</v>
      </c>
      <c r="D116" s="472" t="n">
        <v>390.36</v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>
        <v>705.02</v>
      </c>
      <c r="C121" s="472" t="n"/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0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>
        <v>1998.6</v>
      </c>
      <c r="D125" s="472" t="n">
        <v>1806.54</v>
      </c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 t="n">
        <v>1829.25</v>
      </c>
      <c r="C131" s="472" t="n">
        <v>89870.04000000001</v>
      </c>
      <c r="D131" s="472" t="n">
        <v>650.33</v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/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 t="n">
        <v>1843.34</v>
      </c>
      <c r="C136" s="472" t="n">
        <v>52446.3</v>
      </c>
      <c r="D136" s="472" t="n">
        <v>1855.79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 t="n">
        <v>2507.48</v>
      </c>
      <c r="C137" s="472" t="n">
        <v>45918.3</v>
      </c>
      <c r="D137" s="472" t="n">
        <v>675.12</v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> </t>
        </is>
      </c>
      <c r="C143" s="494" t="inlineStr">
        <is>
          <t> </t>
        </is>
      </c>
      <c r="D143" s="494" t="inlineStr">
        <is>
          <t> </t>
        </is>
      </c>
      <c r="E143" s="494" t="inlineStr">
        <is>
          <t> </t>
        </is>
      </c>
      <c r="F143" s="494" t="inlineStr">
        <is>
          <t> </t>
        </is>
      </c>
      <c r="G143" s="494" t="inlineStr">
        <is>
          <t> </t>
        </is>
      </c>
      <c r="H143" s="494" t="inlineStr">
        <is>
          <t> </t>
        </is>
      </c>
      <c r="I143" s="494" t="inlineStr">
        <is>
          <t> </t>
        </is>
      </c>
      <c r="J143" s="494" t="inlineStr">
        <is>
          <t> </t>
        </is>
      </c>
      <c r="K143" s="494" t="inlineStr">
        <is>
          <t> </t>
        </is>
      </c>
      <c r="L143" s="494" t="inlineStr">
        <is>
          <t> </t>
        </is>
      </c>
      <c r="M143" s="494" t="inlineStr">
        <is>
          <t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2</v>
      </c>
      <c r="C152" s="472" t="n">
        <v>3227.95</v>
      </c>
      <c r="D152" s="472" t="n">
        <v>97.73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 t="n">
        <v>0</v>
      </c>
      <c r="C153" s="482" t="n">
        <v>3227.95</v>
      </c>
      <c r="D153" s="472" t="n">
        <v>147.19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/>
      <c r="C154" s="472" t="n">
        <v>1391.36</v>
      </c>
      <c r="D154" s="472" t="n">
        <v>0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 t="n">
        <v>470.09</v>
      </c>
      <c r="C159" s="472" t="n">
        <v>462.4</v>
      </c>
      <c r="D159" s="472" t="n">
        <v>404.3200000000001</v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/>
      <c r="C161" s="494" t="n"/>
      <c r="D161" s="494" t="n"/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9656.700000000001</v>
      </c>
      <c r="C162" s="472" t="n">
        <v>10464.66</v>
      </c>
      <c r="D162" s="472" t="n">
        <v>6097.35</v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 t="n">
        <v>0</v>
      </c>
      <c r="D163" s="472" t="n">
        <v>1113.95</v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 t="n">
        <v>34.02</v>
      </c>
      <c r="C165" s="472" t="n"/>
      <c r="D165" s="472" t="n">
        <v>62.26</v>
      </c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>
        <v>2.67</v>
      </c>
      <c r="C171" s="500" t="n">
        <v>231.2</v>
      </c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 t="n">
        <v>1.38</v>
      </c>
      <c r="C172" s="472" t="n">
        <v>2750.78</v>
      </c>
      <c r="D172" s="472" t="n">
        <v>16.08</v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79.09000000000002</v>
      </c>
      <c r="C175" s="472">
        <f>C162+C165-B162-B165</f>
        <v/>
      </c>
      <c r="D175" s="472" t="n">
        <v>477.53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>
        <v>-719.08</v>
      </c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/>
      <c r="C182" s="482" t="n"/>
      <c r="D182" s="482" t="n"/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/>
      <c r="C185" s="472" t="n"/>
      <c r="D185" s="472" t="n"/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/>
      <c r="C186" s="482" t="n"/>
      <c r="D186" s="482" t="n"/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/>
      <c r="C188" s="482" t="n"/>
      <c r="D188" s="482" t="n"/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3280.18</v>
      </c>
      <c r="C194" s="472" t="n">
        <v>12779.24</v>
      </c>
      <c r="D194" s="472" t="n">
        <v>804.76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 t="n"/>
      <c r="C198" s="482" t="n"/>
      <c r="D198" s="472" t="n"/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 t="n">
        <v>1521.49</v>
      </c>
      <c r="C206" s="472" t="n">
        <v>10140.81</v>
      </c>
      <c r="D206" s="472" t="n">
        <v>5292.690000000001</v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 t="n">
        <v>0</v>
      </c>
      <c r="C212" s="472" t="n">
        <v>-109.42</v>
      </c>
      <c r="D212" s="472" t="n">
        <v>0</v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 t="n">
        <v>590.92</v>
      </c>
      <c r="C213" s="472" t="n">
        <v>2606.86</v>
      </c>
      <c r="D213" s="472" t="n">
        <v>1161.97</v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/>
      <c r="C214" s="472" t="n"/>
      <c r="D214" s="472" t="n">
        <v>0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/>
      <c r="C215" s="472" t="n">
        <v>0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116.06</v>
      </c>
      <c r="C219" s="472" t="n">
        <v>17.81</v>
      </c>
      <c r="D219" s="472" t="n">
        <v>190.17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/>
      <c r="C220" s="472" t="n"/>
      <c r="D220" s="472" t="n"/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 t="n">
        <v>117.35</v>
      </c>
      <c r="C221" s="472" t="n">
        <v>322.89</v>
      </c>
      <c r="D221" s="472" t="n">
        <v>99.82999999999998</v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>
        <v>11.91</v>
      </c>
      <c r="C222" s="472" t="n">
        <v>4124.14</v>
      </c>
      <c r="D222" s="472" t="n">
        <v>14.28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 t="n">
        <v>3926.13</v>
      </c>
      <c r="C223" s="472" t="n">
        <v>3874.76</v>
      </c>
      <c r="D223" s="472" t="n">
        <v>1994.33</v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>
        <v>209.48</v>
      </c>
      <c r="C235" s="482" t="n">
        <v>4641300</v>
      </c>
      <c r="D235" s="482" t="n">
        <v>224.41</v>
      </c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192.51</v>
      </c>
      <c r="C236" s="500" t="n">
        <v>240.75</v>
      </c>
      <c r="D236" s="482" t="n">
        <v>77.25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0</v>
      </c>
      <c r="C237" s="472" t="n">
        <v>0</v>
      </c>
      <c r="D237" s="472" t="n">
        <v>3.26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 t="n">
        <v>-151.85</v>
      </c>
      <c r="C238" s="472" t="n"/>
      <c r="D238" s="472" t="n">
        <v>34.29</v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 t="n">
        <v>1814.63</v>
      </c>
      <c r="C242" s="472" t="n">
        <v>1550508.25</v>
      </c>
      <c r="D242" s="472" t="n">
        <v>3162.52</v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126.98</v>
      </c>
      <c r="C243" s="472" t="n">
        <v>136.99</v>
      </c>
      <c r="D243" s="472" t="n">
        <v>89.95999999999999</v>
      </c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138.3</v>
      </c>
      <c r="C244" s="472" t="n">
        <v>504.76</v>
      </c>
      <c r="D244" s="472" t="n">
        <v>168.88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/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1853.6</v>
      </c>
      <c r="C246" s="472" t="n">
        <v>4466.950000000001</v>
      </c>
      <c r="D246" s="472" t="n">
        <v>4650.33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 t="n">
        <v>0</v>
      </c>
      <c r="C249" s="472" t="n">
        <v>0</v>
      </c>
      <c r="D249" s="472" t="n">
        <v>323.94</v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 t="n">
        <v>798.6500000000001</v>
      </c>
      <c r="C250" s="472" t="n">
        <v>3131.66</v>
      </c>
      <c r="D250" s="472" t="n">
        <v>3959.18</v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16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9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K30" sqref="K30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Amrish Doshi</dc:creator>
  <dc:title>CMA for 8 years</dc:title>
  <dc:description>This package is the property of _x000d_
ICICI Bank Limited</dc:description>
  <dc:subject>Credit Monitoring Arrangement</dc:subject>
  <dcterms:created xsi:type="dcterms:W3CDTF">1999-03-27T08:33:39Z</dcterms:created>
  <dcterms:modified xsi:type="dcterms:W3CDTF">2026-03-22T15:12:03Z</dcterms:modified>
  <cp:lastModifiedBy>Ashutosh Rathi</cp:lastModifiedBy>
  <cp:revision>5</cp:revision>
  <cp:lastPrinted>2020-08-10T09:46:35Z</cp:lastPrinted>
</cp:coreProperties>
</file>