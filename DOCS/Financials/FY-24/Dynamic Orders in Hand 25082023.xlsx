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saa Keerthini T\Dynamic Pvt Ltd\Audited Financials\FY-24\"/>
    </mc:Choice>
  </mc:AlternateContent>
  <xr:revisionPtr revIDLastSave="0" documentId="13_ncr:1_{7D02E332-960E-4FD0-AD1E-729C465F3B4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4" i="1"/>
  <c r="E64" i="1" l="1"/>
</calcChain>
</file>

<file path=xl/sharedStrings.xml><?xml version="1.0" encoding="utf-8"?>
<sst xmlns="http://schemas.openxmlformats.org/spreadsheetml/2006/main" count="68" uniqueCount="65">
  <si>
    <t>Lavatory Door Arrrangement</t>
  </si>
  <si>
    <t>Supply and Installation of Body side Sliding Door</t>
  </si>
  <si>
    <t>Body side window Arrangement with Fixed Louvre Shutter</t>
  </si>
  <si>
    <t>Stainless steel end wall for 3 phase AC EMU Driving trailer 'D' Coach</t>
  </si>
  <si>
    <t>Basic rate</t>
  </si>
  <si>
    <t>S. No</t>
  </si>
  <si>
    <t>Item Description</t>
  </si>
  <si>
    <t>PO Qty</t>
  </si>
  <si>
    <t xml:space="preserve">Pair of stainless steel tubular partition at door way (3 seater) </t>
  </si>
  <si>
    <t>Total</t>
  </si>
  <si>
    <t>Rs in Crs</t>
  </si>
  <si>
    <t>Dynamic Air Engineering</t>
  </si>
  <si>
    <t>Details of Orders in Hand as on  25/08/2023</t>
  </si>
  <si>
    <t>Lavatory Door Arrangement</t>
  </si>
  <si>
    <t>One Coach set of  Interior Doors FOR MRM/DTC Coaches</t>
  </si>
  <si>
    <t xml:space="preserve">Inner Frame for body side window assembly </t>
  </si>
  <si>
    <t>Supply of set of SS Ceiling panel for generator room in LWLRRM coaches</t>
  </si>
  <si>
    <t>Body side window Arrangement with Fixed Louvre Shutter (RCF)</t>
  </si>
  <si>
    <t>Stainless Steel Battery Box complete</t>
  </si>
  <si>
    <t>One coach set of Details of Frame work for  Train set MC COACHES</t>
  </si>
  <si>
    <t>One coach setof Roof and sidewall for 3 PH MEMU/DMC  Coaches</t>
  </si>
  <si>
    <t>Foot Step Arrangement</t>
  </si>
  <si>
    <t>Supply and installation of Frame Arrangement for Train set ve.2 nose cone for DTC Coaches</t>
  </si>
  <si>
    <t xml:space="preserve">Oil pan complete 2 </t>
  </si>
  <si>
    <t>One coach set of light rail and waist rail for kolkatta metro coaches</t>
  </si>
  <si>
    <t>Supply and installation of Nose cone</t>
  </si>
  <si>
    <t>One coach set of Stainless steel Roof and Side wall for 3 Phase AC EMU Motor Coaches without Forced Air cicrulation</t>
  </si>
  <si>
    <t>One coach set of Bracket ,Grill,Ring and Roof Arch  .</t>
  </si>
  <si>
    <t>One coach set of final roof element for LACCN E with raised ceiling roof.</t>
  </si>
  <si>
    <t>One coach set of Roof, 3mm sidewall and Endwall for LWLRRM Coaches with noise reduction feature</t>
  </si>
  <si>
    <t>One coach set of door cut out for Train set DTC coaches</t>
  </si>
  <si>
    <t>One coach set of details of frame work for train set DTC Coaches</t>
  </si>
  <si>
    <t>One coach set of LACCW Roof Assembly</t>
  </si>
  <si>
    <t>Modified Final Roof Element complete</t>
  </si>
  <si>
    <t>Door Arrangement (RH &amp; LH) for Stainless steel coach</t>
  </si>
  <si>
    <t>one coach set of carline assembly details for frame work and welding parts on sidewall for lwaccn coaches 91) carline assembly</t>
  </si>
  <si>
    <t xml:space="preserve">Electrical Cubical Door Assembly </t>
  </si>
  <si>
    <t xml:space="preserve">One coach set of Pillar Assembly </t>
  </si>
  <si>
    <t xml:space="preserve">Stainleless steel Tubular Partion </t>
  </si>
  <si>
    <t xml:space="preserve">Aluminium Window Inner frame </t>
  </si>
  <si>
    <t>Set of Electrical Control Cubicle Door</t>
  </si>
  <si>
    <t xml:space="preserve">Supply and Installation of Nose Cone </t>
  </si>
  <si>
    <t>One coach set of Roof, 3mm Side wall and End wall</t>
  </si>
  <si>
    <t>One Coach Set of Vertical Lourve Arrangement</t>
  </si>
  <si>
    <t xml:space="preserve">Supply and inst. of one pair of body side entrance door </t>
  </si>
  <si>
    <t xml:space="preserve">Door Cut out </t>
  </si>
  <si>
    <t>One coach set of SS RMPU Trough Assembly</t>
  </si>
  <si>
    <t>One coachset of Roof details</t>
  </si>
  <si>
    <t>Stainless steel Nose cone</t>
  </si>
  <si>
    <t>One coach set of Body sheel items and partition frames</t>
  </si>
  <si>
    <t>One coach set of Floor arrangement at vendors compartment</t>
  </si>
  <si>
    <t xml:space="preserve">One coach set of stainless steel end wall </t>
  </si>
  <si>
    <t>One coach set of sidewall ramework, carline and welding parts</t>
  </si>
  <si>
    <t>One coach set of Roof, Sidewall and Endwall</t>
  </si>
  <si>
    <t>One coach set of Stainless steel end wall</t>
  </si>
  <si>
    <t xml:space="preserve">One coach set of Stailnless Steel end wall </t>
  </si>
  <si>
    <t>One coach set of Stainless steel end wall  for 3 phase AC EMU Trailer</t>
  </si>
  <si>
    <t xml:space="preserve">Supply and installation of Frame Arrangement </t>
  </si>
  <si>
    <t xml:space="preserve">One coach set of side wall and Roof </t>
  </si>
  <si>
    <t xml:space="preserve">One coach set of Final Roof element complete </t>
  </si>
  <si>
    <t>One set of Modular Trough and Frame for RMPU</t>
  </si>
  <si>
    <t xml:space="preserve">One coach set of SS end wall </t>
  </si>
  <si>
    <t xml:space="preserve">One coach set of SSRMPU TROUGH  Assembly </t>
  </si>
  <si>
    <t>One coach set of body shell item for M &amp; M@ coaches</t>
  </si>
  <si>
    <t xml:space="preserve">one coach set of stainless steel end wall (alaram end and non alarm end)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</si>
</sst>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165" fontId="2" fillId="0" borderId="1" xfId="1" applyNumberFormat="1" applyFont="1" applyBorder="1"/>
    <xf numFmtId="165" fontId="3" fillId="0" borderId="0" xfId="1" applyNumberFormat="1" applyFont="1" applyAlignment="1">
      <alignment vertical="center"/>
    </xf>
    <xf numFmtId="165" fontId="6" fillId="0" borderId="1" xfId="1" applyNumberFormat="1" applyFont="1" applyBorder="1" applyAlignment="1">
      <alignment horizontal="left" vertical="center"/>
    </xf>
    <xf numFmtId="165" fontId="2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/>
    <xf numFmtId="165" fontId="3" fillId="0" borderId="1" xfId="1" applyNumberFormat="1" applyFont="1" applyBorder="1" applyAlignment="1">
      <alignment vertical="center" wrapText="1"/>
    </xf>
    <xf numFmtId="165" fontId="3" fillId="0" borderId="1" xfId="1" applyNumberFormat="1" applyFont="1" applyBorder="1" applyAlignment="1">
      <alignment vertical="center"/>
    </xf>
    <xf numFmtId="165" fontId="4" fillId="0" borderId="1" xfId="1" applyNumberFormat="1" applyFont="1" applyBorder="1" applyAlignment="1">
      <alignment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165" fontId="5" fillId="3" borderId="1" xfId="1" applyNumberFormat="1" applyFont="1" applyFill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165" fontId="5" fillId="3" borderId="1" xfId="1" applyNumberFormat="1" applyFont="1" applyFill="1" applyBorder="1" applyAlignment="1">
      <alignment horizontal="center" vertical="center"/>
    </xf>
    <xf numFmtId="164" fontId="3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center" wrapText="1"/>
    </xf>
    <xf numFmtId="164" fontId="2" fillId="0" borderId="1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/>
    </xf>
    <xf numFmtId="164" fontId="3" fillId="0" borderId="1" xfId="1" applyNumberFormat="1" applyFont="1" applyBorder="1"/>
    <xf numFmtId="164" fontId="3" fillId="0" borderId="1" xfId="1" applyNumberFormat="1" applyFont="1" applyBorder="1" applyAlignment="1">
      <alignment vertical="center" wrapText="1"/>
    </xf>
    <xf numFmtId="164" fontId="3" fillId="0" borderId="1" xfId="1" applyNumberFormat="1" applyFont="1" applyBorder="1" applyAlignment="1">
      <alignment vertical="center"/>
    </xf>
    <xf numFmtId="164" fontId="4" fillId="0" borderId="1" xfId="1" applyNumberFormat="1" applyFont="1" applyBorder="1" applyAlignment="1">
      <alignment vertical="center" wrapText="1"/>
    </xf>
    <xf numFmtId="164" fontId="4" fillId="0" borderId="2" xfId="1" applyNumberFormat="1" applyFont="1" applyBorder="1" applyAlignment="1">
      <alignment vertical="center"/>
    </xf>
    <xf numFmtId="164" fontId="3" fillId="2" borderId="1" xfId="1" applyNumberFormat="1" applyFont="1" applyFill="1" applyBorder="1" applyAlignment="1">
      <alignment vertical="center" wrapText="1"/>
    </xf>
    <xf numFmtId="164" fontId="5" fillId="3" borderId="2" xfId="1" applyNumberFormat="1" applyFont="1" applyFill="1" applyBorder="1" applyAlignment="1">
      <alignment vertical="center"/>
    </xf>
    <xf numFmtId="164" fontId="5" fillId="0" borderId="2" xfId="1" applyNumberFormat="1" applyFont="1" applyBorder="1" applyAlignment="1">
      <alignment vertical="center"/>
    </xf>
    <xf numFmtId="164" fontId="5" fillId="3" borderId="2" xfId="1" quotePrefix="1" applyNumberFormat="1" applyFont="1" applyFill="1" applyBorder="1" applyAlignment="1">
      <alignment vertical="center" wrapText="1"/>
    </xf>
    <xf numFmtId="164" fontId="5" fillId="3" borderId="2" xfId="1" applyNumberFormat="1" applyFont="1" applyFill="1" applyBorder="1" applyAlignment="1">
      <alignment vertical="center" wrapText="1"/>
    </xf>
    <xf numFmtId="164" fontId="4" fillId="2" borderId="1" xfId="1" applyNumberFormat="1" applyFont="1" applyFill="1" applyBorder="1" applyAlignment="1">
      <alignment vertical="center" wrapText="1"/>
    </xf>
    <xf numFmtId="164" fontId="5" fillId="0" borderId="1" xfId="1" applyNumberFormat="1" applyFont="1" applyBorder="1" applyAlignment="1">
      <alignment vertical="center" wrapText="1"/>
    </xf>
    <xf numFmtId="164" fontId="5" fillId="0" borderId="0" xfId="1" applyNumberFormat="1" applyFont="1" applyAlignment="1">
      <alignment vertical="center" wrapText="1"/>
    </xf>
    <xf numFmtId="164" fontId="6" fillId="0" borderId="1" xfId="1" applyNumberFormat="1" applyFont="1" applyBorder="1" applyAlignment="1">
      <alignment vertical="center" wrapText="1"/>
    </xf>
    <xf numFmtId="164" fontId="2" fillId="0" borderId="1" xfId="1" applyNumberFormat="1" applyFont="1" applyBorder="1"/>
    <xf numFmtId="164" fontId="6" fillId="0" borderId="1" xfId="1" applyNumberFormat="1" applyFont="1" applyFill="1" applyBorder="1" applyAlignment="1">
      <alignment vertical="center"/>
    </xf>
  </cellXfs>
  <cellStyles count="4">
    <cellStyle name="Comma" xfId="1" builtinId="3"/>
    <cellStyle name="Comma 2" xfId="2" xr:uid="{00000000-0005-0000-0000-000001000000}"/>
    <cellStyle name="Comma 3" xfId="3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topLeftCell="A46" workbookViewId="0">
      <selection activeCell="B55" sqref="B55"/>
    </sheetView>
  </sheetViews>
  <sheetFormatPr defaultRowHeight="15.75" x14ac:dyDescent="0.25"/>
  <cols>
    <col min="1" max="1" width="7.5703125" style="2" bestFit="1" customWidth="1"/>
    <col min="2" max="2" width="91.5703125" style="14" customWidth="1"/>
    <col min="3" max="3" width="10.140625" style="2" bestFit="1" customWidth="1"/>
    <col min="4" max="4" width="14.5703125" style="13" bestFit="1" customWidth="1"/>
    <col min="5" max="5" width="9.5703125" style="13" customWidth="1"/>
    <col min="6" max="16384" width="9.140625" style="13"/>
  </cols>
  <sheetData>
    <row r="1" spans="1:5" x14ac:dyDescent="0.25">
      <c r="A1" s="2" t="s">
        <v>11</v>
      </c>
    </row>
    <row r="2" spans="1:5" x14ac:dyDescent="0.25">
      <c r="A2" s="3" t="s">
        <v>12</v>
      </c>
    </row>
    <row r="3" spans="1:5" s="18" customFormat="1" x14ac:dyDescent="0.25">
      <c r="A3" s="4" t="s">
        <v>5</v>
      </c>
      <c r="B3" s="16" t="s">
        <v>6</v>
      </c>
      <c r="C3" s="4" t="s">
        <v>7</v>
      </c>
      <c r="D3" s="15" t="s">
        <v>4</v>
      </c>
      <c r="E3" s="17" t="s">
        <v>10</v>
      </c>
    </row>
    <row r="4" spans="1:5" x14ac:dyDescent="0.25">
      <c r="A4" s="5">
        <v>1</v>
      </c>
      <c r="B4" s="20" t="s">
        <v>36</v>
      </c>
      <c r="C4" s="6">
        <v>16</v>
      </c>
      <c r="D4" s="20">
        <v>65150.85</v>
      </c>
      <c r="E4" s="19">
        <f>C4*D4/10^7</f>
        <v>0.10424135999999999</v>
      </c>
    </row>
    <row r="5" spans="1:5" x14ac:dyDescent="0.25">
      <c r="A5" s="5">
        <v>2</v>
      </c>
      <c r="B5" s="20" t="s">
        <v>0</v>
      </c>
      <c r="C5" s="6">
        <v>57</v>
      </c>
      <c r="D5" s="20">
        <v>17731.11</v>
      </c>
      <c r="E5" s="19">
        <f t="shared" ref="E5:E63" si="0">C5*D5/10^7</f>
        <v>0.101067327</v>
      </c>
    </row>
    <row r="6" spans="1:5" x14ac:dyDescent="0.25">
      <c r="A6" s="5">
        <v>3</v>
      </c>
      <c r="B6" s="20" t="s">
        <v>37</v>
      </c>
      <c r="C6" s="7">
        <v>109</v>
      </c>
      <c r="D6" s="20">
        <v>75126.28</v>
      </c>
      <c r="E6" s="19">
        <f t="shared" si="0"/>
        <v>0.81887645199999992</v>
      </c>
    </row>
    <row r="7" spans="1:5" x14ac:dyDescent="0.25">
      <c r="A7" s="5">
        <v>4</v>
      </c>
      <c r="B7" s="20" t="s">
        <v>2</v>
      </c>
      <c r="C7" s="6">
        <v>185</v>
      </c>
      <c r="D7" s="20">
        <v>11650.43</v>
      </c>
      <c r="E7" s="19">
        <f t="shared" si="0"/>
        <v>0.21553295500000003</v>
      </c>
    </row>
    <row r="8" spans="1:5" x14ac:dyDescent="0.25">
      <c r="A8" s="5">
        <v>5</v>
      </c>
      <c r="B8" s="20" t="s">
        <v>38</v>
      </c>
      <c r="C8" s="6">
        <v>41</v>
      </c>
      <c r="D8" s="20">
        <v>18973.73</v>
      </c>
      <c r="E8" s="19">
        <f t="shared" si="0"/>
        <v>7.7792292999999998E-2</v>
      </c>
    </row>
    <row r="9" spans="1:5" x14ac:dyDescent="0.25">
      <c r="A9" s="5">
        <v>6</v>
      </c>
      <c r="B9" s="20" t="s">
        <v>13</v>
      </c>
      <c r="C9" s="6">
        <v>31</v>
      </c>
      <c r="D9" s="20">
        <v>17530.09</v>
      </c>
      <c r="E9" s="19">
        <f t="shared" si="0"/>
        <v>5.4343279000000001E-2</v>
      </c>
    </row>
    <row r="10" spans="1:5" x14ac:dyDescent="0.25">
      <c r="A10" s="5">
        <v>7</v>
      </c>
      <c r="B10" s="20" t="s">
        <v>2</v>
      </c>
      <c r="C10" s="6">
        <v>193</v>
      </c>
      <c r="D10" s="21">
        <v>12363.56</v>
      </c>
      <c r="E10" s="19">
        <f t="shared" si="0"/>
        <v>0.23861670800000001</v>
      </c>
    </row>
    <row r="11" spans="1:5" x14ac:dyDescent="0.25">
      <c r="A11" s="5">
        <v>8</v>
      </c>
      <c r="B11" s="20" t="s">
        <v>39</v>
      </c>
      <c r="C11" s="6">
        <v>73</v>
      </c>
      <c r="D11" s="20">
        <v>2086.04</v>
      </c>
      <c r="E11" s="19">
        <f t="shared" si="0"/>
        <v>1.5228091999999999E-2</v>
      </c>
    </row>
    <row r="12" spans="1:5" x14ac:dyDescent="0.25">
      <c r="A12" s="5">
        <v>9</v>
      </c>
      <c r="B12" s="20" t="s">
        <v>14</v>
      </c>
      <c r="C12" s="6">
        <v>4</v>
      </c>
      <c r="D12" s="20">
        <v>104605.94</v>
      </c>
      <c r="E12" s="19">
        <f t="shared" si="0"/>
        <v>4.1842376000000001E-2</v>
      </c>
    </row>
    <row r="13" spans="1:5" x14ac:dyDescent="0.25">
      <c r="A13" s="5">
        <v>10</v>
      </c>
      <c r="B13" s="20" t="s">
        <v>15</v>
      </c>
      <c r="C13" s="6">
        <v>483</v>
      </c>
      <c r="D13" s="20">
        <v>17731</v>
      </c>
      <c r="E13" s="19">
        <f t="shared" si="0"/>
        <v>0.85640729999999998</v>
      </c>
    </row>
    <row r="14" spans="1:5" x14ac:dyDescent="0.25">
      <c r="A14" s="5">
        <v>11</v>
      </c>
      <c r="B14" s="22" t="s">
        <v>16</v>
      </c>
      <c r="C14" s="8">
        <v>18</v>
      </c>
      <c r="D14" s="22">
        <v>23053.82</v>
      </c>
      <c r="E14" s="19">
        <f t="shared" si="0"/>
        <v>4.1496876000000002E-2</v>
      </c>
    </row>
    <row r="15" spans="1:5" x14ac:dyDescent="0.25">
      <c r="A15" s="5">
        <v>12</v>
      </c>
      <c r="B15" s="20" t="s">
        <v>8</v>
      </c>
      <c r="C15" s="6">
        <v>2979</v>
      </c>
      <c r="D15" s="20">
        <v>30478.22</v>
      </c>
      <c r="E15" s="19">
        <f t="shared" si="0"/>
        <v>9.0794617380000009</v>
      </c>
    </row>
    <row r="16" spans="1:5" x14ac:dyDescent="0.25">
      <c r="A16" s="5">
        <v>13</v>
      </c>
      <c r="B16" s="20" t="s">
        <v>17</v>
      </c>
      <c r="C16" s="7">
        <v>920</v>
      </c>
      <c r="D16" s="20">
        <v>13633.06</v>
      </c>
      <c r="E16" s="19">
        <f t="shared" si="0"/>
        <v>1.2542415199999999</v>
      </c>
    </row>
    <row r="17" spans="1:5" x14ac:dyDescent="0.25">
      <c r="A17" s="5">
        <v>14</v>
      </c>
      <c r="B17" s="20" t="s">
        <v>37</v>
      </c>
      <c r="C17" s="6">
        <v>44</v>
      </c>
      <c r="D17" s="20">
        <v>75126.28</v>
      </c>
      <c r="E17" s="19">
        <f t="shared" si="0"/>
        <v>0.33055563199999999</v>
      </c>
    </row>
    <row r="18" spans="1:5" x14ac:dyDescent="0.25">
      <c r="A18" s="5">
        <v>15</v>
      </c>
      <c r="B18" s="20" t="s">
        <v>40</v>
      </c>
      <c r="C18" s="6">
        <v>8</v>
      </c>
      <c r="D18" s="20">
        <v>42757.14</v>
      </c>
      <c r="E18" s="19">
        <f t="shared" si="0"/>
        <v>3.4205711999999999E-2</v>
      </c>
    </row>
    <row r="19" spans="1:5" x14ac:dyDescent="0.25">
      <c r="A19" s="5">
        <v>16</v>
      </c>
      <c r="B19" s="14" t="s">
        <v>18</v>
      </c>
      <c r="C19" s="6">
        <v>4</v>
      </c>
      <c r="D19" s="20">
        <v>69312.72</v>
      </c>
      <c r="E19" s="19">
        <f t="shared" si="0"/>
        <v>2.7725088000000002E-2</v>
      </c>
    </row>
    <row r="20" spans="1:5" x14ac:dyDescent="0.25">
      <c r="A20" s="5">
        <v>17</v>
      </c>
      <c r="B20" s="22" t="s">
        <v>41</v>
      </c>
      <c r="C20" s="9">
        <v>14</v>
      </c>
      <c r="D20" s="23">
        <v>770831.94</v>
      </c>
      <c r="E20" s="19">
        <f t="shared" si="0"/>
        <v>1.079164716</v>
      </c>
    </row>
    <row r="21" spans="1:5" x14ac:dyDescent="0.25">
      <c r="A21" s="5">
        <v>18</v>
      </c>
      <c r="B21" s="24" t="s">
        <v>42</v>
      </c>
      <c r="C21" s="10">
        <v>1</v>
      </c>
      <c r="D21" s="25">
        <v>1912365.2</v>
      </c>
      <c r="E21" s="19">
        <f t="shared" si="0"/>
        <v>0.19123651999999999</v>
      </c>
    </row>
    <row r="22" spans="1:5" x14ac:dyDescent="0.25">
      <c r="A22" s="5">
        <v>19</v>
      </c>
      <c r="B22" s="24" t="s">
        <v>43</v>
      </c>
      <c r="C22" s="10">
        <v>23</v>
      </c>
      <c r="D22" s="25">
        <v>30760</v>
      </c>
      <c r="E22" s="19">
        <f t="shared" si="0"/>
        <v>7.0748000000000005E-2</v>
      </c>
    </row>
    <row r="23" spans="1:5" x14ac:dyDescent="0.25">
      <c r="A23" s="5">
        <v>20</v>
      </c>
      <c r="B23" s="24" t="s">
        <v>44</v>
      </c>
      <c r="C23" s="10">
        <v>52</v>
      </c>
      <c r="D23" s="25">
        <v>51953.3</v>
      </c>
      <c r="E23" s="19">
        <f t="shared" si="0"/>
        <v>0.27015716000000001</v>
      </c>
    </row>
    <row r="24" spans="1:5" x14ac:dyDescent="0.25">
      <c r="A24" s="5">
        <v>21</v>
      </c>
      <c r="B24" s="20" t="s">
        <v>45</v>
      </c>
      <c r="C24" s="11">
        <v>263</v>
      </c>
      <c r="D24" s="26">
        <v>28937.27</v>
      </c>
      <c r="E24" s="19">
        <f t="shared" si="0"/>
        <v>0.76105020099999998</v>
      </c>
    </row>
    <row r="25" spans="1:5" x14ac:dyDescent="0.25">
      <c r="A25" s="5">
        <v>22</v>
      </c>
      <c r="B25" s="24" t="s">
        <v>46</v>
      </c>
      <c r="C25" s="10">
        <v>68</v>
      </c>
      <c r="D25" s="25">
        <v>91777.97</v>
      </c>
      <c r="E25" s="19">
        <f t="shared" si="0"/>
        <v>0.62409019600000004</v>
      </c>
    </row>
    <row r="26" spans="1:5" x14ac:dyDescent="0.25">
      <c r="A26" s="5">
        <v>23</v>
      </c>
      <c r="B26" s="24" t="s">
        <v>1</v>
      </c>
      <c r="C26" s="12">
        <v>139</v>
      </c>
      <c r="D26" s="25">
        <v>96196</v>
      </c>
      <c r="E26" s="19">
        <f t="shared" si="0"/>
        <v>1.3371244</v>
      </c>
    </row>
    <row r="27" spans="1:5" x14ac:dyDescent="0.25">
      <c r="A27" s="5">
        <v>24</v>
      </c>
      <c r="B27" s="24" t="s">
        <v>47</v>
      </c>
      <c r="C27" s="10">
        <v>48</v>
      </c>
      <c r="D27" s="25">
        <v>94800</v>
      </c>
      <c r="E27" s="19">
        <f t="shared" si="0"/>
        <v>0.45504</v>
      </c>
    </row>
    <row r="28" spans="1:5" x14ac:dyDescent="0.25">
      <c r="A28" s="5">
        <v>25</v>
      </c>
      <c r="B28" s="24" t="s">
        <v>48</v>
      </c>
      <c r="C28" s="12">
        <v>3</v>
      </c>
      <c r="D28" s="27">
        <v>917555.09</v>
      </c>
      <c r="E28" s="19">
        <f t="shared" si="0"/>
        <v>0.27526652699999998</v>
      </c>
    </row>
    <row r="29" spans="1:5" x14ac:dyDescent="0.25">
      <c r="A29" s="5">
        <v>26</v>
      </c>
      <c r="B29" s="24" t="s">
        <v>49</v>
      </c>
      <c r="C29" s="12">
        <v>9</v>
      </c>
      <c r="D29" s="27">
        <v>465950</v>
      </c>
      <c r="E29" s="19">
        <f t="shared" si="0"/>
        <v>0.41935499999999998</v>
      </c>
    </row>
    <row r="30" spans="1:5" x14ac:dyDescent="0.25">
      <c r="A30" s="5">
        <v>27</v>
      </c>
      <c r="B30" s="24" t="s">
        <v>50</v>
      </c>
      <c r="C30" s="12">
        <v>18</v>
      </c>
      <c r="D30" s="28">
        <v>151501</v>
      </c>
      <c r="E30" s="19">
        <f t="shared" si="0"/>
        <v>0.27270179999999999</v>
      </c>
    </row>
    <row r="31" spans="1:5" x14ac:dyDescent="0.25">
      <c r="A31" s="5">
        <v>28</v>
      </c>
      <c r="B31" s="24" t="s">
        <v>51</v>
      </c>
      <c r="C31" s="10">
        <v>30</v>
      </c>
      <c r="D31" s="25">
        <v>239105.94</v>
      </c>
      <c r="E31" s="19">
        <f t="shared" si="0"/>
        <v>0.71731781999999999</v>
      </c>
    </row>
    <row r="32" spans="1:5" x14ac:dyDescent="0.25">
      <c r="A32" s="5">
        <v>29</v>
      </c>
      <c r="B32" s="24" t="s">
        <v>3</v>
      </c>
      <c r="C32" s="10">
        <v>26</v>
      </c>
      <c r="D32" s="25">
        <v>127893.21</v>
      </c>
      <c r="E32" s="19">
        <f t="shared" si="0"/>
        <v>0.33252234599999997</v>
      </c>
    </row>
    <row r="33" spans="1:5" x14ac:dyDescent="0.25">
      <c r="A33" s="5">
        <v>30</v>
      </c>
      <c r="B33" s="24" t="s">
        <v>52</v>
      </c>
      <c r="C33" s="10">
        <v>24</v>
      </c>
      <c r="D33" s="25">
        <v>356427</v>
      </c>
      <c r="E33" s="19">
        <f t="shared" si="0"/>
        <v>0.85542479999999999</v>
      </c>
    </row>
    <row r="34" spans="1:5" x14ac:dyDescent="0.25">
      <c r="A34" s="5">
        <v>31</v>
      </c>
      <c r="B34" s="24" t="s">
        <v>53</v>
      </c>
      <c r="C34" s="12">
        <v>3</v>
      </c>
      <c r="D34" s="25">
        <v>2085792.03</v>
      </c>
      <c r="E34" s="19">
        <f t="shared" si="0"/>
        <v>0.62573760899999997</v>
      </c>
    </row>
    <row r="35" spans="1:5" x14ac:dyDescent="0.25">
      <c r="A35" s="5">
        <v>32</v>
      </c>
      <c r="B35" s="24" t="s">
        <v>19</v>
      </c>
      <c r="C35" s="10">
        <v>7</v>
      </c>
      <c r="D35" s="25">
        <v>603698.31000000006</v>
      </c>
      <c r="E35" s="19">
        <f t="shared" si="0"/>
        <v>0.42258881700000001</v>
      </c>
    </row>
    <row r="36" spans="1:5" x14ac:dyDescent="0.25">
      <c r="A36" s="5">
        <v>33</v>
      </c>
      <c r="B36" s="24" t="s">
        <v>54</v>
      </c>
      <c r="C36" s="10">
        <v>44</v>
      </c>
      <c r="D36" s="25">
        <v>227772.89</v>
      </c>
      <c r="E36" s="19">
        <f t="shared" si="0"/>
        <v>1.0022007159999999</v>
      </c>
    </row>
    <row r="37" spans="1:5" x14ac:dyDescent="0.25">
      <c r="A37" s="5">
        <v>34</v>
      </c>
      <c r="B37" s="24" t="s">
        <v>55</v>
      </c>
      <c r="C37" s="10">
        <v>113</v>
      </c>
      <c r="D37" s="25">
        <v>220326.28</v>
      </c>
      <c r="E37" s="19">
        <f t="shared" si="0"/>
        <v>2.4896869640000001</v>
      </c>
    </row>
    <row r="38" spans="1:5" x14ac:dyDescent="0.25">
      <c r="A38" s="5">
        <v>35</v>
      </c>
      <c r="B38" s="24" t="s">
        <v>56</v>
      </c>
      <c r="C38" s="10">
        <v>23</v>
      </c>
      <c r="D38" s="25">
        <v>260335.6</v>
      </c>
      <c r="E38" s="19">
        <f t="shared" si="0"/>
        <v>0.59877188000000003</v>
      </c>
    </row>
    <row r="39" spans="1:5" x14ac:dyDescent="0.25">
      <c r="A39" s="5">
        <v>36</v>
      </c>
      <c r="B39" s="24" t="s">
        <v>20</v>
      </c>
      <c r="C39" s="10">
        <v>9</v>
      </c>
      <c r="D39" s="25">
        <v>2137206.06</v>
      </c>
      <c r="E39" s="19">
        <f t="shared" si="0"/>
        <v>1.9234854539999999</v>
      </c>
    </row>
    <row r="40" spans="1:5" x14ac:dyDescent="0.25">
      <c r="A40" s="5">
        <v>37</v>
      </c>
      <c r="B40" s="24" t="s">
        <v>21</v>
      </c>
      <c r="C40" s="10">
        <v>159</v>
      </c>
      <c r="D40" s="28">
        <v>14500.85</v>
      </c>
      <c r="E40" s="19">
        <f t="shared" si="0"/>
        <v>0.230563515</v>
      </c>
    </row>
    <row r="41" spans="1:5" x14ac:dyDescent="0.25">
      <c r="A41" s="5">
        <v>38</v>
      </c>
      <c r="B41" s="24" t="s">
        <v>57</v>
      </c>
      <c r="C41" s="10">
        <v>20</v>
      </c>
      <c r="D41" s="28">
        <v>1114848.31</v>
      </c>
      <c r="E41" s="19">
        <f t="shared" si="0"/>
        <v>2.2296966200000004</v>
      </c>
    </row>
    <row r="42" spans="1:5" x14ac:dyDescent="0.25">
      <c r="A42" s="5">
        <v>39</v>
      </c>
      <c r="B42" s="24" t="s">
        <v>23</v>
      </c>
      <c r="C42" s="12">
        <v>24</v>
      </c>
      <c r="D42" s="28">
        <v>194838.2</v>
      </c>
      <c r="E42" s="19">
        <f t="shared" si="0"/>
        <v>0.46761168000000009</v>
      </c>
    </row>
    <row r="43" spans="1:5" x14ac:dyDescent="0.25">
      <c r="A43" s="5">
        <v>40</v>
      </c>
      <c r="B43" s="24" t="s">
        <v>58</v>
      </c>
      <c r="C43" s="12">
        <v>5</v>
      </c>
      <c r="D43" s="28">
        <v>1874321.2</v>
      </c>
      <c r="E43" s="19">
        <f t="shared" si="0"/>
        <v>0.93716060000000001</v>
      </c>
    </row>
    <row r="44" spans="1:5" x14ac:dyDescent="0.25">
      <c r="A44" s="5">
        <v>41</v>
      </c>
      <c r="B44" s="24" t="s">
        <v>59</v>
      </c>
      <c r="C44" s="10">
        <v>18</v>
      </c>
      <c r="D44" s="25">
        <v>122900</v>
      </c>
      <c r="E44" s="19">
        <f t="shared" si="0"/>
        <v>0.22122</v>
      </c>
    </row>
    <row r="45" spans="1:5" x14ac:dyDescent="0.25">
      <c r="A45" s="5">
        <v>42</v>
      </c>
      <c r="B45" s="24" t="s">
        <v>24</v>
      </c>
      <c r="C45" s="10">
        <v>38</v>
      </c>
      <c r="D45" s="25">
        <v>41261.019999999997</v>
      </c>
      <c r="E45" s="19">
        <f t="shared" si="0"/>
        <v>0.15679187599999997</v>
      </c>
    </row>
    <row r="46" spans="1:5" x14ac:dyDescent="0.25">
      <c r="A46" s="5">
        <v>43</v>
      </c>
      <c r="B46" s="24" t="s">
        <v>60</v>
      </c>
      <c r="C46" s="10">
        <v>30</v>
      </c>
      <c r="D46" s="25">
        <v>123290.7</v>
      </c>
      <c r="E46" s="19">
        <f t="shared" si="0"/>
        <v>0.36987209999999998</v>
      </c>
    </row>
    <row r="47" spans="1:5" x14ac:dyDescent="0.25">
      <c r="A47" s="5">
        <v>44</v>
      </c>
      <c r="B47" s="24" t="s">
        <v>25</v>
      </c>
      <c r="C47" s="10">
        <v>53</v>
      </c>
      <c r="D47" s="28">
        <v>999983.9</v>
      </c>
      <c r="E47" s="19">
        <f t="shared" si="0"/>
        <v>5.2999146700000006</v>
      </c>
    </row>
    <row r="48" spans="1:5" x14ac:dyDescent="0.25">
      <c r="A48" s="5">
        <v>45</v>
      </c>
      <c r="B48" s="24" t="s">
        <v>24</v>
      </c>
      <c r="C48" s="10">
        <v>27</v>
      </c>
      <c r="D48" s="28">
        <v>42979.67</v>
      </c>
      <c r="E48" s="19">
        <f t="shared" si="0"/>
        <v>0.11604510899999998</v>
      </c>
    </row>
    <row r="49" spans="1:5" ht="31.5" x14ac:dyDescent="0.25">
      <c r="A49" s="5">
        <v>46</v>
      </c>
      <c r="B49" s="24" t="s">
        <v>26</v>
      </c>
      <c r="C49" s="10">
        <v>36</v>
      </c>
      <c r="D49" s="25">
        <v>1842288.14</v>
      </c>
      <c r="E49" s="19">
        <f t="shared" si="0"/>
        <v>6.6322373040000002</v>
      </c>
    </row>
    <row r="50" spans="1:5" x14ac:dyDescent="0.25">
      <c r="A50" s="5">
        <v>47</v>
      </c>
      <c r="B50" s="29" t="s">
        <v>61</v>
      </c>
      <c r="C50" s="10">
        <v>19</v>
      </c>
      <c r="D50" s="25">
        <v>212750</v>
      </c>
      <c r="E50" s="19">
        <f t="shared" si="0"/>
        <v>0.404225</v>
      </c>
    </row>
    <row r="51" spans="1:5" x14ac:dyDescent="0.25">
      <c r="A51" s="5">
        <v>48</v>
      </c>
      <c r="B51" s="29" t="s">
        <v>62</v>
      </c>
      <c r="C51" s="10">
        <v>131</v>
      </c>
      <c r="D51" s="25">
        <v>93953.39</v>
      </c>
      <c r="E51" s="19">
        <f t="shared" si="0"/>
        <v>1.230789409</v>
      </c>
    </row>
    <row r="52" spans="1:5" x14ac:dyDescent="0.25">
      <c r="A52" s="5">
        <v>49</v>
      </c>
      <c r="B52" s="29" t="s">
        <v>27</v>
      </c>
      <c r="C52" s="10">
        <v>40</v>
      </c>
      <c r="D52" s="25">
        <v>18943.7</v>
      </c>
      <c r="E52" s="19">
        <f t="shared" si="0"/>
        <v>7.5774800000000003E-2</v>
      </c>
    </row>
    <row r="53" spans="1:5" x14ac:dyDescent="0.25">
      <c r="A53" s="5">
        <v>50</v>
      </c>
      <c r="B53" s="29" t="s">
        <v>28</v>
      </c>
      <c r="C53" s="10">
        <v>62</v>
      </c>
      <c r="D53" s="25">
        <v>113548</v>
      </c>
      <c r="E53" s="19">
        <f t="shared" si="0"/>
        <v>0.7039976</v>
      </c>
    </row>
    <row r="54" spans="1:5" x14ac:dyDescent="0.25">
      <c r="A54" s="5">
        <v>51</v>
      </c>
      <c r="B54" s="29" t="s">
        <v>63</v>
      </c>
      <c r="C54" s="10">
        <v>55</v>
      </c>
      <c r="D54" s="25">
        <v>151207.63</v>
      </c>
      <c r="E54" s="19">
        <f t="shared" si="0"/>
        <v>0.83164196499999998</v>
      </c>
    </row>
    <row r="55" spans="1:5" ht="31.5" x14ac:dyDescent="0.25">
      <c r="A55" s="5">
        <v>52</v>
      </c>
      <c r="B55" s="24" t="s">
        <v>29</v>
      </c>
      <c r="C55" s="10">
        <v>5</v>
      </c>
      <c r="D55" s="25">
        <v>1376012.5</v>
      </c>
      <c r="E55" s="19">
        <f t="shared" si="0"/>
        <v>0.68800625000000004</v>
      </c>
    </row>
    <row r="56" spans="1:5" x14ac:dyDescent="0.25">
      <c r="A56" s="5">
        <v>53</v>
      </c>
      <c r="B56" s="24" t="s">
        <v>64</v>
      </c>
      <c r="C56" s="10">
        <v>37</v>
      </c>
      <c r="D56" s="25">
        <v>219631.35999999999</v>
      </c>
      <c r="E56" s="19">
        <f t="shared" si="0"/>
        <v>0.8126360319999999</v>
      </c>
    </row>
    <row r="57" spans="1:5" x14ac:dyDescent="0.25">
      <c r="A57" s="5">
        <v>54</v>
      </c>
      <c r="B57" s="24" t="s">
        <v>30</v>
      </c>
      <c r="C57" s="12">
        <v>14</v>
      </c>
      <c r="D57" s="25">
        <v>128518.65</v>
      </c>
      <c r="E57" s="19">
        <f t="shared" si="0"/>
        <v>0.17992610999999997</v>
      </c>
    </row>
    <row r="58" spans="1:5" x14ac:dyDescent="0.25">
      <c r="A58" s="5">
        <v>55</v>
      </c>
      <c r="B58" s="20" t="s">
        <v>31</v>
      </c>
      <c r="C58" s="10">
        <v>6</v>
      </c>
      <c r="D58" s="25">
        <v>517639.84</v>
      </c>
      <c r="E58" s="19">
        <f t="shared" si="0"/>
        <v>0.31058390400000002</v>
      </c>
    </row>
    <row r="59" spans="1:5" x14ac:dyDescent="0.25">
      <c r="A59" s="5">
        <v>56</v>
      </c>
      <c r="B59" s="20" t="s">
        <v>32</v>
      </c>
      <c r="C59" s="11">
        <v>4</v>
      </c>
      <c r="D59" s="30">
        <v>485000</v>
      </c>
      <c r="E59" s="19">
        <f t="shared" si="0"/>
        <v>0.19400000000000001</v>
      </c>
    </row>
    <row r="60" spans="1:5" x14ac:dyDescent="0.25">
      <c r="A60" s="5">
        <v>57</v>
      </c>
      <c r="B60" s="20" t="s">
        <v>22</v>
      </c>
      <c r="C60" s="11">
        <v>4</v>
      </c>
      <c r="D60" s="31">
        <v>1086059.33</v>
      </c>
      <c r="E60" s="19">
        <f t="shared" si="0"/>
        <v>0.43442373200000001</v>
      </c>
    </row>
    <row r="61" spans="1:5" x14ac:dyDescent="0.25">
      <c r="A61" s="5">
        <v>58</v>
      </c>
      <c r="B61" s="20" t="s">
        <v>33</v>
      </c>
      <c r="C61" s="11">
        <v>16</v>
      </c>
      <c r="D61" s="25">
        <v>124658.48</v>
      </c>
      <c r="E61" s="19">
        <f t="shared" si="0"/>
        <v>0.199453568</v>
      </c>
    </row>
    <row r="62" spans="1:5" x14ac:dyDescent="0.25">
      <c r="A62" s="5">
        <v>59</v>
      </c>
      <c r="B62" s="20" t="s">
        <v>34</v>
      </c>
      <c r="C62" s="10">
        <v>24</v>
      </c>
      <c r="D62" s="25">
        <v>128162</v>
      </c>
      <c r="E62" s="19">
        <f t="shared" si="0"/>
        <v>0.3075888</v>
      </c>
    </row>
    <row r="63" spans="1:5" ht="31.5" x14ac:dyDescent="0.25">
      <c r="A63" s="5">
        <v>60</v>
      </c>
      <c r="B63" s="14" t="s">
        <v>35</v>
      </c>
      <c r="C63" s="10">
        <v>10</v>
      </c>
      <c r="D63" s="25">
        <v>330279.67</v>
      </c>
      <c r="E63" s="19">
        <f t="shared" si="0"/>
        <v>0.33027966999999997</v>
      </c>
    </row>
    <row r="64" spans="1:5" x14ac:dyDescent="0.25">
      <c r="A64" s="5"/>
      <c r="B64" s="32" t="s">
        <v>9</v>
      </c>
      <c r="C64" s="1"/>
      <c r="D64" s="33"/>
      <c r="E64" s="34">
        <f>SUM(E4:E63)</f>
        <v>51.379745948000014</v>
      </c>
    </row>
  </sheetData>
  <pageMargins left="0.7" right="0.7" top="0.75" bottom="0.75" header="0.3" footer="0.3"/>
  <pageSetup paperSize="9" scale="5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Dynamic</dc:creator>
  <cp:lastModifiedBy>USER</cp:lastModifiedBy>
  <cp:lastPrinted>2022-08-02T06:09:30Z</cp:lastPrinted>
  <dcterms:created xsi:type="dcterms:W3CDTF">2022-08-02T05:07:07Z</dcterms:created>
  <dcterms:modified xsi:type="dcterms:W3CDTF">2023-08-25T10:54:18Z</dcterms:modified>
</cp:coreProperties>
</file>