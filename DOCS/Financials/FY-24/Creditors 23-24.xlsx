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saa Keerthini T\Dynamic Pvt Ltd\Audited Financials\FY-24\"/>
    </mc:Choice>
  </mc:AlternateContent>
  <xr:revisionPtr revIDLastSave="0" documentId="13_ncr:1_{ACF56CCB-CCA8-4169-8A62-A8B38B1748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ndry Creditors" sheetId="1" r:id="rId1"/>
  </sheets>
  <definedNames>
    <definedName name="_xlnm._FilterDatabase" localSheetId="0" hidden="1">'Sundry Creditors'!$A$12:$D$218</definedName>
  </definedNames>
  <calcPr calcId="181029"/>
</workbook>
</file>

<file path=xl/calcChain.xml><?xml version="1.0" encoding="utf-8"?>
<calcChain xmlns="http://schemas.openxmlformats.org/spreadsheetml/2006/main">
  <c r="D11" i="1" l="1"/>
  <c r="D2" i="1" s="1"/>
  <c r="C11" i="1"/>
  <c r="B11" i="1"/>
</calcChain>
</file>

<file path=xl/sharedStrings.xml><?xml version="1.0" encoding="utf-8"?>
<sst xmlns="http://schemas.openxmlformats.org/spreadsheetml/2006/main" count="429" uniqueCount="225">
  <si>
    <t>Dynamic Air Engineering India Pvt Ltd</t>
  </si>
  <si>
    <t>No:4, Boopathy Nagar,Industrial Estate,</t>
  </si>
  <si>
    <t>Keelkattalai,Chennai - 600117</t>
  </si>
  <si>
    <t>Sundry Creditors</t>
  </si>
  <si>
    <t>Group Summary</t>
  </si>
  <si>
    <t>1-Apr-23 to 31-Mar-24</t>
  </si>
  <si>
    <t/>
  </si>
  <si>
    <t>Dynamic Air Engineering India Pvt Ltd  (23-24)</t>
  </si>
  <si>
    <t>Particulars</t>
  </si>
  <si>
    <t>Closing Balance</t>
  </si>
  <si>
    <t>Debit</t>
  </si>
  <si>
    <t>Credit</t>
  </si>
  <si>
    <t>Contract/Job Work Creditors</t>
  </si>
  <si>
    <t>Amman Fabricators</t>
  </si>
  <si>
    <t>A.P.R Engineering</t>
  </si>
  <si>
    <t>Aravind Engineering Works</t>
  </si>
  <si>
    <t>Asfak - Contract Welder</t>
  </si>
  <si>
    <t>Bendwell Industries</t>
  </si>
  <si>
    <t>Chandru Press Tools</t>
  </si>
  <si>
    <t>Chennai Lasertech LLP</t>
  </si>
  <si>
    <t>Drill Tech Engineering</t>
  </si>
  <si>
    <t>D.S. Engineering</t>
  </si>
  <si>
    <t>HDMP Enterprises</t>
  </si>
  <si>
    <t>JJ Enterprises</t>
  </si>
  <si>
    <t>J S Components</t>
  </si>
  <si>
    <t>Kalaivani Enterprises</t>
  </si>
  <si>
    <t>Karthik Industries</t>
  </si>
  <si>
    <t>Manoj Plastics</t>
  </si>
  <si>
    <t>Mega Laser</t>
  </si>
  <si>
    <t>MKK Metal Sections Pvt Ltd</t>
  </si>
  <si>
    <t>M.M.Fabricator's</t>
  </si>
  <si>
    <t>Murali Engineering Works</t>
  </si>
  <si>
    <t>Nathamuni (Security)</t>
  </si>
  <si>
    <t>Nithya Engineering Services</t>
  </si>
  <si>
    <t>Pinky Enterprises</t>
  </si>
  <si>
    <t>PowerMaxx Laser</t>
  </si>
  <si>
    <t>Power Shearing and Folding</t>
  </si>
  <si>
    <t>Priya Metal Process</t>
  </si>
  <si>
    <t>Rana Enterprises</t>
  </si>
  <si>
    <t>Ravi Metal Finishers</t>
  </si>
  <si>
    <t>Roshini Fabricator's</t>
  </si>
  <si>
    <t>R.V.R Tools</t>
  </si>
  <si>
    <t>Sabari Enterprises</t>
  </si>
  <si>
    <t>Saravanan P (Contractor)</t>
  </si>
  <si>
    <t>Senthil Kumar S</t>
  </si>
  <si>
    <t>Sree Murugan Rolling</t>
  </si>
  <si>
    <t>Sri Meenakshi Enterprises</t>
  </si>
  <si>
    <t>Sri Nallith Industries</t>
  </si>
  <si>
    <t>Sri Sabari Metal Finishing</t>
  </si>
  <si>
    <t>Sri Sai Ram Rollilng and Fabrication</t>
  </si>
  <si>
    <t>Sri Venkateswara Enterprises</t>
  </si>
  <si>
    <t>S S Enterprises</t>
  </si>
  <si>
    <t>Swift Laser</t>
  </si>
  <si>
    <t>Telsa Automation</t>
  </si>
  <si>
    <t>United Tools &amp; Dies</t>
  </si>
  <si>
    <t>Vinitha Colour Coats - Gunidy</t>
  </si>
  <si>
    <t>VKN Industries</t>
  </si>
  <si>
    <t>VR Global Industries</t>
  </si>
  <si>
    <t>Creditors -  Capital Expenses</t>
  </si>
  <si>
    <t>GMT Engineers Pvt Ltd</t>
  </si>
  <si>
    <t>Integreatz ERP India Pvt.Ltd</t>
  </si>
  <si>
    <t>JM Lifestyle Interior Projects Pvt Ltd</t>
  </si>
  <si>
    <t>K2 Cranes &amp; Components P Ltd</t>
  </si>
  <si>
    <t>Naga Welders</t>
  </si>
  <si>
    <t>Pacific Weld Systems Pvt Ltd</t>
  </si>
  <si>
    <t>Trumpf (India)  Pvt Ltd - Bangalore</t>
  </si>
  <si>
    <t>Zulaikha Motors Pvt Ltd</t>
  </si>
  <si>
    <t>Creditors - Expenses</t>
  </si>
  <si>
    <t>Active Corporate Service (India) Pvt Ltd</t>
  </si>
  <si>
    <t>Annai Water Supply</t>
  </si>
  <si>
    <t>Barath Metallurgical Laboratory</t>
  </si>
  <si>
    <t>Burhani Industrial Supplies</t>
  </si>
  <si>
    <t>CPR &amp; CO Engineering Sales &amp; Service</t>
  </si>
  <si>
    <t>E-Concept Technologies</t>
  </si>
  <si>
    <t>First Welding Cetification Pvt Ltd</t>
  </si>
  <si>
    <t>GOD-Hi Enterprises</t>
  </si>
  <si>
    <t>G.S.T Transport</t>
  </si>
  <si>
    <t>H.M.Industrial Suppliers</t>
  </si>
  <si>
    <t>Immanuel Agency</t>
  </si>
  <si>
    <t>Indhra Engineering</t>
  </si>
  <si>
    <t>ITech Smart Solutions India (P) Ltd</t>
  </si>
  <si>
    <t>Jai Maruthi Industries</t>
  </si>
  <si>
    <t>JK  Power Tools</t>
  </si>
  <si>
    <t>JM Printer</t>
  </si>
  <si>
    <t>Jothi Enterprises</t>
  </si>
  <si>
    <t>Kalpvruksh Office Automation India</t>
  </si>
  <si>
    <t>Klean Tech Industries</t>
  </si>
  <si>
    <t>Macro Calibration Services</t>
  </si>
  <si>
    <t>Manoj Prabhakar M</t>
  </si>
  <si>
    <t>Mats Consulting Services</t>
  </si>
  <si>
    <t>Micro Lab</t>
  </si>
  <si>
    <t>MP Tours and Travels</t>
  </si>
  <si>
    <t>MRM Transport</t>
  </si>
  <si>
    <t>Nishanth Welding Equipments</t>
  </si>
  <si>
    <t>N.S.N Murthy</t>
  </si>
  <si>
    <t>NSSR Industrial Products Pvt Ltd</t>
  </si>
  <si>
    <t>OM Sakthi Crane Services</t>
  </si>
  <si>
    <t>Precise Calibration Services</t>
  </si>
  <si>
    <t>Purushothamaraja K</t>
  </si>
  <si>
    <t>Radica Electrodes &amp; Wires</t>
  </si>
  <si>
    <t>Rites Limited</t>
  </si>
  <si>
    <t>Sarvam Safety Equipment (P) Ltd</t>
  </si>
  <si>
    <t>Shree Anmol Roadways Pvt Ltd</t>
  </si>
  <si>
    <t>Shree Engineers</t>
  </si>
  <si>
    <t>Shri Raghavendra Enterprises</t>
  </si>
  <si>
    <t>S.Ravi &amp; Associates</t>
  </si>
  <si>
    <t>Sri Guru Engineering Services</t>
  </si>
  <si>
    <t>Sri Lakshmi Electricals &amp; Hardwares</t>
  </si>
  <si>
    <t>Srinivaas Transport</t>
  </si>
  <si>
    <t>Sudhir Panwar</t>
  </si>
  <si>
    <t>TANGEDCO</t>
  </si>
  <si>
    <t>TCI Freight</t>
  </si>
  <si>
    <t>Trumpf (India) Pvt Ltd - Pune</t>
  </si>
  <si>
    <t>Uma Industries</t>
  </si>
  <si>
    <t>Unikorp Inc</t>
  </si>
  <si>
    <t>Vaishnavi Catering Service</t>
  </si>
  <si>
    <t>Vallab Engineering Services Pvt Ltd</t>
  </si>
  <si>
    <t>Viswaas Enterprises</t>
  </si>
  <si>
    <t>V.K.N Transport</t>
  </si>
  <si>
    <t>VMS Hydraulics Services</t>
  </si>
  <si>
    <t>Yogendra Kumar</t>
  </si>
  <si>
    <t>Creditors - Imports</t>
  </si>
  <si>
    <t>Changzhou Xinyuhui Chemical Co Ltd</t>
  </si>
  <si>
    <t>Teng Yao Hardware Industrial Co Ltd</t>
  </si>
  <si>
    <t>Creditors - Materials</t>
  </si>
  <si>
    <t>Abirami Metal Works</t>
  </si>
  <si>
    <t>Advance Paints Pvt Ltd</t>
  </si>
  <si>
    <t>Agarwal Fasteners Pvt Ltd</t>
  </si>
  <si>
    <t>Agarwal Sons</t>
  </si>
  <si>
    <t>Air Water India Private Limited</t>
  </si>
  <si>
    <t>A.K.Steel &amp; Traders</t>
  </si>
  <si>
    <t>Alcheme Sales Pvt Ltd</t>
  </si>
  <si>
    <t>Alommex Profiles Pvt Ltd</t>
  </si>
  <si>
    <t>Aluminium Sales Corporation</t>
  </si>
  <si>
    <t>Anu Industries</t>
  </si>
  <si>
    <t>Arihant Aluminium Agencies</t>
  </si>
  <si>
    <t>Asian Metals(Ch-1)</t>
  </si>
  <si>
    <t>Asian  Trading Company</t>
  </si>
  <si>
    <t>Aston Packaging Solutions</t>
  </si>
  <si>
    <t>Atlas Tools Suppliers</t>
  </si>
  <si>
    <t>Automotive Rubber Sealings &amp; Coatings</t>
  </si>
  <si>
    <t>Bansal Wire Industries Ltd</t>
  </si>
  <si>
    <t>Bashyam Graphic Technologies Pvt Ltd</t>
  </si>
  <si>
    <t>Bhandari Metal Distributors</t>
  </si>
  <si>
    <t>Chennai Bearing Centre</t>
  </si>
  <si>
    <t>Coastal Steels</t>
  </si>
  <si>
    <t>Cutmac Marketing Pvt Ltd</t>
  </si>
  <si>
    <t>Daga Steel Suppliers</t>
  </si>
  <si>
    <t>Deluxe Springs</t>
  </si>
  <si>
    <t>Dhharani Packaging</t>
  </si>
  <si>
    <t>Dirak India Panel Fitting Pvt Ltd</t>
  </si>
  <si>
    <t>Everest Engineering Enterprises</t>
  </si>
  <si>
    <t>GEZE India Private Limited</t>
  </si>
  <si>
    <t>Goodluck Trading Co</t>
  </si>
  <si>
    <t>Grauer &amp; Weil (India)Limited</t>
  </si>
  <si>
    <t>Hanuman Steel Traders</t>
  </si>
  <si>
    <t>H Square Industries LLP</t>
  </si>
  <si>
    <t>Huecoat's Industries</t>
  </si>
  <si>
    <t>Indira Enterprises</t>
  </si>
  <si>
    <t>Innovative Door Solution</t>
  </si>
  <si>
    <t>Innovative Engineering Products</t>
  </si>
  <si>
    <t>Jaspreet Steelmet Pvt .Ltd</t>
  </si>
  <si>
    <t>Jayesh Metal Corporation</t>
  </si>
  <si>
    <t>JCL Technologies</t>
  </si>
  <si>
    <t>Jindal Stainless Steelway Limited</t>
  </si>
  <si>
    <t>Kinglong Hardware India Pvt Ltd</t>
  </si>
  <si>
    <t>Limra Auto Solutions</t>
  </si>
  <si>
    <t>Madras Metals</t>
  </si>
  <si>
    <t>Malar Rubber Products</t>
  </si>
  <si>
    <t>Maruti Enterprises</t>
  </si>
  <si>
    <t>Meena Fiberglas Industries</t>
  </si>
  <si>
    <t>Metallica Metals</t>
  </si>
  <si>
    <t>Metal Scope (India) Private Limited</t>
  </si>
  <si>
    <t>Micron Elastomers Pvt Ltd</t>
  </si>
  <si>
    <t>Mipalloy</t>
  </si>
  <si>
    <t>MLTI Private Limited</t>
  </si>
  <si>
    <t>Murugan Metals</t>
  </si>
  <si>
    <t>Mutha Tubes and Pipes</t>
  </si>
  <si>
    <t>National Aluminium- Madhavaram</t>
  </si>
  <si>
    <t>Navratan Metal Industries (Mumbai)</t>
  </si>
  <si>
    <t>Nine Piping Solutions</t>
  </si>
  <si>
    <t>OMPS Engineering Industries</t>
  </si>
  <si>
    <t>Pooja Sales Corporation</t>
  </si>
  <si>
    <t>Pratishtha Sales Corporation</t>
  </si>
  <si>
    <t>Praxair India Private Limited</t>
  </si>
  <si>
    <t>Premier Glass Works</t>
  </si>
  <si>
    <t>Pushpanjali Industrial Equipments</t>
  </si>
  <si>
    <t>Raunaq Steels Trading Pvt  Ltd</t>
  </si>
  <si>
    <t>Royal Business</t>
  </si>
  <si>
    <t>R.S.Rajan Stores</t>
  </si>
  <si>
    <t>Salem Stainless Steel Suppliers Private Limited</t>
  </si>
  <si>
    <t>Sanco Enterprises</t>
  </si>
  <si>
    <t>Sapphire Metal Solutions LLP</t>
  </si>
  <si>
    <t>Sathguru Sai Steels Pvt Ltd</t>
  </si>
  <si>
    <t>Sharoff Steel Suppliers</t>
  </si>
  <si>
    <t>Shree Maruthi Enterprises</t>
  </si>
  <si>
    <t>Shree Murali Packs</t>
  </si>
  <si>
    <t>Shubham Metals</t>
  </si>
  <si>
    <t>Shubham Stainless</t>
  </si>
  <si>
    <t>Sky India</t>
  </si>
  <si>
    <t>Sri Lakshmi Enterprises</t>
  </si>
  <si>
    <t>Sri Lakshmi Industries</t>
  </si>
  <si>
    <t>Srinivasa Enterprises - (P)</t>
  </si>
  <si>
    <t>Srinivasa Steel Products LLP</t>
  </si>
  <si>
    <t>Sri Ramana Enterprises</t>
  </si>
  <si>
    <t>Sri Sabari Agencies</t>
  </si>
  <si>
    <t>Steel Authority of India Limited</t>
  </si>
  <si>
    <t>Steel Yard Junction</t>
  </si>
  <si>
    <t>Sumangalam Aluminum Extrusions (P) Ltd</t>
  </si>
  <si>
    <t>Sun Phospho Chem</t>
  </si>
  <si>
    <t>Talco Aluminium Company</t>
  </si>
  <si>
    <t>Tamilnad Aluminium Company(F)</t>
  </si>
  <si>
    <t>Team Steel</t>
  </si>
  <si>
    <t>Thermal Scientific Works</t>
  </si>
  <si>
    <t>Thulasi Enterprises</t>
  </si>
  <si>
    <t>TPRS  Enterprises Pvt Ltd</t>
  </si>
  <si>
    <t>T.T Millwala &amp; Sons</t>
  </si>
  <si>
    <t>Tubes and Valves Manufacturing Co</t>
  </si>
  <si>
    <t>Vbk Fibreo Tech Industries</t>
  </si>
  <si>
    <t>Vedham &amp; Co</t>
  </si>
  <si>
    <t>Vibgyor Paints &amp; Chemicals</t>
  </si>
  <si>
    <t>VijayaRaja Enterprise</t>
  </si>
  <si>
    <t>Virwadia Steels</t>
  </si>
  <si>
    <t>Type</t>
  </si>
  <si>
    <t xml:space="preserve"> Debit Creditors -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</si>
</sst>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8">
    <xf numFmtId="0" fontId="0" fillId="0" borderId="0" xfId="0"/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Alignment="1">
      <alignment horizontal="left" vertical="top" indent="2"/>
    </xf>
    <xf numFmtId="49" fontId="4" fillId="0" borderId="3" xfId="0" applyNumberFormat="1" applyFont="1" applyBorder="1" applyAlignment="1">
      <alignment horizontal="left" vertical="top" indent="2"/>
    </xf>
    <xf numFmtId="49" fontId="4" fillId="0" borderId="0" xfId="0" applyNumberFormat="1" applyFont="1" applyAlignment="1">
      <alignment vertical="top"/>
    </xf>
    <xf numFmtId="49" fontId="5" fillId="0" borderId="0" xfId="0" applyNumberFormat="1" applyFont="1" applyAlignment="1">
      <alignment horizontal="left" vertical="top" indent="2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3" fontId="1" fillId="0" borderId="0" xfId="1" applyFont="1" applyAlignment="1">
      <alignment vertical="top"/>
    </xf>
    <xf numFmtId="43" fontId="4" fillId="0" borderId="2" xfId="1" applyFont="1" applyBorder="1" applyAlignment="1">
      <alignment horizontal="left" vertical="top" indent="2"/>
    </xf>
    <xf numFmtId="43" fontId="5" fillId="0" borderId="2" xfId="1" applyFont="1" applyBorder="1" applyAlignment="1">
      <alignment horizontal="center" vertical="top" wrapText="1"/>
    </xf>
    <xf numFmtId="43" fontId="4" fillId="0" borderId="0" xfId="1" applyFont="1" applyAlignment="1">
      <alignment horizontal="left" vertical="top" indent="2"/>
    </xf>
    <xf numFmtId="43" fontId="4" fillId="0" borderId="3" xfId="1" applyFont="1" applyBorder="1" applyAlignment="1">
      <alignment horizontal="center" vertical="top" wrapText="1"/>
    </xf>
    <xf numFmtId="43" fontId="4" fillId="0" borderId="0" xfId="1" applyFont="1" applyAlignment="1">
      <alignment horizontal="center" vertical="top" wrapText="1"/>
    </xf>
    <xf numFmtId="43" fontId="4" fillId="0" borderId="3" xfId="1" applyFont="1" applyBorder="1" applyAlignment="1">
      <alignment horizontal="left" vertical="top" indent="2"/>
    </xf>
    <xf numFmtId="43" fontId="3" fillId="0" borderId="3" xfId="1" applyFont="1" applyBorder="1" applyAlignment="1">
      <alignment horizontal="center" vertical="top" wrapText="1"/>
    </xf>
    <xf numFmtId="43" fontId="3" fillId="0" borderId="0" xfId="1" applyFont="1" applyAlignment="1">
      <alignment horizontal="center" vertical="top" wrapText="1"/>
    </xf>
    <xf numFmtId="43" fontId="4" fillId="0" borderId="4" xfId="1" applyFont="1" applyBorder="1" applyAlignment="1">
      <alignment horizontal="center" vertical="top"/>
    </xf>
    <xf numFmtId="43" fontId="4" fillId="0" borderId="2" xfId="1" applyFont="1" applyBorder="1" applyAlignment="1">
      <alignment horizontal="center" vertical="top"/>
    </xf>
    <xf numFmtId="43" fontId="4" fillId="0" borderId="0" xfId="1" applyFont="1" applyAlignment="1">
      <alignment vertical="top"/>
    </xf>
    <xf numFmtId="43" fontId="3" fillId="0" borderId="5" xfId="1" applyFont="1" applyBorder="1" applyAlignment="1">
      <alignment horizontal="center" vertical="top"/>
    </xf>
    <xf numFmtId="43" fontId="5" fillId="0" borderId="0" xfId="1" applyFont="1" applyAlignment="1">
      <alignment horizontal="right" vertical="top"/>
    </xf>
    <xf numFmtId="43" fontId="0" fillId="0" borderId="0" xfId="1" applyFont="1"/>
    <xf numFmtId="49" fontId="3" fillId="0" borderId="0" xfId="0" applyNumberFormat="1" applyFont="1" applyAlignment="1">
      <alignment vertical="top"/>
    </xf>
    <xf numFmtId="43" fontId="5" fillId="0" borderId="0" xfId="1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18"/>
  <sheetViews>
    <sheetView tabSelected="1" workbookViewId="0">
      <pane xSplit="2" ySplit="12" topLeftCell="C55" activePane="bottomRight" state="frozen"/>
      <selection pane="topRight" activeCell="C1" sqref="C1"/>
      <selection pane="bottomLeft" activeCell="A12" sqref="A12"/>
      <selection pane="bottomRight" activeCell="B18" sqref="B18"/>
    </sheetView>
  </sheetViews>
  <sheetFormatPr defaultRowHeight="15" outlineLevelRow="1" x14ac:dyDescent="0.25"/>
  <cols>
    <col min="1" max="1" width="42.42578125" bestFit="1" customWidth="1"/>
    <col min="2" max="2" width="13" style="25" customWidth="1"/>
    <col min="3" max="3" width="12.140625" style="25" bestFit="1" customWidth="1"/>
    <col min="4" max="4" width="15.5703125" style="25" bestFit="1" customWidth="1"/>
  </cols>
  <sheetData>
    <row r="1" spans="1:4" ht="15.75" x14ac:dyDescent="0.25">
      <c r="A1" s="7" t="s">
        <v>0</v>
      </c>
      <c r="B1" s="7"/>
      <c r="C1" s="7"/>
      <c r="D1" s="7"/>
    </row>
    <row r="2" spans="1:4" x14ac:dyDescent="0.25">
      <c r="A2" s="6" t="s">
        <v>1</v>
      </c>
      <c r="B2" s="11"/>
      <c r="C2" s="11"/>
      <c r="D2" s="11">
        <f>D11-C11</f>
        <v>18323740</v>
      </c>
    </row>
    <row r="3" spans="1:4" hidden="1" outlineLevel="1" x14ac:dyDescent="0.25">
      <c r="A3" s="9" t="s">
        <v>2</v>
      </c>
      <c r="B3" s="9"/>
      <c r="C3" s="9"/>
      <c r="D3" s="9"/>
    </row>
    <row r="4" spans="1:4" ht="15.75" hidden="1" outlineLevel="1" x14ac:dyDescent="0.25">
      <c r="A4" s="10" t="s">
        <v>3</v>
      </c>
      <c r="B4" s="10"/>
      <c r="C4" s="10"/>
      <c r="D4" s="10"/>
    </row>
    <row r="5" spans="1:4" hidden="1" outlineLevel="1" x14ac:dyDescent="0.25">
      <c r="A5" s="8" t="s">
        <v>4</v>
      </c>
      <c r="B5" s="8"/>
      <c r="C5" s="8"/>
      <c r="D5" s="8"/>
    </row>
    <row r="6" spans="1:4" hidden="1" outlineLevel="1" x14ac:dyDescent="0.25">
      <c r="A6" s="8" t="s">
        <v>5</v>
      </c>
      <c r="B6" s="8"/>
      <c r="C6" s="8"/>
      <c r="D6" s="8"/>
    </row>
    <row r="7" spans="1:4" hidden="1" outlineLevel="1" x14ac:dyDescent="0.25">
      <c r="A7" s="1" t="s">
        <v>6</v>
      </c>
      <c r="B7" s="12"/>
      <c r="C7" s="13" t="s">
        <v>3</v>
      </c>
      <c r="D7" s="13"/>
    </row>
    <row r="8" spans="1:4" hidden="1" outlineLevel="1" x14ac:dyDescent="0.25">
      <c r="A8" s="2" t="s">
        <v>6</v>
      </c>
      <c r="B8" s="14"/>
      <c r="C8" s="15" t="s">
        <v>7</v>
      </c>
      <c r="D8" s="16"/>
    </row>
    <row r="9" spans="1:4" hidden="1" outlineLevel="1" x14ac:dyDescent="0.25">
      <c r="A9" s="3"/>
      <c r="B9" s="17"/>
      <c r="C9" s="18" t="s">
        <v>5</v>
      </c>
      <c r="D9" s="19"/>
    </row>
    <row r="10" spans="1:4" hidden="1" outlineLevel="1" x14ac:dyDescent="0.25">
      <c r="A10" s="3" t="s">
        <v>6</v>
      </c>
      <c r="B10" s="17"/>
      <c r="C10" s="20" t="s">
        <v>9</v>
      </c>
      <c r="D10" s="21"/>
    </row>
    <row r="11" spans="1:4" s="4" customFormat="1" collapsed="1" x14ac:dyDescent="0.25">
      <c r="B11" s="22">
        <f>SUBTOTAL(9,B13:B218)</f>
        <v>0</v>
      </c>
      <c r="C11" s="22">
        <f>SUBTOTAL(9,C13:C218)</f>
        <v>4105721.96</v>
      </c>
      <c r="D11" s="22">
        <f>SUBTOTAL(9,D13:D218)</f>
        <v>22429461.960000001</v>
      </c>
    </row>
    <row r="12" spans="1:4" x14ac:dyDescent="0.25">
      <c r="A12" s="3" t="s">
        <v>8</v>
      </c>
      <c r="B12" s="17" t="s">
        <v>223</v>
      </c>
      <c r="C12" s="23" t="s">
        <v>10</v>
      </c>
      <c r="D12" s="23" t="s">
        <v>11</v>
      </c>
    </row>
    <row r="13" spans="1:4" x14ac:dyDescent="0.25">
      <c r="A13" s="5" t="s">
        <v>13</v>
      </c>
      <c r="B13" s="26" t="s">
        <v>12</v>
      </c>
      <c r="C13" s="24"/>
      <c r="D13" s="24">
        <v>775379</v>
      </c>
    </row>
    <row r="14" spans="1:4" x14ac:dyDescent="0.25">
      <c r="A14" s="5" t="s">
        <v>14</v>
      </c>
      <c r="B14" s="26" t="s">
        <v>12</v>
      </c>
      <c r="C14" s="24"/>
      <c r="D14" s="24">
        <v>351785</v>
      </c>
    </row>
    <row r="15" spans="1:4" x14ac:dyDescent="0.25">
      <c r="A15" s="5" t="s">
        <v>15</v>
      </c>
      <c r="B15" s="26" t="s">
        <v>12</v>
      </c>
      <c r="C15" s="24"/>
      <c r="D15" s="24">
        <v>98922</v>
      </c>
    </row>
    <row r="16" spans="1:4" x14ac:dyDescent="0.25">
      <c r="A16" s="5" t="s">
        <v>16</v>
      </c>
      <c r="B16" s="26" t="s">
        <v>12</v>
      </c>
      <c r="C16" s="24">
        <v>800</v>
      </c>
      <c r="D16" s="24"/>
    </row>
    <row r="17" spans="1:4" x14ac:dyDescent="0.25">
      <c r="A17" s="5" t="s">
        <v>17</v>
      </c>
      <c r="B17" s="26" t="s">
        <v>12</v>
      </c>
      <c r="C17" s="24"/>
      <c r="D17" s="24">
        <v>147986</v>
      </c>
    </row>
    <row r="18" spans="1:4" x14ac:dyDescent="0.25">
      <c r="A18" s="5" t="s">
        <v>18</v>
      </c>
      <c r="B18" s="26" t="s">
        <v>12</v>
      </c>
      <c r="C18" s="24"/>
      <c r="D18" s="24">
        <v>98568</v>
      </c>
    </row>
    <row r="19" spans="1:4" x14ac:dyDescent="0.25">
      <c r="A19" s="5" t="s">
        <v>19</v>
      </c>
      <c r="B19" s="26" t="s">
        <v>12</v>
      </c>
      <c r="C19" s="24"/>
      <c r="D19" s="24">
        <v>33335</v>
      </c>
    </row>
    <row r="20" spans="1:4" x14ac:dyDescent="0.25">
      <c r="A20" s="5" t="s">
        <v>20</v>
      </c>
      <c r="B20" s="26" t="s">
        <v>12</v>
      </c>
      <c r="C20" s="24"/>
      <c r="D20" s="24">
        <v>15796</v>
      </c>
    </row>
    <row r="21" spans="1:4" x14ac:dyDescent="0.25">
      <c r="A21" s="5" t="s">
        <v>21</v>
      </c>
      <c r="B21" s="26" t="s">
        <v>12</v>
      </c>
      <c r="C21" s="24"/>
      <c r="D21" s="24">
        <v>282941</v>
      </c>
    </row>
    <row r="22" spans="1:4" x14ac:dyDescent="0.25">
      <c r="A22" s="5" t="s">
        <v>22</v>
      </c>
      <c r="B22" s="26" t="s">
        <v>12</v>
      </c>
      <c r="C22" s="24">
        <v>115000</v>
      </c>
      <c r="D22" s="24"/>
    </row>
    <row r="23" spans="1:4" x14ac:dyDescent="0.25">
      <c r="A23" s="5" t="s">
        <v>23</v>
      </c>
      <c r="B23" s="26" t="s">
        <v>12</v>
      </c>
      <c r="C23" s="24">
        <v>531066</v>
      </c>
      <c r="D23" s="24"/>
    </row>
    <row r="24" spans="1:4" x14ac:dyDescent="0.25">
      <c r="A24" s="5" t="s">
        <v>24</v>
      </c>
      <c r="B24" s="26" t="s">
        <v>12</v>
      </c>
      <c r="C24" s="24"/>
      <c r="D24" s="24">
        <v>69003</v>
      </c>
    </row>
    <row r="25" spans="1:4" x14ac:dyDescent="0.25">
      <c r="A25" s="5" t="s">
        <v>25</v>
      </c>
      <c r="B25" s="26" t="s">
        <v>12</v>
      </c>
      <c r="C25" s="24"/>
      <c r="D25" s="24">
        <v>2497</v>
      </c>
    </row>
    <row r="26" spans="1:4" x14ac:dyDescent="0.25">
      <c r="A26" s="5" t="s">
        <v>26</v>
      </c>
      <c r="B26" s="26" t="s">
        <v>12</v>
      </c>
      <c r="C26" s="24"/>
      <c r="D26" s="24">
        <v>7323486.5599999996</v>
      </c>
    </row>
    <row r="27" spans="1:4" x14ac:dyDescent="0.25">
      <c r="A27" s="5" t="s">
        <v>27</v>
      </c>
      <c r="B27" s="26" t="s">
        <v>12</v>
      </c>
      <c r="C27" s="24"/>
      <c r="D27" s="24">
        <v>22108</v>
      </c>
    </row>
    <row r="28" spans="1:4" x14ac:dyDescent="0.25">
      <c r="A28" s="5" t="s">
        <v>28</v>
      </c>
      <c r="B28" s="26" t="s">
        <v>12</v>
      </c>
      <c r="C28" s="24"/>
      <c r="D28" s="24">
        <v>274558</v>
      </c>
    </row>
    <row r="29" spans="1:4" x14ac:dyDescent="0.25">
      <c r="A29" s="5" t="s">
        <v>29</v>
      </c>
      <c r="B29" s="26" t="s">
        <v>12</v>
      </c>
      <c r="C29" s="24"/>
      <c r="D29" s="24">
        <v>386980</v>
      </c>
    </row>
    <row r="30" spans="1:4" x14ac:dyDescent="0.25">
      <c r="A30" s="5" t="s">
        <v>30</v>
      </c>
      <c r="B30" s="26" t="s">
        <v>12</v>
      </c>
      <c r="C30" s="24"/>
      <c r="D30" s="24">
        <v>41148</v>
      </c>
    </row>
    <row r="31" spans="1:4" x14ac:dyDescent="0.25">
      <c r="A31" s="5" t="s">
        <v>31</v>
      </c>
      <c r="B31" s="26" t="s">
        <v>12</v>
      </c>
      <c r="C31" s="24"/>
      <c r="D31" s="24">
        <v>904874</v>
      </c>
    </row>
    <row r="32" spans="1:4" x14ac:dyDescent="0.25">
      <c r="A32" s="5" t="s">
        <v>32</v>
      </c>
      <c r="B32" s="26" t="s">
        <v>12</v>
      </c>
      <c r="C32" s="24"/>
      <c r="D32" s="24">
        <v>32000</v>
      </c>
    </row>
    <row r="33" spans="1:4" x14ac:dyDescent="0.25">
      <c r="A33" s="5" t="s">
        <v>33</v>
      </c>
      <c r="B33" s="26" t="s">
        <v>12</v>
      </c>
      <c r="C33" s="24">
        <v>50000</v>
      </c>
      <c r="D33" s="24"/>
    </row>
    <row r="34" spans="1:4" x14ac:dyDescent="0.25">
      <c r="A34" s="5" t="s">
        <v>34</v>
      </c>
      <c r="B34" s="26" t="s">
        <v>12</v>
      </c>
      <c r="C34" s="24"/>
      <c r="D34" s="24">
        <v>3402</v>
      </c>
    </row>
    <row r="35" spans="1:4" x14ac:dyDescent="0.25">
      <c r="A35" s="5" t="s">
        <v>35</v>
      </c>
      <c r="B35" s="26" t="s">
        <v>12</v>
      </c>
      <c r="C35" s="24"/>
      <c r="D35" s="24">
        <v>108592</v>
      </c>
    </row>
    <row r="36" spans="1:4" x14ac:dyDescent="0.25">
      <c r="A36" s="5" t="s">
        <v>36</v>
      </c>
      <c r="B36" s="26" t="s">
        <v>12</v>
      </c>
      <c r="C36" s="24"/>
      <c r="D36" s="24">
        <v>20247</v>
      </c>
    </row>
    <row r="37" spans="1:4" x14ac:dyDescent="0.25">
      <c r="A37" s="5" t="s">
        <v>37</v>
      </c>
      <c r="B37" s="26" t="s">
        <v>12</v>
      </c>
      <c r="C37" s="24"/>
      <c r="D37" s="24">
        <v>6254</v>
      </c>
    </row>
    <row r="38" spans="1:4" x14ac:dyDescent="0.25">
      <c r="A38" s="5" t="s">
        <v>38</v>
      </c>
      <c r="B38" s="26" t="s">
        <v>12</v>
      </c>
      <c r="C38" s="24">
        <v>50000</v>
      </c>
      <c r="D38" s="24"/>
    </row>
    <row r="39" spans="1:4" x14ac:dyDescent="0.25">
      <c r="A39" s="5" t="s">
        <v>39</v>
      </c>
      <c r="B39" s="26" t="s">
        <v>12</v>
      </c>
      <c r="C39" s="24"/>
      <c r="D39" s="24">
        <v>159606</v>
      </c>
    </row>
    <row r="40" spans="1:4" x14ac:dyDescent="0.25">
      <c r="A40" s="5" t="s">
        <v>40</v>
      </c>
      <c r="B40" s="26" t="s">
        <v>12</v>
      </c>
      <c r="C40" s="24">
        <v>78920</v>
      </c>
      <c r="D40" s="24"/>
    </row>
    <row r="41" spans="1:4" x14ac:dyDescent="0.25">
      <c r="A41" s="5" t="s">
        <v>41</v>
      </c>
      <c r="B41" s="26" t="s">
        <v>12</v>
      </c>
      <c r="C41" s="24"/>
      <c r="D41" s="24">
        <v>2363</v>
      </c>
    </row>
    <row r="42" spans="1:4" x14ac:dyDescent="0.25">
      <c r="A42" s="5" t="s">
        <v>42</v>
      </c>
      <c r="B42" s="26" t="s">
        <v>12</v>
      </c>
      <c r="C42" s="24"/>
      <c r="D42" s="24">
        <v>21684</v>
      </c>
    </row>
    <row r="43" spans="1:4" x14ac:dyDescent="0.25">
      <c r="A43" s="5" t="s">
        <v>43</v>
      </c>
      <c r="B43" s="26" t="s">
        <v>12</v>
      </c>
      <c r="C43" s="24">
        <v>7845</v>
      </c>
      <c r="D43" s="24"/>
    </row>
    <row r="44" spans="1:4" x14ac:dyDescent="0.25">
      <c r="A44" s="5" t="s">
        <v>44</v>
      </c>
      <c r="B44" s="26" t="s">
        <v>12</v>
      </c>
      <c r="C44" s="24">
        <v>190000</v>
      </c>
      <c r="D44" s="24"/>
    </row>
    <row r="45" spans="1:4" x14ac:dyDescent="0.25">
      <c r="A45" s="5" t="s">
        <v>45</v>
      </c>
      <c r="B45" s="26" t="s">
        <v>12</v>
      </c>
      <c r="C45" s="24">
        <v>567</v>
      </c>
      <c r="D45" s="24"/>
    </row>
    <row r="46" spans="1:4" x14ac:dyDescent="0.25">
      <c r="A46" s="5" t="s">
        <v>46</v>
      </c>
      <c r="B46" s="26" t="s">
        <v>12</v>
      </c>
      <c r="C46" s="24"/>
      <c r="D46" s="24">
        <v>43366</v>
      </c>
    </row>
    <row r="47" spans="1:4" x14ac:dyDescent="0.25">
      <c r="A47" s="5" t="s">
        <v>47</v>
      </c>
      <c r="B47" s="26" t="s">
        <v>12</v>
      </c>
      <c r="C47" s="24"/>
      <c r="D47" s="24">
        <v>226705</v>
      </c>
    </row>
    <row r="48" spans="1:4" x14ac:dyDescent="0.25">
      <c r="A48" s="5" t="s">
        <v>48</v>
      </c>
      <c r="B48" s="26" t="s">
        <v>12</v>
      </c>
      <c r="C48" s="24"/>
      <c r="D48" s="24">
        <v>1826</v>
      </c>
    </row>
    <row r="49" spans="1:4" x14ac:dyDescent="0.25">
      <c r="A49" s="5" t="s">
        <v>49</v>
      </c>
      <c r="B49" s="26" t="s">
        <v>12</v>
      </c>
      <c r="C49" s="24"/>
      <c r="D49" s="24">
        <v>162090</v>
      </c>
    </row>
    <row r="50" spans="1:4" x14ac:dyDescent="0.25">
      <c r="A50" s="5" t="s">
        <v>50</v>
      </c>
      <c r="B50" s="26" t="s">
        <v>12</v>
      </c>
      <c r="C50" s="24"/>
      <c r="D50" s="24">
        <v>49251</v>
      </c>
    </row>
    <row r="51" spans="1:4" x14ac:dyDescent="0.25">
      <c r="A51" s="5" t="s">
        <v>51</v>
      </c>
      <c r="B51" s="26" t="s">
        <v>12</v>
      </c>
      <c r="C51" s="24">
        <v>6517</v>
      </c>
      <c r="D51" s="24"/>
    </row>
    <row r="52" spans="1:4" x14ac:dyDescent="0.25">
      <c r="A52" s="5" t="s">
        <v>52</v>
      </c>
      <c r="B52" s="26" t="s">
        <v>12</v>
      </c>
      <c r="C52" s="24"/>
      <c r="D52" s="24">
        <v>260032</v>
      </c>
    </row>
    <row r="53" spans="1:4" x14ac:dyDescent="0.25">
      <c r="A53" s="5" t="s">
        <v>53</v>
      </c>
      <c r="B53" s="26" t="s">
        <v>12</v>
      </c>
      <c r="C53" s="24"/>
      <c r="D53" s="24">
        <v>285404</v>
      </c>
    </row>
    <row r="54" spans="1:4" x14ac:dyDescent="0.25">
      <c r="A54" s="5" t="s">
        <v>54</v>
      </c>
      <c r="B54" s="26" t="s">
        <v>12</v>
      </c>
      <c r="C54" s="24"/>
      <c r="D54" s="24">
        <v>138193</v>
      </c>
    </row>
    <row r="55" spans="1:4" x14ac:dyDescent="0.25">
      <c r="A55" s="5" t="s">
        <v>55</v>
      </c>
      <c r="B55" s="26" t="s">
        <v>12</v>
      </c>
      <c r="C55" s="24"/>
      <c r="D55" s="24">
        <v>4164</v>
      </c>
    </row>
    <row r="56" spans="1:4" x14ac:dyDescent="0.25">
      <c r="A56" s="5" t="s">
        <v>56</v>
      </c>
      <c r="B56" s="26" t="s">
        <v>12</v>
      </c>
      <c r="C56" s="24"/>
      <c r="D56" s="24">
        <v>752528</v>
      </c>
    </row>
    <row r="57" spans="1:4" x14ac:dyDescent="0.25">
      <c r="A57" s="5" t="s">
        <v>57</v>
      </c>
      <c r="B57" s="26" t="s">
        <v>12</v>
      </c>
      <c r="C57" s="24">
        <v>1400</v>
      </c>
      <c r="D57" s="24"/>
    </row>
    <row r="58" spans="1:4" x14ac:dyDescent="0.25">
      <c r="A58" s="5" t="s">
        <v>59</v>
      </c>
      <c r="B58" s="26" t="s">
        <v>58</v>
      </c>
      <c r="C58" s="24">
        <v>71792</v>
      </c>
      <c r="D58" s="24"/>
    </row>
    <row r="59" spans="1:4" x14ac:dyDescent="0.25">
      <c r="A59" s="5" t="s">
        <v>60</v>
      </c>
      <c r="B59" s="26" t="s">
        <v>58</v>
      </c>
      <c r="C59" s="24"/>
      <c r="D59" s="24">
        <v>24738</v>
      </c>
    </row>
    <row r="60" spans="1:4" x14ac:dyDescent="0.25">
      <c r="A60" s="5" t="s">
        <v>61</v>
      </c>
      <c r="B60" s="26" t="s">
        <v>58</v>
      </c>
      <c r="C60" s="24">
        <v>510594</v>
      </c>
      <c r="D60" s="24"/>
    </row>
    <row r="61" spans="1:4" x14ac:dyDescent="0.25">
      <c r="A61" s="5" t="s">
        <v>62</v>
      </c>
      <c r="B61" s="26" t="s">
        <v>58</v>
      </c>
      <c r="C61" s="24"/>
      <c r="D61" s="24">
        <v>235869</v>
      </c>
    </row>
    <row r="62" spans="1:4" x14ac:dyDescent="0.25">
      <c r="A62" s="5" t="s">
        <v>63</v>
      </c>
      <c r="B62" s="26" t="s">
        <v>58</v>
      </c>
      <c r="C62" s="24"/>
      <c r="D62" s="24">
        <v>763857</v>
      </c>
    </row>
    <row r="63" spans="1:4" x14ac:dyDescent="0.25">
      <c r="A63" s="5" t="s">
        <v>64</v>
      </c>
      <c r="B63" s="26" t="s">
        <v>58</v>
      </c>
      <c r="C63" s="24"/>
      <c r="D63" s="24">
        <v>192612</v>
      </c>
    </row>
    <row r="64" spans="1:4" x14ac:dyDescent="0.25">
      <c r="A64" s="5" t="s">
        <v>65</v>
      </c>
      <c r="B64" s="26" t="s">
        <v>58</v>
      </c>
      <c r="C64" s="24">
        <v>7143</v>
      </c>
      <c r="D64" s="24"/>
    </row>
    <row r="65" spans="1:4" x14ac:dyDescent="0.25">
      <c r="A65" s="5" t="s">
        <v>66</v>
      </c>
      <c r="B65" s="26" t="s">
        <v>58</v>
      </c>
      <c r="C65" s="24">
        <v>10000</v>
      </c>
      <c r="D65" s="24"/>
    </row>
    <row r="66" spans="1:4" x14ac:dyDescent="0.25">
      <c r="A66" s="5" t="s">
        <v>68</v>
      </c>
      <c r="B66" s="26" t="s">
        <v>67</v>
      </c>
      <c r="C66" s="24"/>
      <c r="D66" s="24">
        <v>84680</v>
      </c>
    </row>
    <row r="67" spans="1:4" x14ac:dyDescent="0.25">
      <c r="A67" s="5" t="s">
        <v>69</v>
      </c>
      <c r="B67" s="26" t="s">
        <v>67</v>
      </c>
      <c r="C67" s="24"/>
      <c r="D67" s="24">
        <v>6000</v>
      </c>
    </row>
    <row r="68" spans="1:4" x14ac:dyDescent="0.25">
      <c r="A68" s="5" t="s">
        <v>70</v>
      </c>
      <c r="B68" s="26" t="s">
        <v>67</v>
      </c>
      <c r="C68" s="24"/>
      <c r="D68" s="24">
        <v>4095</v>
      </c>
    </row>
    <row r="69" spans="1:4" x14ac:dyDescent="0.25">
      <c r="A69" s="5" t="s">
        <v>71</v>
      </c>
      <c r="B69" s="26" t="s">
        <v>67</v>
      </c>
      <c r="C69" s="24"/>
      <c r="D69" s="24">
        <v>917445.4</v>
      </c>
    </row>
    <row r="70" spans="1:4" x14ac:dyDescent="0.25">
      <c r="A70" s="5" t="s">
        <v>72</v>
      </c>
      <c r="B70" s="26" t="s">
        <v>67</v>
      </c>
      <c r="C70" s="24"/>
      <c r="D70" s="24">
        <v>19285</v>
      </c>
    </row>
    <row r="71" spans="1:4" x14ac:dyDescent="0.25">
      <c r="A71" s="5" t="s">
        <v>73</v>
      </c>
      <c r="B71" s="26" t="s">
        <v>67</v>
      </c>
      <c r="C71" s="24"/>
      <c r="D71" s="24">
        <v>840</v>
      </c>
    </row>
    <row r="72" spans="1:4" x14ac:dyDescent="0.25">
      <c r="A72" s="5" t="s">
        <v>74</v>
      </c>
      <c r="B72" s="26" t="s">
        <v>67</v>
      </c>
      <c r="C72" s="24"/>
      <c r="D72" s="24">
        <v>174200</v>
      </c>
    </row>
    <row r="73" spans="1:4" x14ac:dyDescent="0.25">
      <c r="A73" s="5" t="s">
        <v>75</v>
      </c>
      <c r="B73" s="26" t="s">
        <v>67</v>
      </c>
      <c r="C73" s="24"/>
      <c r="D73" s="24">
        <v>1786</v>
      </c>
    </row>
    <row r="74" spans="1:4" x14ac:dyDescent="0.25">
      <c r="A74" s="5" t="s">
        <v>76</v>
      </c>
      <c r="B74" s="26" t="s">
        <v>67</v>
      </c>
      <c r="C74" s="24"/>
      <c r="D74" s="24">
        <v>404200</v>
      </c>
    </row>
    <row r="75" spans="1:4" x14ac:dyDescent="0.25">
      <c r="A75" s="5" t="s">
        <v>77</v>
      </c>
      <c r="B75" s="26" t="s">
        <v>67</v>
      </c>
      <c r="C75" s="24"/>
      <c r="D75" s="24">
        <v>3360</v>
      </c>
    </row>
    <row r="76" spans="1:4" x14ac:dyDescent="0.25">
      <c r="A76" s="5" t="s">
        <v>78</v>
      </c>
      <c r="B76" s="26" t="s">
        <v>67</v>
      </c>
      <c r="C76" s="24"/>
      <c r="D76" s="24">
        <v>261387</v>
      </c>
    </row>
    <row r="77" spans="1:4" x14ac:dyDescent="0.25">
      <c r="A77" s="5" t="s">
        <v>79</v>
      </c>
      <c r="B77" s="26" t="s">
        <v>67</v>
      </c>
      <c r="C77" s="24">
        <v>2000</v>
      </c>
      <c r="D77" s="24"/>
    </row>
    <row r="78" spans="1:4" x14ac:dyDescent="0.25">
      <c r="A78" s="5" t="s">
        <v>80</v>
      </c>
      <c r="B78" s="26" t="s">
        <v>67</v>
      </c>
      <c r="C78" s="24"/>
      <c r="D78" s="24">
        <v>3540</v>
      </c>
    </row>
    <row r="79" spans="1:4" x14ac:dyDescent="0.25">
      <c r="A79" s="5" t="s">
        <v>81</v>
      </c>
      <c r="B79" s="26" t="s">
        <v>67</v>
      </c>
      <c r="C79" s="24"/>
      <c r="D79" s="24">
        <v>118272</v>
      </c>
    </row>
    <row r="80" spans="1:4" x14ac:dyDescent="0.25">
      <c r="A80" s="5" t="s">
        <v>82</v>
      </c>
      <c r="B80" s="26" t="s">
        <v>67</v>
      </c>
      <c r="C80" s="24"/>
      <c r="D80" s="24">
        <v>20400</v>
      </c>
    </row>
    <row r="81" spans="1:4" x14ac:dyDescent="0.25">
      <c r="A81" s="5" t="s">
        <v>83</v>
      </c>
      <c r="B81" s="26" t="s">
        <v>67</v>
      </c>
      <c r="C81" s="24"/>
      <c r="D81" s="24">
        <v>10000</v>
      </c>
    </row>
    <row r="82" spans="1:4" x14ac:dyDescent="0.25">
      <c r="A82" s="5" t="s">
        <v>84</v>
      </c>
      <c r="B82" s="26" t="s">
        <v>67</v>
      </c>
      <c r="C82" s="24"/>
      <c r="D82" s="24">
        <v>1110300</v>
      </c>
    </row>
    <row r="83" spans="1:4" x14ac:dyDescent="0.25">
      <c r="A83" s="5" t="s">
        <v>85</v>
      </c>
      <c r="B83" s="26" t="s">
        <v>67</v>
      </c>
      <c r="C83" s="24"/>
      <c r="D83" s="24">
        <v>11349</v>
      </c>
    </row>
    <row r="84" spans="1:4" x14ac:dyDescent="0.25">
      <c r="A84" s="5" t="s">
        <v>86</v>
      </c>
      <c r="B84" s="26" t="s">
        <v>67</v>
      </c>
      <c r="C84" s="24"/>
      <c r="D84" s="24">
        <v>3799</v>
      </c>
    </row>
    <row r="85" spans="1:4" x14ac:dyDescent="0.25">
      <c r="A85" s="5" t="s">
        <v>87</v>
      </c>
      <c r="B85" s="26" t="s">
        <v>67</v>
      </c>
      <c r="C85" s="24"/>
      <c r="D85" s="24">
        <v>590</v>
      </c>
    </row>
    <row r="86" spans="1:4" x14ac:dyDescent="0.25">
      <c r="A86" s="5" t="s">
        <v>88</v>
      </c>
      <c r="B86" s="26" t="s">
        <v>67</v>
      </c>
      <c r="C86" s="24">
        <v>307195.84000000003</v>
      </c>
      <c r="D86" s="24"/>
    </row>
    <row r="87" spans="1:4" x14ac:dyDescent="0.25">
      <c r="A87" s="5" t="s">
        <v>89</v>
      </c>
      <c r="B87" s="26" t="s">
        <v>67</v>
      </c>
      <c r="C87" s="24"/>
      <c r="D87" s="24">
        <v>13500</v>
      </c>
    </row>
    <row r="88" spans="1:4" x14ac:dyDescent="0.25">
      <c r="A88" s="5" t="s">
        <v>90</v>
      </c>
      <c r="B88" s="26" t="s">
        <v>67</v>
      </c>
      <c r="C88" s="24"/>
      <c r="D88" s="24">
        <v>48</v>
      </c>
    </row>
    <row r="89" spans="1:4" x14ac:dyDescent="0.25">
      <c r="A89" s="5" t="s">
        <v>91</v>
      </c>
      <c r="B89" s="26" t="s">
        <v>67</v>
      </c>
      <c r="C89" s="24"/>
      <c r="D89" s="24">
        <v>4422</v>
      </c>
    </row>
    <row r="90" spans="1:4" x14ac:dyDescent="0.25">
      <c r="A90" s="5" t="s">
        <v>92</v>
      </c>
      <c r="B90" s="26" t="s">
        <v>67</v>
      </c>
      <c r="C90" s="24"/>
      <c r="D90" s="24">
        <v>105000</v>
      </c>
    </row>
    <row r="91" spans="1:4" x14ac:dyDescent="0.25">
      <c r="A91" s="5" t="s">
        <v>93</v>
      </c>
      <c r="B91" s="26" t="s">
        <v>67</v>
      </c>
      <c r="C91" s="24"/>
      <c r="D91" s="24">
        <v>57460</v>
      </c>
    </row>
    <row r="92" spans="1:4" x14ac:dyDescent="0.25">
      <c r="A92" s="5" t="s">
        <v>94</v>
      </c>
      <c r="B92" s="26" t="s">
        <v>67</v>
      </c>
      <c r="C92" s="24">
        <v>22500</v>
      </c>
      <c r="D92" s="24"/>
    </row>
    <row r="93" spans="1:4" x14ac:dyDescent="0.25">
      <c r="A93" s="5" t="s">
        <v>95</v>
      </c>
      <c r="B93" s="26" t="s">
        <v>67</v>
      </c>
      <c r="C93" s="24"/>
      <c r="D93" s="24">
        <v>205935</v>
      </c>
    </row>
    <row r="94" spans="1:4" x14ac:dyDescent="0.25">
      <c r="A94" s="5" t="s">
        <v>96</v>
      </c>
      <c r="B94" s="26" t="s">
        <v>67</v>
      </c>
      <c r="C94" s="24"/>
      <c r="D94" s="24">
        <v>50895</v>
      </c>
    </row>
    <row r="95" spans="1:4" x14ac:dyDescent="0.25">
      <c r="A95" s="5" t="s">
        <v>97</v>
      </c>
      <c r="B95" s="26" t="s">
        <v>67</v>
      </c>
      <c r="C95" s="24"/>
      <c r="D95" s="24">
        <v>17110</v>
      </c>
    </row>
    <row r="96" spans="1:4" x14ac:dyDescent="0.25">
      <c r="A96" s="5" t="s">
        <v>98</v>
      </c>
      <c r="B96" s="26" t="s">
        <v>67</v>
      </c>
      <c r="C96" s="24"/>
      <c r="D96" s="24">
        <v>100000</v>
      </c>
    </row>
    <row r="97" spans="1:4" x14ac:dyDescent="0.25">
      <c r="A97" s="5" t="s">
        <v>99</v>
      </c>
      <c r="B97" s="26" t="s">
        <v>67</v>
      </c>
      <c r="C97" s="24"/>
      <c r="D97" s="24">
        <v>112248</v>
      </c>
    </row>
    <row r="98" spans="1:4" x14ac:dyDescent="0.25">
      <c r="A98" s="5" t="s">
        <v>100</v>
      </c>
      <c r="B98" s="26" t="s">
        <v>67</v>
      </c>
      <c r="C98" s="24">
        <v>11648</v>
      </c>
      <c r="D98" s="24"/>
    </row>
    <row r="99" spans="1:4" x14ac:dyDescent="0.25">
      <c r="A99" s="5" t="s">
        <v>101</v>
      </c>
      <c r="B99" s="26" t="s">
        <v>67</v>
      </c>
      <c r="C99" s="24"/>
      <c r="D99" s="24">
        <v>2837</v>
      </c>
    </row>
    <row r="100" spans="1:4" x14ac:dyDescent="0.25">
      <c r="A100" s="5" t="s">
        <v>102</v>
      </c>
      <c r="B100" s="26" t="s">
        <v>67</v>
      </c>
      <c r="C100" s="24"/>
      <c r="D100" s="24">
        <v>24550</v>
      </c>
    </row>
    <row r="101" spans="1:4" x14ac:dyDescent="0.25">
      <c r="A101" s="5" t="s">
        <v>103</v>
      </c>
      <c r="B101" s="26" t="s">
        <v>67</v>
      </c>
      <c r="C101" s="24">
        <v>325000</v>
      </c>
      <c r="D101" s="24"/>
    </row>
    <row r="102" spans="1:4" x14ac:dyDescent="0.25">
      <c r="A102" s="5" t="s">
        <v>104</v>
      </c>
      <c r="B102" s="26" t="s">
        <v>67</v>
      </c>
      <c r="C102" s="24"/>
      <c r="D102" s="24">
        <v>2124</v>
      </c>
    </row>
    <row r="103" spans="1:4" x14ac:dyDescent="0.25">
      <c r="A103" s="5" t="s">
        <v>105</v>
      </c>
      <c r="B103" s="26" t="s">
        <v>67</v>
      </c>
      <c r="C103" s="24"/>
      <c r="D103" s="24">
        <v>157500</v>
      </c>
    </row>
    <row r="104" spans="1:4" x14ac:dyDescent="0.25">
      <c r="A104" s="5" t="s">
        <v>106</v>
      </c>
      <c r="B104" s="26" t="s">
        <v>67</v>
      </c>
      <c r="C104" s="24"/>
      <c r="D104" s="24">
        <v>100776</v>
      </c>
    </row>
    <row r="105" spans="1:4" x14ac:dyDescent="0.25">
      <c r="A105" s="5" t="s">
        <v>107</v>
      </c>
      <c r="B105" s="26" t="s">
        <v>67</v>
      </c>
      <c r="C105" s="24"/>
      <c r="D105" s="24">
        <v>27651</v>
      </c>
    </row>
    <row r="106" spans="1:4" x14ac:dyDescent="0.25">
      <c r="A106" s="5" t="s">
        <v>108</v>
      </c>
      <c r="B106" s="26" t="s">
        <v>67</v>
      </c>
      <c r="C106" s="24"/>
      <c r="D106" s="24">
        <v>67023</v>
      </c>
    </row>
    <row r="107" spans="1:4" x14ac:dyDescent="0.25">
      <c r="A107" s="5" t="s">
        <v>109</v>
      </c>
      <c r="B107" s="26" t="s">
        <v>67</v>
      </c>
      <c r="C107" s="24">
        <v>22500</v>
      </c>
      <c r="D107" s="24"/>
    </row>
    <row r="108" spans="1:4" x14ac:dyDescent="0.25">
      <c r="A108" s="5" t="s">
        <v>110</v>
      </c>
      <c r="B108" s="26" t="s">
        <v>67</v>
      </c>
      <c r="C108" s="24">
        <v>334367</v>
      </c>
      <c r="D108" s="24"/>
    </row>
    <row r="109" spans="1:4" x14ac:dyDescent="0.25">
      <c r="A109" s="5" t="s">
        <v>111</v>
      </c>
      <c r="B109" s="26" t="s">
        <v>67</v>
      </c>
      <c r="C109" s="24"/>
      <c r="D109" s="24">
        <v>108780</v>
      </c>
    </row>
    <row r="110" spans="1:4" x14ac:dyDescent="0.25">
      <c r="A110" s="5" t="s">
        <v>112</v>
      </c>
      <c r="B110" s="26" t="s">
        <v>67</v>
      </c>
      <c r="C110" s="24"/>
      <c r="D110" s="24">
        <v>153144</v>
      </c>
    </row>
    <row r="111" spans="1:4" x14ac:dyDescent="0.25">
      <c r="A111" s="5" t="s">
        <v>113</v>
      </c>
      <c r="B111" s="26" t="s">
        <v>67</v>
      </c>
      <c r="C111" s="24"/>
      <c r="D111" s="24">
        <v>7505</v>
      </c>
    </row>
    <row r="112" spans="1:4" x14ac:dyDescent="0.25">
      <c r="A112" s="5" t="s">
        <v>114</v>
      </c>
      <c r="B112" s="26" t="s">
        <v>67</v>
      </c>
      <c r="C112" s="24"/>
      <c r="D112" s="24">
        <v>3247799</v>
      </c>
    </row>
    <row r="113" spans="1:4" x14ac:dyDescent="0.25">
      <c r="A113" s="5" t="s">
        <v>115</v>
      </c>
      <c r="B113" s="26" t="s">
        <v>67</v>
      </c>
      <c r="C113" s="24"/>
      <c r="D113" s="24">
        <v>34300</v>
      </c>
    </row>
    <row r="114" spans="1:4" x14ac:dyDescent="0.25">
      <c r="A114" s="5" t="s">
        <v>116</v>
      </c>
      <c r="B114" s="26" t="s">
        <v>67</v>
      </c>
      <c r="C114" s="24"/>
      <c r="D114" s="24">
        <v>23600</v>
      </c>
    </row>
    <row r="115" spans="1:4" x14ac:dyDescent="0.25">
      <c r="A115" s="5" t="s">
        <v>117</v>
      </c>
      <c r="B115" s="26" t="s">
        <v>67</v>
      </c>
      <c r="C115" s="24"/>
      <c r="D115" s="24">
        <v>1980</v>
      </c>
    </row>
    <row r="116" spans="1:4" x14ac:dyDescent="0.25">
      <c r="A116" s="5" t="s">
        <v>118</v>
      </c>
      <c r="B116" s="26" t="s">
        <v>67</v>
      </c>
      <c r="C116" s="24"/>
      <c r="D116" s="24">
        <v>323597</v>
      </c>
    </row>
    <row r="117" spans="1:4" x14ac:dyDescent="0.25">
      <c r="A117" s="5" t="s">
        <v>119</v>
      </c>
      <c r="B117" s="26" t="s">
        <v>67</v>
      </c>
      <c r="C117" s="24">
        <v>105400</v>
      </c>
      <c r="D117" s="24"/>
    </row>
    <row r="118" spans="1:4" x14ac:dyDescent="0.25">
      <c r="A118" s="5" t="s">
        <v>120</v>
      </c>
      <c r="B118" s="26" t="s">
        <v>67</v>
      </c>
      <c r="C118" s="24">
        <v>22500</v>
      </c>
      <c r="D118" s="24"/>
    </row>
    <row r="119" spans="1:4" x14ac:dyDescent="0.25">
      <c r="A119" s="5" t="s">
        <v>122</v>
      </c>
      <c r="B119" s="26" t="s">
        <v>121</v>
      </c>
      <c r="C119" s="24">
        <v>539136</v>
      </c>
      <c r="D119" s="24"/>
    </row>
    <row r="120" spans="1:4" x14ac:dyDescent="0.25">
      <c r="A120" s="5" t="s">
        <v>123</v>
      </c>
      <c r="B120" s="26" t="s">
        <v>121</v>
      </c>
      <c r="C120" s="24">
        <v>472737.92</v>
      </c>
      <c r="D120" s="24"/>
    </row>
    <row r="121" spans="1:4" hidden="1" x14ac:dyDescent="0.25">
      <c r="A121" s="5" t="s">
        <v>125</v>
      </c>
      <c r="B121" s="27" t="s">
        <v>124</v>
      </c>
      <c r="C121" s="24"/>
      <c r="D121" s="24">
        <v>67673</v>
      </c>
    </row>
    <row r="122" spans="1:4" x14ac:dyDescent="0.25">
      <c r="A122" s="5" t="s">
        <v>126</v>
      </c>
      <c r="B122" s="27" t="s">
        <v>224</v>
      </c>
      <c r="C122" s="24">
        <v>15576</v>
      </c>
      <c r="D122" s="24"/>
    </row>
    <row r="123" spans="1:4" hidden="1" x14ac:dyDescent="0.25">
      <c r="A123" s="5" t="s">
        <v>127</v>
      </c>
      <c r="B123" s="27" t="s">
        <v>124</v>
      </c>
      <c r="C123" s="24"/>
      <c r="D123" s="24">
        <v>147.52000000000001</v>
      </c>
    </row>
    <row r="124" spans="1:4" hidden="1" x14ac:dyDescent="0.25">
      <c r="A124" s="5" t="s">
        <v>128</v>
      </c>
      <c r="B124" s="27" t="s">
        <v>124</v>
      </c>
      <c r="C124" s="24"/>
      <c r="D124" s="24">
        <v>25909</v>
      </c>
    </row>
    <row r="125" spans="1:4" hidden="1" x14ac:dyDescent="0.25">
      <c r="A125" s="5" t="s">
        <v>129</v>
      </c>
      <c r="B125" s="27" t="s">
        <v>124</v>
      </c>
      <c r="C125" s="24"/>
      <c r="D125" s="24">
        <v>53347</v>
      </c>
    </row>
    <row r="126" spans="1:4" hidden="1" x14ac:dyDescent="0.25">
      <c r="A126" s="5" t="s">
        <v>130</v>
      </c>
      <c r="B126" s="27" t="s">
        <v>124</v>
      </c>
      <c r="C126" s="24"/>
      <c r="D126" s="24">
        <v>726632</v>
      </c>
    </row>
    <row r="127" spans="1:4" hidden="1" x14ac:dyDescent="0.25">
      <c r="A127" s="5" t="s">
        <v>131</v>
      </c>
      <c r="B127" s="27" t="s">
        <v>124</v>
      </c>
      <c r="C127" s="24"/>
      <c r="D127" s="24">
        <v>31802</v>
      </c>
    </row>
    <row r="128" spans="1:4" hidden="1" x14ac:dyDescent="0.25">
      <c r="A128" s="5" t="s">
        <v>132</v>
      </c>
      <c r="B128" s="27" t="s">
        <v>124</v>
      </c>
      <c r="C128" s="24"/>
      <c r="D128" s="24">
        <v>605538</v>
      </c>
    </row>
    <row r="129" spans="1:4" hidden="1" x14ac:dyDescent="0.25">
      <c r="A129" s="5" t="s">
        <v>133</v>
      </c>
      <c r="B129" s="27" t="s">
        <v>124</v>
      </c>
      <c r="C129" s="24"/>
      <c r="D129" s="24">
        <v>850968</v>
      </c>
    </row>
    <row r="130" spans="1:4" hidden="1" x14ac:dyDescent="0.25">
      <c r="A130" s="5" t="s">
        <v>134</v>
      </c>
      <c r="B130" s="27" t="s">
        <v>124</v>
      </c>
      <c r="C130" s="24"/>
      <c r="D130" s="24">
        <v>14219</v>
      </c>
    </row>
    <row r="131" spans="1:4" hidden="1" x14ac:dyDescent="0.25">
      <c r="A131" s="5" t="s">
        <v>135</v>
      </c>
      <c r="B131" s="27" t="s">
        <v>124</v>
      </c>
      <c r="C131" s="24"/>
      <c r="D131" s="24">
        <v>32922</v>
      </c>
    </row>
    <row r="132" spans="1:4" hidden="1" x14ac:dyDescent="0.25">
      <c r="A132" s="5" t="s">
        <v>136</v>
      </c>
      <c r="B132" s="27" t="s">
        <v>124</v>
      </c>
      <c r="C132" s="24"/>
      <c r="D132" s="24">
        <v>95</v>
      </c>
    </row>
    <row r="133" spans="1:4" hidden="1" x14ac:dyDescent="0.25">
      <c r="A133" s="5" t="s">
        <v>137</v>
      </c>
      <c r="B133" s="27" t="s">
        <v>124</v>
      </c>
      <c r="C133" s="24"/>
      <c r="D133" s="24">
        <v>72072</v>
      </c>
    </row>
    <row r="134" spans="1:4" hidden="1" x14ac:dyDescent="0.25">
      <c r="A134" s="5" t="s">
        <v>138</v>
      </c>
      <c r="B134" s="27" t="s">
        <v>124</v>
      </c>
      <c r="C134" s="24"/>
      <c r="D134" s="24">
        <v>35</v>
      </c>
    </row>
    <row r="135" spans="1:4" hidden="1" x14ac:dyDescent="0.25">
      <c r="A135" s="5" t="s">
        <v>139</v>
      </c>
      <c r="B135" s="27" t="s">
        <v>124</v>
      </c>
      <c r="C135" s="24"/>
      <c r="D135" s="24">
        <v>1468</v>
      </c>
    </row>
    <row r="136" spans="1:4" hidden="1" x14ac:dyDescent="0.25">
      <c r="A136" s="5" t="s">
        <v>140</v>
      </c>
      <c r="B136" s="27" t="s">
        <v>124</v>
      </c>
      <c r="C136" s="24"/>
      <c r="D136" s="24">
        <v>502042</v>
      </c>
    </row>
    <row r="137" spans="1:4" x14ac:dyDescent="0.25">
      <c r="A137" s="5" t="s">
        <v>141</v>
      </c>
      <c r="B137" s="27" t="s">
        <v>224</v>
      </c>
      <c r="C137" s="24">
        <v>42</v>
      </c>
      <c r="D137" s="24"/>
    </row>
    <row r="138" spans="1:4" hidden="1" x14ac:dyDescent="0.25">
      <c r="A138" s="5" t="s">
        <v>142</v>
      </c>
      <c r="B138" s="27" t="s">
        <v>124</v>
      </c>
      <c r="C138" s="24"/>
      <c r="D138" s="24">
        <v>49985</v>
      </c>
    </row>
    <row r="139" spans="1:4" hidden="1" x14ac:dyDescent="0.25">
      <c r="A139" s="5" t="s">
        <v>143</v>
      </c>
      <c r="B139" s="27" t="s">
        <v>124</v>
      </c>
      <c r="C139" s="24"/>
      <c r="D139" s="24">
        <v>10230779</v>
      </c>
    </row>
    <row r="140" spans="1:4" hidden="1" x14ac:dyDescent="0.25">
      <c r="A140" s="5" t="s">
        <v>144</v>
      </c>
      <c r="B140" s="27" t="s">
        <v>124</v>
      </c>
      <c r="C140" s="24"/>
      <c r="D140" s="24">
        <v>36108</v>
      </c>
    </row>
    <row r="141" spans="1:4" hidden="1" x14ac:dyDescent="0.25">
      <c r="A141" s="5" t="s">
        <v>145</v>
      </c>
      <c r="B141" s="27" t="s">
        <v>124</v>
      </c>
      <c r="C141" s="24"/>
      <c r="D141" s="24">
        <v>62310</v>
      </c>
    </row>
    <row r="142" spans="1:4" hidden="1" x14ac:dyDescent="0.25">
      <c r="A142" s="5" t="s">
        <v>146</v>
      </c>
      <c r="B142" s="27" t="s">
        <v>124</v>
      </c>
      <c r="C142" s="24"/>
      <c r="D142" s="24">
        <v>196470</v>
      </c>
    </row>
    <row r="143" spans="1:4" hidden="1" x14ac:dyDescent="0.25">
      <c r="A143" s="5" t="s">
        <v>147</v>
      </c>
      <c r="B143" s="27" t="s">
        <v>124</v>
      </c>
      <c r="C143" s="24"/>
      <c r="D143" s="24">
        <v>773396</v>
      </c>
    </row>
    <row r="144" spans="1:4" hidden="1" x14ac:dyDescent="0.25">
      <c r="A144" s="5" t="s">
        <v>148</v>
      </c>
      <c r="B144" s="27" t="s">
        <v>124</v>
      </c>
      <c r="C144" s="24"/>
      <c r="D144" s="24">
        <v>30385</v>
      </c>
    </row>
    <row r="145" spans="1:4" hidden="1" x14ac:dyDescent="0.25">
      <c r="A145" s="5" t="s">
        <v>149</v>
      </c>
      <c r="B145" s="27" t="s">
        <v>124</v>
      </c>
      <c r="C145" s="24"/>
      <c r="D145" s="24">
        <v>18784</v>
      </c>
    </row>
    <row r="146" spans="1:4" hidden="1" x14ac:dyDescent="0.25">
      <c r="A146" s="5" t="s">
        <v>150</v>
      </c>
      <c r="B146" s="27" t="s">
        <v>124</v>
      </c>
      <c r="C146" s="24"/>
      <c r="D146" s="24">
        <v>175042</v>
      </c>
    </row>
    <row r="147" spans="1:4" hidden="1" x14ac:dyDescent="0.25">
      <c r="A147" s="5" t="s">
        <v>151</v>
      </c>
      <c r="B147" s="27" t="s">
        <v>124</v>
      </c>
      <c r="C147" s="24"/>
      <c r="D147" s="24">
        <v>857164</v>
      </c>
    </row>
    <row r="148" spans="1:4" hidden="1" x14ac:dyDescent="0.25">
      <c r="A148" s="5" t="s">
        <v>152</v>
      </c>
      <c r="B148" s="27" t="s">
        <v>124</v>
      </c>
      <c r="C148" s="24"/>
      <c r="D148" s="24">
        <v>582349</v>
      </c>
    </row>
    <row r="149" spans="1:4" hidden="1" x14ac:dyDescent="0.25">
      <c r="A149" s="5" t="s">
        <v>153</v>
      </c>
      <c r="B149" s="27" t="s">
        <v>124</v>
      </c>
      <c r="C149" s="24"/>
      <c r="D149" s="24">
        <v>798373</v>
      </c>
    </row>
    <row r="150" spans="1:4" hidden="1" x14ac:dyDescent="0.25">
      <c r="A150" s="5" t="s">
        <v>154</v>
      </c>
      <c r="B150" s="27" t="s">
        <v>124</v>
      </c>
      <c r="C150" s="24"/>
      <c r="D150" s="24">
        <v>95698</v>
      </c>
    </row>
    <row r="151" spans="1:4" hidden="1" x14ac:dyDescent="0.25">
      <c r="A151" s="5" t="s">
        <v>155</v>
      </c>
      <c r="B151" s="27" t="s">
        <v>124</v>
      </c>
      <c r="C151" s="24"/>
      <c r="D151" s="24">
        <v>726189</v>
      </c>
    </row>
    <row r="152" spans="1:4" x14ac:dyDescent="0.25">
      <c r="A152" s="5" t="s">
        <v>156</v>
      </c>
      <c r="B152" s="27" t="s">
        <v>224</v>
      </c>
      <c r="C152" s="24">
        <v>81</v>
      </c>
      <c r="D152" s="24"/>
    </row>
    <row r="153" spans="1:4" hidden="1" x14ac:dyDescent="0.25">
      <c r="A153" s="5" t="s">
        <v>157</v>
      </c>
      <c r="B153" s="27" t="s">
        <v>124</v>
      </c>
      <c r="C153" s="24"/>
      <c r="D153" s="24">
        <v>107227</v>
      </c>
    </row>
    <row r="154" spans="1:4" hidden="1" x14ac:dyDescent="0.25">
      <c r="A154" s="5" t="s">
        <v>158</v>
      </c>
      <c r="B154" s="27" t="s">
        <v>124</v>
      </c>
      <c r="C154" s="24"/>
      <c r="D154" s="24">
        <v>651750</v>
      </c>
    </row>
    <row r="155" spans="1:4" hidden="1" x14ac:dyDescent="0.25">
      <c r="A155" s="5" t="s">
        <v>159</v>
      </c>
      <c r="B155" s="27" t="s">
        <v>124</v>
      </c>
      <c r="C155" s="24"/>
      <c r="D155" s="24">
        <v>920400</v>
      </c>
    </row>
    <row r="156" spans="1:4" hidden="1" x14ac:dyDescent="0.25">
      <c r="A156" s="5" t="s">
        <v>160</v>
      </c>
      <c r="B156" s="27" t="s">
        <v>124</v>
      </c>
      <c r="C156" s="24"/>
      <c r="D156" s="24">
        <v>824983</v>
      </c>
    </row>
    <row r="157" spans="1:4" hidden="1" x14ac:dyDescent="0.25">
      <c r="A157" s="5" t="s">
        <v>161</v>
      </c>
      <c r="B157" s="27" t="s">
        <v>124</v>
      </c>
      <c r="C157" s="24"/>
      <c r="D157" s="24">
        <v>131565</v>
      </c>
    </row>
    <row r="158" spans="1:4" x14ac:dyDescent="0.25">
      <c r="A158" s="5" t="s">
        <v>162</v>
      </c>
      <c r="B158" s="27" t="s">
        <v>224</v>
      </c>
      <c r="C158" s="24">
        <v>73729</v>
      </c>
      <c r="D158" s="24"/>
    </row>
    <row r="159" spans="1:4" x14ac:dyDescent="0.25">
      <c r="A159" s="5" t="s">
        <v>163</v>
      </c>
      <c r="B159" s="27" t="s">
        <v>224</v>
      </c>
      <c r="C159" s="24">
        <v>1040</v>
      </c>
      <c r="D159" s="24"/>
    </row>
    <row r="160" spans="1:4" x14ac:dyDescent="0.25">
      <c r="A160" s="5" t="s">
        <v>164</v>
      </c>
      <c r="B160" s="27" t="s">
        <v>224</v>
      </c>
      <c r="C160" s="24">
        <v>64000</v>
      </c>
      <c r="D160" s="24"/>
    </row>
    <row r="161" spans="1:4" hidden="1" x14ac:dyDescent="0.25">
      <c r="A161" s="5" t="s">
        <v>165</v>
      </c>
      <c r="B161" s="27" t="s">
        <v>124</v>
      </c>
      <c r="C161" s="24"/>
      <c r="D161" s="24">
        <v>36</v>
      </c>
    </row>
    <row r="162" spans="1:4" hidden="1" x14ac:dyDescent="0.25">
      <c r="A162" s="5" t="s">
        <v>166</v>
      </c>
      <c r="B162" s="27" t="s">
        <v>124</v>
      </c>
      <c r="C162" s="24"/>
      <c r="D162" s="24">
        <v>6136</v>
      </c>
    </row>
    <row r="163" spans="1:4" hidden="1" x14ac:dyDescent="0.25">
      <c r="A163" s="5" t="s">
        <v>167</v>
      </c>
      <c r="B163" s="27" t="s">
        <v>124</v>
      </c>
      <c r="C163" s="24"/>
      <c r="D163" s="24">
        <v>1689873</v>
      </c>
    </row>
    <row r="164" spans="1:4" hidden="1" x14ac:dyDescent="0.25">
      <c r="A164" s="5" t="s">
        <v>168</v>
      </c>
      <c r="B164" s="27" t="s">
        <v>124</v>
      </c>
      <c r="C164" s="24"/>
      <c r="D164" s="24">
        <v>401052</v>
      </c>
    </row>
    <row r="165" spans="1:4" hidden="1" x14ac:dyDescent="0.25">
      <c r="A165" s="5" t="s">
        <v>169</v>
      </c>
      <c r="B165" s="27" t="s">
        <v>124</v>
      </c>
      <c r="C165" s="24"/>
      <c r="D165" s="24">
        <v>507</v>
      </c>
    </row>
    <row r="166" spans="1:4" hidden="1" x14ac:dyDescent="0.25">
      <c r="A166" s="5" t="s">
        <v>170</v>
      </c>
      <c r="B166" s="27" t="s">
        <v>124</v>
      </c>
      <c r="C166" s="24"/>
      <c r="D166" s="24">
        <v>110480</v>
      </c>
    </row>
    <row r="167" spans="1:4" hidden="1" x14ac:dyDescent="0.25">
      <c r="A167" s="5" t="s">
        <v>171</v>
      </c>
      <c r="B167" s="27" t="s">
        <v>124</v>
      </c>
      <c r="C167" s="24"/>
      <c r="D167" s="24">
        <v>15563619</v>
      </c>
    </row>
    <row r="168" spans="1:4" x14ac:dyDescent="0.25">
      <c r="A168" s="5" t="s">
        <v>172</v>
      </c>
      <c r="B168" s="27" t="s">
        <v>224</v>
      </c>
      <c r="C168" s="24">
        <v>5286</v>
      </c>
      <c r="D168" s="24"/>
    </row>
    <row r="169" spans="1:4" hidden="1" x14ac:dyDescent="0.25">
      <c r="A169" s="5" t="s">
        <v>173</v>
      </c>
      <c r="B169" s="27" t="s">
        <v>124</v>
      </c>
      <c r="C169" s="24"/>
      <c r="D169" s="24">
        <v>124239</v>
      </c>
    </row>
    <row r="170" spans="1:4" x14ac:dyDescent="0.25">
      <c r="A170" s="5" t="s">
        <v>174</v>
      </c>
      <c r="B170" s="27" t="s">
        <v>224</v>
      </c>
      <c r="C170" s="24">
        <v>806</v>
      </c>
      <c r="D170" s="24"/>
    </row>
    <row r="171" spans="1:4" hidden="1" x14ac:dyDescent="0.25">
      <c r="A171" s="5" t="s">
        <v>175</v>
      </c>
      <c r="B171" s="27" t="s">
        <v>124</v>
      </c>
      <c r="C171" s="24"/>
      <c r="D171" s="24">
        <v>503638</v>
      </c>
    </row>
    <row r="172" spans="1:4" hidden="1" x14ac:dyDescent="0.25">
      <c r="A172" s="5" t="s">
        <v>176</v>
      </c>
      <c r="B172" s="27" t="s">
        <v>124</v>
      </c>
      <c r="C172" s="24"/>
      <c r="D172" s="24">
        <v>400000</v>
      </c>
    </row>
    <row r="173" spans="1:4" hidden="1" x14ac:dyDescent="0.25">
      <c r="A173" s="5" t="s">
        <v>177</v>
      </c>
      <c r="B173" s="27" t="s">
        <v>124</v>
      </c>
      <c r="C173" s="24"/>
      <c r="D173" s="24">
        <v>7476</v>
      </c>
    </row>
    <row r="174" spans="1:4" hidden="1" x14ac:dyDescent="0.25">
      <c r="A174" s="5" t="s">
        <v>178</v>
      </c>
      <c r="B174" s="27" t="s">
        <v>124</v>
      </c>
      <c r="C174" s="24"/>
      <c r="D174" s="24">
        <v>96331</v>
      </c>
    </row>
    <row r="175" spans="1:4" hidden="1" x14ac:dyDescent="0.25">
      <c r="A175" s="5" t="s">
        <v>179</v>
      </c>
      <c r="B175" s="27" t="s">
        <v>124</v>
      </c>
      <c r="C175" s="24"/>
      <c r="D175" s="24">
        <v>725644</v>
      </c>
    </row>
    <row r="176" spans="1:4" hidden="1" x14ac:dyDescent="0.25">
      <c r="A176" s="5" t="s">
        <v>180</v>
      </c>
      <c r="B176" s="27" t="s">
        <v>124</v>
      </c>
      <c r="C176" s="24"/>
      <c r="D176" s="24">
        <v>1682315</v>
      </c>
    </row>
    <row r="177" spans="1:4" hidden="1" x14ac:dyDescent="0.25">
      <c r="A177" s="5" t="s">
        <v>181</v>
      </c>
      <c r="B177" s="27" t="s">
        <v>124</v>
      </c>
      <c r="C177" s="24"/>
      <c r="D177" s="24">
        <v>236976</v>
      </c>
    </row>
    <row r="178" spans="1:4" hidden="1" x14ac:dyDescent="0.25">
      <c r="A178" s="5" t="s">
        <v>182</v>
      </c>
      <c r="B178" s="27" t="s">
        <v>124</v>
      </c>
      <c r="C178" s="24"/>
      <c r="D178" s="24">
        <v>1416</v>
      </c>
    </row>
    <row r="179" spans="1:4" hidden="1" x14ac:dyDescent="0.25">
      <c r="A179" s="5" t="s">
        <v>183</v>
      </c>
      <c r="B179" s="27" t="s">
        <v>124</v>
      </c>
      <c r="C179" s="24"/>
      <c r="D179" s="24">
        <v>119475</v>
      </c>
    </row>
    <row r="180" spans="1:4" hidden="1" x14ac:dyDescent="0.25">
      <c r="A180" s="5" t="s">
        <v>184</v>
      </c>
      <c r="B180" s="27" t="s">
        <v>124</v>
      </c>
      <c r="C180" s="24"/>
      <c r="D180" s="24">
        <v>533939</v>
      </c>
    </row>
    <row r="181" spans="1:4" hidden="1" x14ac:dyDescent="0.25">
      <c r="A181" s="5" t="s">
        <v>185</v>
      </c>
      <c r="B181" s="27" t="s">
        <v>124</v>
      </c>
      <c r="C181" s="24"/>
      <c r="D181" s="24">
        <v>64475</v>
      </c>
    </row>
    <row r="182" spans="1:4" hidden="1" x14ac:dyDescent="0.25">
      <c r="A182" s="5" t="s">
        <v>186</v>
      </c>
      <c r="B182" s="27" t="s">
        <v>124</v>
      </c>
      <c r="C182" s="24"/>
      <c r="D182" s="24">
        <v>279931</v>
      </c>
    </row>
    <row r="183" spans="1:4" x14ac:dyDescent="0.25">
      <c r="A183" s="5" t="s">
        <v>187</v>
      </c>
      <c r="B183" s="27" t="s">
        <v>224</v>
      </c>
      <c r="C183" s="24">
        <v>869</v>
      </c>
      <c r="D183" s="24"/>
    </row>
    <row r="184" spans="1:4" hidden="1" x14ac:dyDescent="0.25">
      <c r="A184" s="5" t="s">
        <v>188</v>
      </c>
      <c r="B184" s="27" t="s">
        <v>124</v>
      </c>
      <c r="C184" s="24"/>
      <c r="D184" s="24">
        <v>1539372</v>
      </c>
    </row>
    <row r="185" spans="1:4" hidden="1" x14ac:dyDescent="0.25">
      <c r="A185" s="5" t="s">
        <v>189</v>
      </c>
      <c r="B185" s="27" t="s">
        <v>124</v>
      </c>
      <c r="C185" s="24"/>
      <c r="D185" s="24">
        <v>458806</v>
      </c>
    </row>
    <row r="186" spans="1:4" hidden="1" x14ac:dyDescent="0.25">
      <c r="A186" s="5" t="s">
        <v>190</v>
      </c>
      <c r="B186" s="27" t="s">
        <v>124</v>
      </c>
      <c r="C186" s="24"/>
      <c r="D186" s="24">
        <v>405029</v>
      </c>
    </row>
    <row r="187" spans="1:4" hidden="1" x14ac:dyDescent="0.25">
      <c r="A187" s="5" t="s">
        <v>191</v>
      </c>
      <c r="B187" s="27" t="s">
        <v>124</v>
      </c>
      <c r="C187" s="24"/>
      <c r="D187" s="24">
        <v>586129</v>
      </c>
    </row>
    <row r="188" spans="1:4" x14ac:dyDescent="0.25">
      <c r="A188" s="5" t="s">
        <v>192</v>
      </c>
      <c r="B188" s="27" t="s">
        <v>224</v>
      </c>
      <c r="C188" s="24">
        <v>10415</v>
      </c>
      <c r="D188" s="24"/>
    </row>
    <row r="189" spans="1:4" hidden="1" x14ac:dyDescent="0.25">
      <c r="A189" s="5" t="s">
        <v>193</v>
      </c>
      <c r="B189" s="27" t="s">
        <v>124</v>
      </c>
      <c r="C189" s="24"/>
      <c r="D189" s="24">
        <v>31524</v>
      </c>
    </row>
    <row r="190" spans="1:4" hidden="1" x14ac:dyDescent="0.25">
      <c r="A190" s="5" t="s">
        <v>194</v>
      </c>
      <c r="B190" s="27" t="s">
        <v>124</v>
      </c>
      <c r="C190" s="24"/>
      <c r="D190" s="24">
        <v>451182</v>
      </c>
    </row>
    <row r="191" spans="1:4" hidden="1" x14ac:dyDescent="0.25">
      <c r="A191" s="5" t="s">
        <v>195</v>
      </c>
      <c r="B191" s="27" t="s">
        <v>124</v>
      </c>
      <c r="C191" s="24"/>
      <c r="D191" s="24">
        <v>178475</v>
      </c>
    </row>
    <row r="192" spans="1:4" hidden="1" x14ac:dyDescent="0.25">
      <c r="A192" s="5" t="s">
        <v>196</v>
      </c>
      <c r="B192" s="27" t="s">
        <v>124</v>
      </c>
      <c r="C192" s="24"/>
      <c r="D192" s="24">
        <v>221889</v>
      </c>
    </row>
    <row r="193" spans="1:4" hidden="1" x14ac:dyDescent="0.25">
      <c r="A193" s="5" t="s">
        <v>197</v>
      </c>
      <c r="B193" s="27" t="s">
        <v>124</v>
      </c>
      <c r="C193" s="24"/>
      <c r="D193" s="24">
        <v>4553072</v>
      </c>
    </row>
    <row r="194" spans="1:4" hidden="1" x14ac:dyDescent="0.25">
      <c r="A194" s="5" t="s">
        <v>198</v>
      </c>
      <c r="B194" s="27" t="s">
        <v>124</v>
      </c>
      <c r="C194" s="24"/>
      <c r="D194" s="24">
        <v>59720</v>
      </c>
    </row>
    <row r="195" spans="1:4" hidden="1" x14ac:dyDescent="0.25">
      <c r="A195" s="5" t="s">
        <v>199</v>
      </c>
      <c r="B195" s="27" t="s">
        <v>124</v>
      </c>
      <c r="C195" s="24"/>
      <c r="D195" s="24">
        <v>225779</v>
      </c>
    </row>
    <row r="196" spans="1:4" hidden="1" x14ac:dyDescent="0.25">
      <c r="A196" s="5" t="s">
        <v>200</v>
      </c>
      <c r="B196" s="27" t="s">
        <v>124</v>
      </c>
      <c r="C196" s="24"/>
      <c r="D196" s="24">
        <v>8496</v>
      </c>
    </row>
    <row r="197" spans="1:4" hidden="1" x14ac:dyDescent="0.25">
      <c r="A197" s="5" t="s">
        <v>201</v>
      </c>
      <c r="B197" s="27" t="s">
        <v>124</v>
      </c>
      <c r="C197" s="24"/>
      <c r="D197" s="24">
        <v>57676</v>
      </c>
    </row>
    <row r="198" spans="1:4" hidden="1" x14ac:dyDescent="0.25">
      <c r="A198" s="5" t="s">
        <v>202</v>
      </c>
      <c r="B198" s="27" t="s">
        <v>124</v>
      </c>
      <c r="C198" s="24"/>
      <c r="D198" s="24">
        <v>135122.88</v>
      </c>
    </row>
    <row r="199" spans="1:4" hidden="1" x14ac:dyDescent="0.25">
      <c r="A199" s="5" t="s">
        <v>203</v>
      </c>
      <c r="B199" s="27" t="s">
        <v>124</v>
      </c>
      <c r="C199" s="24"/>
      <c r="D199" s="24">
        <v>14233</v>
      </c>
    </row>
    <row r="200" spans="1:4" hidden="1" x14ac:dyDescent="0.25">
      <c r="A200" s="5" t="s">
        <v>204</v>
      </c>
      <c r="B200" s="27" t="s">
        <v>124</v>
      </c>
      <c r="C200" s="24"/>
      <c r="D200" s="24">
        <v>2488767</v>
      </c>
    </row>
    <row r="201" spans="1:4" x14ac:dyDescent="0.25">
      <c r="A201" s="5" t="s">
        <v>205</v>
      </c>
      <c r="B201" s="27" t="s">
        <v>224</v>
      </c>
      <c r="C201" s="24">
        <v>25</v>
      </c>
      <c r="D201" s="24"/>
    </row>
    <row r="202" spans="1:4" x14ac:dyDescent="0.25">
      <c r="A202" s="5" t="s">
        <v>206</v>
      </c>
      <c r="B202" s="27" t="s">
        <v>224</v>
      </c>
      <c r="C202" s="24">
        <v>130591.2</v>
      </c>
      <c r="D202" s="24"/>
    </row>
    <row r="203" spans="1:4" hidden="1" x14ac:dyDescent="0.25">
      <c r="A203" s="5" t="s">
        <v>207</v>
      </c>
      <c r="B203" s="27" t="s">
        <v>124</v>
      </c>
      <c r="C203" s="24"/>
      <c r="D203" s="24">
        <v>3028316</v>
      </c>
    </row>
    <row r="204" spans="1:4" hidden="1" x14ac:dyDescent="0.25">
      <c r="A204" s="5" t="s">
        <v>208</v>
      </c>
      <c r="B204" s="27" t="s">
        <v>124</v>
      </c>
      <c r="C204" s="24"/>
      <c r="D204" s="24">
        <v>2032104</v>
      </c>
    </row>
    <row r="205" spans="1:4" hidden="1" x14ac:dyDescent="0.25">
      <c r="A205" s="5" t="s">
        <v>209</v>
      </c>
      <c r="B205" s="27" t="s">
        <v>124</v>
      </c>
      <c r="C205" s="24"/>
      <c r="D205" s="24">
        <v>14066</v>
      </c>
    </row>
    <row r="206" spans="1:4" hidden="1" x14ac:dyDescent="0.25">
      <c r="A206" s="5" t="s">
        <v>210</v>
      </c>
      <c r="B206" s="27" t="s">
        <v>124</v>
      </c>
      <c r="C206" s="24"/>
      <c r="D206" s="24">
        <v>453771</v>
      </c>
    </row>
    <row r="207" spans="1:4" hidden="1" x14ac:dyDescent="0.25">
      <c r="A207" s="5" t="s">
        <v>211</v>
      </c>
      <c r="B207" s="27" t="s">
        <v>124</v>
      </c>
      <c r="C207" s="24"/>
      <c r="D207" s="24">
        <v>194973</v>
      </c>
    </row>
    <row r="208" spans="1:4" x14ac:dyDescent="0.25">
      <c r="A208" s="5" t="s">
        <v>212</v>
      </c>
      <c r="B208" s="27" t="s">
        <v>224</v>
      </c>
      <c r="C208" s="24">
        <v>4656</v>
      </c>
      <c r="D208" s="24"/>
    </row>
    <row r="209" spans="1:4" hidden="1" x14ac:dyDescent="0.25">
      <c r="A209" s="5" t="s">
        <v>213</v>
      </c>
      <c r="B209" s="27" t="s">
        <v>124</v>
      </c>
      <c r="C209" s="24"/>
      <c r="D209" s="24">
        <v>14517</v>
      </c>
    </row>
    <row r="210" spans="1:4" hidden="1" x14ac:dyDescent="0.25">
      <c r="A210" s="5" t="s">
        <v>214</v>
      </c>
      <c r="B210" s="27" t="s">
        <v>124</v>
      </c>
      <c r="C210" s="24"/>
      <c r="D210" s="24">
        <v>410196</v>
      </c>
    </row>
    <row r="211" spans="1:4" hidden="1" x14ac:dyDescent="0.25">
      <c r="A211" s="5" t="s">
        <v>215</v>
      </c>
      <c r="B211" s="27" t="s">
        <v>124</v>
      </c>
      <c r="C211" s="24"/>
      <c r="D211" s="24">
        <v>275954</v>
      </c>
    </row>
    <row r="212" spans="1:4" hidden="1" x14ac:dyDescent="0.25">
      <c r="A212" s="5" t="s">
        <v>216</v>
      </c>
      <c r="B212" s="27" t="s">
        <v>124</v>
      </c>
      <c r="C212" s="24"/>
      <c r="D212" s="24">
        <v>672865</v>
      </c>
    </row>
    <row r="213" spans="1:4" hidden="1" x14ac:dyDescent="0.25">
      <c r="A213" s="5" t="s">
        <v>217</v>
      </c>
      <c r="B213" s="27" t="s">
        <v>124</v>
      </c>
      <c r="C213" s="24"/>
      <c r="D213" s="24">
        <v>6770</v>
      </c>
    </row>
    <row r="214" spans="1:4" hidden="1" x14ac:dyDescent="0.25">
      <c r="A214" s="5" t="s">
        <v>218</v>
      </c>
      <c r="B214" s="27" t="s">
        <v>124</v>
      </c>
      <c r="C214" s="24"/>
      <c r="D214" s="24">
        <v>341020</v>
      </c>
    </row>
    <row r="215" spans="1:4" hidden="1" x14ac:dyDescent="0.25">
      <c r="A215" s="5" t="s">
        <v>219</v>
      </c>
      <c r="B215" s="27" t="s">
        <v>124</v>
      </c>
      <c r="C215" s="24"/>
      <c r="D215" s="24">
        <v>21181</v>
      </c>
    </row>
    <row r="216" spans="1:4" hidden="1" x14ac:dyDescent="0.25">
      <c r="A216" s="5" t="s">
        <v>220</v>
      </c>
      <c r="B216" s="27" t="s">
        <v>124</v>
      </c>
      <c r="C216" s="24"/>
      <c r="D216" s="24">
        <v>2974</v>
      </c>
    </row>
    <row r="217" spans="1:4" hidden="1" x14ac:dyDescent="0.25">
      <c r="A217" s="5" t="s">
        <v>221</v>
      </c>
      <c r="B217" s="27" t="s">
        <v>124</v>
      </c>
      <c r="C217" s="24"/>
      <c r="D217" s="24">
        <v>398061</v>
      </c>
    </row>
    <row r="218" spans="1:4" x14ac:dyDescent="0.25">
      <c r="A218" s="5" t="s">
        <v>222</v>
      </c>
      <c r="B218" s="27" t="s">
        <v>224</v>
      </c>
      <c r="C218" s="24">
        <v>1977</v>
      </c>
      <c r="D218" s="24"/>
    </row>
  </sheetData>
  <autoFilter ref="A12:D218" xr:uid="{00000000-0001-0000-0000-000000000000}">
    <filterColumn colId="1">
      <filters>
        <filter val="Contract/Job Work Creditors"/>
        <filter val="Creditors -  Capital Expenses"/>
        <filter val="Creditors - Expenses"/>
        <filter val="Creditors - Imports"/>
        <filter val="Debit Creditors - Materials"/>
      </filters>
    </filterColumn>
  </autoFilter>
  <mergeCells count="9">
    <mergeCell ref="C7:D7"/>
    <mergeCell ref="C8:D8"/>
    <mergeCell ref="C9:D9"/>
    <mergeCell ref="C10:D10"/>
    <mergeCell ref="A1:D1"/>
    <mergeCell ref="A3:D3"/>
    <mergeCell ref="A4:D4"/>
    <mergeCell ref="A5:D5"/>
    <mergeCell ref="A6:D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Sundry Creditors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Newaccounts</dc:creator>
  <cp:lastModifiedBy>USER</cp:lastModifiedBy>
  <dcterms:created xsi:type="dcterms:W3CDTF">2024-08-10T08:33:33Z</dcterms:created>
  <dcterms:modified xsi:type="dcterms:W3CDTF">2024-08-12T07:41:46Z</dcterms:modified>
</cp:coreProperties>
</file>