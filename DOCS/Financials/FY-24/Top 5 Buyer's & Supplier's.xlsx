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80ABA2A8-A487-4672-BD34-4F0B9E20F1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E3" i="1"/>
  <c r="E9" i="1" s="1"/>
  <c r="E6" i="1"/>
  <c r="B16" i="1"/>
  <c r="B17" i="1" s="1"/>
  <c r="B18" i="1" s="1"/>
  <c r="B19" i="1" s="1"/>
  <c r="B6" i="1"/>
  <c r="B7" i="1" s="1"/>
  <c r="B8" i="1" s="1"/>
  <c r="B9" i="1" s="1"/>
  <c r="E7" i="1" l="1"/>
  <c r="E8" i="1"/>
  <c r="E5" i="1"/>
</calcChain>
</file>

<file path=xl/sharedStrings.xml><?xml version="1.0" encoding="utf-8"?>
<sst xmlns="http://schemas.openxmlformats.org/spreadsheetml/2006/main" count="20" uniqueCount="18">
  <si>
    <t>Top 5 Customers</t>
  </si>
  <si>
    <t>S. No.</t>
  </si>
  <si>
    <t>Customer Name</t>
  </si>
  <si>
    <t>Top 5 Suppliers</t>
  </si>
  <si>
    <t>Integral Coach Factory</t>
  </si>
  <si>
    <t>Revenue (23-24) (in crores)</t>
  </si>
  <si>
    <t>Rail Coach Factory</t>
  </si>
  <si>
    <t>Durr India Pvt Ltd</t>
  </si>
  <si>
    <t>Andritz Technology Pvt Ltd</t>
  </si>
  <si>
    <t>Rihting Coating Technology India Pvt Ltd</t>
  </si>
  <si>
    <t>Supplier Name</t>
  </si>
  <si>
    <t>Steel Authority of India Ltd</t>
  </si>
  <si>
    <t>Murugan Metals</t>
  </si>
  <si>
    <t>Metallica Metals</t>
  </si>
  <si>
    <t>Bhandari Metal Distributors</t>
  </si>
  <si>
    <t>Rollon India Pvt Ltd</t>
  </si>
  <si>
    <t>Sale</t>
  </si>
  <si>
    <t>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</si>
</sst>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10" fontId="1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9"/>
  <sheetViews>
    <sheetView tabSelected="1" workbookViewId="0">
      <selection activeCell="J12" sqref="J12"/>
    </sheetView>
  </sheetViews>
  <sheetFormatPr defaultRowHeight="20.100000000000001" customHeight="1" x14ac:dyDescent="0.25"/>
  <cols>
    <col min="1" max="1" width="9.140625" style="2"/>
    <col min="2" max="2" width="9" style="2" customWidth="1"/>
    <col min="3" max="3" width="39.85546875" style="2" customWidth="1"/>
    <col min="4" max="4" width="18.42578125" style="2" customWidth="1"/>
    <col min="5" max="16384" width="9.140625" style="2"/>
  </cols>
  <sheetData>
    <row r="2" spans="2:5" ht="20.100000000000001" customHeight="1" x14ac:dyDescent="0.25">
      <c r="E2" s="2" t="s">
        <v>16</v>
      </c>
    </row>
    <row r="3" spans="2:5" ht="20.100000000000001" customHeight="1" x14ac:dyDescent="0.25">
      <c r="B3" s="7" t="s">
        <v>0</v>
      </c>
      <c r="C3" s="7"/>
      <c r="D3" s="7"/>
      <c r="E3" s="2">
        <f>671496954.15/10^7</f>
        <v>67.149695414999997</v>
      </c>
    </row>
    <row r="4" spans="2:5" ht="32.25" customHeight="1" x14ac:dyDescent="0.25">
      <c r="B4" s="4" t="s">
        <v>1</v>
      </c>
      <c r="C4" s="4" t="s">
        <v>2</v>
      </c>
      <c r="D4" s="5" t="s">
        <v>5</v>
      </c>
      <c r="E4" s="9"/>
    </row>
    <row r="5" spans="2:5" ht="20.100000000000001" customHeight="1" x14ac:dyDescent="0.25">
      <c r="B5" s="3">
        <v>1</v>
      </c>
      <c r="C5" s="1" t="s">
        <v>4</v>
      </c>
      <c r="D5" s="3">
        <v>57.35</v>
      </c>
      <c r="E5" s="8">
        <f>D5/$E$3</f>
        <v>0.85406195285867337</v>
      </c>
    </row>
    <row r="6" spans="2:5" ht="20.100000000000001" customHeight="1" x14ac:dyDescent="0.25">
      <c r="B6" s="3">
        <f>B5+1</f>
        <v>2</v>
      </c>
      <c r="C6" s="1" t="s">
        <v>6</v>
      </c>
      <c r="D6" s="3">
        <v>2.74</v>
      </c>
      <c r="E6" s="8">
        <f t="shared" ref="E6:E9" si="0">D6/$E$3</f>
        <v>4.0804354853230432E-2</v>
      </c>
    </row>
    <row r="7" spans="2:5" ht="20.100000000000001" customHeight="1" x14ac:dyDescent="0.25">
      <c r="B7" s="3">
        <f t="shared" ref="B7:B9" si="1">B6+1</f>
        <v>3</v>
      </c>
      <c r="C7" s="1" t="s">
        <v>7</v>
      </c>
      <c r="D7" s="3">
        <v>1.98</v>
      </c>
      <c r="E7" s="8">
        <f t="shared" si="0"/>
        <v>2.9486358616567971E-2</v>
      </c>
    </row>
    <row r="8" spans="2:5" ht="20.100000000000001" customHeight="1" x14ac:dyDescent="0.25">
      <c r="B8" s="3">
        <f t="shared" si="1"/>
        <v>4</v>
      </c>
      <c r="C8" s="1" t="s">
        <v>9</v>
      </c>
      <c r="D8" s="3">
        <v>1.0900000000000001</v>
      </c>
      <c r="E8" s="8">
        <f t="shared" si="0"/>
        <v>1.6232389339423784E-2</v>
      </c>
    </row>
    <row r="9" spans="2:5" ht="20.100000000000001" customHeight="1" x14ac:dyDescent="0.25">
      <c r="B9" s="3">
        <f t="shared" si="1"/>
        <v>5</v>
      </c>
      <c r="C9" s="1" t="s">
        <v>8</v>
      </c>
      <c r="D9" s="3">
        <v>0.97</v>
      </c>
      <c r="E9" s="8">
        <f t="shared" si="0"/>
        <v>1.4445337302056027E-2</v>
      </c>
    </row>
    <row r="13" spans="2:5" ht="20.100000000000001" customHeight="1" x14ac:dyDescent="0.25">
      <c r="B13" s="7" t="s">
        <v>3</v>
      </c>
      <c r="C13" s="7"/>
      <c r="D13" s="7"/>
      <c r="E13" s="2" t="s">
        <v>17</v>
      </c>
    </row>
    <row r="14" spans="2:5" ht="36" customHeight="1" x14ac:dyDescent="0.25">
      <c r="B14" s="4" t="s">
        <v>1</v>
      </c>
      <c r="C14" s="4" t="s">
        <v>10</v>
      </c>
      <c r="D14" s="5" t="s">
        <v>5</v>
      </c>
      <c r="E14" s="2">
        <f>51.666544391</f>
        <v>51.666544391000002</v>
      </c>
    </row>
    <row r="15" spans="2:5" ht="20.100000000000001" customHeight="1" x14ac:dyDescent="0.25">
      <c r="B15" s="3">
        <v>1</v>
      </c>
      <c r="C15" s="6" t="s">
        <v>11</v>
      </c>
      <c r="D15" s="3">
        <v>8.68</v>
      </c>
      <c r="E15" s="8">
        <f>D15/$E$14</f>
        <v>0.16800039759407642</v>
      </c>
    </row>
    <row r="16" spans="2:5" ht="20.100000000000001" customHeight="1" x14ac:dyDescent="0.25">
      <c r="B16" s="3">
        <f>B15+1</f>
        <v>2</v>
      </c>
      <c r="C16" s="6" t="s">
        <v>12</v>
      </c>
      <c r="D16" s="3">
        <v>6.21</v>
      </c>
      <c r="E16" s="8">
        <f t="shared" ref="E16:E19" si="2">D16/$E$14</f>
        <v>0.12019383284092335</v>
      </c>
    </row>
    <row r="17" spans="2:5" ht="20.100000000000001" customHeight="1" x14ac:dyDescent="0.25">
      <c r="B17" s="3">
        <f t="shared" ref="B17:B19" si="3">B16+1</f>
        <v>3</v>
      </c>
      <c r="C17" s="6" t="s">
        <v>13</v>
      </c>
      <c r="D17" s="3">
        <v>3.11</v>
      </c>
      <c r="E17" s="8">
        <f t="shared" si="2"/>
        <v>6.0193690843038904E-2</v>
      </c>
    </row>
    <row r="18" spans="2:5" ht="20.100000000000001" customHeight="1" x14ac:dyDescent="0.25">
      <c r="B18" s="3">
        <f t="shared" si="3"/>
        <v>4</v>
      </c>
      <c r="C18" s="6" t="s">
        <v>14</v>
      </c>
      <c r="D18" s="3">
        <v>2.85</v>
      </c>
      <c r="E18" s="8">
        <f t="shared" si="2"/>
        <v>5.5161420869022794E-2</v>
      </c>
    </row>
    <row r="19" spans="2:5" ht="20.100000000000001" customHeight="1" x14ac:dyDescent="0.25">
      <c r="B19" s="3">
        <f t="shared" si="3"/>
        <v>5</v>
      </c>
      <c r="C19" s="6" t="s">
        <v>15</v>
      </c>
      <c r="D19" s="3">
        <v>1.52</v>
      </c>
      <c r="E19" s="8">
        <f t="shared" si="2"/>
        <v>2.9419424463478824E-2</v>
      </c>
    </row>
  </sheetData>
  <mergeCells count="2">
    <mergeCell ref="B3:D3"/>
    <mergeCell ref="B13:D1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2024-08-12T07:46:37Z</dcterms:modified>
</cp:coreProperties>
</file>