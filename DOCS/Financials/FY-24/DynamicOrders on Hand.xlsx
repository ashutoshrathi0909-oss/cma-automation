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urnishing" sheetId="1" r:id="rId1"/>
    <sheet name="Shell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48" i="2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20" i="1"/>
  <c r="J19"/>
  <c r="J18"/>
  <c r="J17"/>
  <c r="J16"/>
  <c r="J15"/>
  <c r="J14"/>
  <c r="J21" s="1"/>
  <c r="J13"/>
  <c r="J12"/>
  <c r="J11"/>
  <c r="J10"/>
  <c r="J9"/>
  <c r="J8"/>
  <c r="J7"/>
  <c r="J6"/>
  <c r="J5"/>
  <c r="J49" i="2" l="1"/>
</calcChain>
</file>

<file path=xl/sharedStrings.xml><?xml version="1.0" encoding="utf-8"?>
<sst xmlns="http://schemas.openxmlformats.org/spreadsheetml/2006/main" count="326" uniqueCount="241">
  <si>
    <t>DESCRIPTION</t>
  </si>
  <si>
    <t>PO NO</t>
  </si>
  <si>
    <t>PO DATE</t>
  </si>
  <si>
    <t>INSPECTION</t>
  </si>
  <si>
    <t>PO QTY</t>
  </si>
  <si>
    <t>Rites/south</t>
  </si>
  <si>
    <t>Lavatory Door Arrangement</t>
  </si>
  <si>
    <t>07211701102001
PL NO.36560030</t>
  </si>
  <si>
    <t>16 sets</t>
  </si>
  <si>
    <t>Lavatory Door Arrrangement</t>
  </si>
  <si>
    <t>07221154101399
pl no.31560090</t>
  </si>
  <si>
    <t>09..05.2022</t>
  </si>
  <si>
    <t>RITES</t>
  </si>
  <si>
    <t>57 Nos</t>
  </si>
  <si>
    <t>One coach set of Pillar Assembly  For  LWSCWAC/EOG Coaches consists of</t>
  </si>
  <si>
    <t>07221134102148
PL NO.3368138</t>
  </si>
  <si>
    <t>01.07.2022</t>
  </si>
  <si>
    <t>Body side window Arrangement with Fixed Louvre Shutter</t>
  </si>
  <si>
    <t>07221652102323
pl no.31547424</t>
  </si>
  <si>
    <t>349 Nos</t>
  </si>
  <si>
    <t>Stainleless steel Tubular Partion (3 seater) At door way</t>
  </si>
  <si>
    <t>06220174102394
PL NO.31437140</t>
  </si>
  <si>
    <t>20.07.2022</t>
  </si>
  <si>
    <t>73 Nos</t>
  </si>
  <si>
    <t>07221838102628
pl no.31560090</t>
  </si>
  <si>
    <t>05.08.2022</t>
  </si>
  <si>
    <t>07221654102678
PL NO.31547436</t>
  </si>
  <si>
    <t>09.08.2022</t>
  </si>
  <si>
    <t>220 Nos</t>
  </si>
  <si>
    <t>07221750102760
pl no.33540640</t>
  </si>
  <si>
    <t>06221698100097
PL NO.36560042</t>
  </si>
  <si>
    <t>13.01.2023</t>
  </si>
  <si>
    <t>21220835100782
pl no.31547084</t>
  </si>
  <si>
    <t>483 Nos</t>
  </si>
  <si>
    <t>07231013100502
PL NO.33549760</t>
  </si>
  <si>
    <t>06221730100943
pl no.31430480</t>
  </si>
  <si>
    <t>20.04.2023</t>
  </si>
  <si>
    <t>RITES/SOUTH</t>
  </si>
  <si>
    <t>3029 prs</t>
  </si>
  <si>
    <t>12221356100996
PL NO.31980983</t>
  </si>
  <si>
    <t>22.05.2023</t>
  </si>
  <si>
    <t>28.11.2018</t>
  </si>
  <si>
    <t>06231428102040
pl no.33580261</t>
  </si>
  <si>
    <t>09.08.2023</t>
  </si>
  <si>
    <t>9 Nos</t>
  </si>
  <si>
    <t>SL.NO</t>
  </si>
  <si>
    <t>Supply and Installation of Nose Cone For MEMU/DMC 3-PHASE Coaches</t>
  </si>
  <si>
    <t>02192289101504-PL-30922185</t>
  </si>
  <si>
    <t>23.09.2019</t>
  </si>
  <si>
    <t xml:space="preserve">One coach set of Roof, 3mm Side wall and End wall for LWSCZAC &amp; LWFCZAC Coaches Roof Assembly </t>
  </si>
  <si>
    <t>02201055101355-PL-33517745</t>
  </si>
  <si>
    <t>03.09.2020</t>
  </si>
  <si>
    <t>One Coach Set of Vertical Lourve Arrangement For Radiator Room</t>
  </si>
  <si>
    <t>02201254101474-PL-31101495</t>
  </si>
  <si>
    <t>23 set</t>
  </si>
  <si>
    <t>02211460100399
pl no.33502882</t>
  </si>
  <si>
    <t>409 Prs</t>
  </si>
  <si>
    <t>Door Cut out for LHB Coaches</t>
  </si>
  <si>
    <t>02211411100483
PL NO.33566306</t>
  </si>
  <si>
    <t>12.11.2021</t>
  </si>
  <si>
    <t>One coach set of SS RMPU Trough Assembly for LHB AC Shells</t>
  </si>
  <si>
    <t>02220005100949
PL NO.33542168</t>
  </si>
  <si>
    <t>10.05.2022</t>
  </si>
  <si>
    <t>Supply and Installation of Body side Sliding Door</t>
  </si>
  <si>
    <t>02211329101036
pl no.31580830</t>
  </si>
  <si>
    <t>18.05.2022</t>
  </si>
  <si>
    <t>One coachset of Roof details for MEMU/TC Coaches</t>
  </si>
  <si>
    <t>02220151101275
PL NO.31160724</t>
  </si>
  <si>
    <t>17.06.2022</t>
  </si>
  <si>
    <t>Stainless steel Nose cone for MRVC Phase-II coaches</t>
  </si>
  <si>
    <t>02221075101433
PL NO.31908172</t>
  </si>
  <si>
    <t>05.07.2022</t>
  </si>
  <si>
    <t>One coach set of Body sheel items and partition frames for LSLRD</t>
  </si>
  <si>
    <t>02221026101467
PL NO.33578400</t>
  </si>
  <si>
    <t>08.07.2022</t>
  </si>
  <si>
    <t xml:space="preserve">One coach set of Floor arrangement at vendors compartment  For EMU/C2/HC/ER Coaches </t>
  </si>
  <si>
    <t>02221289101643
PL NO.31102128</t>
  </si>
  <si>
    <t>26.07.2022</t>
  </si>
  <si>
    <t>One coach set of stainless steel end wall (Alarm end and non alarm end) for stainless steel  AC EMU TRALER</t>
  </si>
  <si>
    <t>02221290101714
pl no.31150330</t>
  </si>
  <si>
    <t>29.07.2022</t>
  </si>
  <si>
    <t>Stainless steel end wall for 3 phase AC EMU Driving trailer 'D' Coach</t>
  </si>
  <si>
    <t>022221298101672
PL NO.31154360</t>
  </si>
  <si>
    <t>26 Nos</t>
  </si>
  <si>
    <t>One coach set of sidewall ramework, carline and welding parts for LACCN Economy coaches</t>
  </si>
  <si>
    <t>02220169101759
PL NO.33558656</t>
  </si>
  <si>
    <t>03.08.2022</t>
  </si>
  <si>
    <t>One coach set of Roof, Sidewall and Endwall for LSLRD Coaches</t>
  </si>
  <si>
    <t>02221052101825
PL NO33589902</t>
  </si>
  <si>
    <t>08.08.2022</t>
  </si>
  <si>
    <t>One coach set of Details of Frame work for  Train set MC COACHES</t>
  </si>
  <si>
    <t>02220222102025
pl no.30150334
PL NO.31140944</t>
  </si>
  <si>
    <t>02.09.2022</t>
  </si>
  <si>
    <t>One coach set of Stainless steel end wall(ALARM END AND CAB END) for stailess steel 'M' AND M2 Coaches (mrvc Phases-II)</t>
  </si>
  <si>
    <t xml:space="preserve">02221313102089
pl no.31150378
</t>
  </si>
  <si>
    <t>09.09.2022</t>
  </si>
  <si>
    <t>One coach set of Stailnless Steel end wall for 3 PHASE AC EMU Motor coaches</t>
  </si>
  <si>
    <t>02221336102083
PL NO.31154335</t>
  </si>
  <si>
    <t>One coach set of Stainless steel end wall  for 3 phase AC EMU Trailer 'D' with Handicapped compartment</t>
  </si>
  <si>
    <t>02221320102114
PL NO.31154347</t>
  </si>
  <si>
    <t>One coach setof Roof and sidewall for 3 PH MEMU/DMC  Coaches</t>
  </si>
  <si>
    <t>02221125102318
pl no.30140651</t>
  </si>
  <si>
    <t>Foot Step Arrangement</t>
  </si>
  <si>
    <t>02221666102621
pl no.31247143</t>
  </si>
  <si>
    <t>26.10.2022</t>
  </si>
  <si>
    <t>Supply and installation of Frame Arrangement for Train set ve.2 nose cone for DTC Coaches</t>
  </si>
  <si>
    <t>02220281102675
PL NO31100491</t>
  </si>
  <si>
    <t>01.11.2022</t>
  </si>
  <si>
    <t xml:space="preserve">Oil pan complete 2 </t>
  </si>
  <si>
    <t>'02221500102699
pl no.33564474</t>
  </si>
  <si>
    <t>02.11.2022</t>
  </si>
  <si>
    <t>24 Nos</t>
  </si>
  <si>
    <t>02221548102700
PL NO.31140713</t>
  </si>
  <si>
    <t>5  set</t>
  </si>
  <si>
    <t>One coach set of Final Roof element complete for LACCN  E with Raised Ceiling roof</t>
  </si>
  <si>
    <t>02220306102763
33558012</t>
  </si>
  <si>
    <t>09.11.2022</t>
  </si>
  <si>
    <t>58 set</t>
  </si>
  <si>
    <t>One coach set of light rail and waist rail for kolkatta metro coaches</t>
  </si>
  <si>
    <t>02221674102938
PL NO.36140030</t>
  </si>
  <si>
    <t>28.11.2022</t>
  </si>
  <si>
    <t>One set of Modular Trough and Frame for RMPU For Kolkatta metro MRM/DTC &amp; MRM/TC Coaches</t>
  </si>
  <si>
    <t>02221599103078
PL NO.36160167</t>
  </si>
  <si>
    <t>Supply and installation of Nose cone</t>
  </si>
  <si>
    <t>02221333103153
PL NO.31102505</t>
  </si>
  <si>
    <t>24.12.2022</t>
  </si>
  <si>
    <t>02220351100126
pl no.36140028</t>
  </si>
  <si>
    <t>27 set</t>
  </si>
  <si>
    <t>One coach set of Stainless steel Roof and Side wall for 3 Phase AC EMU Motor Coaches without Forced Air cicrulation</t>
  </si>
  <si>
    <t>02221345100136
pl no.31140956</t>
  </si>
  <si>
    <t>One coach set of SS end wall(Alarm end and non alarm end) for SS 3 pnase AC EMU Trailer 'C,C2,C3,C4,C5 &amp;C6 coaches.</t>
  </si>
  <si>
    <t>28.02.2023</t>
  </si>
  <si>
    <t xml:space="preserve">19 sets </t>
  </si>
  <si>
    <t>One coach set of SSRMPU TROUGH  Assembly for LHB AC Shells to drg no -59316033,Col-I ,Alt 'd'.</t>
  </si>
  <si>
    <t>131 set</t>
  </si>
  <si>
    <t>One coach set of Bracket ,Grill,Ring and Roof Arch  .</t>
  </si>
  <si>
    <t>65 set</t>
  </si>
  <si>
    <t>One coach set of final roof element for LACCN E with raised ceiling roof.</t>
  </si>
  <si>
    <t>07.03.2023</t>
  </si>
  <si>
    <t>87 set</t>
  </si>
  <si>
    <t>One coach set of body shell item for M &amp; M@ coaches (MRVC phase II)</t>
  </si>
  <si>
    <t>02230011100376             PL NO 31101689</t>
  </si>
  <si>
    <t>55 set</t>
  </si>
  <si>
    <t>One coach set of Roof, 3mm sidewall and Endwall for LWLRRM Coaches with noise reduction feature</t>
  </si>
  <si>
    <t>02221880100483
pl no.33512309</t>
  </si>
  <si>
    <t>one coach set of stainless steel end wall (alaram end and non alarm end) for stainless steel 3 phase AC EMU TRAILER 'D'/HC/, D2/HC,D3/HC &amp; D4/HC COACHES (MRVC PHAE II)</t>
  </si>
  <si>
    <t>02230007100404
PL NO.31150342</t>
  </si>
  <si>
    <t>37 sets</t>
  </si>
  <si>
    <t>02231197100551
PL NO.30154091</t>
  </si>
  <si>
    <t>02231199100807
pl  no.31150111</t>
  </si>
  <si>
    <t>06.06.2023</t>
  </si>
  <si>
    <t>6 set</t>
  </si>
  <si>
    <t>21.06.2023</t>
  </si>
  <si>
    <t>02230054100864
PL NO.31100491</t>
  </si>
  <si>
    <t>4 nos</t>
  </si>
  <si>
    <t>0223077100903
PL NO.33501300</t>
  </si>
  <si>
    <t>28.06.2023</t>
  </si>
  <si>
    <t>38230324103312
PL NO.33566203</t>
  </si>
  <si>
    <t>one coach set of carline assembly details for frame work and welding parts on sidewall for lwaccn coaches 91) carline assembly</t>
  </si>
  <si>
    <t>02231302101018
pl no.33592135</t>
  </si>
  <si>
    <t>20.07.2023</t>
  </si>
  <si>
    <t>10 set</t>
  </si>
  <si>
    <t>ICF</t>
  </si>
  <si>
    <t>189 sets</t>
  </si>
  <si>
    <t>S No</t>
  </si>
  <si>
    <t>24 nos</t>
  </si>
  <si>
    <t>Body side window Arrangement with Fixed Louvre Shutter (RCF)</t>
  </si>
  <si>
    <t>Pending Qty</t>
  </si>
  <si>
    <t>Supplied Qty</t>
  </si>
  <si>
    <t>Value</t>
  </si>
  <si>
    <t>Total</t>
  </si>
  <si>
    <t>Intertek</t>
  </si>
  <si>
    <t>1set</t>
  </si>
  <si>
    <t>34sets</t>
  </si>
  <si>
    <t>956 prs</t>
  </si>
  <si>
    <t>295 sets</t>
  </si>
  <si>
    <t>602 sets</t>
  </si>
  <si>
    <t>21 set</t>
  </si>
  <si>
    <t>42 nos</t>
  </si>
  <si>
    <t>46 Sets</t>
  </si>
  <si>
    <t>44 Sets</t>
  </si>
  <si>
    <t>13 Sets</t>
  </si>
  <si>
    <t>63 sets</t>
  </si>
  <si>
    <t>52 Sets</t>
  </si>
  <si>
    <t>140 sets</t>
  </si>
  <si>
    <t>32 sets</t>
  </si>
  <si>
    <t>159 Sets</t>
  </si>
  <si>
    <t>9 Sets</t>
  </si>
  <si>
    <t>30 nos</t>
  </si>
  <si>
    <t>38 sets</t>
  </si>
  <si>
    <t xml:space="preserve">69 sets
</t>
  </si>
  <si>
    <t>52 sets</t>
  </si>
  <si>
    <t>14 nos</t>
  </si>
  <si>
    <t>15 sets</t>
  </si>
  <si>
    <t>24 sets</t>
  </si>
  <si>
    <t>9 sets</t>
  </si>
  <si>
    <t>02231002100339 PL NO  31150330</t>
  </si>
  <si>
    <t>02221805100343 PL NO  33542168</t>
  </si>
  <si>
    <t>02231083100336 PL NO  33591726</t>
  </si>
  <si>
    <t>02221867100374 PL NO 33558012</t>
  </si>
  <si>
    <t>11.09.2020</t>
  </si>
  <si>
    <t>18.02.2022</t>
  </si>
  <si>
    <t>28.07.2022</t>
  </si>
  <si>
    <t>12.09.2022</t>
  </si>
  <si>
    <t>26.09.2022</t>
  </si>
  <si>
    <t>25.01.2023</t>
  </si>
  <si>
    <t>27.01.2023</t>
  </si>
  <si>
    <t>28.03.2023</t>
  </si>
  <si>
    <t>13.03.2023</t>
  </si>
  <si>
    <t>10.04.2023</t>
  </si>
  <si>
    <t>03.07.2023</t>
  </si>
  <si>
    <t>ICF ORDERS ON  HAND (FURNISHING)</t>
  </si>
  <si>
    <t>ICF ORDERS ON  HAND (SHELL DIVISION)</t>
  </si>
  <si>
    <t>DYNAMIC AIR ENGINEERING PVT LTD</t>
  </si>
  <si>
    <t>081825302649/F</t>
  </si>
  <si>
    <t>Set of Electrical Control Cubicle Door For MEMU/3PH/US COACHES</t>
  </si>
  <si>
    <t xml:space="preserve">Pair of stainless steel tubular partition at door way (3 seater) </t>
  </si>
  <si>
    <t>Supply of set of SS Ceiling panel for generator room in LWLRRM coaches</t>
  </si>
  <si>
    <t>One Coach set of  Interior Doors FOR MRM/DTC Coaches</t>
  </si>
  <si>
    <t>Aluminium Window Inner frame for LHB EOG Coaches</t>
  </si>
  <si>
    <t>Electrical Cubical Door Assembly for MRM/MC and MRM/TC Coaches</t>
  </si>
  <si>
    <t>Stainless Steel Battery Box complete</t>
  </si>
  <si>
    <t>Modified Final Roof Element complete</t>
  </si>
  <si>
    <t>One coach set of LACCW Roof Assembly</t>
  </si>
  <si>
    <t>One coach set of details of frame work for train set DTC Coaches</t>
  </si>
  <si>
    <t>One coach set of door cut out for Train set DTC coaches</t>
  </si>
  <si>
    <t>03.11.2021</t>
  </si>
  <si>
    <t>Basic Value</t>
  </si>
  <si>
    <t>15.07.2022</t>
  </si>
  <si>
    <t xml:space="preserve">Inner Frame for body side window assembly </t>
  </si>
  <si>
    <t xml:space="preserve">Supply and inst. of one pair of body side entrance door for LHB (LH &amp; RH) </t>
  </si>
  <si>
    <t>48 sets</t>
  </si>
  <si>
    <t xml:space="preserve">One coach set of side wall and Roof for U/S EMU/AC/DMC (790), DMC2 (795) COACHES </t>
  </si>
  <si>
    <t>14.12.2022</t>
  </si>
  <si>
    <t>02231303100859
pl no.33598381</t>
  </si>
  <si>
    <t>4 sets</t>
  </si>
  <si>
    <t>31 Nos</t>
  </si>
  <si>
    <t>1305 nos</t>
  </si>
  <si>
    <t>10.03.2023</t>
  </si>
  <si>
    <t>17.08.2022</t>
  </si>
  <si>
    <t>Door Arrangement (RH &amp; LH) for Stainless steel coach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</si>
</sst>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 * #,##0.00_ ;_ * \-#,##0.00_ ;_ * &quot;-&quot;??_ ;_ @_ "/>
    <numFmt numFmtId="165" formatCode="[$-14009]d\.m\.yy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vertical="center" wrapText="1"/>
    </xf>
    <xf numFmtId="164" fontId="2" fillId="0" borderId="1" xfId="1" applyNumberFormat="1" applyFont="1" applyFill="1" applyBorder="1" applyAlignment="1">
      <alignment vertical="center"/>
    </xf>
    <xf numFmtId="0" fontId="2" fillId="0" borderId="1" xfId="1" applyNumberFormat="1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164" fontId="3" fillId="0" borderId="1" xfId="1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164" fontId="2" fillId="0" borderId="1" xfId="1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165" fontId="2" fillId="0" borderId="0" xfId="1" quotePrefix="1" applyNumberFormat="1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2" borderId="1" xfId="1" applyNumberFormat="1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164" fontId="2" fillId="2" borderId="1" xfId="1" applyNumberFormat="1" applyFont="1" applyFill="1" applyBorder="1" applyAlignment="1">
      <alignment vertical="center" wrapText="1"/>
    </xf>
    <xf numFmtId="164" fontId="2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1" quotePrefix="1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9" fontId="2" fillId="0" borderId="2" xfId="0" applyNumberFormat="1" applyFont="1" applyFill="1" applyBorder="1" applyAlignment="1">
      <alignment vertical="center" wrapText="1"/>
    </xf>
    <xf numFmtId="39" fontId="2" fillId="0" borderId="1" xfId="0" applyNumberFormat="1" applyFont="1" applyFill="1" applyBorder="1" applyAlignment="1">
      <alignment horizontal="center" vertical="center" wrapText="1"/>
    </xf>
    <xf numFmtId="39" fontId="2" fillId="0" borderId="1" xfId="0" applyNumberFormat="1" applyFont="1" applyFill="1" applyBorder="1" applyAlignment="1">
      <alignment vertical="center" wrapText="1"/>
    </xf>
    <xf numFmtId="39" fontId="4" fillId="0" borderId="1" xfId="0" applyNumberFormat="1" applyFont="1" applyFill="1" applyBorder="1" applyAlignment="1">
      <alignment vertical="center" wrapText="1"/>
    </xf>
    <xf numFmtId="39" fontId="3" fillId="0" borderId="2" xfId="0" applyNumberFormat="1" applyFont="1" applyFill="1" applyBorder="1" applyAlignment="1">
      <alignment vertical="center"/>
    </xf>
    <xf numFmtId="39" fontId="2" fillId="2" borderId="2" xfId="0" applyNumberFormat="1" applyFont="1" applyFill="1" applyBorder="1" applyAlignment="1">
      <alignment vertical="center"/>
    </xf>
    <xf numFmtId="39" fontId="2" fillId="0" borderId="2" xfId="0" applyNumberFormat="1" applyFont="1" applyFill="1" applyBorder="1" applyAlignment="1">
      <alignment vertical="center"/>
    </xf>
    <xf numFmtId="39" fontId="2" fillId="2" borderId="2" xfId="0" quotePrefix="1" applyNumberFormat="1" applyFont="1" applyFill="1" applyBorder="1" applyAlignment="1">
      <alignment vertical="center" wrapText="1"/>
    </xf>
    <xf numFmtId="39" fontId="2" fillId="2" borderId="2" xfId="0" applyNumberFormat="1" applyFont="1" applyFill="1" applyBorder="1" applyAlignment="1">
      <alignment vertical="center" wrapText="1"/>
    </xf>
    <xf numFmtId="39" fontId="2" fillId="0" borderId="0" xfId="0" applyNumberFormat="1" applyFont="1" applyAlignment="1">
      <alignment vertical="center" wrapText="1"/>
    </xf>
    <xf numFmtId="39" fontId="2" fillId="0" borderId="1" xfId="0" applyNumberFormat="1" applyFont="1" applyBorder="1" applyAlignment="1">
      <alignment vertical="center" wrapText="1"/>
    </xf>
    <xf numFmtId="39" fontId="3" fillId="0" borderId="1" xfId="0" applyNumberFormat="1" applyFont="1" applyFill="1" applyBorder="1" applyAlignment="1">
      <alignment vertical="center"/>
    </xf>
    <xf numFmtId="39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I15" sqref="I15"/>
    </sheetView>
  </sheetViews>
  <sheetFormatPr defaultRowHeight="15.75"/>
  <cols>
    <col min="1" max="1" width="7.140625" style="5" bestFit="1" customWidth="1"/>
    <col min="2" max="2" width="51.28515625" style="9" customWidth="1"/>
    <col min="3" max="3" width="21" style="1" customWidth="1"/>
    <col min="4" max="5" width="16.28515625" style="1" bestFit="1" customWidth="1"/>
    <col min="6" max="6" width="11.140625" style="8" bestFit="1" customWidth="1"/>
    <col min="7" max="7" width="9.7109375" style="5" customWidth="1"/>
    <col min="8" max="8" width="10.85546875" style="1" customWidth="1"/>
    <col min="9" max="9" width="18" style="1" bestFit="1" customWidth="1"/>
    <col min="10" max="10" width="19" style="46" customWidth="1"/>
    <col min="11" max="11" width="9.28515625" style="3" bestFit="1" customWidth="1"/>
    <col min="12" max="13" width="9.140625" style="3"/>
    <col min="14" max="14" width="34.42578125" style="3" bestFit="1" customWidth="1"/>
    <col min="15" max="21" width="9.140625" style="3"/>
    <col min="22" max="22" width="34.42578125" style="3" bestFit="1" customWidth="1"/>
    <col min="23" max="29" width="9.140625" style="3"/>
    <col min="30" max="30" width="34.42578125" style="3" bestFit="1" customWidth="1"/>
    <col min="31" max="37" width="9.140625" style="3"/>
    <col min="38" max="38" width="34.42578125" style="3" bestFit="1" customWidth="1"/>
    <col min="39" max="45" width="9.140625" style="3"/>
    <col min="46" max="46" width="34.42578125" style="3" bestFit="1" customWidth="1"/>
    <col min="47" max="53" width="9.140625" style="3"/>
    <col min="54" max="54" width="34.42578125" style="3" bestFit="1" customWidth="1"/>
    <col min="55" max="61" width="9.140625" style="3"/>
    <col min="62" max="62" width="34.42578125" style="3" bestFit="1" customWidth="1"/>
    <col min="63" max="69" width="9.140625" style="3"/>
    <col min="70" max="70" width="34.42578125" style="3" bestFit="1" customWidth="1"/>
    <col min="71" max="77" width="9.140625" style="3"/>
    <col min="78" max="78" width="34.42578125" style="3" bestFit="1" customWidth="1"/>
    <col min="79" max="85" width="9.140625" style="3"/>
    <col min="86" max="86" width="34.42578125" style="3" bestFit="1" customWidth="1"/>
    <col min="87" max="93" width="9.140625" style="3"/>
    <col min="94" max="94" width="34.42578125" style="3" bestFit="1" customWidth="1"/>
    <col min="95" max="101" width="9.140625" style="3"/>
    <col min="102" max="102" width="34.42578125" style="3" bestFit="1" customWidth="1"/>
    <col min="103" max="109" width="9.140625" style="3"/>
    <col min="110" max="110" width="34.42578125" style="3" bestFit="1" customWidth="1"/>
    <col min="111" max="117" width="9.140625" style="3"/>
    <col min="118" max="118" width="34.42578125" style="3" bestFit="1" customWidth="1"/>
    <col min="119" max="125" width="9.140625" style="3"/>
    <col min="126" max="126" width="34.42578125" style="3" bestFit="1" customWidth="1"/>
    <col min="127" max="133" width="9.140625" style="3"/>
    <col min="134" max="134" width="34.42578125" style="3" bestFit="1" customWidth="1"/>
    <col min="135" max="141" width="9.140625" style="3"/>
    <col min="142" max="142" width="34.42578125" style="3" bestFit="1" customWidth="1"/>
    <col min="143" max="149" width="9.140625" style="3"/>
    <col min="150" max="150" width="34.42578125" style="3" bestFit="1" customWidth="1"/>
    <col min="151" max="157" width="9.140625" style="3"/>
    <col min="158" max="158" width="34.42578125" style="3" bestFit="1" customWidth="1"/>
    <col min="159" max="165" width="9.140625" style="3"/>
    <col min="166" max="166" width="34.42578125" style="3" bestFit="1" customWidth="1"/>
    <col min="167" max="173" width="9.140625" style="3"/>
    <col min="174" max="174" width="34.42578125" style="3" bestFit="1" customWidth="1"/>
    <col min="175" max="181" width="9.140625" style="3"/>
    <col min="182" max="182" width="34.42578125" style="3" bestFit="1" customWidth="1"/>
    <col min="183" max="189" width="9.140625" style="3"/>
    <col min="190" max="190" width="34.42578125" style="3" bestFit="1" customWidth="1"/>
    <col min="191" max="197" width="9.140625" style="3"/>
    <col min="198" max="198" width="34.42578125" style="3" bestFit="1" customWidth="1"/>
    <col min="199" max="205" width="9.140625" style="3"/>
    <col min="206" max="206" width="34.42578125" style="3" bestFit="1" customWidth="1"/>
    <col min="207" max="213" width="9.140625" style="3"/>
    <col min="214" max="214" width="34.42578125" style="3" bestFit="1" customWidth="1"/>
    <col min="215" max="221" width="9.140625" style="3"/>
    <col min="222" max="222" width="34.42578125" style="3" bestFit="1" customWidth="1"/>
    <col min="223" max="229" width="9.140625" style="3"/>
    <col min="230" max="230" width="34.42578125" style="3" bestFit="1" customWidth="1"/>
    <col min="231" max="237" width="9.140625" style="3"/>
    <col min="238" max="238" width="34.42578125" style="3" bestFit="1" customWidth="1"/>
    <col min="239" max="245" width="9.140625" style="3"/>
    <col min="246" max="246" width="34.42578125" style="3" bestFit="1" customWidth="1"/>
    <col min="247" max="253" width="9.140625" style="3"/>
    <col min="254" max="254" width="34.42578125" style="3" bestFit="1" customWidth="1"/>
    <col min="255" max="261" width="9.140625" style="3"/>
    <col min="262" max="262" width="34.42578125" style="3" bestFit="1" customWidth="1"/>
    <col min="263" max="269" width="9.140625" style="3"/>
    <col min="270" max="270" width="34.42578125" style="3" bestFit="1" customWidth="1"/>
    <col min="271" max="277" width="9.140625" style="3"/>
    <col min="278" max="278" width="34.42578125" style="3" bestFit="1" customWidth="1"/>
    <col min="279" max="285" width="9.140625" style="3"/>
    <col min="286" max="286" width="34.42578125" style="3" bestFit="1" customWidth="1"/>
    <col min="287" max="293" width="9.140625" style="3"/>
    <col min="294" max="294" width="34.42578125" style="3" bestFit="1" customWidth="1"/>
    <col min="295" max="301" width="9.140625" style="3"/>
    <col min="302" max="302" width="34.42578125" style="3" bestFit="1" customWidth="1"/>
    <col min="303" max="309" width="9.140625" style="3"/>
    <col min="310" max="310" width="34.42578125" style="3" bestFit="1" customWidth="1"/>
    <col min="311" max="317" width="9.140625" style="3"/>
    <col min="318" max="318" width="34.42578125" style="3" bestFit="1" customWidth="1"/>
    <col min="319" max="325" width="9.140625" style="3"/>
    <col min="326" max="326" width="34.42578125" style="3" bestFit="1" customWidth="1"/>
    <col min="327" max="333" width="9.140625" style="3"/>
    <col min="334" max="334" width="34.42578125" style="3" bestFit="1" customWidth="1"/>
    <col min="335" max="341" width="9.140625" style="3"/>
    <col min="342" max="342" width="34.42578125" style="3" bestFit="1" customWidth="1"/>
    <col min="343" max="349" width="9.140625" style="3"/>
    <col min="350" max="350" width="34.42578125" style="3" bestFit="1" customWidth="1"/>
    <col min="351" max="357" width="9.140625" style="3"/>
    <col min="358" max="358" width="34.42578125" style="3" bestFit="1" customWidth="1"/>
    <col min="359" max="365" width="9.140625" style="3"/>
    <col min="366" max="366" width="34.42578125" style="3" bestFit="1" customWidth="1"/>
    <col min="367" max="373" width="9.140625" style="3"/>
    <col min="374" max="374" width="34.42578125" style="3" bestFit="1" customWidth="1"/>
    <col min="375" max="381" width="9.140625" style="3"/>
    <col min="382" max="382" width="34.42578125" style="3" bestFit="1" customWidth="1"/>
    <col min="383" max="389" width="9.140625" style="3"/>
    <col min="390" max="390" width="34.42578125" style="3" bestFit="1" customWidth="1"/>
    <col min="391" max="397" width="9.140625" style="3"/>
    <col min="398" max="398" width="34.42578125" style="3" bestFit="1" customWidth="1"/>
    <col min="399" max="405" width="9.140625" style="3"/>
    <col min="406" max="406" width="34.42578125" style="3" bestFit="1" customWidth="1"/>
    <col min="407" max="413" width="9.140625" style="3"/>
    <col min="414" max="414" width="34.42578125" style="3" bestFit="1" customWidth="1"/>
    <col min="415" max="421" width="9.140625" style="3"/>
    <col min="422" max="422" width="34.42578125" style="3" bestFit="1" customWidth="1"/>
    <col min="423" max="429" width="9.140625" style="3"/>
    <col min="430" max="430" width="34.42578125" style="3" bestFit="1" customWidth="1"/>
    <col min="431" max="437" width="9.140625" style="3"/>
    <col min="438" max="438" width="34.42578125" style="3" bestFit="1" customWidth="1"/>
    <col min="439" max="445" width="9.140625" style="3"/>
    <col min="446" max="446" width="34.42578125" style="3" bestFit="1" customWidth="1"/>
    <col min="447" max="453" width="9.140625" style="3"/>
    <col min="454" max="454" width="34.42578125" style="3" bestFit="1" customWidth="1"/>
    <col min="455" max="461" width="9.140625" style="3"/>
    <col min="462" max="462" width="34.42578125" style="3" bestFit="1" customWidth="1"/>
    <col min="463" max="469" width="9.140625" style="3"/>
    <col min="470" max="470" width="34.42578125" style="3" bestFit="1" customWidth="1"/>
    <col min="471" max="477" width="9.140625" style="3"/>
    <col min="478" max="478" width="34.42578125" style="3" bestFit="1" customWidth="1"/>
    <col min="479" max="485" width="9.140625" style="3"/>
    <col min="486" max="486" width="34.42578125" style="3" bestFit="1" customWidth="1"/>
    <col min="487" max="493" width="9.140625" style="3"/>
    <col min="494" max="494" width="34.42578125" style="3" bestFit="1" customWidth="1"/>
    <col min="495" max="501" width="9.140625" style="3"/>
    <col min="502" max="502" width="34.42578125" style="3" bestFit="1" customWidth="1"/>
    <col min="503" max="509" width="9.140625" style="3"/>
    <col min="510" max="510" width="34.42578125" style="3" bestFit="1" customWidth="1"/>
    <col min="511" max="517" width="9.140625" style="3"/>
    <col min="518" max="518" width="34.42578125" style="3" bestFit="1" customWidth="1"/>
    <col min="519" max="525" width="9.140625" style="3"/>
    <col min="526" max="526" width="34.42578125" style="3" bestFit="1" customWidth="1"/>
    <col min="527" max="533" width="9.140625" style="3"/>
    <col min="534" max="534" width="34.42578125" style="3" bestFit="1" customWidth="1"/>
    <col min="535" max="541" width="9.140625" style="3"/>
    <col min="542" max="542" width="34.42578125" style="3" bestFit="1" customWidth="1"/>
    <col min="543" max="549" width="9.140625" style="3"/>
    <col min="550" max="550" width="34.42578125" style="3" bestFit="1" customWidth="1"/>
    <col min="551" max="557" width="9.140625" style="3"/>
    <col min="558" max="558" width="34.42578125" style="3" bestFit="1" customWidth="1"/>
    <col min="559" max="565" width="9.140625" style="3"/>
    <col min="566" max="566" width="34.42578125" style="3" bestFit="1" customWidth="1"/>
    <col min="567" max="573" width="9.140625" style="3"/>
    <col min="574" max="574" width="34.42578125" style="3" bestFit="1" customWidth="1"/>
    <col min="575" max="581" width="9.140625" style="3"/>
    <col min="582" max="582" width="34.42578125" style="3" bestFit="1" customWidth="1"/>
    <col min="583" max="589" width="9.140625" style="3"/>
    <col min="590" max="590" width="34.42578125" style="3" bestFit="1" customWidth="1"/>
    <col min="591" max="597" width="9.140625" style="3"/>
    <col min="598" max="598" width="34.42578125" style="3" bestFit="1" customWidth="1"/>
    <col min="599" max="605" width="9.140625" style="3"/>
    <col min="606" max="606" width="34.42578125" style="3" bestFit="1" customWidth="1"/>
    <col min="607" max="613" width="9.140625" style="3"/>
    <col min="614" max="614" width="34.42578125" style="3" bestFit="1" customWidth="1"/>
    <col min="615" max="621" width="9.140625" style="3"/>
    <col min="622" max="622" width="34.42578125" style="3" bestFit="1" customWidth="1"/>
    <col min="623" max="629" width="9.140625" style="3"/>
    <col min="630" max="630" width="34.42578125" style="3" bestFit="1" customWidth="1"/>
    <col min="631" max="637" width="9.140625" style="3"/>
    <col min="638" max="638" width="34.42578125" style="3" bestFit="1" customWidth="1"/>
    <col min="639" max="645" width="9.140625" style="3"/>
    <col min="646" max="646" width="34.42578125" style="3" bestFit="1" customWidth="1"/>
    <col min="647" max="653" width="9.140625" style="3"/>
    <col min="654" max="654" width="34.42578125" style="3" bestFit="1" customWidth="1"/>
    <col min="655" max="661" width="9.140625" style="3"/>
    <col min="662" max="662" width="34.42578125" style="3" bestFit="1" customWidth="1"/>
    <col min="663" max="669" width="9.140625" style="3"/>
    <col min="670" max="670" width="34.42578125" style="3" bestFit="1" customWidth="1"/>
    <col min="671" max="677" width="9.140625" style="3"/>
    <col min="678" max="678" width="34.42578125" style="3" bestFit="1" customWidth="1"/>
    <col min="679" max="685" width="9.140625" style="3"/>
    <col min="686" max="686" width="34.42578125" style="3" bestFit="1" customWidth="1"/>
    <col min="687" max="693" width="9.140625" style="3"/>
    <col min="694" max="694" width="34.42578125" style="3" bestFit="1" customWidth="1"/>
    <col min="695" max="701" width="9.140625" style="3"/>
    <col min="702" max="702" width="34.42578125" style="3" bestFit="1" customWidth="1"/>
    <col min="703" max="709" width="9.140625" style="3"/>
    <col min="710" max="710" width="34.42578125" style="3" bestFit="1" customWidth="1"/>
    <col min="711" max="717" width="9.140625" style="3"/>
    <col min="718" max="718" width="34.42578125" style="3" bestFit="1" customWidth="1"/>
    <col min="719" max="725" width="9.140625" style="3"/>
    <col min="726" max="726" width="34.42578125" style="3" bestFit="1" customWidth="1"/>
    <col min="727" max="733" width="9.140625" style="3"/>
    <col min="734" max="734" width="34.42578125" style="3" bestFit="1" customWidth="1"/>
    <col min="735" max="741" width="9.140625" style="3"/>
    <col min="742" max="742" width="34.42578125" style="3" bestFit="1" customWidth="1"/>
    <col min="743" max="749" width="9.140625" style="3"/>
    <col min="750" max="750" width="34.42578125" style="3" bestFit="1" customWidth="1"/>
    <col min="751" max="757" width="9.140625" style="3"/>
    <col min="758" max="758" width="34.42578125" style="3" bestFit="1" customWidth="1"/>
    <col min="759" max="765" width="9.140625" style="3"/>
    <col min="766" max="766" width="34.42578125" style="3" bestFit="1" customWidth="1"/>
    <col min="767" max="773" width="9.140625" style="3"/>
    <col min="774" max="774" width="34.42578125" style="3" bestFit="1" customWidth="1"/>
    <col min="775" max="781" width="9.140625" style="3"/>
    <col min="782" max="782" width="34.42578125" style="3" bestFit="1" customWidth="1"/>
    <col min="783" max="789" width="9.140625" style="3"/>
    <col min="790" max="790" width="34.42578125" style="3" bestFit="1" customWidth="1"/>
    <col min="791" max="797" width="9.140625" style="3"/>
    <col min="798" max="798" width="34.42578125" style="3" bestFit="1" customWidth="1"/>
    <col min="799" max="805" width="9.140625" style="3"/>
    <col min="806" max="806" width="34.42578125" style="3" bestFit="1" customWidth="1"/>
    <col min="807" max="813" width="9.140625" style="3"/>
    <col min="814" max="814" width="34.42578125" style="3" bestFit="1" customWidth="1"/>
    <col min="815" max="821" width="9.140625" style="3"/>
    <col min="822" max="822" width="34.42578125" style="3" bestFit="1" customWidth="1"/>
    <col min="823" max="829" width="9.140625" style="3"/>
    <col min="830" max="830" width="34.42578125" style="3" bestFit="1" customWidth="1"/>
    <col min="831" max="837" width="9.140625" style="3"/>
    <col min="838" max="838" width="34.42578125" style="3" bestFit="1" customWidth="1"/>
    <col min="839" max="845" width="9.140625" style="3"/>
    <col min="846" max="846" width="34.42578125" style="3" bestFit="1" customWidth="1"/>
    <col min="847" max="853" width="9.140625" style="3"/>
    <col min="854" max="854" width="34.42578125" style="3" bestFit="1" customWidth="1"/>
    <col min="855" max="861" width="9.140625" style="3"/>
    <col min="862" max="862" width="34.42578125" style="3" bestFit="1" customWidth="1"/>
    <col min="863" max="869" width="9.140625" style="3"/>
    <col min="870" max="870" width="34.42578125" style="3" bestFit="1" customWidth="1"/>
    <col min="871" max="877" width="9.140625" style="3"/>
    <col min="878" max="878" width="34.42578125" style="3" bestFit="1" customWidth="1"/>
    <col min="879" max="885" width="9.140625" style="3"/>
    <col min="886" max="886" width="34.42578125" style="3" bestFit="1" customWidth="1"/>
    <col min="887" max="893" width="9.140625" style="3"/>
    <col min="894" max="894" width="34.42578125" style="3" bestFit="1" customWidth="1"/>
    <col min="895" max="901" width="9.140625" style="3"/>
    <col min="902" max="902" width="34.42578125" style="3" bestFit="1" customWidth="1"/>
    <col min="903" max="909" width="9.140625" style="3"/>
    <col min="910" max="910" width="34.42578125" style="3" bestFit="1" customWidth="1"/>
    <col min="911" max="917" width="9.140625" style="3"/>
    <col min="918" max="918" width="34.42578125" style="3" bestFit="1" customWidth="1"/>
    <col min="919" max="925" width="9.140625" style="3"/>
    <col min="926" max="926" width="34.42578125" style="3" bestFit="1" customWidth="1"/>
    <col min="927" max="933" width="9.140625" style="3"/>
    <col min="934" max="934" width="34.42578125" style="3" bestFit="1" customWidth="1"/>
    <col min="935" max="941" width="9.140625" style="3"/>
    <col min="942" max="942" width="34.42578125" style="3" bestFit="1" customWidth="1"/>
    <col min="943" max="949" width="9.140625" style="3"/>
    <col min="950" max="950" width="34.42578125" style="3" bestFit="1" customWidth="1"/>
    <col min="951" max="957" width="9.140625" style="3"/>
    <col min="958" max="958" width="34.42578125" style="3" bestFit="1" customWidth="1"/>
    <col min="959" max="965" width="9.140625" style="3"/>
    <col min="966" max="966" width="34.42578125" style="3" bestFit="1" customWidth="1"/>
    <col min="967" max="973" width="9.140625" style="3"/>
    <col min="974" max="974" width="34.42578125" style="3" bestFit="1" customWidth="1"/>
    <col min="975" max="981" width="9.140625" style="3"/>
    <col min="982" max="982" width="34.42578125" style="3" bestFit="1" customWidth="1"/>
    <col min="983" max="989" width="9.140625" style="3"/>
    <col min="990" max="990" width="34.42578125" style="3" bestFit="1" customWidth="1"/>
    <col min="991" max="997" width="9.140625" style="3"/>
    <col min="998" max="998" width="34.42578125" style="3" bestFit="1" customWidth="1"/>
    <col min="999" max="1005" width="9.140625" style="3"/>
    <col min="1006" max="1006" width="34.42578125" style="3" bestFit="1" customWidth="1"/>
    <col min="1007" max="1013" width="9.140625" style="3"/>
    <col min="1014" max="1014" width="34.42578125" style="3" bestFit="1" customWidth="1"/>
    <col min="1015" max="1021" width="9.140625" style="3"/>
    <col min="1022" max="1022" width="34.42578125" style="3" bestFit="1" customWidth="1"/>
    <col min="1023" max="1029" width="9.140625" style="3"/>
    <col min="1030" max="1030" width="34.42578125" style="3" bestFit="1" customWidth="1"/>
    <col min="1031" max="1037" width="9.140625" style="3"/>
    <col min="1038" max="1038" width="34.42578125" style="3" bestFit="1" customWidth="1"/>
    <col min="1039" max="1045" width="9.140625" style="3"/>
    <col min="1046" max="1046" width="34.42578125" style="3" bestFit="1" customWidth="1"/>
    <col min="1047" max="1053" width="9.140625" style="3"/>
    <col min="1054" max="1054" width="34.42578125" style="3" bestFit="1" customWidth="1"/>
    <col min="1055" max="1061" width="9.140625" style="3"/>
    <col min="1062" max="1062" width="34.42578125" style="3" bestFit="1" customWidth="1"/>
    <col min="1063" max="1069" width="9.140625" style="3"/>
    <col min="1070" max="1070" width="34.42578125" style="3" bestFit="1" customWidth="1"/>
    <col min="1071" max="1077" width="9.140625" style="3"/>
    <col min="1078" max="1078" width="34.42578125" style="3" bestFit="1" customWidth="1"/>
    <col min="1079" max="1085" width="9.140625" style="3"/>
    <col min="1086" max="1086" width="34.42578125" style="3" bestFit="1" customWidth="1"/>
    <col min="1087" max="1093" width="9.140625" style="3"/>
    <col min="1094" max="1094" width="34.42578125" style="3" bestFit="1" customWidth="1"/>
    <col min="1095" max="1101" width="9.140625" style="3"/>
    <col min="1102" max="1102" width="34.42578125" style="3" bestFit="1" customWidth="1"/>
    <col min="1103" max="1109" width="9.140625" style="3"/>
    <col min="1110" max="1110" width="34.42578125" style="3" bestFit="1" customWidth="1"/>
    <col min="1111" max="1117" width="9.140625" style="3"/>
    <col min="1118" max="1118" width="34.42578125" style="3" bestFit="1" customWidth="1"/>
    <col min="1119" max="1125" width="9.140625" style="3"/>
    <col min="1126" max="1126" width="34.42578125" style="3" bestFit="1" customWidth="1"/>
    <col min="1127" max="1133" width="9.140625" style="3"/>
    <col min="1134" max="1134" width="34.42578125" style="3" bestFit="1" customWidth="1"/>
    <col min="1135" max="1141" width="9.140625" style="3"/>
    <col min="1142" max="1142" width="34.42578125" style="3" bestFit="1" customWidth="1"/>
    <col min="1143" max="1149" width="9.140625" style="3"/>
    <col min="1150" max="1150" width="34.42578125" style="3" bestFit="1" customWidth="1"/>
    <col min="1151" max="1157" width="9.140625" style="3"/>
    <col min="1158" max="1158" width="34.42578125" style="3" bestFit="1" customWidth="1"/>
    <col min="1159" max="1165" width="9.140625" style="3"/>
    <col min="1166" max="1166" width="34.42578125" style="3" bestFit="1" customWidth="1"/>
    <col min="1167" max="1173" width="9.140625" style="3"/>
    <col min="1174" max="1174" width="34.42578125" style="3" bestFit="1" customWidth="1"/>
    <col min="1175" max="1181" width="9.140625" style="3"/>
    <col min="1182" max="1182" width="34.42578125" style="3" bestFit="1" customWidth="1"/>
    <col min="1183" max="1189" width="9.140625" style="3"/>
    <col min="1190" max="1190" width="34.42578125" style="3" bestFit="1" customWidth="1"/>
    <col min="1191" max="1197" width="9.140625" style="3"/>
    <col min="1198" max="1198" width="34.42578125" style="3" bestFit="1" customWidth="1"/>
    <col min="1199" max="1205" width="9.140625" style="3"/>
    <col min="1206" max="1206" width="34.42578125" style="3" bestFit="1" customWidth="1"/>
    <col min="1207" max="1213" width="9.140625" style="3"/>
    <col min="1214" max="1214" width="34.42578125" style="3" bestFit="1" customWidth="1"/>
    <col min="1215" max="1221" width="9.140625" style="3"/>
    <col min="1222" max="1222" width="34.42578125" style="3" bestFit="1" customWidth="1"/>
    <col min="1223" max="1229" width="9.140625" style="3"/>
    <col min="1230" max="1230" width="34.42578125" style="3" bestFit="1" customWidth="1"/>
    <col min="1231" max="1237" width="9.140625" style="3"/>
    <col min="1238" max="1238" width="34.42578125" style="3" bestFit="1" customWidth="1"/>
    <col min="1239" max="1245" width="9.140625" style="3"/>
    <col min="1246" max="1246" width="34.42578125" style="3" bestFit="1" customWidth="1"/>
    <col min="1247" max="1253" width="9.140625" style="3"/>
    <col min="1254" max="1254" width="34.42578125" style="3" bestFit="1" customWidth="1"/>
    <col min="1255" max="1261" width="9.140625" style="3"/>
    <col min="1262" max="1262" width="34.42578125" style="3" bestFit="1" customWidth="1"/>
    <col min="1263" max="1269" width="9.140625" style="3"/>
    <col min="1270" max="1270" width="34.42578125" style="3" bestFit="1" customWidth="1"/>
    <col min="1271" max="1277" width="9.140625" style="3"/>
    <col min="1278" max="1278" width="34.42578125" style="3" bestFit="1" customWidth="1"/>
    <col min="1279" max="1285" width="9.140625" style="3"/>
    <col min="1286" max="1286" width="34.42578125" style="3" bestFit="1" customWidth="1"/>
    <col min="1287" max="1293" width="9.140625" style="3"/>
    <col min="1294" max="1294" width="34.42578125" style="3" bestFit="1" customWidth="1"/>
    <col min="1295" max="1301" width="9.140625" style="3"/>
    <col min="1302" max="1302" width="34.42578125" style="3" bestFit="1" customWidth="1"/>
    <col min="1303" max="1309" width="9.140625" style="3"/>
    <col min="1310" max="1310" width="34.42578125" style="3" bestFit="1" customWidth="1"/>
    <col min="1311" max="1317" width="9.140625" style="3"/>
    <col min="1318" max="1318" width="34.42578125" style="3" bestFit="1" customWidth="1"/>
    <col min="1319" max="1325" width="9.140625" style="3"/>
    <col min="1326" max="1326" width="34.42578125" style="3" bestFit="1" customWidth="1"/>
    <col min="1327" max="1333" width="9.140625" style="3"/>
    <col min="1334" max="1334" width="34.42578125" style="3" bestFit="1" customWidth="1"/>
    <col min="1335" max="1341" width="9.140625" style="3"/>
    <col min="1342" max="1342" width="34.42578125" style="3" bestFit="1" customWidth="1"/>
    <col min="1343" max="1349" width="9.140625" style="3"/>
    <col min="1350" max="1350" width="34.42578125" style="3" bestFit="1" customWidth="1"/>
    <col min="1351" max="1357" width="9.140625" style="3"/>
    <col min="1358" max="1358" width="34.42578125" style="3" bestFit="1" customWidth="1"/>
    <col min="1359" max="1365" width="9.140625" style="3"/>
    <col min="1366" max="1366" width="34.42578125" style="3" bestFit="1" customWidth="1"/>
    <col min="1367" max="1373" width="9.140625" style="3"/>
    <col min="1374" max="1374" width="34.42578125" style="3" bestFit="1" customWidth="1"/>
    <col min="1375" max="1381" width="9.140625" style="3"/>
    <col min="1382" max="1382" width="34.42578125" style="3" bestFit="1" customWidth="1"/>
    <col min="1383" max="1389" width="9.140625" style="3"/>
    <col min="1390" max="1390" width="34.42578125" style="3" bestFit="1" customWidth="1"/>
    <col min="1391" max="1397" width="9.140625" style="3"/>
    <col min="1398" max="1398" width="34.42578125" style="3" bestFit="1" customWidth="1"/>
    <col min="1399" max="1405" width="9.140625" style="3"/>
    <col min="1406" max="1406" width="34.42578125" style="3" bestFit="1" customWidth="1"/>
    <col min="1407" max="1413" width="9.140625" style="3"/>
    <col min="1414" max="1414" width="34.42578125" style="3" bestFit="1" customWidth="1"/>
    <col min="1415" max="1421" width="9.140625" style="3"/>
    <col min="1422" max="1422" width="34.42578125" style="3" bestFit="1" customWidth="1"/>
    <col min="1423" max="1429" width="9.140625" style="3"/>
    <col min="1430" max="1430" width="34.42578125" style="3" bestFit="1" customWidth="1"/>
    <col min="1431" max="1437" width="9.140625" style="3"/>
    <col min="1438" max="1438" width="34.42578125" style="3" bestFit="1" customWidth="1"/>
    <col min="1439" max="1445" width="9.140625" style="3"/>
    <col min="1446" max="1446" width="34.42578125" style="3" bestFit="1" customWidth="1"/>
    <col min="1447" max="1453" width="9.140625" style="3"/>
    <col min="1454" max="1454" width="34.42578125" style="3" bestFit="1" customWidth="1"/>
    <col min="1455" max="1461" width="9.140625" style="3"/>
    <col min="1462" max="1462" width="34.42578125" style="3" bestFit="1" customWidth="1"/>
    <col min="1463" max="1469" width="9.140625" style="3"/>
    <col min="1470" max="1470" width="34.42578125" style="3" bestFit="1" customWidth="1"/>
    <col min="1471" max="1477" width="9.140625" style="3"/>
    <col min="1478" max="1478" width="34.42578125" style="3" bestFit="1" customWidth="1"/>
    <col min="1479" max="1485" width="9.140625" style="3"/>
    <col min="1486" max="1486" width="34.42578125" style="3" bestFit="1" customWidth="1"/>
    <col min="1487" max="1493" width="9.140625" style="3"/>
    <col min="1494" max="1494" width="34.42578125" style="3" bestFit="1" customWidth="1"/>
    <col min="1495" max="1501" width="9.140625" style="3"/>
    <col min="1502" max="1502" width="34.42578125" style="3" bestFit="1" customWidth="1"/>
    <col min="1503" max="1509" width="9.140625" style="3"/>
    <col min="1510" max="1510" width="34.42578125" style="3" bestFit="1" customWidth="1"/>
    <col min="1511" max="1517" width="9.140625" style="3"/>
    <col min="1518" max="1518" width="34.42578125" style="3" bestFit="1" customWidth="1"/>
    <col min="1519" max="1525" width="9.140625" style="3"/>
    <col min="1526" max="1526" width="34.42578125" style="3" bestFit="1" customWidth="1"/>
    <col min="1527" max="1533" width="9.140625" style="3"/>
    <col min="1534" max="1534" width="34.42578125" style="3" bestFit="1" customWidth="1"/>
    <col min="1535" max="1541" width="9.140625" style="3"/>
    <col min="1542" max="1542" width="34.42578125" style="3" bestFit="1" customWidth="1"/>
    <col min="1543" max="1549" width="9.140625" style="3"/>
    <col min="1550" max="1550" width="34.42578125" style="3" bestFit="1" customWidth="1"/>
    <col min="1551" max="1557" width="9.140625" style="3"/>
    <col min="1558" max="1558" width="34.42578125" style="3" bestFit="1" customWidth="1"/>
    <col min="1559" max="1565" width="9.140625" style="3"/>
    <col min="1566" max="1566" width="34.42578125" style="3" bestFit="1" customWidth="1"/>
    <col min="1567" max="1573" width="9.140625" style="3"/>
    <col min="1574" max="1574" width="34.42578125" style="3" bestFit="1" customWidth="1"/>
    <col min="1575" max="1581" width="9.140625" style="3"/>
    <col min="1582" max="1582" width="34.42578125" style="3" bestFit="1" customWidth="1"/>
    <col min="1583" max="1589" width="9.140625" style="3"/>
    <col min="1590" max="1590" width="34.42578125" style="3" bestFit="1" customWidth="1"/>
    <col min="1591" max="1597" width="9.140625" style="3"/>
    <col min="1598" max="1598" width="34.42578125" style="3" bestFit="1" customWidth="1"/>
    <col min="1599" max="1605" width="9.140625" style="3"/>
    <col min="1606" max="1606" width="34.42578125" style="3" bestFit="1" customWidth="1"/>
    <col min="1607" max="1613" width="9.140625" style="3"/>
    <col min="1614" max="1614" width="34.42578125" style="3" bestFit="1" customWidth="1"/>
    <col min="1615" max="1621" width="9.140625" style="3"/>
    <col min="1622" max="1622" width="34.42578125" style="3" bestFit="1" customWidth="1"/>
    <col min="1623" max="1629" width="9.140625" style="3"/>
    <col min="1630" max="1630" width="34.42578125" style="3" bestFit="1" customWidth="1"/>
    <col min="1631" max="1637" width="9.140625" style="3"/>
    <col min="1638" max="1638" width="34.42578125" style="3" bestFit="1" customWidth="1"/>
    <col min="1639" max="1645" width="9.140625" style="3"/>
    <col min="1646" max="1646" width="34.42578125" style="3" bestFit="1" customWidth="1"/>
    <col min="1647" max="1653" width="9.140625" style="3"/>
    <col min="1654" max="1654" width="34.42578125" style="3" bestFit="1" customWidth="1"/>
    <col min="1655" max="1661" width="9.140625" style="3"/>
    <col min="1662" max="1662" width="34.42578125" style="3" bestFit="1" customWidth="1"/>
    <col min="1663" max="1669" width="9.140625" style="3"/>
    <col min="1670" max="1670" width="34.42578125" style="3" bestFit="1" customWidth="1"/>
    <col min="1671" max="1677" width="9.140625" style="3"/>
    <col min="1678" max="1678" width="34.42578125" style="3" bestFit="1" customWidth="1"/>
    <col min="1679" max="1685" width="9.140625" style="3"/>
    <col min="1686" max="1686" width="34.42578125" style="3" bestFit="1" customWidth="1"/>
    <col min="1687" max="1693" width="9.140625" style="3"/>
    <col min="1694" max="1694" width="34.42578125" style="3" bestFit="1" customWidth="1"/>
    <col min="1695" max="1701" width="9.140625" style="3"/>
    <col min="1702" max="1702" width="34.42578125" style="3" bestFit="1" customWidth="1"/>
    <col min="1703" max="1709" width="9.140625" style="3"/>
    <col min="1710" max="1710" width="34.42578125" style="3" bestFit="1" customWidth="1"/>
    <col min="1711" max="1717" width="9.140625" style="3"/>
    <col min="1718" max="1718" width="34.42578125" style="3" bestFit="1" customWidth="1"/>
    <col min="1719" max="1725" width="9.140625" style="3"/>
    <col min="1726" max="1726" width="34.42578125" style="3" bestFit="1" customWidth="1"/>
    <col min="1727" max="1733" width="9.140625" style="3"/>
    <col min="1734" max="1734" width="34.42578125" style="3" bestFit="1" customWidth="1"/>
    <col min="1735" max="1741" width="9.140625" style="3"/>
    <col min="1742" max="1742" width="34.42578125" style="3" bestFit="1" customWidth="1"/>
    <col min="1743" max="1749" width="9.140625" style="3"/>
    <col min="1750" max="1750" width="34.42578125" style="3" bestFit="1" customWidth="1"/>
    <col min="1751" max="1757" width="9.140625" style="3"/>
    <col min="1758" max="1758" width="34.42578125" style="3" bestFit="1" customWidth="1"/>
    <col min="1759" max="1765" width="9.140625" style="3"/>
    <col min="1766" max="1766" width="34.42578125" style="3" bestFit="1" customWidth="1"/>
    <col min="1767" max="1773" width="9.140625" style="3"/>
    <col min="1774" max="1774" width="34.42578125" style="3" bestFit="1" customWidth="1"/>
    <col min="1775" max="1781" width="9.140625" style="3"/>
    <col min="1782" max="1782" width="34.42578125" style="3" bestFit="1" customWidth="1"/>
    <col min="1783" max="1789" width="9.140625" style="3"/>
    <col min="1790" max="1790" width="34.42578125" style="3" bestFit="1" customWidth="1"/>
    <col min="1791" max="1797" width="9.140625" style="3"/>
    <col min="1798" max="1798" width="34.42578125" style="3" bestFit="1" customWidth="1"/>
    <col min="1799" max="1805" width="9.140625" style="3"/>
    <col min="1806" max="1806" width="34.42578125" style="3" bestFit="1" customWidth="1"/>
    <col min="1807" max="1813" width="9.140625" style="3"/>
    <col min="1814" max="1814" width="34.42578125" style="3" bestFit="1" customWidth="1"/>
    <col min="1815" max="1821" width="9.140625" style="3"/>
    <col min="1822" max="1822" width="34.42578125" style="3" bestFit="1" customWidth="1"/>
    <col min="1823" max="1829" width="9.140625" style="3"/>
    <col min="1830" max="1830" width="34.42578125" style="3" bestFit="1" customWidth="1"/>
    <col min="1831" max="1837" width="9.140625" style="3"/>
    <col min="1838" max="1838" width="34.42578125" style="3" bestFit="1" customWidth="1"/>
    <col min="1839" max="1845" width="9.140625" style="3"/>
    <col min="1846" max="1846" width="34.42578125" style="3" bestFit="1" customWidth="1"/>
    <col min="1847" max="1853" width="9.140625" style="3"/>
    <col min="1854" max="1854" width="34.42578125" style="3" bestFit="1" customWidth="1"/>
    <col min="1855" max="1861" width="9.140625" style="3"/>
    <col min="1862" max="1862" width="34.42578125" style="3" bestFit="1" customWidth="1"/>
    <col min="1863" max="1869" width="9.140625" style="3"/>
    <col min="1870" max="1870" width="34.42578125" style="3" bestFit="1" customWidth="1"/>
    <col min="1871" max="1877" width="9.140625" style="3"/>
    <col min="1878" max="1878" width="34.42578125" style="3" bestFit="1" customWidth="1"/>
    <col min="1879" max="1885" width="9.140625" style="3"/>
    <col min="1886" max="1886" width="34.42578125" style="3" bestFit="1" customWidth="1"/>
    <col min="1887" max="1893" width="9.140625" style="3"/>
    <col min="1894" max="1894" width="34.42578125" style="3" bestFit="1" customWidth="1"/>
    <col min="1895" max="1901" width="9.140625" style="3"/>
    <col min="1902" max="1902" width="34.42578125" style="3" bestFit="1" customWidth="1"/>
    <col min="1903" max="1909" width="9.140625" style="3"/>
    <col min="1910" max="1910" width="34.42578125" style="3" bestFit="1" customWidth="1"/>
    <col min="1911" max="1917" width="9.140625" style="3"/>
    <col min="1918" max="1918" width="34.42578125" style="3" bestFit="1" customWidth="1"/>
    <col min="1919" max="1925" width="9.140625" style="3"/>
    <col min="1926" max="1926" width="34.42578125" style="3" bestFit="1" customWidth="1"/>
    <col min="1927" max="1933" width="9.140625" style="3"/>
    <col min="1934" max="1934" width="34.42578125" style="3" bestFit="1" customWidth="1"/>
    <col min="1935" max="1941" width="9.140625" style="3"/>
    <col min="1942" max="1942" width="34.42578125" style="3" bestFit="1" customWidth="1"/>
    <col min="1943" max="1949" width="9.140625" style="3"/>
    <col min="1950" max="1950" width="34.42578125" style="3" bestFit="1" customWidth="1"/>
    <col min="1951" max="1957" width="9.140625" style="3"/>
    <col min="1958" max="1958" width="34.42578125" style="3" bestFit="1" customWidth="1"/>
    <col min="1959" max="1965" width="9.140625" style="3"/>
    <col min="1966" max="1966" width="34.42578125" style="3" bestFit="1" customWidth="1"/>
    <col min="1967" max="1973" width="9.140625" style="3"/>
    <col min="1974" max="1974" width="34.42578125" style="3" bestFit="1" customWidth="1"/>
    <col min="1975" max="1981" width="9.140625" style="3"/>
    <col min="1982" max="1982" width="34.42578125" style="3" bestFit="1" customWidth="1"/>
    <col min="1983" max="1989" width="9.140625" style="3"/>
    <col min="1990" max="1990" width="34.42578125" style="3" bestFit="1" customWidth="1"/>
    <col min="1991" max="1997" width="9.140625" style="3"/>
    <col min="1998" max="1998" width="34.42578125" style="3" bestFit="1" customWidth="1"/>
    <col min="1999" max="2005" width="9.140625" style="3"/>
    <col min="2006" max="2006" width="34.42578125" style="3" bestFit="1" customWidth="1"/>
    <col min="2007" max="2013" width="9.140625" style="3"/>
    <col min="2014" max="2014" width="34.42578125" style="3" bestFit="1" customWidth="1"/>
    <col min="2015" max="2021" width="9.140625" style="3"/>
    <col min="2022" max="2022" width="34.42578125" style="3" bestFit="1" customWidth="1"/>
    <col min="2023" max="2029" width="9.140625" style="3"/>
    <col min="2030" max="2030" width="34.42578125" style="3" bestFit="1" customWidth="1"/>
    <col min="2031" max="2037" width="9.140625" style="3"/>
    <col min="2038" max="2038" width="34.42578125" style="3" bestFit="1" customWidth="1"/>
    <col min="2039" max="2045" width="9.140625" style="3"/>
    <col min="2046" max="2046" width="34.42578125" style="3" bestFit="1" customWidth="1"/>
    <col min="2047" max="2053" width="9.140625" style="3"/>
    <col min="2054" max="2054" width="34.42578125" style="3" bestFit="1" customWidth="1"/>
    <col min="2055" max="2061" width="9.140625" style="3"/>
    <col min="2062" max="2062" width="34.42578125" style="3" bestFit="1" customWidth="1"/>
    <col min="2063" max="2069" width="9.140625" style="3"/>
    <col min="2070" max="2070" width="34.42578125" style="3" bestFit="1" customWidth="1"/>
    <col min="2071" max="2077" width="9.140625" style="3"/>
    <col min="2078" max="2078" width="34.42578125" style="3" bestFit="1" customWidth="1"/>
    <col min="2079" max="2085" width="9.140625" style="3"/>
    <col min="2086" max="2086" width="34.42578125" style="3" bestFit="1" customWidth="1"/>
    <col min="2087" max="2093" width="9.140625" style="3"/>
    <col min="2094" max="2094" width="34.42578125" style="3" bestFit="1" customWidth="1"/>
    <col min="2095" max="2101" width="9.140625" style="3"/>
    <col min="2102" max="2102" width="34.42578125" style="3" bestFit="1" customWidth="1"/>
    <col min="2103" max="2109" width="9.140625" style="3"/>
    <col min="2110" max="2110" width="34.42578125" style="3" bestFit="1" customWidth="1"/>
    <col min="2111" max="2117" width="9.140625" style="3"/>
    <col min="2118" max="2118" width="34.42578125" style="3" bestFit="1" customWidth="1"/>
    <col min="2119" max="2125" width="9.140625" style="3"/>
    <col min="2126" max="2126" width="34.42578125" style="3" bestFit="1" customWidth="1"/>
    <col min="2127" max="2133" width="9.140625" style="3"/>
    <col min="2134" max="2134" width="34.42578125" style="3" bestFit="1" customWidth="1"/>
    <col min="2135" max="2141" width="9.140625" style="3"/>
    <col min="2142" max="2142" width="34.42578125" style="3" bestFit="1" customWidth="1"/>
    <col min="2143" max="2149" width="9.140625" style="3"/>
    <col min="2150" max="2150" width="34.42578125" style="3" bestFit="1" customWidth="1"/>
    <col min="2151" max="2157" width="9.140625" style="3"/>
    <col min="2158" max="2158" width="34.42578125" style="3" bestFit="1" customWidth="1"/>
    <col min="2159" max="2165" width="9.140625" style="3"/>
    <col min="2166" max="2166" width="34.42578125" style="3" bestFit="1" customWidth="1"/>
    <col min="2167" max="2173" width="9.140625" style="3"/>
    <col min="2174" max="2174" width="34.42578125" style="3" bestFit="1" customWidth="1"/>
    <col min="2175" max="2181" width="9.140625" style="3"/>
    <col min="2182" max="2182" width="34.42578125" style="3" bestFit="1" customWidth="1"/>
    <col min="2183" max="2189" width="9.140625" style="3"/>
    <col min="2190" max="2190" width="34.42578125" style="3" bestFit="1" customWidth="1"/>
    <col min="2191" max="2197" width="9.140625" style="3"/>
    <col min="2198" max="2198" width="34.42578125" style="3" bestFit="1" customWidth="1"/>
    <col min="2199" max="2205" width="9.140625" style="3"/>
    <col min="2206" max="2206" width="34.42578125" style="3" bestFit="1" customWidth="1"/>
    <col min="2207" max="2213" width="9.140625" style="3"/>
    <col min="2214" max="2214" width="34.42578125" style="3" bestFit="1" customWidth="1"/>
    <col min="2215" max="2221" width="9.140625" style="3"/>
    <col min="2222" max="2222" width="34.42578125" style="3" bestFit="1" customWidth="1"/>
    <col min="2223" max="2229" width="9.140625" style="3"/>
    <col min="2230" max="2230" width="34.42578125" style="3" bestFit="1" customWidth="1"/>
    <col min="2231" max="2237" width="9.140625" style="3"/>
    <col min="2238" max="2238" width="34.42578125" style="3" bestFit="1" customWidth="1"/>
    <col min="2239" max="2245" width="9.140625" style="3"/>
    <col min="2246" max="2246" width="34.42578125" style="3" bestFit="1" customWidth="1"/>
    <col min="2247" max="2253" width="9.140625" style="3"/>
    <col min="2254" max="2254" width="34.42578125" style="3" bestFit="1" customWidth="1"/>
    <col min="2255" max="2261" width="9.140625" style="3"/>
    <col min="2262" max="2262" width="34.42578125" style="3" bestFit="1" customWidth="1"/>
    <col min="2263" max="2269" width="9.140625" style="3"/>
    <col min="2270" max="2270" width="34.42578125" style="3" bestFit="1" customWidth="1"/>
    <col min="2271" max="2277" width="9.140625" style="3"/>
    <col min="2278" max="2278" width="34.42578125" style="3" bestFit="1" customWidth="1"/>
    <col min="2279" max="2285" width="9.140625" style="3"/>
    <col min="2286" max="2286" width="34.42578125" style="3" bestFit="1" customWidth="1"/>
    <col min="2287" max="2293" width="9.140625" style="3"/>
    <col min="2294" max="2294" width="34.42578125" style="3" bestFit="1" customWidth="1"/>
    <col min="2295" max="2301" width="9.140625" style="3"/>
    <col min="2302" max="2302" width="34.42578125" style="3" bestFit="1" customWidth="1"/>
    <col min="2303" max="2309" width="9.140625" style="3"/>
    <col min="2310" max="2310" width="34.42578125" style="3" bestFit="1" customWidth="1"/>
    <col min="2311" max="2317" width="9.140625" style="3"/>
    <col min="2318" max="2318" width="34.42578125" style="3" bestFit="1" customWidth="1"/>
    <col min="2319" max="2325" width="9.140625" style="3"/>
    <col min="2326" max="2326" width="34.42578125" style="3" bestFit="1" customWidth="1"/>
    <col min="2327" max="2333" width="9.140625" style="3"/>
    <col min="2334" max="2334" width="34.42578125" style="3" bestFit="1" customWidth="1"/>
    <col min="2335" max="2341" width="9.140625" style="3"/>
    <col min="2342" max="2342" width="34.42578125" style="3" bestFit="1" customWidth="1"/>
    <col min="2343" max="2349" width="9.140625" style="3"/>
    <col min="2350" max="2350" width="34.42578125" style="3" bestFit="1" customWidth="1"/>
    <col min="2351" max="2357" width="9.140625" style="3"/>
    <col min="2358" max="2358" width="34.42578125" style="3" bestFit="1" customWidth="1"/>
    <col min="2359" max="2365" width="9.140625" style="3"/>
    <col min="2366" max="2366" width="34.42578125" style="3" bestFit="1" customWidth="1"/>
    <col min="2367" max="2373" width="9.140625" style="3"/>
    <col min="2374" max="2374" width="34.42578125" style="3" bestFit="1" customWidth="1"/>
    <col min="2375" max="2381" width="9.140625" style="3"/>
    <col min="2382" max="2382" width="34.42578125" style="3" bestFit="1" customWidth="1"/>
    <col min="2383" max="2389" width="9.140625" style="3"/>
    <col min="2390" max="2390" width="34.42578125" style="3" bestFit="1" customWidth="1"/>
    <col min="2391" max="2397" width="9.140625" style="3"/>
    <col min="2398" max="2398" width="34.42578125" style="3" bestFit="1" customWidth="1"/>
    <col min="2399" max="2405" width="9.140625" style="3"/>
    <col min="2406" max="2406" width="34.42578125" style="3" bestFit="1" customWidth="1"/>
    <col min="2407" max="2413" width="9.140625" style="3"/>
    <col min="2414" max="2414" width="34.42578125" style="3" bestFit="1" customWidth="1"/>
    <col min="2415" max="2421" width="9.140625" style="3"/>
    <col min="2422" max="2422" width="34.42578125" style="3" bestFit="1" customWidth="1"/>
    <col min="2423" max="2429" width="9.140625" style="3"/>
    <col min="2430" max="2430" width="34.42578125" style="3" bestFit="1" customWidth="1"/>
    <col min="2431" max="2437" width="9.140625" style="3"/>
    <col min="2438" max="2438" width="34.42578125" style="3" bestFit="1" customWidth="1"/>
    <col min="2439" max="2445" width="9.140625" style="3"/>
    <col min="2446" max="2446" width="34.42578125" style="3" bestFit="1" customWidth="1"/>
    <col min="2447" max="2453" width="9.140625" style="3"/>
    <col min="2454" max="2454" width="34.42578125" style="3" bestFit="1" customWidth="1"/>
    <col min="2455" max="2461" width="9.140625" style="3"/>
    <col min="2462" max="2462" width="34.42578125" style="3" bestFit="1" customWidth="1"/>
    <col min="2463" max="2469" width="9.140625" style="3"/>
    <col min="2470" max="2470" width="34.42578125" style="3" bestFit="1" customWidth="1"/>
    <col min="2471" max="2477" width="9.140625" style="3"/>
    <col min="2478" max="2478" width="34.42578125" style="3" bestFit="1" customWidth="1"/>
    <col min="2479" max="2485" width="9.140625" style="3"/>
    <col min="2486" max="2486" width="34.42578125" style="3" bestFit="1" customWidth="1"/>
    <col min="2487" max="2493" width="9.140625" style="3"/>
    <col min="2494" max="2494" width="34.42578125" style="3" bestFit="1" customWidth="1"/>
    <col min="2495" max="2501" width="9.140625" style="3"/>
    <col min="2502" max="2502" width="34.42578125" style="3" bestFit="1" customWidth="1"/>
    <col min="2503" max="2509" width="9.140625" style="3"/>
    <col min="2510" max="2510" width="34.42578125" style="3" bestFit="1" customWidth="1"/>
    <col min="2511" max="2517" width="9.140625" style="3"/>
    <col min="2518" max="2518" width="34.42578125" style="3" bestFit="1" customWidth="1"/>
    <col min="2519" max="2525" width="9.140625" style="3"/>
    <col min="2526" max="2526" width="34.42578125" style="3" bestFit="1" customWidth="1"/>
    <col min="2527" max="2533" width="9.140625" style="3"/>
    <col min="2534" max="2534" width="34.42578125" style="3" bestFit="1" customWidth="1"/>
    <col min="2535" max="2541" width="9.140625" style="3"/>
    <col min="2542" max="2542" width="34.42578125" style="3" bestFit="1" customWidth="1"/>
    <col min="2543" max="2549" width="9.140625" style="3"/>
    <col min="2550" max="2550" width="34.42578125" style="3" bestFit="1" customWidth="1"/>
    <col min="2551" max="2557" width="9.140625" style="3"/>
    <col min="2558" max="2558" width="34.42578125" style="3" bestFit="1" customWidth="1"/>
    <col min="2559" max="2565" width="9.140625" style="3"/>
    <col min="2566" max="2566" width="34.42578125" style="3" bestFit="1" customWidth="1"/>
    <col min="2567" max="2573" width="9.140625" style="3"/>
    <col min="2574" max="2574" width="34.42578125" style="3" bestFit="1" customWidth="1"/>
    <col min="2575" max="2581" width="9.140625" style="3"/>
    <col min="2582" max="2582" width="34.42578125" style="3" bestFit="1" customWidth="1"/>
    <col min="2583" max="2589" width="9.140625" style="3"/>
    <col min="2590" max="2590" width="34.42578125" style="3" bestFit="1" customWidth="1"/>
    <col min="2591" max="2597" width="9.140625" style="3"/>
    <col min="2598" max="2598" width="34.42578125" style="3" bestFit="1" customWidth="1"/>
    <col min="2599" max="2605" width="9.140625" style="3"/>
    <col min="2606" max="2606" width="34.42578125" style="3" bestFit="1" customWidth="1"/>
    <col min="2607" max="2613" width="9.140625" style="3"/>
    <col min="2614" max="2614" width="34.42578125" style="3" bestFit="1" customWidth="1"/>
    <col min="2615" max="2621" width="9.140625" style="3"/>
    <col min="2622" max="2622" width="34.42578125" style="3" bestFit="1" customWidth="1"/>
    <col min="2623" max="2629" width="9.140625" style="3"/>
    <col min="2630" max="2630" width="34.42578125" style="3" bestFit="1" customWidth="1"/>
    <col min="2631" max="2637" width="9.140625" style="3"/>
    <col min="2638" max="2638" width="34.42578125" style="3" bestFit="1" customWidth="1"/>
    <col min="2639" max="2645" width="9.140625" style="3"/>
    <col min="2646" max="2646" width="34.42578125" style="3" bestFit="1" customWidth="1"/>
    <col min="2647" max="2653" width="9.140625" style="3"/>
    <col min="2654" max="2654" width="34.42578125" style="3" bestFit="1" customWidth="1"/>
    <col min="2655" max="2661" width="9.140625" style="3"/>
    <col min="2662" max="2662" width="34.42578125" style="3" bestFit="1" customWidth="1"/>
    <col min="2663" max="2669" width="9.140625" style="3"/>
    <col min="2670" max="2670" width="34.42578125" style="3" bestFit="1" customWidth="1"/>
    <col min="2671" max="2677" width="9.140625" style="3"/>
    <col min="2678" max="2678" width="34.42578125" style="3" bestFit="1" customWidth="1"/>
    <col min="2679" max="2685" width="9.140625" style="3"/>
    <col min="2686" max="2686" width="34.42578125" style="3" bestFit="1" customWidth="1"/>
    <col min="2687" max="2693" width="9.140625" style="3"/>
    <col min="2694" max="2694" width="34.42578125" style="3" bestFit="1" customWidth="1"/>
    <col min="2695" max="2701" width="9.140625" style="3"/>
    <col min="2702" max="2702" width="34.42578125" style="3" bestFit="1" customWidth="1"/>
    <col min="2703" max="2709" width="9.140625" style="3"/>
    <col min="2710" max="2710" width="34.42578125" style="3" bestFit="1" customWidth="1"/>
    <col min="2711" max="2717" width="9.140625" style="3"/>
    <col min="2718" max="2718" width="34.42578125" style="3" bestFit="1" customWidth="1"/>
    <col min="2719" max="2725" width="9.140625" style="3"/>
    <col min="2726" max="2726" width="34.42578125" style="3" bestFit="1" customWidth="1"/>
    <col min="2727" max="2733" width="9.140625" style="3"/>
    <col min="2734" max="2734" width="34.42578125" style="3" bestFit="1" customWidth="1"/>
    <col min="2735" max="2741" width="9.140625" style="3"/>
    <col min="2742" max="2742" width="34.42578125" style="3" bestFit="1" customWidth="1"/>
    <col min="2743" max="2749" width="9.140625" style="3"/>
    <col min="2750" max="2750" width="34.42578125" style="3" bestFit="1" customWidth="1"/>
    <col min="2751" max="2757" width="9.140625" style="3"/>
    <col min="2758" max="2758" width="34.42578125" style="3" bestFit="1" customWidth="1"/>
    <col min="2759" max="2765" width="9.140625" style="3"/>
    <col min="2766" max="2766" width="34.42578125" style="3" bestFit="1" customWidth="1"/>
    <col min="2767" max="2773" width="9.140625" style="3"/>
    <col min="2774" max="2774" width="34.42578125" style="3" bestFit="1" customWidth="1"/>
    <col min="2775" max="2781" width="9.140625" style="3"/>
    <col min="2782" max="2782" width="34.42578125" style="3" bestFit="1" customWidth="1"/>
    <col min="2783" max="2789" width="9.140625" style="3"/>
    <col min="2790" max="2790" width="34.42578125" style="3" bestFit="1" customWidth="1"/>
    <col min="2791" max="2797" width="9.140625" style="3"/>
    <col min="2798" max="2798" width="34.42578125" style="3" bestFit="1" customWidth="1"/>
    <col min="2799" max="2805" width="9.140625" style="3"/>
    <col min="2806" max="2806" width="34.42578125" style="3" bestFit="1" customWidth="1"/>
    <col min="2807" max="2813" width="9.140625" style="3"/>
    <col min="2814" max="2814" width="34.42578125" style="3" bestFit="1" customWidth="1"/>
    <col min="2815" max="2821" width="9.140625" style="3"/>
    <col min="2822" max="2822" width="34.42578125" style="3" bestFit="1" customWidth="1"/>
    <col min="2823" max="2829" width="9.140625" style="3"/>
    <col min="2830" max="2830" width="34.42578125" style="3" bestFit="1" customWidth="1"/>
    <col min="2831" max="2837" width="9.140625" style="3"/>
    <col min="2838" max="2838" width="34.42578125" style="3" bestFit="1" customWidth="1"/>
    <col min="2839" max="2845" width="9.140625" style="3"/>
    <col min="2846" max="2846" width="34.42578125" style="3" bestFit="1" customWidth="1"/>
    <col min="2847" max="2853" width="9.140625" style="3"/>
    <col min="2854" max="2854" width="34.42578125" style="3" bestFit="1" customWidth="1"/>
    <col min="2855" max="2861" width="9.140625" style="3"/>
    <col min="2862" max="2862" width="34.42578125" style="3" bestFit="1" customWidth="1"/>
    <col min="2863" max="2869" width="9.140625" style="3"/>
    <col min="2870" max="2870" width="34.42578125" style="3" bestFit="1" customWidth="1"/>
    <col min="2871" max="2877" width="9.140625" style="3"/>
    <col min="2878" max="2878" width="34.42578125" style="3" bestFit="1" customWidth="1"/>
    <col min="2879" max="2885" width="9.140625" style="3"/>
    <col min="2886" max="2886" width="34.42578125" style="3" bestFit="1" customWidth="1"/>
    <col min="2887" max="2893" width="9.140625" style="3"/>
    <col min="2894" max="2894" width="34.42578125" style="3" bestFit="1" customWidth="1"/>
    <col min="2895" max="2901" width="9.140625" style="3"/>
    <col min="2902" max="2902" width="34.42578125" style="3" bestFit="1" customWidth="1"/>
    <col min="2903" max="2909" width="9.140625" style="3"/>
    <col min="2910" max="2910" width="34.42578125" style="3" bestFit="1" customWidth="1"/>
    <col min="2911" max="2917" width="9.140625" style="3"/>
    <col min="2918" max="2918" width="34.42578125" style="3" bestFit="1" customWidth="1"/>
    <col min="2919" max="2925" width="9.140625" style="3"/>
    <col min="2926" max="2926" width="34.42578125" style="3" bestFit="1" customWidth="1"/>
    <col min="2927" max="2933" width="9.140625" style="3"/>
    <col min="2934" max="2934" width="34.42578125" style="3" bestFit="1" customWidth="1"/>
    <col min="2935" max="2941" width="9.140625" style="3"/>
    <col min="2942" max="2942" width="34.42578125" style="3" bestFit="1" customWidth="1"/>
    <col min="2943" max="2949" width="9.140625" style="3"/>
    <col min="2950" max="2950" width="34.42578125" style="3" bestFit="1" customWidth="1"/>
    <col min="2951" max="2957" width="9.140625" style="3"/>
    <col min="2958" max="2958" width="34.42578125" style="3" bestFit="1" customWidth="1"/>
    <col min="2959" max="2965" width="9.140625" style="3"/>
    <col min="2966" max="2966" width="34.42578125" style="3" bestFit="1" customWidth="1"/>
    <col min="2967" max="2973" width="9.140625" style="3"/>
    <col min="2974" max="2974" width="34.42578125" style="3" bestFit="1" customWidth="1"/>
    <col min="2975" max="2981" width="9.140625" style="3"/>
    <col min="2982" max="2982" width="34.42578125" style="3" bestFit="1" customWidth="1"/>
    <col min="2983" max="2989" width="9.140625" style="3"/>
    <col min="2990" max="2990" width="34.42578125" style="3" bestFit="1" customWidth="1"/>
    <col min="2991" max="2997" width="9.140625" style="3"/>
    <col min="2998" max="2998" width="34.42578125" style="3" bestFit="1" customWidth="1"/>
    <col min="2999" max="3005" width="9.140625" style="3"/>
    <col min="3006" max="3006" width="34.42578125" style="3" bestFit="1" customWidth="1"/>
    <col min="3007" max="3013" width="9.140625" style="3"/>
    <col min="3014" max="3014" width="34.42578125" style="3" bestFit="1" customWidth="1"/>
    <col min="3015" max="3021" width="9.140625" style="3"/>
    <col min="3022" max="3022" width="34.42578125" style="3" bestFit="1" customWidth="1"/>
    <col min="3023" max="3029" width="9.140625" style="3"/>
    <col min="3030" max="3030" width="34.42578125" style="3" bestFit="1" customWidth="1"/>
    <col min="3031" max="3037" width="9.140625" style="3"/>
    <col min="3038" max="3038" width="34.42578125" style="3" bestFit="1" customWidth="1"/>
    <col min="3039" max="3045" width="9.140625" style="3"/>
    <col min="3046" max="3046" width="34.42578125" style="3" bestFit="1" customWidth="1"/>
    <col min="3047" max="3053" width="9.140625" style="3"/>
    <col min="3054" max="3054" width="34.42578125" style="3" bestFit="1" customWidth="1"/>
    <col min="3055" max="3061" width="9.140625" style="3"/>
    <col min="3062" max="3062" width="34.42578125" style="3" bestFit="1" customWidth="1"/>
    <col min="3063" max="3069" width="9.140625" style="3"/>
    <col min="3070" max="3070" width="34.42578125" style="3" bestFit="1" customWidth="1"/>
    <col min="3071" max="3077" width="9.140625" style="3"/>
    <col min="3078" max="3078" width="34.42578125" style="3" bestFit="1" customWidth="1"/>
    <col min="3079" max="3085" width="9.140625" style="3"/>
    <col min="3086" max="3086" width="34.42578125" style="3" bestFit="1" customWidth="1"/>
    <col min="3087" max="3093" width="9.140625" style="3"/>
    <col min="3094" max="3094" width="34.42578125" style="3" bestFit="1" customWidth="1"/>
    <col min="3095" max="3101" width="9.140625" style="3"/>
    <col min="3102" max="3102" width="34.42578125" style="3" bestFit="1" customWidth="1"/>
    <col min="3103" max="3109" width="9.140625" style="3"/>
    <col min="3110" max="3110" width="34.42578125" style="3" bestFit="1" customWidth="1"/>
    <col min="3111" max="3117" width="9.140625" style="3"/>
    <col min="3118" max="3118" width="34.42578125" style="3" bestFit="1" customWidth="1"/>
    <col min="3119" max="3125" width="9.140625" style="3"/>
    <col min="3126" max="3126" width="34.42578125" style="3" bestFit="1" customWidth="1"/>
    <col min="3127" max="3133" width="9.140625" style="3"/>
    <col min="3134" max="3134" width="34.42578125" style="3" bestFit="1" customWidth="1"/>
    <col min="3135" max="3141" width="9.140625" style="3"/>
    <col min="3142" max="3142" width="34.42578125" style="3" bestFit="1" customWidth="1"/>
    <col min="3143" max="3149" width="9.140625" style="3"/>
    <col min="3150" max="3150" width="34.42578125" style="3" bestFit="1" customWidth="1"/>
    <col min="3151" max="3157" width="9.140625" style="3"/>
    <col min="3158" max="3158" width="34.42578125" style="3" bestFit="1" customWidth="1"/>
    <col min="3159" max="3165" width="9.140625" style="3"/>
    <col min="3166" max="3166" width="34.42578125" style="3" bestFit="1" customWidth="1"/>
    <col min="3167" max="3173" width="9.140625" style="3"/>
    <col min="3174" max="3174" width="34.42578125" style="3" bestFit="1" customWidth="1"/>
    <col min="3175" max="3181" width="9.140625" style="3"/>
    <col min="3182" max="3182" width="34.42578125" style="3" bestFit="1" customWidth="1"/>
    <col min="3183" max="3189" width="9.140625" style="3"/>
    <col min="3190" max="3190" width="34.42578125" style="3" bestFit="1" customWidth="1"/>
    <col min="3191" max="3197" width="9.140625" style="3"/>
    <col min="3198" max="3198" width="34.42578125" style="3" bestFit="1" customWidth="1"/>
    <col min="3199" max="3205" width="9.140625" style="3"/>
    <col min="3206" max="3206" width="34.42578125" style="3" bestFit="1" customWidth="1"/>
    <col min="3207" max="3213" width="9.140625" style="3"/>
    <col min="3214" max="3214" width="34.42578125" style="3" bestFit="1" customWidth="1"/>
    <col min="3215" max="3221" width="9.140625" style="3"/>
    <col min="3222" max="3222" width="34.42578125" style="3" bestFit="1" customWidth="1"/>
    <col min="3223" max="3229" width="9.140625" style="3"/>
    <col min="3230" max="3230" width="34.42578125" style="3" bestFit="1" customWidth="1"/>
    <col min="3231" max="3237" width="9.140625" style="3"/>
    <col min="3238" max="3238" width="34.42578125" style="3" bestFit="1" customWidth="1"/>
    <col min="3239" max="3245" width="9.140625" style="3"/>
    <col min="3246" max="3246" width="34.42578125" style="3" bestFit="1" customWidth="1"/>
    <col min="3247" max="3253" width="9.140625" style="3"/>
    <col min="3254" max="3254" width="34.42578125" style="3" bestFit="1" customWidth="1"/>
    <col min="3255" max="3261" width="9.140625" style="3"/>
    <col min="3262" max="3262" width="34.42578125" style="3" bestFit="1" customWidth="1"/>
    <col min="3263" max="3269" width="9.140625" style="3"/>
    <col min="3270" max="3270" width="34.42578125" style="3" bestFit="1" customWidth="1"/>
    <col min="3271" max="3277" width="9.140625" style="3"/>
    <col min="3278" max="3278" width="34.42578125" style="3" bestFit="1" customWidth="1"/>
    <col min="3279" max="3285" width="9.140625" style="3"/>
    <col min="3286" max="3286" width="34.42578125" style="3" bestFit="1" customWidth="1"/>
    <col min="3287" max="3293" width="9.140625" style="3"/>
    <col min="3294" max="3294" width="34.42578125" style="3" bestFit="1" customWidth="1"/>
    <col min="3295" max="3301" width="9.140625" style="3"/>
    <col min="3302" max="3302" width="34.42578125" style="3" bestFit="1" customWidth="1"/>
    <col min="3303" max="3309" width="9.140625" style="3"/>
    <col min="3310" max="3310" width="34.42578125" style="3" bestFit="1" customWidth="1"/>
    <col min="3311" max="3317" width="9.140625" style="3"/>
    <col min="3318" max="3318" width="34.42578125" style="3" bestFit="1" customWidth="1"/>
    <col min="3319" max="3325" width="9.140625" style="3"/>
    <col min="3326" max="3326" width="34.42578125" style="3" bestFit="1" customWidth="1"/>
    <col min="3327" max="3333" width="9.140625" style="3"/>
    <col min="3334" max="3334" width="34.42578125" style="3" bestFit="1" customWidth="1"/>
    <col min="3335" max="3341" width="9.140625" style="3"/>
    <col min="3342" max="3342" width="34.42578125" style="3" bestFit="1" customWidth="1"/>
    <col min="3343" max="3349" width="9.140625" style="3"/>
    <col min="3350" max="3350" width="34.42578125" style="3" bestFit="1" customWidth="1"/>
    <col min="3351" max="3357" width="9.140625" style="3"/>
    <col min="3358" max="3358" width="34.42578125" style="3" bestFit="1" customWidth="1"/>
    <col min="3359" max="3365" width="9.140625" style="3"/>
    <col min="3366" max="3366" width="34.42578125" style="3" bestFit="1" customWidth="1"/>
    <col min="3367" max="3373" width="9.140625" style="3"/>
    <col min="3374" max="3374" width="34.42578125" style="3" bestFit="1" customWidth="1"/>
    <col min="3375" max="3381" width="9.140625" style="3"/>
    <col min="3382" max="3382" width="34.42578125" style="3" bestFit="1" customWidth="1"/>
    <col min="3383" max="3389" width="9.140625" style="3"/>
    <col min="3390" max="3390" width="34.42578125" style="3" bestFit="1" customWidth="1"/>
    <col min="3391" max="3397" width="9.140625" style="3"/>
    <col min="3398" max="3398" width="34.42578125" style="3" bestFit="1" customWidth="1"/>
    <col min="3399" max="3405" width="9.140625" style="3"/>
    <col min="3406" max="3406" width="34.42578125" style="3" bestFit="1" customWidth="1"/>
    <col min="3407" max="3413" width="9.140625" style="3"/>
    <col min="3414" max="3414" width="34.42578125" style="3" bestFit="1" customWidth="1"/>
    <col min="3415" max="3421" width="9.140625" style="3"/>
    <col min="3422" max="3422" width="34.42578125" style="3" bestFit="1" customWidth="1"/>
    <col min="3423" max="3429" width="9.140625" style="3"/>
    <col min="3430" max="3430" width="34.42578125" style="3" bestFit="1" customWidth="1"/>
    <col min="3431" max="3437" width="9.140625" style="3"/>
    <col min="3438" max="3438" width="34.42578125" style="3" bestFit="1" customWidth="1"/>
    <col min="3439" max="3445" width="9.140625" style="3"/>
    <col min="3446" max="3446" width="34.42578125" style="3" bestFit="1" customWidth="1"/>
    <col min="3447" max="3453" width="9.140625" style="3"/>
    <col min="3454" max="3454" width="34.42578125" style="3" bestFit="1" customWidth="1"/>
    <col min="3455" max="3461" width="9.140625" style="3"/>
    <col min="3462" max="3462" width="34.42578125" style="3" bestFit="1" customWidth="1"/>
    <col min="3463" max="3469" width="9.140625" style="3"/>
    <col min="3470" max="3470" width="34.42578125" style="3" bestFit="1" customWidth="1"/>
    <col min="3471" max="3477" width="9.140625" style="3"/>
    <col min="3478" max="3478" width="34.42578125" style="3" bestFit="1" customWidth="1"/>
    <col min="3479" max="3485" width="9.140625" style="3"/>
    <col min="3486" max="3486" width="34.42578125" style="3" bestFit="1" customWidth="1"/>
    <col min="3487" max="3493" width="9.140625" style="3"/>
    <col min="3494" max="3494" width="34.42578125" style="3" bestFit="1" customWidth="1"/>
    <col min="3495" max="3501" width="9.140625" style="3"/>
    <col min="3502" max="3502" width="34.42578125" style="3" bestFit="1" customWidth="1"/>
    <col min="3503" max="3509" width="9.140625" style="3"/>
    <col min="3510" max="3510" width="34.42578125" style="3" bestFit="1" customWidth="1"/>
    <col min="3511" max="3517" width="9.140625" style="3"/>
    <col min="3518" max="3518" width="34.42578125" style="3" bestFit="1" customWidth="1"/>
    <col min="3519" max="3525" width="9.140625" style="3"/>
    <col min="3526" max="3526" width="34.42578125" style="3" bestFit="1" customWidth="1"/>
    <col min="3527" max="3533" width="9.140625" style="3"/>
    <col min="3534" max="3534" width="34.42578125" style="3" bestFit="1" customWidth="1"/>
    <col min="3535" max="3541" width="9.140625" style="3"/>
    <col min="3542" max="3542" width="34.42578125" style="3" bestFit="1" customWidth="1"/>
    <col min="3543" max="3549" width="9.140625" style="3"/>
    <col min="3550" max="3550" width="34.42578125" style="3" bestFit="1" customWidth="1"/>
    <col min="3551" max="3557" width="9.140625" style="3"/>
    <col min="3558" max="3558" width="34.42578125" style="3" bestFit="1" customWidth="1"/>
    <col min="3559" max="3565" width="9.140625" style="3"/>
    <col min="3566" max="3566" width="34.42578125" style="3" bestFit="1" customWidth="1"/>
    <col min="3567" max="3573" width="9.140625" style="3"/>
    <col min="3574" max="3574" width="34.42578125" style="3" bestFit="1" customWidth="1"/>
    <col min="3575" max="3581" width="9.140625" style="3"/>
    <col min="3582" max="3582" width="34.42578125" style="3" bestFit="1" customWidth="1"/>
    <col min="3583" max="3589" width="9.140625" style="3"/>
    <col min="3590" max="3590" width="34.42578125" style="3" bestFit="1" customWidth="1"/>
    <col min="3591" max="3597" width="9.140625" style="3"/>
    <col min="3598" max="3598" width="34.42578125" style="3" bestFit="1" customWidth="1"/>
    <col min="3599" max="3605" width="9.140625" style="3"/>
    <col min="3606" max="3606" width="34.42578125" style="3" bestFit="1" customWidth="1"/>
    <col min="3607" max="3613" width="9.140625" style="3"/>
    <col min="3614" max="3614" width="34.42578125" style="3" bestFit="1" customWidth="1"/>
    <col min="3615" max="3621" width="9.140625" style="3"/>
    <col min="3622" max="3622" width="34.42578125" style="3" bestFit="1" customWidth="1"/>
    <col min="3623" max="3629" width="9.140625" style="3"/>
    <col min="3630" max="3630" width="34.42578125" style="3" bestFit="1" customWidth="1"/>
    <col min="3631" max="3637" width="9.140625" style="3"/>
    <col min="3638" max="3638" width="34.42578125" style="3" bestFit="1" customWidth="1"/>
    <col min="3639" max="3645" width="9.140625" style="3"/>
    <col min="3646" max="3646" width="34.42578125" style="3" bestFit="1" customWidth="1"/>
    <col min="3647" max="3653" width="9.140625" style="3"/>
    <col min="3654" max="3654" width="34.42578125" style="3" bestFit="1" customWidth="1"/>
    <col min="3655" max="3661" width="9.140625" style="3"/>
    <col min="3662" max="3662" width="34.42578125" style="3" bestFit="1" customWidth="1"/>
    <col min="3663" max="3669" width="9.140625" style="3"/>
    <col min="3670" max="3670" width="34.42578125" style="3" bestFit="1" customWidth="1"/>
    <col min="3671" max="3677" width="9.140625" style="3"/>
    <col min="3678" max="3678" width="34.42578125" style="3" bestFit="1" customWidth="1"/>
    <col min="3679" max="3685" width="9.140625" style="3"/>
    <col min="3686" max="3686" width="34.42578125" style="3" bestFit="1" customWidth="1"/>
    <col min="3687" max="3693" width="9.140625" style="3"/>
    <col min="3694" max="3694" width="34.42578125" style="3" bestFit="1" customWidth="1"/>
    <col min="3695" max="3701" width="9.140625" style="3"/>
    <col min="3702" max="3702" width="34.42578125" style="3" bestFit="1" customWidth="1"/>
    <col min="3703" max="3709" width="9.140625" style="3"/>
    <col min="3710" max="3710" width="34.42578125" style="3" bestFit="1" customWidth="1"/>
    <col min="3711" max="3717" width="9.140625" style="3"/>
    <col min="3718" max="3718" width="34.42578125" style="3" bestFit="1" customWidth="1"/>
    <col min="3719" max="3725" width="9.140625" style="3"/>
    <col min="3726" max="3726" width="34.42578125" style="3" bestFit="1" customWidth="1"/>
    <col min="3727" max="3733" width="9.140625" style="3"/>
    <col min="3734" max="3734" width="34.42578125" style="3" bestFit="1" customWidth="1"/>
    <col min="3735" max="3741" width="9.140625" style="3"/>
    <col min="3742" max="3742" width="34.42578125" style="3" bestFit="1" customWidth="1"/>
    <col min="3743" max="3749" width="9.140625" style="3"/>
    <col min="3750" max="3750" width="34.42578125" style="3" bestFit="1" customWidth="1"/>
    <col min="3751" max="3757" width="9.140625" style="3"/>
    <col min="3758" max="3758" width="34.42578125" style="3" bestFit="1" customWidth="1"/>
    <col min="3759" max="3765" width="9.140625" style="3"/>
    <col min="3766" max="3766" width="34.42578125" style="3" bestFit="1" customWidth="1"/>
    <col min="3767" max="3773" width="9.140625" style="3"/>
    <col min="3774" max="3774" width="34.42578125" style="3" bestFit="1" customWidth="1"/>
    <col min="3775" max="3781" width="9.140625" style="3"/>
    <col min="3782" max="3782" width="34.42578125" style="3" bestFit="1" customWidth="1"/>
    <col min="3783" max="3789" width="9.140625" style="3"/>
    <col min="3790" max="3790" width="34.42578125" style="3" bestFit="1" customWidth="1"/>
    <col min="3791" max="3797" width="9.140625" style="3"/>
    <col min="3798" max="3798" width="34.42578125" style="3" bestFit="1" customWidth="1"/>
    <col min="3799" max="3805" width="9.140625" style="3"/>
    <col min="3806" max="3806" width="34.42578125" style="3" bestFit="1" customWidth="1"/>
    <col min="3807" max="3813" width="9.140625" style="3"/>
    <col min="3814" max="3814" width="34.42578125" style="3" bestFit="1" customWidth="1"/>
    <col min="3815" max="3821" width="9.140625" style="3"/>
    <col min="3822" max="3822" width="34.42578125" style="3" bestFit="1" customWidth="1"/>
    <col min="3823" max="3829" width="9.140625" style="3"/>
    <col min="3830" max="3830" width="34.42578125" style="3" bestFit="1" customWidth="1"/>
    <col min="3831" max="3837" width="9.140625" style="3"/>
    <col min="3838" max="3838" width="34.42578125" style="3" bestFit="1" customWidth="1"/>
    <col min="3839" max="3845" width="9.140625" style="3"/>
    <col min="3846" max="3846" width="34.42578125" style="3" bestFit="1" customWidth="1"/>
    <col min="3847" max="3853" width="9.140625" style="3"/>
    <col min="3854" max="3854" width="34.42578125" style="3" bestFit="1" customWidth="1"/>
    <col min="3855" max="3861" width="9.140625" style="3"/>
    <col min="3862" max="3862" width="34.42578125" style="3" bestFit="1" customWidth="1"/>
    <col min="3863" max="3869" width="9.140625" style="3"/>
    <col min="3870" max="3870" width="34.42578125" style="3" bestFit="1" customWidth="1"/>
    <col min="3871" max="3877" width="9.140625" style="3"/>
    <col min="3878" max="3878" width="34.42578125" style="3" bestFit="1" customWidth="1"/>
    <col min="3879" max="3885" width="9.140625" style="3"/>
    <col min="3886" max="3886" width="34.42578125" style="3" bestFit="1" customWidth="1"/>
    <col min="3887" max="3893" width="9.140625" style="3"/>
    <col min="3894" max="3894" width="34.42578125" style="3" bestFit="1" customWidth="1"/>
    <col min="3895" max="3901" width="9.140625" style="3"/>
    <col min="3902" max="3902" width="34.42578125" style="3" bestFit="1" customWidth="1"/>
    <col min="3903" max="3909" width="9.140625" style="3"/>
    <col min="3910" max="3910" width="34.42578125" style="3" bestFit="1" customWidth="1"/>
    <col min="3911" max="3917" width="9.140625" style="3"/>
    <col min="3918" max="3918" width="34.42578125" style="3" bestFit="1" customWidth="1"/>
    <col min="3919" max="3925" width="9.140625" style="3"/>
    <col min="3926" max="3926" width="34.42578125" style="3" bestFit="1" customWidth="1"/>
    <col min="3927" max="3933" width="9.140625" style="3"/>
    <col min="3934" max="3934" width="34.42578125" style="3" bestFit="1" customWidth="1"/>
    <col min="3935" max="3941" width="9.140625" style="3"/>
    <col min="3942" max="3942" width="34.42578125" style="3" bestFit="1" customWidth="1"/>
    <col min="3943" max="3949" width="9.140625" style="3"/>
    <col min="3950" max="3950" width="34.42578125" style="3" bestFit="1" customWidth="1"/>
    <col min="3951" max="3957" width="9.140625" style="3"/>
    <col min="3958" max="3958" width="34.42578125" style="3" bestFit="1" customWidth="1"/>
    <col min="3959" max="3965" width="9.140625" style="3"/>
    <col min="3966" max="3966" width="34.42578125" style="3" bestFit="1" customWidth="1"/>
    <col min="3967" max="3973" width="9.140625" style="3"/>
    <col min="3974" max="3974" width="34.42578125" style="3" bestFit="1" customWidth="1"/>
    <col min="3975" max="3981" width="9.140625" style="3"/>
    <col min="3982" max="3982" width="34.42578125" style="3" bestFit="1" customWidth="1"/>
    <col min="3983" max="3989" width="9.140625" style="3"/>
    <col min="3990" max="3990" width="34.42578125" style="3" bestFit="1" customWidth="1"/>
    <col min="3991" max="3997" width="9.140625" style="3"/>
    <col min="3998" max="3998" width="34.42578125" style="3" bestFit="1" customWidth="1"/>
    <col min="3999" max="4005" width="9.140625" style="3"/>
    <col min="4006" max="4006" width="34.42578125" style="3" bestFit="1" customWidth="1"/>
    <col min="4007" max="4013" width="9.140625" style="3"/>
    <col min="4014" max="4014" width="34.42578125" style="3" bestFit="1" customWidth="1"/>
    <col min="4015" max="4021" width="9.140625" style="3"/>
    <col min="4022" max="4022" width="34.42578125" style="3" bestFit="1" customWidth="1"/>
    <col min="4023" max="4029" width="9.140625" style="3"/>
    <col min="4030" max="4030" width="34.42578125" style="3" bestFit="1" customWidth="1"/>
    <col min="4031" max="4037" width="9.140625" style="3"/>
    <col min="4038" max="4038" width="34.42578125" style="3" bestFit="1" customWidth="1"/>
    <col min="4039" max="4045" width="9.140625" style="3"/>
    <col min="4046" max="4046" width="34.42578125" style="3" bestFit="1" customWidth="1"/>
    <col min="4047" max="4053" width="9.140625" style="3"/>
    <col min="4054" max="4054" width="34.42578125" style="3" bestFit="1" customWidth="1"/>
    <col min="4055" max="4061" width="9.140625" style="3"/>
    <col min="4062" max="4062" width="34.42578125" style="3" bestFit="1" customWidth="1"/>
    <col min="4063" max="4069" width="9.140625" style="3"/>
    <col min="4070" max="4070" width="34.42578125" style="3" bestFit="1" customWidth="1"/>
    <col min="4071" max="4077" width="9.140625" style="3"/>
    <col min="4078" max="4078" width="34.42578125" style="3" bestFit="1" customWidth="1"/>
    <col min="4079" max="4085" width="9.140625" style="3"/>
    <col min="4086" max="4086" width="34.42578125" style="3" bestFit="1" customWidth="1"/>
    <col min="4087" max="4093" width="9.140625" style="3"/>
    <col min="4094" max="4094" width="34.42578125" style="3" bestFit="1" customWidth="1"/>
    <col min="4095" max="4101" width="9.140625" style="3"/>
    <col min="4102" max="4102" width="34.42578125" style="3" bestFit="1" customWidth="1"/>
    <col min="4103" max="4109" width="9.140625" style="3"/>
    <col min="4110" max="4110" width="34.42578125" style="3" bestFit="1" customWidth="1"/>
    <col min="4111" max="4117" width="9.140625" style="3"/>
    <col min="4118" max="4118" width="34.42578125" style="3" bestFit="1" customWidth="1"/>
    <col min="4119" max="4125" width="9.140625" style="3"/>
    <col min="4126" max="4126" width="34.42578125" style="3" bestFit="1" customWidth="1"/>
    <col min="4127" max="4133" width="9.140625" style="3"/>
    <col min="4134" max="4134" width="34.42578125" style="3" bestFit="1" customWidth="1"/>
    <col min="4135" max="4141" width="9.140625" style="3"/>
    <col min="4142" max="4142" width="34.42578125" style="3" bestFit="1" customWidth="1"/>
    <col min="4143" max="4149" width="9.140625" style="3"/>
    <col min="4150" max="4150" width="34.42578125" style="3" bestFit="1" customWidth="1"/>
    <col min="4151" max="4157" width="9.140625" style="3"/>
    <col min="4158" max="4158" width="34.42578125" style="3" bestFit="1" customWidth="1"/>
    <col min="4159" max="4165" width="9.140625" style="3"/>
    <col min="4166" max="4166" width="34.42578125" style="3" bestFit="1" customWidth="1"/>
    <col min="4167" max="4173" width="9.140625" style="3"/>
    <col min="4174" max="4174" width="34.42578125" style="3" bestFit="1" customWidth="1"/>
    <col min="4175" max="4181" width="9.140625" style="3"/>
    <col min="4182" max="4182" width="34.42578125" style="3" bestFit="1" customWidth="1"/>
    <col min="4183" max="4189" width="9.140625" style="3"/>
    <col min="4190" max="4190" width="34.42578125" style="3" bestFit="1" customWidth="1"/>
    <col min="4191" max="4197" width="9.140625" style="3"/>
    <col min="4198" max="4198" width="34.42578125" style="3" bestFit="1" customWidth="1"/>
    <col min="4199" max="4205" width="9.140625" style="3"/>
    <col min="4206" max="4206" width="34.42578125" style="3" bestFit="1" customWidth="1"/>
    <col min="4207" max="4213" width="9.140625" style="3"/>
    <col min="4214" max="4214" width="34.42578125" style="3" bestFit="1" customWidth="1"/>
    <col min="4215" max="4221" width="9.140625" style="3"/>
    <col min="4222" max="4222" width="34.42578125" style="3" bestFit="1" customWidth="1"/>
    <col min="4223" max="4229" width="9.140625" style="3"/>
    <col min="4230" max="4230" width="34.42578125" style="3" bestFit="1" customWidth="1"/>
    <col min="4231" max="4237" width="9.140625" style="3"/>
    <col min="4238" max="4238" width="34.42578125" style="3" bestFit="1" customWidth="1"/>
    <col min="4239" max="4245" width="9.140625" style="3"/>
    <col min="4246" max="4246" width="34.42578125" style="3" bestFit="1" customWidth="1"/>
    <col min="4247" max="4253" width="9.140625" style="3"/>
    <col min="4254" max="4254" width="34.42578125" style="3" bestFit="1" customWidth="1"/>
    <col min="4255" max="4261" width="9.140625" style="3"/>
    <col min="4262" max="4262" width="34.42578125" style="3" bestFit="1" customWidth="1"/>
    <col min="4263" max="4269" width="9.140625" style="3"/>
    <col min="4270" max="4270" width="34.42578125" style="3" bestFit="1" customWidth="1"/>
    <col min="4271" max="4277" width="9.140625" style="3"/>
    <col min="4278" max="4278" width="34.42578125" style="3" bestFit="1" customWidth="1"/>
    <col min="4279" max="4285" width="9.140625" style="3"/>
    <col min="4286" max="4286" width="34.42578125" style="3" bestFit="1" customWidth="1"/>
    <col min="4287" max="4293" width="9.140625" style="3"/>
    <col min="4294" max="4294" width="34.42578125" style="3" bestFit="1" customWidth="1"/>
    <col min="4295" max="4301" width="9.140625" style="3"/>
    <col min="4302" max="4302" width="34.42578125" style="3" bestFit="1" customWidth="1"/>
    <col min="4303" max="4309" width="9.140625" style="3"/>
    <col min="4310" max="4310" width="34.42578125" style="3" bestFit="1" customWidth="1"/>
    <col min="4311" max="4317" width="9.140625" style="3"/>
    <col min="4318" max="4318" width="34.42578125" style="3" bestFit="1" customWidth="1"/>
    <col min="4319" max="4325" width="9.140625" style="3"/>
    <col min="4326" max="4326" width="34.42578125" style="3" bestFit="1" customWidth="1"/>
    <col min="4327" max="4333" width="9.140625" style="3"/>
    <col min="4334" max="4334" width="34.42578125" style="3" bestFit="1" customWidth="1"/>
    <col min="4335" max="4341" width="9.140625" style="3"/>
    <col min="4342" max="4342" width="34.42578125" style="3" bestFit="1" customWidth="1"/>
    <col min="4343" max="4349" width="9.140625" style="3"/>
    <col min="4350" max="4350" width="34.42578125" style="3" bestFit="1" customWidth="1"/>
    <col min="4351" max="4357" width="9.140625" style="3"/>
    <col min="4358" max="4358" width="34.42578125" style="3" bestFit="1" customWidth="1"/>
    <col min="4359" max="4365" width="9.140625" style="3"/>
    <col min="4366" max="4366" width="34.42578125" style="3" bestFit="1" customWidth="1"/>
    <col min="4367" max="4373" width="9.140625" style="3"/>
    <col min="4374" max="4374" width="34.42578125" style="3" bestFit="1" customWidth="1"/>
    <col min="4375" max="4381" width="9.140625" style="3"/>
    <col min="4382" max="4382" width="34.42578125" style="3" bestFit="1" customWidth="1"/>
    <col min="4383" max="4389" width="9.140625" style="3"/>
    <col min="4390" max="4390" width="34.42578125" style="3" bestFit="1" customWidth="1"/>
    <col min="4391" max="4397" width="9.140625" style="3"/>
    <col min="4398" max="4398" width="34.42578125" style="3" bestFit="1" customWidth="1"/>
    <col min="4399" max="4405" width="9.140625" style="3"/>
    <col min="4406" max="4406" width="34.42578125" style="3" bestFit="1" customWidth="1"/>
    <col min="4407" max="4413" width="9.140625" style="3"/>
    <col min="4414" max="4414" width="34.42578125" style="3" bestFit="1" customWidth="1"/>
    <col min="4415" max="4421" width="9.140625" style="3"/>
    <col min="4422" max="4422" width="34.42578125" style="3" bestFit="1" customWidth="1"/>
    <col min="4423" max="4429" width="9.140625" style="3"/>
    <col min="4430" max="4430" width="34.42578125" style="3" bestFit="1" customWidth="1"/>
    <col min="4431" max="4437" width="9.140625" style="3"/>
    <col min="4438" max="4438" width="34.42578125" style="3" bestFit="1" customWidth="1"/>
    <col min="4439" max="4445" width="9.140625" style="3"/>
    <col min="4446" max="4446" width="34.42578125" style="3" bestFit="1" customWidth="1"/>
    <col min="4447" max="4453" width="9.140625" style="3"/>
    <col min="4454" max="4454" width="34.42578125" style="3" bestFit="1" customWidth="1"/>
    <col min="4455" max="4461" width="9.140625" style="3"/>
    <col min="4462" max="4462" width="34.42578125" style="3" bestFit="1" customWidth="1"/>
    <col min="4463" max="4469" width="9.140625" style="3"/>
    <col min="4470" max="4470" width="34.42578125" style="3" bestFit="1" customWidth="1"/>
    <col min="4471" max="4477" width="9.140625" style="3"/>
    <col min="4478" max="4478" width="34.42578125" style="3" bestFit="1" customWidth="1"/>
    <col min="4479" max="4485" width="9.140625" style="3"/>
    <col min="4486" max="4486" width="34.42578125" style="3" bestFit="1" customWidth="1"/>
    <col min="4487" max="4493" width="9.140625" style="3"/>
    <col min="4494" max="4494" width="34.42578125" style="3" bestFit="1" customWidth="1"/>
    <col min="4495" max="4501" width="9.140625" style="3"/>
    <col min="4502" max="4502" width="34.42578125" style="3" bestFit="1" customWidth="1"/>
    <col min="4503" max="4509" width="9.140625" style="3"/>
    <col min="4510" max="4510" width="34.42578125" style="3" bestFit="1" customWidth="1"/>
    <col min="4511" max="4517" width="9.140625" style="3"/>
    <col min="4518" max="4518" width="34.42578125" style="3" bestFit="1" customWidth="1"/>
    <col min="4519" max="4525" width="9.140625" style="3"/>
    <col min="4526" max="4526" width="34.42578125" style="3" bestFit="1" customWidth="1"/>
    <col min="4527" max="4533" width="9.140625" style="3"/>
    <col min="4534" max="4534" width="34.42578125" style="3" bestFit="1" customWidth="1"/>
    <col min="4535" max="4541" width="9.140625" style="3"/>
    <col min="4542" max="4542" width="34.42578125" style="3" bestFit="1" customWidth="1"/>
    <col min="4543" max="4549" width="9.140625" style="3"/>
    <col min="4550" max="4550" width="34.42578125" style="3" bestFit="1" customWidth="1"/>
    <col min="4551" max="4557" width="9.140625" style="3"/>
    <col min="4558" max="4558" width="34.42578125" style="3" bestFit="1" customWidth="1"/>
    <col min="4559" max="4565" width="9.140625" style="3"/>
    <col min="4566" max="4566" width="34.42578125" style="3" bestFit="1" customWidth="1"/>
    <col min="4567" max="4573" width="9.140625" style="3"/>
    <col min="4574" max="4574" width="34.42578125" style="3" bestFit="1" customWidth="1"/>
    <col min="4575" max="4581" width="9.140625" style="3"/>
    <col min="4582" max="4582" width="34.42578125" style="3" bestFit="1" customWidth="1"/>
    <col min="4583" max="4589" width="9.140625" style="3"/>
    <col min="4590" max="4590" width="34.42578125" style="3" bestFit="1" customWidth="1"/>
    <col min="4591" max="4597" width="9.140625" style="3"/>
    <col min="4598" max="4598" width="34.42578125" style="3" bestFit="1" customWidth="1"/>
    <col min="4599" max="4605" width="9.140625" style="3"/>
    <col min="4606" max="4606" width="34.42578125" style="3" bestFit="1" customWidth="1"/>
    <col min="4607" max="4613" width="9.140625" style="3"/>
    <col min="4614" max="4614" width="34.42578125" style="3" bestFit="1" customWidth="1"/>
    <col min="4615" max="4621" width="9.140625" style="3"/>
    <col min="4622" max="4622" width="34.42578125" style="3" bestFit="1" customWidth="1"/>
    <col min="4623" max="4629" width="9.140625" style="3"/>
    <col min="4630" max="4630" width="34.42578125" style="3" bestFit="1" customWidth="1"/>
    <col min="4631" max="4637" width="9.140625" style="3"/>
    <col min="4638" max="4638" width="34.42578125" style="3" bestFit="1" customWidth="1"/>
    <col min="4639" max="4645" width="9.140625" style="3"/>
    <col min="4646" max="4646" width="34.42578125" style="3" bestFit="1" customWidth="1"/>
    <col min="4647" max="4653" width="9.140625" style="3"/>
    <col min="4654" max="4654" width="34.42578125" style="3" bestFit="1" customWidth="1"/>
    <col min="4655" max="4661" width="9.140625" style="3"/>
    <col min="4662" max="4662" width="34.42578125" style="3" bestFit="1" customWidth="1"/>
    <col min="4663" max="4669" width="9.140625" style="3"/>
    <col min="4670" max="4670" width="34.42578125" style="3" bestFit="1" customWidth="1"/>
    <col min="4671" max="4677" width="9.140625" style="3"/>
    <col min="4678" max="4678" width="34.42578125" style="3" bestFit="1" customWidth="1"/>
    <col min="4679" max="4685" width="9.140625" style="3"/>
    <col min="4686" max="4686" width="34.42578125" style="3" bestFit="1" customWidth="1"/>
    <col min="4687" max="4693" width="9.140625" style="3"/>
    <col min="4694" max="4694" width="34.42578125" style="3" bestFit="1" customWidth="1"/>
    <col min="4695" max="4701" width="9.140625" style="3"/>
    <col min="4702" max="4702" width="34.42578125" style="3" bestFit="1" customWidth="1"/>
    <col min="4703" max="4709" width="9.140625" style="3"/>
    <col min="4710" max="4710" width="34.42578125" style="3" bestFit="1" customWidth="1"/>
    <col min="4711" max="4717" width="9.140625" style="3"/>
    <col min="4718" max="4718" width="34.42578125" style="3" bestFit="1" customWidth="1"/>
    <col min="4719" max="4725" width="9.140625" style="3"/>
    <col min="4726" max="4726" width="34.42578125" style="3" bestFit="1" customWidth="1"/>
    <col min="4727" max="4733" width="9.140625" style="3"/>
    <col min="4734" max="4734" width="34.42578125" style="3" bestFit="1" customWidth="1"/>
    <col min="4735" max="4741" width="9.140625" style="3"/>
    <col min="4742" max="4742" width="34.42578125" style="3" bestFit="1" customWidth="1"/>
    <col min="4743" max="4749" width="9.140625" style="3"/>
    <col min="4750" max="4750" width="34.42578125" style="3" bestFit="1" customWidth="1"/>
    <col min="4751" max="4757" width="9.140625" style="3"/>
    <col min="4758" max="4758" width="34.42578125" style="3" bestFit="1" customWidth="1"/>
    <col min="4759" max="4765" width="9.140625" style="3"/>
    <col min="4766" max="4766" width="34.42578125" style="3" bestFit="1" customWidth="1"/>
    <col min="4767" max="4773" width="9.140625" style="3"/>
    <col min="4774" max="4774" width="34.42578125" style="3" bestFit="1" customWidth="1"/>
    <col min="4775" max="4781" width="9.140625" style="3"/>
    <col min="4782" max="4782" width="34.42578125" style="3" bestFit="1" customWidth="1"/>
    <col min="4783" max="4789" width="9.140625" style="3"/>
    <col min="4790" max="4790" width="34.42578125" style="3" bestFit="1" customWidth="1"/>
    <col min="4791" max="4797" width="9.140625" style="3"/>
    <col min="4798" max="4798" width="34.42578125" style="3" bestFit="1" customWidth="1"/>
    <col min="4799" max="4805" width="9.140625" style="3"/>
    <col min="4806" max="4806" width="34.42578125" style="3" bestFit="1" customWidth="1"/>
    <col min="4807" max="4813" width="9.140625" style="3"/>
    <col min="4814" max="4814" width="34.42578125" style="3" bestFit="1" customWidth="1"/>
    <col min="4815" max="4821" width="9.140625" style="3"/>
    <col min="4822" max="4822" width="34.42578125" style="3" bestFit="1" customWidth="1"/>
    <col min="4823" max="4829" width="9.140625" style="3"/>
    <col min="4830" max="4830" width="34.42578125" style="3" bestFit="1" customWidth="1"/>
    <col min="4831" max="4837" width="9.140625" style="3"/>
    <col min="4838" max="4838" width="34.42578125" style="3" bestFit="1" customWidth="1"/>
    <col min="4839" max="4845" width="9.140625" style="3"/>
    <col min="4846" max="4846" width="34.42578125" style="3" bestFit="1" customWidth="1"/>
    <col min="4847" max="4853" width="9.140625" style="3"/>
    <col min="4854" max="4854" width="34.42578125" style="3" bestFit="1" customWidth="1"/>
    <col min="4855" max="4861" width="9.140625" style="3"/>
    <col min="4862" max="4862" width="34.42578125" style="3" bestFit="1" customWidth="1"/>
    <col min="4863" max="4869" width="9.140625" style="3"/>
    <col min="4870" max="4870" width="34.42578125" style="3" bestFit="1" customWidth="1"/>
    <col min="4871" max="4877" width="9.140625" style="3"/>
    <col min="4878" max="4878" width="34.42578125" style="3" bestFit="1" customWidth="1"/>
    <col min="4879" max="4885" width="9.140625" style="3"/>
    <col min="4886" max="4886" width="34.42578125" style="3" bestFit="1" customWidth="1"/>
    <col min="4887" max="4893" width="9.140625" style="3"/>
    <col min="4894" max="4894" width="34.42578125" style="3" bestFit="1" customWidth="1"/>
    <col min="4895" max="4901" width="9.140625" style="3"/>
    <col min="4902" max="4902" width="34.42578125" style="3" bestFit="1" customWidth="1"/>
    <col min="4903" max="4909" width="9.140625" style="3"/>
    <col min="4910" max="4910" width="34.42578125" style="3" bestFit="1" customWidth="1"/>
    <col min="4911" max="4917" width="9.140625" style="3"/>
    <col min="4918" max="4918" width="34.42578125" style="3" bestFit="1" customWidth="1"/>
    <col min="4919" max="4925" width="9.140625" style="3"/>
    <col min="4926" max="4926" width="34.42578125" style="3" bestFit="1" customWidth="1"/>
    <col min="4927" max="4933" width="9.140625" style="3"/>
    <col min="4934" max="4934" width="34.42578125" style="3" bestFit="1" customWidth="1"/>
    <col min="4935" max="4941" width="9.140625" style="3"/>
    <col min="4942" max="4942" width="34.42578125" style="3" bestFit="1" customWidth="1"/>
    <col min="4943" max="4949" width="9.140625" style="3"/>
    <col min="4950" max="4950" width="34.42578125" style="3" bestFit="1" customWidth="1"/>
    <col min="4951" max="4957" width="9.140625" style="3"/>
    <col min="4958" max="4958" width="34.42578125" style="3" bestFit="1" customWidth="1"/>
    <col min="4959" max="4965" width="9.140625" style="3"/>
    <col min="4966" max="4966" width="34.42578125" style="3" bestFit="1" customWidth="1"/>
    <col min="4967" max="4973" width="9.140625" style="3"/>
    <col min="4974" max="4974" width="34.42578125" style="3" bestFit="1" customWidth="1"/>
    <col min="4975" max="4981" width="9.140625" style="3"/>
    <col min="4982" max="4982" width="34.42578125" style="3" bestFit="1" customWidth="1"/>
    <col min="4983" max="4989" width="9.140625" style="3"/>
    <col min="4990" max="4990" width="34.42578125" style="3" bestFit="1" customWidth="1"/>
    <col min="4991" max="4997" width="9.140625" style="3"/>
    <col min="4998" max="4998" width="34.42578125" style="3" bestFit="1" customWidth="1"/>
    <col min="4999" max="5005" width="9.140625" style="3"/>
    <col min="5006" max="5006" width="34.42578125" style="3" bestFit="1" customWidth="1"/>
    <col min="5007" max="5013" width="9.140625" style="3"/>
    <col min="5014" max="5014" width="34.42578125" style="3" bestFit="1" customWidth="1"/>
    <col min="5015" max="5021" width="9.140625" style="3"/>
    <col min="5022" max="5022" width="34.42578125" style="3" bestFit="1" customWidth="1"/>
    <col min="5023" max="5029" width="9.140625" style="3"/>
    <col min="5030" max="5030" width="34.42578125" style="3" bestFit="1" customWidth="1"/>
    <col min="5031" max="5037" width="9.140625" style="3"/>
    <col min="5038" max="5038" width="34.42578125" style="3" bestFit="1" customWidth="1"/>
    <col min="5039" max="5045" width="9.140625" style="3"/>
    <col min="5046" max="5046" width="34.42578125" style="3" bestFit="1" customWidth="1"/>
    <col min="5047" max="5053" width="9.140625" style="3"/>
    <col min="5054" max="5054" width="34.42578125" style="3" bestFit="1" customWidth="1"/>
    <col min="5055" max="5061" width="9.140625" style="3"/>
    <col min="5062" max="5062" width="34.42578125" style="3" bestFit="1" customWidth="1"/>
    <col min="5063" max="5069" width="9.140625" style="3"/>
    <col min="5070" max="5070" width="34.42578125" style="3" bestFit="1" customWidth="1"/>
    <col min="5071" max="5077" width="9.140625" style="3"/>
    <col min="5078" max="5078" width="34.42578125" style="3" bestFit="1" customWidth="1"/>
    <col min="5079" max="5085" width="9.140625" style="3"/>
    <col min="5086" max="5086" width="34.42578125" style="3" bestFit="1" customWidth="1"/>
    <col min="5087" max="5093" width="9.140625" style="3"/>
    <col min="5094" max="5094" width="34.42578125" style="3" bestFit="1" customWidth="1"/>
    <col min="5095" max="5101" width="9.140625" style="3"/>
    <col min="5102" max="5102" width="34.42578125" style="3" bestFit="1" customWidth="1"/>
    <col min="5103" max="5109" width="9.140625" style="3"/>
    <col min="5110" max="5110" width="34.42578125" style="3" bestFit="1" customWidth="1"/>
    <col min="5111" max="5117" width="9.140625" style="3"/>
    <col min="5118" max="5118" width="34.42578125" style="3" bestFit="1" customWidth="1"/>
    <col min="5119" max="5125" width="9.140625" style="3"/>
    <col min="5126" max="5126" width="34.42578125" style="3" bestFit="1" customWidth="1"/>
    <col min="5127" max="5133" width="9.140625" style="3"/>
    <col min="5134" max="5134" width="34.42578125" style="3" bestFit="1" customWidth="1"/>
    <col min="5135" max="5141" width="9.140625" style="3"/>
    <col min="5142" max="5142" width="34.42578125" style="3" bestFit="1" customWidth="1"/>
    <col min="5143" max="5149" width="9.140625" style="3"/>
    <col min="5150" max="5150" width="34.42578125" style="3" bestFit="1" customWidth="1"/>
    <col min="5151" max="5157" width="9.140625" style="3"/>
    <col min="5158" max="5158" width="34.42578125" style="3" bestFit="1" customWidth="1"/>
    <col min="5159" max="5165" width="9.140625" style="3"/>
    <col min="5166" max="5166" width="34.42578125" style="3" bestFit="1" customWidth="1"/>
    <col min="5167" max="5173" width="9.140625" style="3"/>
    <col min="5174" max="5174" width="34.42578125" style="3" bestFit="1" customWidth="1"/>
    <col min="5175" max="5181" width="9.140625" style="3"/>
    <col min="5182" max="5182" width="34.42578125" style="3" bestFit="1" customWidth="1"/>
    <col min="5183" max="5189" width="9.140625" style="3"/>
    <col min="5190" max="5190" width="34.42578125" style="3" bestFit="1" customWidth="1"/>
    <col min="5191" max="5197" width="9.140625" style="3"/>
    <col min="5198" max="5198" width="34.42578125" style="3" bestFit="1" customWidth="1"/>
    <col min="5199" max="5205" width="9.140625" style="3"/>
    <col min="5206" max="5206" width="34.42578125" style="3" bestFit="1" customWidth="1"/>
    <col min="5207" max="5213" width="9.140625" style="3"/>
    <col min="5214" max="5214" width="34.42578125" style="3" bestFit="1" customWidth="1"/>
    <col min="5215" max="5221" width="9.140625" style="3"/>
    <col min="5222" max="5222" width="34.42578125" style="3" bestFit="1" customWidth="1"/>
    <col min="5223" max="5229" width="9.140625" style="3"/>
    <col min="5230" max="5230" width="34.42578125" style="3" bestFit="1" customWidth="1"/>
    <col min="5231" max="5237" width="9.140625" style="3"/>
    <col min="5238" max="5238" width="34.42578125" style="3" bestFit="1" customWidth="1"/>
    <col min="5239" max="5245" width="9.140625" style="3"/>
    <col min="5246" max="5246" width="34.42578125" style="3" bestFit="1" customWidth="1"/>
    <col min="5247" max="5253" width="9.140625" style="3"/>
    <col min="5254" max="5254" width="34.42578125" style="3" bestFit="1" customWidth="1"/>
    <col min="5255" max="5261" width="9.140625" style="3"/>
    <col min="5262" max="5262" width="34.42578125" style="3" bestFit="1" customWidth="1"/>
    <col min="5263" max="5269" width="9.140625" style="3"/>
    <col min="5270" max="5270" width="34.42578125" style="3" bestFit="1" customWidth="1"/>
    <col min="5271" max="5277" width="9.140625" style="3"/>
    <col min="5278" max="5278" width="34.42578125" style="3" bestFit="1" customWidth="1"/>
    <col min="5279" max="5285" width="9.140625" style="3"/>
    <col min="5286" max="5286" width="34.42578125" style="3" bestFit="1" customWidth="1"/>
    <col min="5287" max="5293" width="9.140625" style="3"/>
    <col min="5294" max="5294" width="34.42578125" style="3" bestFit="1" customWidth="1"/>
    <col min="5295" max="5301" width="9.140625" style="3"/>
    <col min="5302" max="5302" width="34.42578125" style="3" bestFit="1" customWidth="1"/>
    <col min="5303" max="5309" width="9.140625" style="3"/>
    <col min="5310" max="5310" width="34.42578125" style="3" bestFit="1" customWidth="1"/>
    <col min="5311" max="5317" width="9.140625" style="3"/>
    <col min="5318" max="5318" width="34.42578125" style="3" bestFit="1" customWidth="1"/>
    <col min="5319" max="5325" width="9.140625" style="3"/>
    <col min="5326" max="5326" width="34.42578125" style="3" bestFit="1" customWidth="1"/>
    <col min="5327" max="5333" width="9.140625" style="3"/>
    <col min="5334" max="5334" width="34.42578125" style="3" bestFit="1" customWidth="1"/>
    <col min="5335" max="5341" width="9.140625" style="3"/>
    <col min="5342" max="5342" width="34.42578125" style="3" bestFit="1" customWidth="1"/>
    <col min="5343" max="5349" width="9.140625" style="3"/>
    <col min="5350" max="5350" width="34.42578125" style="3" bestFit="1" customWidth="1"/>
    <col min="5351" max="5357" width="9.140625" style="3"/>
    <col min="5358" max="5358" width="34.42578125" style="3" bestFit="1" customWidth="1"/>
    <col min="5359" max="5365" width="9.140625" style="3"/>
    <col min="5366" max="5366" width="34.42578125" style="3" bestFit="1" customWidth="1"/>
    <col min="5367" max="5373" width="9.140625" style="3"/>
    <col min="5374" max="5374" width="34.42578125" style="3" bestFit="1" customWidth="1"/>
    <col min="5375" max="5381" width="9.140625" style="3"/>
    <col min="5382" max="5382" width="34.42578125" style="3" bestFit="1" customWidth="1"/>
    <col min="5383" max="5389" width="9.140625" style="3"/>
    <col min="5390" max="5390" width="34.42578125" style="3" bestFit="1" customWidth="1"/>
    <col min="5391" max="5397" width="9.140625" style="3"/>
    <col min="5398" max="5398" width="34.42578125" style="3" bestFit="1" customWidth="1"/>
    <col min="5399" max="5405" width="9.140625" style="3"/>
    <col min="5406" max="5406" width="34.42578125" style="3" bestFit="1" customWidth="1"/>
    <col min="5407" max="5413" width="9.140625" style="3"/>
    <col min="5414" max="5414" width="34.42578125" style="3" bestFit="1" customWidth="1"/>
    <col min="5415" max="5421" width="9.140625" style="3"/>
    <col min="5422" max="5422" width="34.42578125" style="3" bestFit="1" customWidth="1"/>
    <col min="5423" max="5429" width="9.140625" style="3"/>
    <col min="5430" max="5430" width="34.42578125" style="3" bestFit="1" customWidth="1"/>
    <col min="5431" max="5437" width="9.140625" style="3"/>
    <col min="5438" max="5438" width="34.42578125" style="3" bestFit="1" customWidth="1"/>
    <col min="5439" max="5445" width="9.140625" style="3"/>
    <col min="5446" max="5446" width="34.42578125" style="3" bestFit="1" customWidth="1"/>
    <col min="5447" max="5453" width="9.140625" style="3"/>
    <col min="5454" max="5454" width="34.42578125" style="3" bestFit="1" customWidth="1"/>
    <col min="5455" max="5461" width="9.140625" style="3"/>
    <col min="5462" max="5462" width="34.42578125" style="3" bestFit="1" customWidth="1"/>
    <col min="5463" max="5469" width="9.140625" style="3"/>
    <col min="5470" max="5470" width="34.42578125" style="3" bestFit="1" customWidth="1"/>
    <col min="5471" max="5477" width="9.140625" style="3"/>
    <col min="5478" max="5478" width="34.42578125" style="3" bestFit="1" customWidth="1"/>
    <col min="5479" max="5485" width="9.140625" style="3"/>
    <col min="5486" max="5486" width="34.42578125" style="3" bestFit="1" customWidth="1"/>
    <col min="5487" max="5493" width="9.140625" style="3"/>
    <col min="5494" max="5494" width="34.42578125" style="3" bestFit="1" customWidth="1"/>
    <col min="5495" max="5501" width="9.140625" style="3"/>
    <col min="5502" max="5502" width="34.42578125" style="3" bestFit="1" customWidth="1"/>
    <col min="5503" max="5509" width="9.140625" style="3"/>
    <col min="5510" max="5510" width="34.42578125" style="3" bestFit="1" customWidth="1"/>
    <col min="5511" max="5517" width="9.140625" style="3"/>
    <col min="5518" max="5518" width="34.42578125" style="3" bestFit="1" customWidth="1"/>
    <col min="5519" max="5525" width="9.140625" style="3"/>
    <col min="5526" max="5526" width="34.42578125" style="3" bestFit="1" customWidth="1"/>
    <col min="5527" max="5533" width="9.140625" style="3"/>
    <col min="5534" max="5534" width="34.42578125" style="3" bestFit="1" customWidth="1"/>
    <col min="5535" max="5541" width="9.140625" style="3"/>
    <col min="5542" max="5542" width="34.42578125" style="3" bestFit="1" customWidth="1"/>
    <col min="5543" max="5549" width="9.140625" style="3"/>
    <col min="5550" max="5550" width="34.42578125" style="3" bestFit="1" customWidth="1"/>
    <col min="5551" max="5557" width="9.140625" style="3"/>
    <col min="5558" max="5558" width="34.42578125" style="3" bestFit="1" customWidth="1"/>
    <col min="5559" max="5565" width="9.140625" style="3"/>
    <col min="5566" max="5566" width="34.42578125" style="3" bestFit="1" customWidth="1"/>
    <col min="5567" max="5573" width="9.140625" style="3"/>
    <col min="5574" max="5574" width="34.42578125" style="3" bestFit="1" customWidth="1"/>
    <col min="5575" max="5581" width="9.140625" style="3"/>
    <col min="5582" max="5582" width="34.42578125" style="3" bestFit="1" customWidth="1"/>
    <col min="5583" max="5589" width="9.140625" style="3"/>
    <col min="5590" max="5590" width="34.42578125" style="3" bestFit="1" customWidth="1"/>
    <col min="5591" max="5597" width="9.140625" style="3"/>
    <col min="5598" max="5598" width="34.42578125" style="3" bestFit="1" customWidth="1"/>
    <col min="5599" max="5605" width="9.140625" style="3"/>
    <col min="5606" max="5606" width="34.42578125" style="3" bestFit="1" customWidth="1"/>
    <col min="5607" max="5613" width="9.140625" style="3"/>
    <col min="5614" max="5614" width="34.42578125" style="3" bestFit="1" customWidth="1"/>
    <col min="5615" max="5621" width="9.140625" style="3"/>
    <col min="5622" max="5622" width="34.42578125" style="3" bestFit="1" customWidth="1"/>
    <col min="5623" max="5629" width="9.140625" style="3"/>
    <col min="5630" max="5630" width="34.42578125" style="3" bestFit="1" customWidth="1"/>
    <col min="5631" max="5637" width="9.140625" style="3"/>
    <col min="5638" max="5638" width="34.42578125" style="3" bestFit="1" customWidth="1"/>
    <col min="5639" max="5645" width="9.140625" style="3"/>
    <col min="5646" max="5646" width="34.42578125" style="3" bestFit="1" customWidth="1"/>
    <col min="5647" max="5653" width="9.140625" style="3"/>
    <col min="5654" max="5654" width="34.42578125" style="3" bestFit="1" customWidth="1"/>
    <col min="5655" max="5661" width="9.140625" style="3"/>
    <col min="5662" max="5662" width="34.42578125" style="3" bestFit="1" customWidth="1"/>
    <col min="5663" max="5669" width="9.140625" style="3"/>
    <col min="5670" max="5670" width="34.42578125" style="3" bestFit="1" customWidth="1"/>
    <col min="5671" max="5677" width="9.140625" style="3"/>
    <col min="5678" max="5678" width="34.42578125" style="3" bestFit="1" customWidth="1"/>
    <col min="5679" max="5685" width="9.140625" style="3"/>
    <col min="5686" max="5686" width="34.42578125" style="3" bestFit="1" customWidth="1"/>
    <col min="5687" max="5693" width="9.140625" style="3"/>
    <col min="5694" max="5694" width="34.42578125" style="3" bestFit="1" customWidth="1"/>
    <col min="5695" max="5701" width="9.140625" style="3"/>
    <col min="5702" max="5702" width="34.42578125" style="3" bestFit="1" customWidth="1"/>
    <col min="5703" max="5709" width="9.140625" style="3"/>
    <col min="5710" max="5710" width="34.42578125" style="3" bestFit="1" customWidth="1"/>
    <col min="5711" max="5717" width="9.140625" style="3"/>
    <col min="5718" max="5718" width="34.42578125" style="3" bestFit="1" customWidth="1"/>
    <col min="5719" max="5725" width="9.140625" style="3"/>
    <col min="5726" max="5726" width="34.42578125" style="3" bestFit="1" customWidth="1"/>
    <col min="5727" max="5733" width="9.140625" style="3"/>
    <col min="5734" max="5734" width="34.42578125" style="3" bestFit="1" customWidth="1"/>
    <col min="5735" max="5741" width="9.140625" style="3"/>
    <col min="5742" max="5742" width="34.42578125" style="3" bestFit="1" customWidth="1"/>
    <col min="5743" max="5749" width="9.140625" style="3"/>
    <col min="5750" max="5750" width="34.42578125" style="3" bestFit="1" customWidth="1"/>
    <col min="5751" max="5757" width="9.140625" style="3"/>
    <col min="5758" max="5758" width="34.42578125" style="3" bestFit="1" customWidth="1"/>
    <col min="5759" max="5765" width="9.140625" style="3"/>
    <col min="5766" max="5766" width="34.42578125" style="3" bestFit="1" customWidth="1"/>
    <col min="5767" max="5773" width="9.140625" style="3"/>
    <col min="5774" max="5774" width="34.42578125" style="3" bestFit="1" customWidth="1"/>
    <col min="5775" max="5781" width="9.140625" style="3"/>
    <col min="5782" max="5782" width="34.42578125" style="3" bestFit="1" customWidth="1"/>
    <col min="5783" max="5789" width="9.140625" style="3"/>
    <col min="5790" max="5790" width="34.42578125" style="3" bestFit="1" customWidth="1"/>
    <col min="5791" max="5797" width="9.140625" style="3"/>
    <col min="5798" max="5798" width="34.42578125" style="3" bestFit="1" customWidth="1"/>
    <col min="5799" max="5805" width="9.140625" style="3"/>
    <col min="5806" max="5806" width="34.42578125" style="3" bestFit="1" customWidth="1"/>
    <col min="5807" max="5813" width="9.140625" style="3"/>
    <col min="5814" max="5814" width="34.42578125" style="3" bestFit="1" customWidth="1"/>
    <col min="5815" max="5821" width="9.140625" style="3"/>
    <col min="5822" max="5822" width="34.42578125" style="3" bestFit="1" customWidth="1"/>
    <col min="5823" max="5829" width="9.140625" style="3"/>
    <col min="5830" max="5830" width="34.42578125" style="3" bestFit="1" customWidth="1"/>
    <col min="5831" max="5837" width="9.140625" style="3"/>
    <col min="5838" max="5838" width="34.42578125" style="3" bestFit="1" customWidth="1"/>
    <col min="5839" max="5845" width="9.140625" style="3"/>
    <col min="5846" max="5846" width="34.42578125" style="3" bestFit="1" customWidth="1"/>
    <col min="5847" max="5853" width="9.140625" style="3"/>
    <col min="5854" max="5854" width="34.42578125" style="3" bestFit="1" customWidth="1"/>
    <col min="5855" max="5861" width="9.140625" style="3"/>
    <col min="5862" max="5862" width="34.42578125" style="3" bestFit="1" customWidth="1"/>
    <col min="5863" max="5869" width="9.140625" style="3"/>
    <col min="5870" max="5870" width="34.42578125" style="3" bestFit="1" customWidth="1"/>
    <col min="5871" max="5877" width="9.140625" style="3"/>
    <col min="5878" max="5878" width="34.42578125" style="3" bestFit="1" customWidth="1"/>
    <col min="5879" max="5885" width="9.140625" style="3"/>
    <col min="5886" max="5886" width="34.42578125" style="3" bestFit="1" customWidth="1"/>
    <col min="5887" max="5893" width="9.140625" style="3"/>
    <col min="5894" max="5894" width="34.42578125" style="3" bestFit="1" customWidth="1"/>
    <col min="5895" max="5901" width="9.140625" style="3"/>
    <col min="5902" max="5902" width="34.42578125" style="3" bestFit="1" customWidth="1"/>
    <col min="5903" max="5909" width="9.140625" style="3"/>
    <col min="5910" max="5910" width="34.42578125" style="3" bestFit="1" customWidth="1"/>
    <col min="5911" max="5917" width="9.140625" style="3"/>
    <col min="5918" max="5918" width="34.42578125" style="3" bestFit="1" customWidth="1"/>
    <col min="5919" max="5925" width="9.140625" style="3"/>
    <col min="5926" max="5926" width="34.42578125" style="3" bestFit="1" customWidth="1"/>
    <col min="5927" max="5933" width="9.140625" style="3"/>
    <col min="5934" max="5934" width="34.42578125" style="3" bestFit="1" customWidth="1"/>
    <col min="5935" max="5941" width="9.140625" style="3"/>
    <col min="5942" max="5942" width="34.42578125" style="3" bestFit="1" customWidth="1"/>
    <col min="5943" max="5949" width="9.140625" style="3"/>
    <col min="5950" max="5950" width="34.42578125" style="3" bestFit="1" customWidth="1"/>
    <col min="5951" max="5957" width="9.140625" style="3"/>
    <col min="5958" max="5958" width="34.42578125" style="3" bestFit="1" customWidth="1"/>
    <col min="5959" max="5965" width="9.140625" style="3"/>
    <col min="5966" max="5966" width="34.42578125" style="3" bestFit="1" customWidth="1"/>
    <col min="5967" max="5973" width="9.140625" style="3"/>
    <col min="5974" max="5974" width="34.42578125" style="3" bestFit="1" customWidth="1"/>
    <col min="5975" max="5981" width="9.140625" style="3"/>
    <col min="5982" max="5982" width="34.42578125" style="3" bestFit="1" customWidth="1"/>
    <col min="5983" max="5989" width="9.140625" style="3"/>
    <col min="5990" max="5990" width="34.42578125" style="3" bestFit="1" customWidth="1"/>
    <col min="5991" max="5997" width="9.140625" style="3"/>
    <col min="5998" max="5998" width="34.42578125" style="3" bestFit="1" customWidth="1"/>
    <col min="5999" max="6005" width="9.140625" style="3"/>
    <col min="6006" max="6006" width="34.42578125" style="3" bestFit="1" customWidth="1"/>
    <col min="6007" max="6013" width="9.140625" style="3"/>
    <col min="6014" max="6014" width="34.42578125" style="3" bestFit="1" customWidth="1"/>
    <col min="6015" max="6021" width="9.140625" style="3"/>
    <col min="6022" max="6022" width="34.42578125" style="3" bestFit="1" customWidth="1"/>
    <col min="6023" max="6029" width="9.140625" style="3"/>
    <col min="6030" max="6030" width="34.42578125" style="3" bestFit="1" customWidth="1"/>
    <col min="6031" max="6037" width="9.140625" style="3"/>
    <col min="6038" max="6038" width="34.42578125" style="3" bestFit="1" customWidth="1"/>
    <col min="6039" max="6045" width="9.140625" style="3"/>
    <col min="6046" max="6046" width="34.42578125" style="3" bestFit="1" customWidth="1"/>
    <col min="6047" max="6053" width="9.140625" style="3"/>
    <col min="6054" max="6054" width="34.42578125" style="3" bestFit="1" customWidth="1"/>
    <col min="6055" max="6061" width="9.140625" style="3"/>
    <col min="6062" max="6062" width="34.42578125" style="3" bestFit="1" customWidth="1"/>
    <col min="6063" max="6069" width="9.140625" style="3"/>
    <col min="6070" max="6070" width="34.42578125" style="3" bestFit="1" customWidth="1"/>
    <col min="6071" max="6077" width="9.140625" style="3"/>
    <col min="6078" max="6078" width="34.42578125" style="3" bestFit="1" customWidth="1"/>
    <col min="6079" max="6085" width="9.140625" style="3"/>
    <col min="6086" max="6086" width="34.42578125" style="3" bestFit="1" customWidth="1"/>
    <col min="6087" max="6093" width="9.140625" style="3"/>
    <col min="6094" max="6094" width="34.42578125" style="3" bestFit="1" customWidth="1"/>
    <col min="6095" max="6101" width="9.140625" style="3"/>
    <col min="6102" max="6102" width="34.42578125" style="3" bestFit="1" customWidth="1"/>
    <col min="6103" max="6109" width="9.140625" style="3"/>
    <col min="6110" max="6110" width="34.42578125" style="3" bestFit="1" customWidth="1"/>
    <col min="6111" max="6117" width="9.140625" style="3"/>
    <col min="6118" max="6118" width="34.42578125" style="3" bestFit="1" customWidth="1"/>
    <col min="6119" max="6125" width="9.140625" style="3"/>
    <col min="6126" max="6126" width="34.42578125" style="3" bestFit="1" customWidth="1"/>
    <col min="6127" max="6133" width="9.140625" style="3"/>
    <col min="6134" max="6134" width="34.42578125" style="3" bestFit="1" customWidth="1"/>
    <col min="6135" max="6141" width="9.140625" style="3"/>
    <col min="6142" max="6142" width="34.42578125" style="3" bestFit="1" customWidth="1"/>
    <col min="6143" max="6149" width="9.140625" style="3"/>
    <col min="6150" max="6150" width="34.42578125" style="3" bestFit="1" customWidth="1"/>
    <col min="6151" max="6157" width="9.140625" style="3"/>
    <col min="6158" max="6158" width="34.42578125" style="3" bestFit="1" customWidth="1"/>
    <col min="6159" max="6165" width="9.140625" style="3"/>
    <col min="6166" max="6166" width="34.42578125" style="3" bestFit="1" customWidth="1"/>
    <col min="6167" max="6173" width="9.140625" style="3"/>
    <col min="6174" max="6174" width="34.42578125" style="3" bestFit="1" customWidth="1"/>
    <col min="6175" max="6181" width="9.140625" style="3"/>
    <col min="6182" max="6182" width="34.42578125" style="3" bestFit="1" customWidth="1"/>
    <col min="6183" max="6189" width="9.140625" style="3"/>
    <col min="6190" max="6190" width="34.42578125" style="3" bestFit="1" customWidth="1"/>
    <col min="6191" max="6197" width="9.140625" style="3"/>
    <col min="6198" max="6198" width="34.42578125" style="3" bestFit="1" customWidth="1"/>
    <col min="6199" max="6205" width="9.140625" style="3"/>
    <col min="6206" max="6206" width="34.42578125" style="3" bestFit="1" customWidth="1"/>
    <col min="6207" max="6213" width="9.140625" style="3"/>
    <col min="6214" max="6214" width="34.42578125" style="3" bestFit="1" customWidth="1"/>
    <col min="6215" max="6221" width="9.140625" style="3"/>
    <col min="6222" max="6222" width="34.42578125" style="3" bestFit="1" customWidth="1"/>
    <col min="6223" max="6229" width="9.140625" style="3"/>
    <col min="6230" max="6230" width="34.42578125" style="3" bestFit="1" customWidth="1"/>
    <col min="6231" max="6237" width="9.140625" style="3"/>
    <col min="6238" max="6238" width="34.42578125" style="3" bestFit="1" customWidth="1"/>
    <col min="6239" max="6245" width="9.140625" style="3"/>
    <col min="6246" max="6246" width="34.42578125" style="3" bestFit="1" customWidth="1"/>
    <col min="6247" max="6253" width="9.140625" style="3"/>
    <col min="6254" max="6254" width="34.42578125" style="3" bestFit="1" customWidth="1"/>
    <col min="6255" max="6261" width="9.140625" style="3"/>
    <col min="6262" max="6262" width="34.42578125" style="3" bestFit="1" customWidth="1"/>
    <col min="6263" max="6269" width="9.140625" style="3"/>
    <col min="6270" max="6270" width="34.42578125" style="3" bestFit="1" customWidth="1"/>
    <col min="6271" max="6277" width="9.140625" style="3"/>
    <col min="6278" max="6278" width="34.42578125" style="3" bestFit="1" customWidth="1"/>
    <col min="6279" max="6285" width="9.140625" style="3"/>
    <col min="6286" max="6286" width="34.42578125" style="3" bestFit="1" customWidth="1"/>
    <col min="6287" max="6293" width="9.140625" style="3"/>
    <col min="6294" max="6294" width="34.42578125" style="3" bestFit="1" customWidth="1"/>
    <col min="6295" max="6301" width="9.140625" style="3"/>
    <col min="6302" max="6302" width="34.42578125" style="3" bestFit="1" customWidth="1"/>
    <col min="6303" max="6309" width="9.140625" style="3"/>
    <col min="6310" max="6310" width="34.42578125" style="3" bestFit="1" customWidth="1"/>
    <col min="6311" max="6317" width="9.140625" style="3"/>
    <col min="6318" max="6318" width="34.42578125" style="3" bestFit="1" customWidth="1"/>
    <col min="6319" max="6325" width="9.140625" style="3"/>
    <col min="6326" max="6326" width="34.42578125" style="3" bestFit="1" customWidth="1"/>
    <col min="6327" max="6333" width="9.140625" style="3"/>
    <col min="6334" max="6334" width="34.42578125" style="3" bestFit="1" customWidth="1"/>
    <col min="6335" max="6341" width="9.140625" style="3"/>
    <col min="6342" max="6342" width="34.42578125" style="3" bestFit="1" customWidth="1"/>
    <col min="6343" max="6349" width="9.140625" style="3"/>
    <col min="6350" max="6350" width="34.42578125" style="3" bestFit="1" customWidth="1"/>
    <col min="6351" max="6357" width="9.140625" style="3"/>
    <col min="6358" max="6358" width="34.42578125" style="3" bestFit="1" customWidth="1"/>
    <col min="6359" max="6365" width="9.140625" style="3"/>
    <col min="6366" max="6366" width="34.42578125" style="3" bestFit="1" customWidth="1"/>
    <col min="6367" max="6373" width="9.140625" style="3"/>
    <col min="6374" max="6374" width="34.42578125" style="3" bestFit="1" customWidth="1"/>
    <col min="6375" max="6381" width="9.140625" style="3"/>
    <col min="6382" max="6382" width="34.42578125" style="3" bestFit="1" customWidth="1"/>
    <col min="6383" max="6389" width="9.140625" style="3"/>
    <col min="6390" max="6390" width="34.42578125" style="3" bestFit="1" customWidth="1"/>
    <col min="6391" max="6397" width="9.140625" style="3"/>
    <col min="6398" max="6398" width="34.42578125" style="3" bestFit="1" customWidth="1"/>
    <col min="6399" max="6405" width="9.140625" style="3"/>
    <col min="6406" max="6406" width="34.42578125" style="3" bestFit="1" customWidth="1"/>
    <col min="6407" max="6413" width="9.140625" style="3"/>
    <col min="6414" max="6414" width="34.42578125" style="3" bestFit="1" customWidth="1"/>
    <col min="6415" max="6421" width="9.140625" style="3"/>
    <col min="6422" max="6422" width="34.42578125" style="3" bestFit="1" customWidth="1"/>
    <col min="6423" max="6429" width="9.140625" style="3"/>
    <col min="6430" max="6430" width="34.42578125" style="3" bestFit="1" customWidth="1"/>
    <col min="6431" max="6437" width="9.140625" style="3"/>
    <col min="6438" max="6438" width="34.42578125" style="3" bestFit="1" customWidth="1"/>
    <col min="6439" max="6445" width="9.140625" style="3"/>
    <col min="6446" max="6446" width="34.42578125" style="3" bestFit="1" customWidth="1"/>
    <col min="6447" max="6453" width="9.140625" style="3"/>
    <col min="6454" max="6454" width="34.42578125" style="3" bestFit="1" customWidth="1"/>
    <col min="6455" max="6461" width="9.140625" style="3"/>
    <col min="6462" max="6462" width="34.42578125" style="3" bestFit="1" customWidth="1"/>
    <col min="6463" max="6469" width="9.140625" style="3"/>
    <col min="6470" max="6470" width="34.42578125" style="3" bestFit="1" customWidth="1"/>
    <col min="6471" max="6477" width="9.140625" style="3"/>
    <col min="6478" max="6478" width="34.42578125" style="3" bestFit="1" customWidth="1"/>
    <col min="6479" max="6485" width="9.140625" style="3"/>
    <col min="6486" max="6486" width="34.42578125" style="3" bestFit="1" customWidth="1"/>
    <col min="6487" max="6493" width="9.140625" style="3"/>
    <col min="6494" max="6494" width="34.42578125" style="3" bestFit="1" customWidth="1"/>
    <col min="6495" max="6501" width="9.140625" style="3"/>
    <col min="6502" max="6502" width="34.42578125" style="3" bestFit="1" customWidth="1"/>
    <col min="6503" max="6509" width="9.140625" style="3"/>
    <col min="6510" max="6510" width="34.42578125" style="3" bestFit="1" customWidth="1"/>
    <col min="6511" max="6517" width="9.140625" style="3"/>
    <col min="6518" max="6518" width="34.42578125" style="3" bestFit="1" customWidth="1"/>
    <col min="6519" max="6525" width="9.140625" style="3"/>
    <col min="6526" max="6526" width="34.42578125" style="3" bestFit="1" customWidth="1"/>
    <col min="6527" max="6533" width="9.140625" style="3"/>
    <col min="6534" max="6534" width="34.42578125" style="3" bestFit="1" customWidth="1"/>
    <col min="6535" max="6541" width="9.140625" style="3"/>
    <col min="6542" max="6542" width="34.42578125" style="3" bestFit="1" customWidth="1"/>
    <col min="6543" max="6549" width="9.140625" style="3"/>
    <col min="6550" max="6550" width="34.42578125" style="3" bestFit="1" customWidth="1"/>
    <col min="6551" max="6557" width="9.140625" style="3"/>
    <col min="6558" max="6558" width="34.42578125" style="3" bestFit="1" customWidth="1"/>
    <col min="6559" max="6565" width="9.140625" style="3"/>
    <col min="6566" max="6566" width="34.42578125" style="3" bestFit="1" customWidth="1"/>
    <col min="6567" max="6573" width="9.140625" style="3"/>
    <col min="6574" max="6574" width="34.42578125" style="3" bestFit="1" customWidth="1"/>
    <col min="6575" max="6581" width="9.140625" style="3"/>
    <col min="6582" max="6582" width="34.42578125" style="3" bestFit="1" customWidth="1"/>
    <col min="6583" max="6589" width="9.140625" style="3"/>
    <col min="6590" max="6590" width="34.42578125" style="3" bestFit="1" customWidth="1"/>
    <col min="6591" max="6597" width="9.140625" style="3"/>
    <col min="6598" max="6598" width="34.42578125" style="3" bestFit="1" customWidth="1"/>
    <col min="6599" max="6605" width="9.140625" style="3"/>
    <col min="6606" max="6606" width="34.42578125" style="3" bestFit="1" customWidth="1"/>
    <col min="6607" max="6613" width="9.140625" style="3"/>
    <col min="6614" max="6614" width="34.42578125" style="3" bestFit="1" customWidth="1"/>
    <col min="6615" max="6621" width="9.140625" style="3"/>
    <col min="6622" max="6622" width="34.42578125" style="3" bestFit="1" customWidth="1"/>
    <col min="6623" max="6629" width="9.140625" style="3"/>
    <col min="6630" max="6630" width="34.42578125" style="3" bestFit="1" customWidth="1"/>
    <col min="6631" max="6637" width="9.140625" style="3"/>
    <col min="6638" max="6638" width="34.42578125" style="3" bestFit="1" customWidth="1"/>
    <col min="6639" max="6645" width="9.140625" style="3"/>
    <col min="6646" max="6646" width="34.42578125" style="3" bestFit="1" customWidth="1"/>
    <col min="6647" max="6653" width="9.140625" style="3"/>
    <col min="6654" max="6654" width="34.42578125" style="3" bestFit="1" customWidth="1"/>
    <col min="6655" max="6661" width="9.140625" style="3"/>
    <col min="6662" max="6662" width="34.42578125" style="3" bestFit="1" customWidth="1"/>
    <col min="6663" max="6669" width="9.140625" style="3"/>
    <col min="6670" max="6670" width="34.42578125" style="3" bestFit="1" customWidth="1"/>
    <col min="6671" max="6677" width="9.140625" style="3"/>
    <col min="6678" max="6678" width="34.42578125" style="3" bestFit="1" customWidth="1"/>
    <col min="6679" max="6685" width="9.140625" style="3"/>
    <col min="6686" max="6686" width="34.42578125" style="3" bestFit="1" customWidth="1"/>
    <col min="6687" max="6693" width="9.140625" style="3"/>
    <col min="6694" max="6694" width="34.42578125" style="3" bestFit="1" customWidth="1"/>
    <col min="6695" max="6701" width="9.140625" style="3"/>
    <col min="6702" max="6702" width="34.42578125" style="3" bestFit="1" customWidth="1"/>
    <col min="6703" max="6709" width="9.140625" style="3"/>
    <col min="6710" max="6710" width="34.42578125" style="3" bestFit="1" customWidth="1"/>
    <col min="6711" max="6717" width="9.140625" style="3"/>
    <col min="6718" max="6718" width="34.42578125" style="3" bestFit="1" customWidth="1"/>
    <col min="6719" max="6725" width="9.140625" style="3"/>
    <col min="6726" max="6726" width="34.42578125" style="3" bestFit="1" customWidth="1"/>
    <col min="6727" max="6733" width="9.140625" style="3"/>
    <col min="6734" max="6734" width="34.42578125" style="3" bestFit="1" customWidth="1"/>
    <col min="6735" max="6741" width="9.140625" style="3"/>
    <col min="6742" max="6742" width="34.42578125" style="3" bestFit="1" customWidth="1"/>
    <col min="6743" max="6749" width="9.140625" style="3"/>
    <col min="6750" max="6750" width="34.42578125" style="3" bestFit="1" customWidth="1"/>
    <col min="6751" max="6757" width="9.140625" style="3"/>
    <col min="6758" max="6758" width="34.42578125" style="3" bestFit="1" customWidth="1"/>
    <col min="6759" max="6765" width="9.140625" style="3"/>
    <col min="6766" max="6766" width="34.42578125" style="3" bestFit="1" customWidth="1"/>
    <col min="6767" max="6773" width="9.140625" style="3"/>
    <col min="6774" max="6774" width="34.42578125" style="3" bestFit="1" customWidth="1"/>
    <col min="6775" max="6781" width="9.140625" style="3"/>
    <col min="6782" max="6782" width="34.42578125" style="3" bestFit="1" customWidth="1"/>
    <col min="6783" max="6789" width="9.140625" style="3"/>
    <col min="6790" max="6790" width="34.42578125" style="3" bestFit="1" customWidth="1"/>
    <col min="6791" max="6797" width="9.140625" style="3"/>
    <col min="6798" max="6798" width="34.42578125" style="3" bestFit="1" customWidth="1"/>
    <col min="6799" max="6805" width="9.140625" style="3"/>
    <col min="6806" max="6806" width="34.42578125" style="3" bestFit="1" customWidth="1"/>
    <col min="6807" max="6813" width="9.140625" style="3"/>
    <col min="6814" max="6814" width="34.42578125" style="3" bestFit="1" customWidth="1"/>
    <col min="6815" max="6821" width="9.140625" style="3"/>
    <col min="6822" max="6822" width="34.42578125" style="3" bestFit="1" customWidth="1"/>
    <col min="6823" max="6829" width="9.140625" style="3"/>
    <col min="6830" max="6830" width="34.42578125" style="3" bestFit="1" customWidth="1"/>
    <col min="6831" max="6837" width="9.140625" style="3"/>
    <col min="6838" max="6838" width="34.42578125" style="3" bestFit="1" customWidth="1"/>
    <col min="6839" max="6845" width="9.140625" style="3"/>
    <col min="6846" max="6846" width="34.42578125" style="3" bestFit="1" customWidth="1"/>
    <col min="6847" max="6853" width="9.140625" style="3"/>
    <col min="6854" max="6854" width="34.42578125" style="3" bestFit="1" customWidth="1"/>
    <col min="6855" max="6861" width="9.140625" style="3"/>
    <col min="6862" max="6862" width="34.42578125" style="3" bestFit="1" customWidth="1"/>
    <col min="6863" max="6869" width="9.140625" style="3"/>
    <col min="6870" max="6870" width="34.42578125" style="3" bestFit="1" customWidth="1"/>
    <col min="6871" max="6877" width="9.140625" style="3"/>
    <col min="6878" max="6878" width="34.42578125" style="3" bestFit="1" customWidth="1"/>
    <col min="6879" max="6885" width="9.140625" style="3"/>
    <col min="6886" max="6886" width="34.42578125" style="3" bestFit="1" customWidth="1"/>
    <col min="6887" max="6893" width="9.140625" style="3"/>
    <col min="6894" max="6894" width="34.42578125" style="3" bestFit="1" customWidth="1"/>
    <col min="6895" max="6901" width="9.140625" style="3"/>
    <col min="6902" max="6902" width="34.42578125" style="3" bestFit="1" customWidth="1"/>
    <col min="6903" max="6909" width="9.140625" style="3"/>
    <col min="6910" max="6910" width="34.42578125" style="3" bestFit="1" customWidth="1"/>
    <col min="6911" max="6917" width="9.140625" style="3"/>
    <col min="6918" max="6918" width="34.42578125" style="3" bestFit="1" customWidth="1"/>
    <col min="6919" max="6925" width="9.140625" style="3"/>
    <col min="6926" max="6926" width="34.42578125" style="3" bestFit="1" customWidth="1"/>
    <col min="6927" max="6933" width="9.140625" style="3"/>
    <col min="6934" max="6934" width="34.42578125" style="3" bestFit="1" customWidth="1"/>
    <col min="6935" max="6941" width="9.140625" style="3"/>
    <col min="6942" max="6942" width="34.42578125" style="3" bestFit="1" customWidth="1"/>
    <col min="6943" max="6949" width="9.140625" style="3"/>
    <col min="6950" max="6950" width="34.42578125" style="3" bestFit="1" customWidth="1"/>
    <col min="6951" max="6957" width="9.140625" style="3"/>
    <col min="6958" max="6958" width="34.42578125" style="3" bestFit="1" customWidth="1"/>
    <col min="6959" max="6965" width="9.140625" style="3"/>
    <col min="6966" max="6966" width="34.42578125" style="3" bestFit="1" customWidth="1"/>
    <col min="6967" max="6973" width="9.140625" style="3"/>
    <col min="6974" max="6974" width="34.42578125" style="3" bestFit="1" customWidth="1"/>
    <col min="6975" max="6981" width="9.140625" style="3"/>
    <col min="6982" max="6982" width="34.42578125" style="3" bestFit="1" customWidth="1"/>
    <col min="6983" max="6989" width="9.140625" style="3"/>
    <col min="6990" max="6990" width="34.42578125" style="3" bestFit="1" customWidth="1"/>
    <col min="6991" max="6997" width="9.140625" style="3"/>
    <col min="6998" max="6998" width="34.42578125" style="3" bestFit="1" customWidth="1"/>
    <col min="6999" max="7005" width="9.140625" style="3"/>
    <col min="7006" max="7006" width="34.42578125" style="3" bestFit="1" customWidth="1"/>
    <col min="7007" max="7013" width="9.140625" style="3"/>
    <col min="7014" max="7014" width="34.42578125" style="3" bestFit="1" customWidth="1"/>
    <col min="7015" max="7021" width="9.140625" style="3"/>
    <col min="7022" max="7022" width="34.42578125" style="3" bestFit="1" customWidth="1"/>
    <col min="7023" max="7029" width="9.140625" style="3"/>
    <col min="7030" max="7030" width="34.42578125" style="3" bestFit="1" customWidth="1"/>
    <col min="7031" max="7037" width="9.140625" style="3"/>
    <col min="7038" max="7038" width="34.42578125" style="3" bestFit="1" customWidth="1"/>
    <col min="7039" max="7045" width="9.140625" style="3"/>
    <col min="7046" max="7046" width="34.42578125" style="3" bestFit="1" customWidth="1"/>
    <col min="7047" max="7053" width="9.140625" style="3"/>
    <col min="7054" max="7054" width="34.42578125" style="3" bestFit="1" customWidth="1"/>
    <col min="7055" max="7061" width="9.140625" style="3"/>
    <col min="7062" max="7062" width="34.42578125" style="3" bestFit="1" customWidth="1"/>
    <col min="7063" max="7069" width="9.140625" style="3"/>
    <col min="7070" max="7070" width="34.42578125" style="3" bestFit="1" customWidth="1"/>
    <col min="7071" max="7077" width="9.140625" style="3"/>
    <col min="7078" max="7078" width="34.42578125" style="3" bestFit="1" customWidth="1"/>
    <col min="7079" max="7085" width="9.140625" style="3"/>
    <col min="7086" max="7086" width="34.42578125" style="3" bestFit="1" customWidth="1"/>
    <col min="7087" max="7093" width="9.140625" style="3"/>
    <col min="7094" max="7094" width="34.42578125" style="3" bestFit="1" customWidth="1"/>
    <col min="7095" max="7101" width="9.140625" style="3"/>
    <col min="7102" max="7102" width="34.42578125" style="3" bestFit="1" customWidth="1"/>
    <col min="7103" max="7109" width="9.140625" style="3"/>
    <col min="7110" max="7110" width="34.42578125" style="3" bestFit="1" customWidth="1"/>
    <col min="7111" max="7117" width="9.140625" style="3"/>
    <col min="7118" max="7118" width="34.42578125" style="3" bestFit="1" customWidth="1"/>
    <col min="7119" max="7125" width="9.140625" style="3"/>
    <col min="7126" max="7126" width="34.42578125" style="3" bestFit="1" customWidth="1"/>
    <col min="7127" max="7133" width="9.140625" style="3"/>
    <col min="7134" max="7134" width="34.42578125" style="3" bestFit="1" customWidth="1"/>
    <col min="7135" max="7141" width="9.140625" style="3"/>
    <col min="7142" max="7142" width="34.42578125" style="3" bestFit="1" customWidth="1"/>
    <col min="7143" max="7149" width="9.140625" style="3"/>
    <col min="7150" max="7150" width="34.42578125" style="3" bestFit="1" customWidth="1"/>
    <col min="7151" max="7157" width="9.140625" style="3"/>
    <col min="7158" max="7158" width="34.42578125" style="3" bestFit="1" customWidth="1"/>
    <col min="7159" max="7165" width="9.140625" style="3"/>
    <col min="7166" max="7166" width="34.42578125" style="3" bestFit="1" customWidth="1"/>
    <col min="7167" max="7173" width="9.140625" style="3"/>
    <col min="7174" max="7174" width="34.42578125" style="3" bestFit="1" customWidth="1"/>
    <col min="7175" max="7181" width="9.140625" style="3"/>
    <col min="7182" max="7182" width="34.42578125" style="3" bestFit="1" customWidth="1"/>
    <col min="7183" max="7189" width="9.140625" style="3"/>
    <col min="7190" max="7190" width="34.42578125" style="3" bestFit="1" customWidth="1"/>
    <col min="7191" max="7197" width="9.140625" style="3"/>
    <col min="7198" max="7198" width="34.42578125" style="3" bestFit="1" customWidth="1"/>
    <col min="7199" max="7205" width="9.140625" style="3"/>
    <col min="7206" max="7206" width="34.42578125" style="3" bestFit="1" customWidth="1"/>
    <col min="7207" max="7213" width="9.140625" style="3"/>
    <col min="7214" max="7214" width="34.42578125" style="3" bestFit="1" customWidth="1"/>
    <col min="7215" max="7221" width="9.140625" style="3"/>
    <col min="7222" max="7222" width="34.42578125" style="3" bestFit="1" customWidth="1"/>
    <col min="7223" max="7229" width="9.140625" style="3"/>
    <col min="7230" max="7230" width="34.42578125" style="3" bestFit="1" customWidth="1"/>
    <col min="7231" max="7237" width="9.140625" style="3"/>
    <col min="7238" max="7238" width="34.42578125" style="3" bestFit="1" customWidth="1"/>
    <col min="7239" max="7245" width="9.140625" style="3"/>
    <col min="7246" max="7246" width="34.42578125" style="3" bestFit="1" customWidth="1"/>
    <col min="7247" max="7253" width="9.140625" style="3"/>
    <col min="7254" max="7254" width="34.42578125" style="3" bestFit="1" customWidth="1"/>
    <col min="7255" max="7261" width="9.140625" style="3"/>
    <col min="7262" max="7262" width="34.42578125" style="3" bestFit="1" customWidth="1"/>
    <col min="7263" max="7269" width="9.140625" style="3"/>
    <col min="7270" max="7270" width="34.42578125" style="3" bestFit="1" customWidth="1"/>
    <col min="7271" max="7277" width="9.140625" style="3"/>
    <col min="7278" max="7278" width="34.42578125" style="3" bestFit="1" customWidth="1"/>
    <col min="7279" max="7285" width="9.140625" style="3"/>
    <col min="7286" max="7286" width="34.42578125" style="3" bestFit="1" customWidth="1"/>
    <col min="7287" max="7293" width="9.140625" style="3"/>
    <col min="7294" max="7294" width="34.42578125" style="3" bestFit="1" customWidth="1"/>
    <col min="7295" max="7301" width="9.140625" style="3"/>
    <col min="7302" max="7302" width="34.42578125" style="3" bestFit="1" customWidth="1"/>
    <col min="7303" max="7309" width="9.140625" style="3"/>
    <col min="7310" max="7310" width="34.42578125" style="3" bestFit="1" customWidth="1"/>
    <col min="7311" max="7317" width="9.140625" style="3"/>
    <col min="7318" max="7318" width="34.42578125" style="3" bestFit="1" customWidth="1"/>
    <col min="7319" max="7325" width="9.140625" style="3"/>
    <col min="7326" max="7326" width="34.42578125" style="3" bestFit="1" customWidth="1"/>
    <col min="7327" max="7333" width="9.140625" style="3"/>
    <col min="7334" max="7334" width="34.42578125" style="3" bestFit="1" customWidth="1"/>
    <col min="7335" max="7341" width="9.140625" style="3"/>
    <col min="7342" max="7342" width="34.42578125" style="3" bestFit="1" customWidth="1"/>
    <col min="7343" max="7349" width="9.140625" style="3"/>
    <col min="7350" max="7350" width="34.42578125" style="3" bestFit="1" customWidth="1"/>
    <col min="7351" max="7357" width="9.140625" style="3"/>
    <col min="7358" max="7358" width="34.42578125" style="3" bestFit="1" customWidth="1"/>
    <col min="7359" max="7365" width="9.140625" style="3"/>
    <col min="7366" max="7366" width="34.42578125" style="3" bestFit="1" customWidth="1"/>
    <col min="7367" max="7373" width="9.140625" style="3"/>
    <col min="7374" max="7374" width="34.42578125" style="3" bestFit="1" customWidth="1"/>
    <col min="7375" max="7381" width="9.140625" style="3"/>
    <col min="7382" max="7382" width="34.42578125" style="3" bestFit="1" customWidth="1"/>
    <col min="7383" max="7389" width="9.140625" style="3"/>
    <col min="7390" max="7390" width="34.42578125" style="3" bestFit="1" customWidth="1"/>
    <col min="7391" max="7397" width="9.140625" style="3"/>
    <col min="7398" max="7398" width="34.42578125" style="3" bestFit="1" customWidth="1"/>
    <col min="7399" max="7405" width="9.140625" style="3"/>
    <col min="7406" max="7406" width="34.42578125" style="3" bestFit="1" customWidth="1"/>
    <col min="7407" max="7413" width="9.140625" style="3"/>
    <col min="7414" max="7414" width="34.42578125" style="3" bestFit="1" customWidth="1"/>
    <col min="7415" max="7421" width="9.140625" style="3"/>
    <col min="7422" max="7422" width="34.42578125" style="3" bestFit="1" customWidth="1"/>
    <col min="7423" max="7429" width="9.140625" style="3"/>
    <col min="7430" max="7430" width="34.42578125" style="3" bestFit="1" customWidth="1"/>
    <col min="7431" max="7437" width="9.140625" style="3"/>
    <col min="7438" max="7438" width="34.42578125" style="3" bestFit="1" customWidth="1"/>
    <col min="7439" max="7445" width="9.140625" style="3"/>
    <col min="7446" max="7446" width="34.42578125" style="3" bestFit="1" customWidth="1"/>
    <col min="7447" max="7453" width="9.140625" style="3"/>
    <col min="7454" max="7454" width="34.42578125" style="3" bestFit="1" customWidth="1"/>
    <col min="7455" max="7461" width="9.140625" style="3"/>
    <col min="7462" max="7462" width="34.42578125" style="3" bestFit="1" customWidth="1"/>
    <col min="7463" max="7469" width="9.140625" style="3"/>
    <col min="7470" max="7470" width="34.42578125" style="3" bestFit="1" customWidth="1"/>
    <col min="7471" max="7477" width="9.140625" style="3"/>
    <col min="7478" max="7478" width="34.42578125" style="3" bestFit="1" customWidth="1"/>
    <col min="7479" max="7485" width="9.140625" style="3"/>
    <col min="7486" max="7486" width="34.42578125" style="3" bestFit="1" customWidth="1"/>
    <col min="7487" max="7493" width="9.140625" style="3"/>
    <col min="7494" max="7494" width="34.42578125" style="3" bestFit="1" customWidth="1"/>
    <col min="7495" max="7501" width="9.140625" style="3"/>
    <col min="7502" max="7502" width="34.42578125" style="3" bestFit="1" customWidth="1"/>
    <col min="7503" max="7509" width="9.140625" style="3"/>
    <col min="7510" max="7510" width="34.42578125" style="3" bestFit="1" customWidth="1"/>
    <col min="7511" max="7517" width="9.140625" style="3"/>
    <col min="7518" max="7518" width="34.42578125" style="3" bestFit="1" customWidth="1"/>
    <col min="7519" max="7525" width="9.140625" style="3"/>
    <col min="7526" max="7526" width="34.42578125" style="3" bestFit="1" customWidth="1"/>
    <col min="7527" max="7533" width="9.140625" style="3"/>
    <col min="7534" max="7534" width="34.42578125" style="3" bestFit="1" customWidth="1"/>
    <col min="7535" max="7541" width="9.140625" style="3"/>
    <col min="7542" max="7542" width="34.42578125" style="3" bestFit="1" customWidth="1"/>
    <col min="7543" max="7549" width="9.140625" style="3"/>
    <col min="7550" max="7550" width="34.42578125" style="3" bestFit="1" customWidth="1"/>
    <col min="7551" max="7557" width="9.140625" style="3"/>
    <col min="7558" max="7558" width="34.42578125" style="3" bestFit="1" customWidth="1"/>
    <col min="7559" max="7565" width="9.140625" style="3"/>
    <col min="7566" max="7566" width="34.42578125" style="3" bestFit="1" customWidth="1"/>
    <col min="7567" max="7573" width="9.140625" style="3"/>
    <col min="7574" max="7574" width="34.42578125" style="3" bestFit="1" customWidth="1"/>
    <col min="7575" max="7581" width="9.140625" style="3"/>
    <col min="7582" max="7582" width="34.42578125" style="3" bestFit="1" customWidth="1"/>
    <col min="7583" max="7589" width="9.140625" style="3"/>
    <col min="7590" max="7590" width="34.42578125" style="3" bestFit="1" customWidth="1"/>
    <col min="7591" max="7597" width="9.140625" style="3"/>
    <col min="7598" max="7598" width="34.42578125" style="3" bestFit="1" customWidth="1"/>
    <col min="7599" max="7605" width="9.140625" style="3"/>
    <col min="7606" max="7606" width="34.42578125" style="3" bestFit="1" customWidth="1"/>
    <col min="7607" max="7613" width="9.140625" style="3"/>
    <col min="7614" max="7614" width="34.42578125" style="3" bestFit="1" customWidth="1"/>
    <col min="7615" max="7621" width="9.140625" style="3"/>
    <col min="7622" max="7622" width="34.42578125" style="3" bestFit="1" customWidth="1"/>
    <col min="7623" max="7629" width="9.140625" style="3"/>
    <col min="7630" max="7630" width="34.42578125" style="3" bestFit="1" customWidth="1"/>
    <col min="7631" max="7637" width="9.140625" style="3"/>
    <col min="7638" max="7638" width="34.42578125" style="3" bestFit="1" customWidth="1"/>
    <col min="7639" max="7645" width="9.140625" style="3"/>
    <col min="7646" max="7646" width="34.42578125" style="3" bestFit="1" customWidth="1"/>
    <col min="7647" max="7653" width="9.140625" style="3"/>
    <col min="7654" max="7654" width="34.42578125" style="3" bestFit="1" customWidth="1"/>
    <col min="7655" max="7661" width="9.140625" style="3"/>
    <col min="7662" max="7662" width="34.42578125" style="3" bestFit="1" customWidth="1"/>
    <col min="7663" max="7669" width="9.140625" style="3"/>
    <col min="7670" max="7670" width="34.42578125" style="3" bestFit="1" customWidth="1"/>
    <col min="7671" max="7677" width="9.140625" style="3"/>
    <col min="7678" max="7678" width="34.42578125" style="3" bestFit="1" customWidth="1"/>
    <col min="7679" max="7685" width="9.140625" style="3"/>
    <col min="7686" max="7686" width="34.42578125" style="3" bestFit="1" customWidth="1"/>
    <col min="7687" max="7693" width="9.140625" style="3"/>
    <col min="7694" max="7694" width="34.42578125" style="3" bestFit="1" customWidth="1"/>
    <col min="7695" max="7701" width="9.140625" style="3"/>
    <col min="7702" max="7702" width="34.42578125" style="3" bestFit="1" customWidth="1"/>
    <col min="7703" max="7709" width="9.140625" style="3"/>
    <col min="7710" max="7710" width="34.42578125" style="3" bestFit="1" customWidth="1"/>
    <col min="7711" max="7717" width="9.140625" style="3"/>
    <col min="7718" max="7718" width="34.42578125" style="3" bestFit="1" customWidth="1"/>
    <col min="7719" max="7725" width="9.140625" style="3"/>
    <col min="7726" max="7726" width="34.42578125" style="3" bestFit="1" customWidth="1"/>
    <col min="7727" max="7733" width="9.140625" style="3"/>
    <col min="7734" max="7734" width="34.42578125" style="3" bestFit="1" customWidth="1"/>
    <col min="7735" max="7741" width="9.140625" style="3"/>
    <col min="7742" max="7742" width="34.42578125" style="3" bestFit="1" customWidth="1"/>
    <col min="7743" max="7749" width="9.140625" style="3"/>
    <col min="7750" max="7750" width="34.42578125" style="3" bestFit="1" customWidth="1"/>
    <col min="7751" max="7757" width="9.140625" style="3"/>
    <col min="7758" max="7758" width="34.42578125" style="3" bestFit="1" customWidth="1"/>
    <col min="7759" max="7765" width="9.140625" style="3"/>
    <col min="7766" max="7766" width="34.42578125" style="3" bestFit="1" customWidth="1"/>
    <col min="7767" max="7773" width="9.140625" style="3"/>
    <col min="7774" max="7774" width="34.42578125" style="3" bestFit="1" customWidth="1"/>
    <col min="7775" max="7781" width="9.140625" style="3"/>
    <col min="7782" max="7782" width="34.42578125" style="3" bestFit="1" customWidth="1"/>
    <col min="7783" max="7789" width="9.140625" style="3"/>
    <col min="7790" max="7790" width="34.42578125" style="3" bestFit="1" customWidth="1"/>
    <col min="7791" max="7797" width="9.140625" style="3"/>
    <col min="7798" max="7798" width="34.42578125" style="3" bestFit="1" customWidth="1"/>
    <col min="7799" max="7805" width="9.140625" style="3"/>
    <col min="7806" max="7806" width="34.42578125" style="3" bestFit="1" customWidth="1"/>
    <col min="7807" max="7813" width="9.140625" style="3"/>
    <col min="7814" max="7814" width="34.42578125" style="3" bestFit="1" customWidth="1"/>
    <col min="7815" max="7821" width="9.140625" style="3"/>
    <col min="7822" max="7822" width="34.42578125" style="3" bestFit="1" customWidth="1"/>
    <col min="7823" max="7829" width="9.140625" style="3"/>
    <col min="7830" max="7830" width="34.42578125" style="3" bestFit="1" customWidth="1"/>
    <col min="7831" max="7837" width="9.140625" style="3"/>
    <col min="7838" max="7838" width="34.42578125" style="3" bestFit="1" customWidth="1"/>
    <col min="7839" max="7845" width="9.140625" style="3"/>
    <col min="7846" max="7846" width="34.42578125" style="3" bestFit="1" customWidth="1"/>
    <col min="7847" max="7853" width="9.140625" style="3"/>
    <col min="7854" max="7854" width="34.42578125" style="3" bestFit="1" customWidth="1"/>
    <col min="7855" max="7861" width="9.140625" style="3"/>
    <col min="7862" max="7862" width="34.42578125" style="3" bestFit="1" customWidth="1"/>
    <col min="7863" max="7869" width="9.140625" style="3"/>
    <col min="7870" max="7870" width="34.42578125" style="3" bestFit="1" customWidth="1"/>
    <col min="7871" max="7877" width="9.140625" style="3"/>
    <col min="7878" max="7878" width="34.42578125" style="3" bestFit="1" customWidth="1"/>
    <col min="7879" max="7885" width="9.140625" style="3"/>
    <col min="7886" max="7886" width="34.42578125" style="3" bestFit="1" customWidth="1"/>
    <col min="7887" max="7893" width="9.140625" style="3"/>
    <col min="7894" max="7894" width="34.42578125" style="3" bestFit="1" customWidth="1"/>
    <col min="7895" max="7901" width="9.140625" style="3"/>
    <col min="7902" max="7902" width="34.42578125" style="3" bestFit="1" customWidth="1"/>
    <col min="7903" max="7909" width="9.140625" style="3"/>
    <col min="7910" max="7910" width="34.42578125" style="3" bestFit="1" customWidth="1"/>
    <col min="7911" max="7917" width="9.140625" style="3"/>
    <col min="7918" max="7918" width="34.42578125" style="3" bestFit="1" customWidth="1"/>
    <col min="7919" max="7925" width="9.140625" style="3"/>
    <col min="7926" max="7926" width="34.42578125" style="3" bestFit="1" customWidth="1"/>
    <col min="7927" max="7933" width="9.140625" style="3"/>
    <col min="7934" max="7934" width="34.42578125" style="3" bestFit="1" customWidth="1"/>
    <col min="7935" max="7941" width="9.140625" style="3"/>
    <col min="7942" max="7942" width="34.42578125" style="3" bestFit="1" customWidth="1"/>
    <col min="7943" max="7949" width="9.140625" style="3"/>
    <col min="7950" max="7950" width="34.42578125" style="3" bestFit="1" customWidth="1"/>
    <col min="7951" max="7957" width="9.140625" style="3"/>
    <col min="7958" max="7958" width="34.42578125" style="3" bestFit="1" customWidth="1"/>
    <col min="7959" max="7965" width="9.140625" style="3"/>
    <col min="7966" max="7966" width="34.42578125" style="3" bestFit="1" customWidth="1"/>
    <col min="7967" max="7973" width="9.140625" style="3"/>
    <col min="7974" max="7974" width="34.42578125" style="3" bestFit="1" customWidth="1"/>
    <col min="7975" max="7981" width="9.140625" style="3"/>
    <col min="7982" max="7982" width="34.42578125" style="3" bestFit="1" customWidth="1"/>
    <col min="7983" max="7989" width="9.140625" style="3"/>
    <col min="7990" max="7990" width="34.42578125" style="3" bestFit="1" customWidth="1"/>
    <col min="7991" max="7997" width="9.140625" style="3"/>
    <col min="7998" max="7998" width="34.42578125" style="3" bestFit="1" customWidth="1"/>
    <col min="7999" max="8005" width="9.140625" style="3"/>
    <col min="8006" max="8006" width="34.42578125" style="3" bestFit="1" customWidth="1"/>
    <col min="8007" max="8013" width="9.140625" style="3"/>
    <col min="8014" max="8014" width="34.42578125" style="3" bestFit="1" customWidth="1"/>
    <col min="8015" max="8021" width="9.140625" style="3"/>
    <col min="8022" max="8022" width="34.42578125" style="3" bestFit="1" customWidth="1"/>
    <col min="8023" max="8029" width="9.140625" style="3"/>
    <col min="8030" max="8030" width="34.42578125" style="3" bestFit="1" customWidth="1"/>
    <col min="8031" max="8037" width="9.140625" style="3"/>
    <col min="8038" max="8038" width="34.42578125" style="3" bestFit="1" customWidth="1"/>
    <col min="8039" max="8045" width="9.140625" style="3"/>
    <col min="8046" max="8046" width="34.42578125" style="3" bestFit="1" customWidth="1"/>
    <col min="8047" max="8053" width="9.140625" style="3"/>
    <col min="8054" max="8054" width="34.42578125" style="3" bestFit="1" customWidth="1"/>
    <col min="8055" max="8061" width="9.140625" style="3"/>
    <col min="8062" max="8062" width="34.42578125" style="3" bestFit="1" customWidth="1"/>
    <col min="8063" max="8069" width="9.140625" style="3"/>
    <col min="8070" max="8070" width="34.42578125" style="3" bestFit="1" customWidth="1"/>
    <col min="8071" max="8077" width="9.140625" style="3"/>
    <col min="8078" max="8078" width="34.42578125" style="3" bestFit="1" customWidth="1"/>
    <col min="8079" max="8085" width="9.140625" style="3"/>
    <col min="8086" max="8086" width="34.42578125" style="3" bestFit="1" customWidth="1"/>
    <col min="8087" max="8093" width="9.140625" style="3"/>
    <col min="8094" max="8094" width="34.42578125" style="3" bestFit="1" customWidth="1"/>
    <col min="8095" max="8101" width="9.140625" style="3"/>
    <col min="8102" max="8102" width="34.42578125" style="3" bestFit="1" customWidth="1"/>
    <col min="8103" max="8109" width="9.140625" style="3"/>
    <col min="8110" max="8110" width="34.42578125" style="3" bestFit="1" customWidth="1"/>
    <col min="8111" max="8117" width="9.140625" style="3"/>
    <col min="8118" max="8118" width="34.42578125" style="3" bestFit="1" customWidth="1"/>
    <col min="8119" max="8125" width="9.140625" style="3"/>
    <col min="8126" max="8126" width="34.42578125" style="3" bestFit="1" customWidth="1"/>
    <col min="8127" max="8133" width="9.140625" style="3"/>
    <col min="8134" max="8134" width="34.42578125" style="3" bestFit="1" customWidth="1"/>
    <col min="8135" max="8141" width="9.140625" style="3"/>
    <col min="8142" max="8142" width="34.42578125" style="3" bestFit="1" customWidth="1"/>
    <col min="8143" max="8149" width="9.140625" style="3"/>
    <col min="8150" max="8150" width="34.42578125" style="3" bestFit="1" customWidth="1"/>
    <col min="8151" max="8157" width="9.140625" style="3"/>
    <col min="8158" max="8158" width="34.42578125" style="3" bestFit="1" customWidth="1"/>
    <col min="8159" max="8165" width="9.140625" style="3"/>
    <col min="8166" max="8166" width="34.42578125" style="3" bestFit="1" customWidth="1"/>
    <col min="8167" max="8173" width="9.140625" style="3"/>
    <col min="8174" max="8174" width="34.42578125" style="3" bestFit="1" customWidth="1"/>
    <col min="8175" max="8181" width="9.140625" style="3"/>
    <col min="8182" max="8182" width="34.42578125" style="3" bestFit="1" customWidth="1"/>
    <col min="8183" max="8189" width="9.140625" style="3"/>
    <col min="8190" max="8190" width="34.42578125" style="3" bestFit="1" customWidth="1"/>
    <col min="8191" max="8197" width="9.140625" style="3"/>
    <col min="8198" max="8198" width="34.42578125" style="3" bestFit="1" customWidth="1"/>
    <col min="8199" max="8205" width="9.140625" style="3"/>
    <col min="8206" max="8206" width="34.42578125" style="3" bestFit="1" customWidth="1"/>
    <col min="8207" max="8213" width="9.140625" style="3"/>
    <col min="8214" max="8214" width="34.42578125" style="3" bestFit="1" customWidth="1"/>
    <col min="8215" max="8221" width="9.140625" style="3"/>
    <col min="8222" max="8222" width="34.42578125" style="3" bestFit="1" customWidth="1"/>
    <col min="8223" max="8229" width="9.140625" style="3"/>
    <col min="8230" max="8230" width="34.42578125" style="3" bestFit="1" customWidth="1"/>
    <col min="8231" max="8237" width="9.140625" style="3"/>
    <col min="8238" max="8238" width="34.42578125" style="3" bestFit="1" customWidth="1"/>
    <col min="8239" max="8245" width="9.140625" style="3"/>
    <col min="8246" max="8246" width="34.42578125" style="3" bestFit="1" customWidth="1"/>
    <col min="8247" max="8253" width="9.140625" style="3"/>
    <col min="8254" max="8254" width="34.42578125" style="3" bestFit="1" customWidth="1"/>
    <col min="8255" max="8261" width="9.140625" style="3"/>
    <col min="8262" max="8262" width="34.42578125" style="3" bestFit="1" customWidth="1"/>
    <col min="8263" max="8269" width="9.140625" style="3"/>
    <col min="8270" max="8270" width="34.42578125" style="3" bestFit="1" customWidth="1"/>
    <col min="8271" max="8277" width="9.140625" style="3"/>
    <col min="8278" max="8278" width="34.42578125" style="3" bestFit="1" customWidth="1"/>
    <col min="8279" max="8285" width="9.140625" style="3"/>
    <col min="8286" max="8286" width="34.42578125" style="3" bestFit="1" customWidth="1"/>
    <col min="8287" max="8293" width="9.140625" style="3"/>
    <col min="8294" max="8294" width="34.42578125" style="3" bestFit="1" customWidth="1"/>
    <col min="8295" max="8301" width="9.140625" style="3"/>
    <col min="8302" max="8302" width="34.42578125" style="3" bestFit="1" customWidth="1"/>
    <col min="8303" max="8309" width="9.140625" style="3"/>
    <col min="8310" max="8310" width="34.42578125" style="3" bestFit="1" customWidth="1"/>
    <col min="8311" max="8317" width="9.140625" style="3"/>
    <col min="8318" max="8318" width="34.42578125" style="3" bestFit="1" customWidth="1"/>
    <col min="8319" max="8325" width="9.140625" style="3"/>
    <col min="8326" max="8326" width="34.42578125" style="3" bestFit="1" customWidth="1"/>
    <col min="8327" max="8333" width="9.140625" style="3"/>
    <col min="8334" max="8334" width="34.42578125" style="3" bestFit="1" customWidth="1"/>
    <col min="8335" max="8341" width="9.140625" style="3"/>
    <col min="8342" max="8342" width="34.42578125" style="3" bestFit="1" customWidth="1"/>
    <col min="8343" max="8349" width="9.140625" style="3"/>
    <col min="8350" max="8350" width="34.42578125" style="3" bestFit="1" customWidth="1"/>
    <col min="8351" max="8357" width="9.140625" style="3"/>
    <col min="8358" max="8358" width="34.42578125" style="3" bestFit="1" customWidth="1"/>
    <col min="8359" max="8365" width="9.140625" style="3"/>
    <col min="8366" max="8366" width="34.42578125" style="3" bestFit="1" customWidth="1"/>
    <col min="8367" max="8373" width="9.140625" style="3"/>
    <col min="8374" max="8374" width="34.42578125" style="3" bestFit="1" customWidth="1"/>
    <col min="8375" max="8381" width="9.140625" style="3"/>
    <col min="8382" max="8382" width="34.42578125" style="3" bestFit="1" customWidth="1"/>
    <col min="8383" max="8389" width="9.140625" style="3"/>
    <col min="8390" max="8390" width="34.42578125" style="3" bestFit="1" customWidth="1"/>
    <col min="8391" max="8397" width="9.140625" style="3"/>
    <col min="8398" max="8398" width="34.42578125" style="3" bestFit="1" customWidth="1"/>
    <col min="8399" max="8405" width="9.140625" style="3"/>
    <col min="8406" max="8406" width="34.42578125" style="3" bestFit="1" customWidth="1"/>
    <col min="8407" max="8413" width="9.140625" style="3"/>
    <col min="8414" max="8414" width="34.42578125" style="3" bestFit="1" customWidth="1"/>
    <col min="8415" max="8421" width="9.140625" style="3"/>
    <col min="8422" max="8422" width="34.42578125" style="3" bestFit="1" customWidth="1"/>
    <col min="8423" max="8429" width="9.140625" style="3"/>
    <col min="8430" max="8430" width="34.42578125" style="3" bestFit="1" customWidth="1"/>
    <col min="8431" max="8437" width="9.140625" style="3"/>
    <col min="8438" max="8438" width="34.42578125" style="3" bestFit="1" customWidth="1"/>
    <col min="8439" max="8445" width="9.140625" style="3"/>
    <col min="8446" max="8446" width="34.42578125" style="3" bestFit="1" customWidth="1"/>
    <col min="8447" max="8453" width="9.140625" style="3"/>
    <col min="8454" max="8454" width="34.42578125" style="3" bestFit="1" customWidth="1"/>
    <col min="8455" max="8461" width="9.140625" style="3"/>
    <col min="8462" max="8462" width="34.42578125" style="3" bestFit="1" customWidth="1"/>
    <col min="8463" max="8469" width="9.140625" style="3"/>
    <col min="8470" max="8470" width="34.42578125" style="3" bestFit="1" customWidth="1"/>
    <col min="8471" max="8477" width="9.140625" style="3"/>
    <col min="8478" max="8478" width="34.42578125" style="3" bestFit="1" customWidth="1"/>
    <col min="8479" max="8485" width="9.140625" style="3"/>
    <col min="8486" max="8486" width="34.42578125" style="3" bestFit="1" customWidth="1"/>
    <col min="8487" max="8493" width="9.140625" style="3"/>
    <col min="8494" max="8494" width="34.42578125" style="3" bestFit="1" customWidth="1"/>
    <col min="8495" max="8501" width="9.140625" style="3"/>
    <col min="8502" max="8502" width="34.42578125" style="3" bestFit="1" customWidth="1"/>
    <col min="8503" max="8509" width="9.140625" style="3"/>
    <col min="8510" max="8510" width="34.42578125" style="3" bestFit="1" customWidth="1"/>
    <col min="8511" max="8517" width="9.140625" style="3"/>
    <col min="8518" max="8518" width="34.42578125" style="3" bestFit="1" customWidth="1"/>
    <col min="8519" max="8525" width="9.140625" style="3"/>
    <col min="8526" max="8526" width="34.42578125" style="3" bestFit="1" customWidth="1"/>
    <col min="8527" max="8533" width="9.140625" style="3"/>
    <col min="8534" max="8534" width="34.42578125" style="3" bestFit="1" customWidth="1"/>
    <col min="8535" max="8541" width="9.140625" style="3"/>
    <col min="8542" max="8542" width="34.42578125" style="3" bestFit="1" customWidth="1"/>
    <col min="8543" max="8549" width="9.140625" style="3"/>
    <col min="8550" max="8550" width="34.42578125" style="3" bestFit="1" customWidth="1"/>
    <col min="8551" max="8557" width="9.140625" style="3"/>
    <col min="8558" max="8558" width="34.42578125" style="3" bestFit="1" customWidth="1"/>
    <col min="8559" max="8565" width="9.140625" style="3"/>
    <col min="8566" max="8566" width="34.42578125" style="3" bestFit="1" customWidth="1"/>
    <col min="8567" max="8573" width="9.140625" style="3"/>
    <col min="8574" max="8574" width="34.42578125" style="3" bestFit="1" customWidth="1"/>
    <col min="8575" max="8581" width="9.140625" style="3"/>
    <col min="8582" max="8582" width="34.42578125" style="3" bestFit="1" customWidth="1"/>
    <col min="8583" max="8589" width="9.140625" style="3"/>
    <col min="8590" max="8590" width="34.42578125" style="3" bestFit="1" customWidth="1"/>
    <col min="8591" max="8597" width="9.140625" style="3"/>
    <col min="8598" max="8598" width="34.42578125" style="3" bestFit="1" customWidth="1"/>
    <col min="8599" max="8605" width="9.140625" style="3"/>
    <col min="8606" max="8606" width="34.42578125" style="3" bestFit="1" customWidth="1"/>
    <col min="8607" max="8613" width="9.140625" style="3"/>
    <col min="8614" max="8614" width="34.42578125" style="3" bestFit="1" customWidth="1"/>
    <col min="8615" max="8621" width="9.140625" style="3"/>
    <col min="8622" max="8622" width="34.42578125" style="3" bestFit="1" customWidth="1"/>
    <col min="8623" max="8629" width="9.140625" style="3"/>
    <col min="8630" max="8630" width="34.42578125" style="3" bestFit="1" customWidth="1"/>
    <col min="8631" max="8637" width="9.140625" style="3"/>
    <col min="8638" max="8638" width="34.42578125" style="3" bestFit="1" customWidth="1"/>
    <col min="8639" max="8645" width="9.140625" style="3"/>
    <col min="8646" max="8646" width="34.42578125" style="3" bestFit="1" customWidth="1"/>
    <col min="8647" max="8653" width="9.140625" style="3"/>
    <col min="8654" max="8654" width="34.42578125" style="3" bestFit="1" customWidth="1"/>
    <col min="8655" max="8661" width="9.140625" style="3"/>
    <col min="8662" max="8662" width="34.42578125" style="3" bestFit="1" customWidth="1"/>
    <col min="8663" max="8669" width="9.140625" style="3"/>
    <col min="8670" max="8670" width="34.42578125" style="3" bestFit="1" customWidth="1"/>
    <col min="8671" max="8677" width="9.140625" style="3"/>
    <col min="8678" max="8678" width="34.42578125" style="3" bestFit="1" customWidth="1"/>
    <col min="8679" max="8685" width="9.140625" style="3"/>
    <col min="8686" max="8686" width="34.42578125" style="3" bestFit="1" customWidth="1"/>
    <col min="8687" max="8693" width="9.140625" style="3"/>
    <col min="8694" max="8694" width="34.42578125" style="3" bestFit="1" customWidth="1"/>
    <col min="8695" max="8701" width="9.140625" style="3"/>
    <col min="8702" max="8702" width="34.42578125" style="3" bestFit="1" customWidth="1"/>
    <col min="8703" max="8709" width="9.140625" style="3"/>
    <col min="8710" max="8710" width="34.42578125" style="3" bestFit="1" customWidth="1"/>
    <col min="8711" max="8717" width="9.140625" style="3"/>
    <col min="8718" max="8718" width="34.42578125" style="3" bestFit="1" customWidth="1"/>
    <col min="8719" max="8725" width="9.140625" style="3"/>
    <col min="8726" max="8726" width="34.42578125" style="3" bestFit="1" customWidth="1"/>
    <col min="8727" max="8733" width="9.140625" style="3"/>
    <col min="8734" max="8734" width="34.42578125" style="3" bestFit="1" customWidth="1"/>
    <col min="8735" max="8741" width="9.140625" style="3"/>
    <col min="8742" max="8742" width="34.42578125" style="3" bestFit="1" customWidth="1"/>
    <col min="8743" max="8749" width="9.140625" style="3"/>
    <col min="8750" max="8750" width="34.42578125" style="3" bestFit="1" customWidth="1"/>
    <col min="8751" max="8757" width="9.140625" style="3"/>
    <col min="8758" max="8758" width="34.42578125" style="3" bestFit="1" customWidth="1"/>
    <col min="8759" max="8765" width="9.140625" style="3"/>
    <col min="8766" max="8766" width="34.42578125" style="3" bestFit="1" customWidth="1"/>
    <col min="8767" max="8773" width="9.140625" style="3"/>
    <col min="8774" max="8774" width="34.42578125" style="3" bestFit="1" customWidth="1"/>
    <col min="8775" max="8781" width="9.140625" style="3"/>
    <col min="8782" max="8782" width="34.42578125" style="3" bestFit="1" customWidth="1"/>
    <col min="8783" max="8789" width="9.140625" style="3"/>
    <col min="8790" max="8790" width="34.42578125" style="3" bestFit="1" customWidth="1"/>
    <col min="8791" max="8797" width="9.140625" style="3"/>
    <col min="8798" max="8798" width="34.42578125" style="3" bestFit="1" customWidth="1"/>
    <col min="8799" max="8805" width="9.140625" style="3"/>
    <col min="8806" max="8806" width="34.42578125" style="3" bestFit="1" customWidth="1"/>
    <col min="8807" max="8813" width="9.140625" style="3"/>
    <col min="8814" max="8814" width="34.42578125" style="3" bestFit="1" customWidth="1"/>
    <col min="8815" max="8821" width="9.140625" style="3"/>
    <col min="8822" max="8822" width="34.42578125" style="3" bestFit="1" customWidth="1"/>
    <col min="8823" max="8829" width="9.140625" style="3"/>
    <col min="8830" max="8830" width="34.42578125" style="3" bestFit="1" customWidth="1"/>
    <col min="8831" max="8837" width="9.140625" style="3"/>
    <col min="8838" max="8838" width="34.42578125" style="3" bestFit="1" customWidth="1"/>
    <col min="8839" max="8845" width="9.140625" style="3"/>
    <col min="8846" max="8846" width="34.42578125" style="3" bestFit="1" customWidth="1"/>
    <col min="8847" max="8853" width="9.140625" style="3"/>
    <col min="8854" max="8854" width="34.42578125" style="3" bestFit="1" customWidth="1"/>
    <col min="8855" max="8861" width="9.140625" style="3"/>
    <col min="8862" max="8862" width="34.42578125" style="3" bestFit="1" customWidth="1"/>
    <col min="8863" max="8869" width="9.140625" style="3"/>
    <col min="8870" max="8870" width="34.42578125" style="3" bestFit="1" customWidth="1"/>
    <col min="8871" max="8877" width="9.140625" style="3"/>
    <col min="8878" max="8878" width="34.42578125" style="3" bestFit="1" customWidth="1"/>
    <col min="8879" max="8885" width="9.140625" style="3"/>
    <col min="8886" max="8886" width="34.42578125" style="3" bestFit="1" customWidth="1"/>
    <col min="8887" max="8893" width="9.140625" style="3"/>
    <col min="8894" max="8894" width="34.42578125" style="3" bestFit="1" customWidth="1"/>
    <col min="8895" max="8901" width="9.140625" style="3"/>
    <col min="8902" max="8902" width="34.42578125" style="3" bestFit="1" customWidth="1"/>
    <col min="8903" max="8909" width="9.140625" style="3"/>
    <col min="8910" max="8910" width="34.42578125" style="3" bestFit="1" customWidth="1"/>
    <col min="8911" max="8917" width="9.140625" style="3"/>
    <col min="8918" max="8918" width="34.42578125" style="3" bestFit="1" customWidth="1"/>
    <col min="8919" max="8925" width="9.140625" style="3"/>
    <col min="8926" max="8926" width="34.42578125" style="3" bestFit="1" customWidth="1"/>
    <col min="8927" max="8933" width="9.140625" style="3"/>
    <col min="8934" max="8934" width="34.42578125" style="3" bestFit="1" customWidth="1"/>
    <col min="8935" max="8941" width="9.140625" style="3"/>
    <col min="8942" max="8942" width="34.42578125" style="3" bestFit="1" customWidth="1"/>
    <col min="8943" max="8949" width="9.140625" style="3"/>
    <col min="8950" max="8950" width="34.42578125" style="3" bestFit="1" customWidth="1"/>
    <col min="8951" max="8957" width="9.140625" style="3"/>
    <col min="8958" max="8958" width="34.42578125" style="3" bestFit="1" customWidth="1"/>
    <col min="8959" max="8965" width="9.140625" style="3"/>
    <col min="8966" max="8966" width="34.42578125" style="3" bestFit="1" customWidth="1"/>
    <col min="8967" max="8973" width="9.140625" style="3"/>
    <col min="8974" max="8974" width="34.42578125" style="3" bestFit="1" customWidth="1"/>
    <col min="8975" max="8981" width="9.140625" style="3"/>
    <col min="8982" max="8982" width="34.42578125" style="3" bestFit="1" customWidth="1"/>
    <col min="8983" max="8989" width="9.140625" style="3"/>
    <col min="8990" max="8990" width="34.42578125" style="3" bestFit="1" customWidth="1"/>
    <col min="8991" max="8997" width="9.140625" style="3"/>
    <col min="8998" max="8998" width="34.42578125" style="3" bestFit="1" customWidth="1"/>
    <col min="8999" max="9005" width="9.140625" style="3"/>
    <col min="9006" max="9006" width="34.42578125" style="3" bestFit="1" customWidth="1"/>
    <col min="9007" max="9013" width="9.140625" style="3"/>
    <col min="9014" max="9014" width="34.42578125" style="3" bestFit="1" customWidth="1"/>
    <col min="9015" max="9021" width="9.140625" style="3"/>
    <col min="9022" max="9022" width="34.42578125" style="3" bestFit="1" customWidth="1"/>
    <col min="9023" max="9029" width="9.140625" style="3"/>
    <col min="9030" max="9030" width="34.42578125" style="3" bestFit="1" customWidth="1"/>
    <col min="9031" max="9037" width="9.140625" style="3"/>
    <col min="9038" max="9038" width="34.42578125" style="3" bestFit="1" customWidth="1"/>
    <col min="9039" max="9045" width="9.140625" style="3"/>
    <col min="9046" max="9046" width="34.42578125" style="3" bestFit="1" customWidth="1"/>
    <col min="9047" max="9053" width="9.140625" style="3"/>
    <col min="9054" max="9054" width="34.42578125" style="3" bestFit="1" customWidth="1"/>
    <col min="9055" max="9061" width="9.140625" style="3"/>
    <col min="9062" max="9062" width="34.42578125" style="3" bestFit="1" customWidth="1"/>
    <col min="9063" max="9069" width="9.140625" style="3"/>
    <col min="9070" max="9070" width="34.42578125" style="3" bestFit="1" customWidth="1"/>
    <col min="9071" max="9077" width="9.140625" style="3"/>
    <col min="9078" max="9078" width="34.42578125" style="3" bestFit="1" customWidth="1"/>
    <col min="9079" max="9085" width="9.140625" style="3"/>
    <col min="9086" max="9086" width="34.42578125" style="3" bestFit="1" customWidth="1"/>
    <col min="9087" max="9093" width="9.140625" style="3"/>
    <col min="9094" max="9094" width="34.42578125" style="3" bestFit="1" customWidth="1"/>
    <col min="9095" max="9101" width="9.140625" style="3"/>
    <col min="9102" max="9102" width="34.42578125" style="3" bestFit="1" customWidth="1"/>
    <col min="9103" max="9109" width="9.140625" style="3"/>
    <col min="9110" max="9110" width="34.42578125" style="3" bestFit="1" customWidth="1"/>
    <col min="9111" max="9117" width="9.140625" style="3"/>
    <col min="9118" max="9118" width="34.42578125" style="3" bestFit="1" customWidth="1"/>
    <col min="9119" max="9125" width="9.140625" style="3"/>
    <col min="9126" max="9126" width="34.42578125" style="3" bestFit="1" customWidth="1"/>
    <col min="9127" max="9133" width="9.140625" style="3"/>
    <col min="9134" max="9134" width="34.42578125" style="3" bestFit="1" customWidth="1"/>
    <col min="9135" max="9141" width="9.140625" style="3"/>
    <col min="9142" max="9142" width="34.42578125" style="3" bestFit="1" customWidth="1"/>
    <col min="9143" max="9149" width="9.140625" style="3"/>
    <col min="9150" max="9150" width="34.42578125" style="3" bestFit="1" customWidth="1"/>
    <col min="9151" max="9157" width="9.140625" style="3"/>
    <col min="9158" max="9158" width="34.42578125" style="3" bestFit="1" customWidth="1"/>
    <col min="9159" max="9165" width="9.140625" style="3"/>
    <col min="9166" max="9166" width="34.42578125" style="3" bestFit="1" customWidth="1"/>
    <col min="9167" max="9173" width="9.140625" style="3"/>
    <col min="9174" max="9174" width="34.42578125" style="3" bestFit="1" customWidth="1"/>
    <col min="9175" max="9181" width="9.140625" style="3"/>
    <col min="9182" max="9182" width="34.42578125" style="3" bestFit="1" customWidth="1"/>
    <col min="9183" max="9189" width="9.140625" style="3"/>
    <col min="9190" max="9190" width="34.42578125" style="3" bestFit="1" customWidth="1"/>
    <col min="9191" max="9197" width="9.140625" style="3"/>
    <col min="9198" max="9198" width="34.42578125" style="3" bestFit="1" customWidth="1"/>
    <col min="9199" max="9205" width="9.140625" style="3"/>
    <col min="9206" max="9206" width="34.42578125" style="3" bestFit="1" customWidth="1"/>
    <col min="9207" max="9213" width="9.140625" style="3"/>
    <col min="9214" max="9214" width="34.42578125" style="3" bestFit="1" customWidth="1"/>
    <col min="9215" max="9221" width="9.140625" style="3"/>
    <col min="9222" max="9222" width="34.42578125" style="3" bestFit="1" customWidth="1"/>
    <col min="9223" max="9229" width="9.140625" style="3"/>
    <col min="9230" max="9230" width="34.42578125" style="3" bestFit="1" customWidth="1"/>
    <col min="9231" max="9237" width="9.140625" style="3"/>
    <col min="9238" max="9238" width="34.42578125" style="3" bestFit="1" customWidth="1"/>
    <col min="9239" max="9245" width="9.140625" style="3"/>
    <col min="9246" max="9246" width="34.42578125" style="3" bestFit="1" customWidth="1"/>
    <col min="9247" max="9253" width="9.140625" style="3"/>
    <col min="9254" max="9254" width="34.42578125" style="3" bestFit="1" customWidth="1"/>
    <col min="9255" max="9261" width="9.140625" style="3"/>
    <col min="9262" max="9262" width="34.42578125" style="3" bestFit="1" customWidth="1"/>
    <col min="9263" max="9269" width="9.140625" style="3"/>
    <col min="9270" max="9270" width="34.42578125" style="3" bestFit="1" customWidth="1"/>
    <col min="9271" max="9277" width="9.140625" style="3"/>
    <col min="9278" max="9278" width="34.42578125" style="3" bestFit="1" customWidth="1"/>
    <col min="9279" max="9285" width="9.140625" style="3"/>
    <col min="9286" max="9286" width="34.42578125" style="3" bestFit="1" customWidth="1"/>
    <col min="9287" max="9293" width="9.140625" style="3"/>
    <col min="9294" max="9294" width="34.42578125" style="3" bestFit="1" customWidth="1"/>
    <col min="9295" max="9301" width="9.140625" style="3"/>
    <col min="9302" max="9302" width="34.42578125" style="3" bestFit="1" customWidth="1"/>
    <col min="9303" max="9309" width="9.140625" style="3"/>
    <col min="9310" max="9310" width="34.42578125" style="3" bestFit="1" customWidth="1"/>
    <col min="9311" max="9317" width="9.140625" style="3"/>
    <col min="9318" max="9318" width="34.42578125" style="3" bestFit="1" customWidth="1"/>
    <col min="9319" max="9325" width="9.140625" style="3"/>
    <col min="9326" max="9326" width="34.42578125" style="3" bestFit="1" customWidth="1"/>
    <col min="9327" max="9333" width="9.140625" style="3"/>
    <col min="9334" max="9334" width="34.42578125" style="3" bestFit="1" customWidth="1"/>
    <col min="9335" max="9341" width="9.140625" style="3"/>
    <col min="9342" max="9342" width="34.42578125" style="3" bestFit="1" customWidth="1"/>
    <col min="9343" max="9349" width="9.140625" style="3"/>
    <col min="9350" max="9350" width="34.42578125" style="3" bestFit="1" customWidth="1"/>
    <col min="9351" max="9357" width="9.140625" style="3"/>
    <col min="9358" max="9358" width="34.42578125" style="3" bestFit="1" customWidth="1"/>
    <col min="9359" max="9365" width="9.140625" style="3"/>
    <col min="9366" max="9366" width="34.42578125" style="3" bestFit="1" customWidth="1"/>
    <col min="9367" max="9373" width="9.140625" style="3"/>
    <col min="9374" max="9374" width="34.42578125" style="3" bestFit="1" customWidth="1"/>
    <col min="9375" max="9381" width="9.140625" style="3"/>
    <col min="9382" max="9382" width="34.42578125" style="3" bestFit="1" customWidth="1"/>
    <col min="9383" max="9389" width="9.140625" style="3"/>
    <col min="9390" max="9390" width="34.42578125" style="3" bestFit="1" customWidth="1"/>
    <col min="9391" max="9397" width="9.140625" style="3"/>
    <col min="9398" max="9398" width="34.42578125" style="3" bestFit="1" customWidth="1"/>
    <col min="9399" max="9405" width="9.140625" style="3"/>
    <col min="9406" max="9406" width="34.42578125" style="3" bestFit="1" customWidth="1"/>
    <col min="9407" max="9413" width="9.140625" style="3"/>
    <col min="9414" max="9414" width="34.42578125" style="3" bestFit="1" customWidth="1"/>
    <col min="9415" max="9421" width="9.140625" style="3"/>
    <col min="9422" max="9422" width="34.42578125" style="3" bestFit="1" customWidth="1"/>
    <col min="9423" max="9429" width="9.140625" style="3"/>
    <col min="9430" max="9430" width="34.42578125" style="3" bestFit="1" customWidth="1"/>
    <col min="9431" max="9437" width="9.140625" style="3"/>
    <col min="9438" max="9438" width="34.42578125" style="3" bestFit="1" customWidth="1"/>
    <col min="9439" max="9445" width="9.140625" style="3"/>
    <col min="9446" max="9446" width="34.42578125" style="3" bestFit="1" customWidth="1"/>
    <col min="9447" max="9453" width="9.140625" style="3"/>
    <col min="9454" max="9454" width="34.42578125" style="3" bestFit="1" customWidth="1"/>
    <col min="9455" max="9461" width="9.140625" style="3"/>
    <col min="9462" max="9462" width="34.42578125" style="3" bestFit="1" customWidth="1"/>
    <col min="9463" max="9469" width="9.140625" style="3"/>
    <col min="9470" max="9470" width="34.42578125" style="3" bestFit="1" customWidth="1"/>
    <col min="9471" max="9477" width="9.140625" style="3"/>
    <col min="9478" max="9478" width="34.42578125" style="3" bestFit="1" customWidth="1"/>
    <col min="9479" max="9485" width="9.140625" style="3"/>
    <col min="9486" max="9486" width="34.42578125" style="3" bestFit="1" customWidth="1"/>
    <col min="9487" max="9493" width="9.140625" style="3"/>
    <col min="9494" max="9494" width="34.42578125" style="3" bestFit="1" customWidth="1"/>
    <col min="9495" max="9501" width="9.140625" style="3"/>
    <col min="9502" max="9502" width="34.42578125" style="3" bestFit="1" customWidth="1"/>
    <col min="9503" max="9509" width="9.140625" style="3"/>
    <col min="9510" max="9510" width="34.42578125" style="3" bestFit="1" customWidth="1"/>
    <col min="9511" max="9517" width="9.140625" style="3"/>
    <col min="9518" max="9518" width="34.42578125" style="3" bestFit="1" customWidth="1"/>
    <col min="9519" max="9525" width="9.140625" style="3"/>
    <col min="9526" max="9526" width="34.42578125" style="3" bestFit="1" customWidth="1"/>
    <col min="9527" max="9533" width="9.140625" style="3"/>
    <col min="9534" max="9534" width="34.42578125" style="3" bestFit="1" customWidth="1"/>
    <col min="9535" max="9541" width="9.140625" style="3"/>
    <col min="9542" max="9542" width="34.42578125" style="3" bestFit="1" customWidth="1"/>
    <col min="9543" max="9549" width="9.140625" style="3"/>
    <col min="9550" max="9550" width="34.42578125" style="3" bestFit="1" customWidth="1"/>
    <col min="9551" max="9557" width="9.140625" style="3"/>
    <col min="9558" max="9558" width="34.42578125" style="3" bestFit="1" customWidth="1"/>
    <col min="9559" max="9565" width="9.140625" style="3"/>
    <col min="9566" max="9566" width="34.42578125" style="3" bestFit="1" customWidth="1"/>
    <col min="9567" max="9573" width="9.140625" style="3"/>
    <col min="9574" max="9574" width="34.42578125" style="3" bestFit="1" customWidth="1"/>
    <col min="9575" max="9581" width="9.140625" style="3"/>
    <col min="9582" max="9582" width="34.42578125" style="3" bestFit="1" customWidth="1"/>
    <col min="9583" max="9589" width="9.140625" style="3"/>
    <col min="9590" max="9590" width="34.42578125" style="3" bestFit="1" customWidth="1"/>
    <col min="9591" max="9597" width="9.140625" style="3"/>
    <col min="9598" max="9598" width="34.42578125" style="3" bestFit="1" customWidth="1"/>
    <col min="9599" max="9605" width="9.140625" style="3"/>
    <col min="9606" max="9606" width="34.42578125" style="3" bestFit="1" customWidth="1"/>
    <col min="9607" max="9613" width="9.140625" style="3"/>
    <col min="9614" max="9614" width="34.42578125" style="3" bestFit="1" customWidth="1"/>
    <col min="9615" max="9621" width="9.140625" style="3"/>
    <col min="9622" max="9622" width="34.42578125" style="3" bestFit="1" customWidth="1"/>
    <col min="9623" max="9629" width="9.140625" style="3"/>
    <col min="9630" max="9630" width="34.42578125" style="3" bestFit="1" customWidth="1"/>
    <col min="9631" max="9637" width="9.140625" style="3"/>
    <col min="9638" max="9638" width="34.42578125" style="3" bestFit="1" customWidth="1"/>
    <col min="9639" max="9645" width="9.140625" style="3"/>
    <col min="9646" max="9646" width="34.42578125" style="3" bestFit="1" customWidth="1"/>
    <col min="9647" max="9653" width="9.140625" style="3"/>
    <col min="9654" max="9654" width="34.42578125" style="3" bestFit="1" customWidth="1"/>
    <col min="9655" max="9661" width="9.140625" style="3"/>
    <col min="9662" max="9662" width="34.42578125" style="3" bestFit="1" customWidth="1"/>
    <col min="9663" max="9669" width="9.140625" style="3"/>
    <col min="9670" max="9670" width="34.42578125" style="3" bestFit="1" customWidth="1"/>
    <col min="9671" max="9677" width="9.140625" style="3"/>
    <col min="9678" max="9678" width="34.42578125" style="3" bestFit="1" customWidth="1"/>
    <col min="9679" max="9685" width="9.140625" style="3"/>
    <col min="9686" max="9686" width="34.42578125" style="3" bestFit="1" customWidth="1"/>
    <col min="9687" max="9693" width="9.140625" style="3"/>
    <col min="9694" max="9694" width="34.42578125" style="3" bestFit="1" customWidth="1"/>
    <col min="9695" max="9701" width="9.140625" style="3"/>
    <col min="9702" max="9702" width="34.42578125" style="3" bestFit="1" customWidth="1"/>
    <col min="9703" max="9709" width="9.140625" style="3"/>
    <col min="9710" max="9710" width="34.42578125" style="3" bestFit="1" customWidth="1"/>
    <col min="9711" max="9717" width="9.140625" style="3"/>
    <col min="9718" max="9718" width="34.42578125" style="3" bestFit="1" customWidth="1"/>
    <col min="9719" max="9725" width="9.140625" style="3"/>
    <col min="9726" max="9726" width="34.42578125" style="3" bestFit="1" customWidth="1"/>
    <col min="9727" max="9733" width="9.140625" style="3"/>
    <col min="9734" max="9734" width="34.42578125" style="3" bestFit="1" customWidth="1"/>
    <col min="9735" max="9741" width="9.140625" style="3"/>
    <col min="9742" max="9742" width="34.42578125" style="3" bestFit="1" customWidth="1"/>
    <col min="9743" max="9749" width="9.140625" style="3"/>
    <col min="9750" max="9750" width="34.42578125" style="3" bestFit="1" customWidth="1"/>
    <col min="9751" max="9757" width="9.140625" style="3"/>
    <col min="9758" max="9758" width="34.42578125" style="3" bestFit="1" customWidth="1"/>
    <col min="9759" max="9765" width="9.140625" style="3"/>
    <col min="9766" max="9766" width="34.42578125" style="3" bestFit="1" customWidth="1"/>
    <col min="9767" max="9773" width="9.140625" style="3"/>
    <col min="9774" max="9774" width="34.42578125" style="3" bestFit="1" customWidth="1"/>
    <col min="9775" max="9781" width="9.140625" style="3"/>
    <col min="9782" max="9782" width="34.42578125" style="3" bestFit="1" customWidth="1"/>
    <col min="9783" max="9789" width="9.140625" style="3"/>
    <col min="9790" max="9790" width="34.42578125" style="3" bestFit="1" customWidth="1"/>
    <col min="9791" max="9797" width="9.140625" style="3"/>
    <col min="9798" max="9798" width="34.42578125" style="3" bestFit="1" customWidth="1"/>
    <col min="9799" max="9805" width="9.140625" style="3"/>
    <col min="9806" max="9806" width="34.42578125" style="3" bestFit="1" customWidth="1"/>
    <col min="9807" max="9813" width="9.140625" style="3"/>
    <col min="9814" max="9814" width="34.42578125" style="3" bestFit="1" customWidth="1"/>
    <col min="9815" max="9821" width="9.140625" style="3"/>
    <col min="9822" max="9822" width="34.42578125" style="3" bestFit="1" customWidth="1"/>
    <col min="9823" max="9829" width="9.140625" style="3"/>
    <col min="9830" max="9830" width="34.42578125" style="3" bestFit="1" customWidth="1"/>
    <col min="9831" max="9837" width="9.140625" style="3"/>
    <col min="9838" max="9838" width="34.42578125" style="3" bestFit="1" customWidth="1"/>
    <col min="9839" max="9845" width="9.140625" style="3"/>
    <col min="9846" max="9846" width="34.42578125" style="3" bestFit="1" customWidth="1"/>
    <col min="9847" max="9853" width="9.140625" style="3"/>
    <col min="9854" max="9854" width="34.42578125" style="3" bestFit="1" customWidth="1"/>
    <col min="9855" max="9861" width="9.140625" style="3"/>
    <col min="9862" max="9862" width="34.42578125" style="3" bestFit="1" customWidth="1"/>
    <col min="9863" max="9869" width="9.140625" style="3"/>
    <col min="9870" max="9870" width="34.42578125" style="3" bestFit="1" customWidth="1"/>
    <col min="9871" max="9877" width="9.140625" style="3"/>
    <col min="9878" max="9878" width="34.42578125" style="3" bestFit="1" customWidth="1"/>
    <col min="9879" max="9885" width="9.140625" style="3"/>
    <col min="9886" max="9886" width="34.42578125" style="3" bestFit="1" customWidth="1"/>
    <col min="9887" max="9893" width="9.140625" style="3"/>
    <col min="9894" max="9894" width="34.42578125" style="3" bestFit="1" customWidth="1"/>
    <col min="9895" max="9901" width="9.140625" style="3"/>
    <col min="9902" max="9902" width="34.42578125" style="3" bestFit="1" customWidth="1"/>
    <col min="9903" max="9909" width="9.140625" style="3"/>
    <col min="9910" max="9910" width="34.42578125" style="3" bestFit="1" customWidth="1"/>
    <col min="9911" max="9917" width="9.140625" style="3"/>
    <col min="9918" max="9918" width="34.42578125" style="3" bestFit="1" customWidth="1"/>
    <col min="9919" max="9925" width="9.140625" style="3"/>
    <col min="9926" max="9926" width="34.42578125" style="3" bestFit="1" customWidth="1"/>
    <col min="9927" max="9933" width="9.140625" style="3"/>
    <col min="9934" max="9934" width="34.42578125" style="3" bestFit="1" customWidth="1"/>
    <col min="9935" max="9941" width="9.140625" style="3"/>
    <col min="9942" max="9942" width="34.42578125" style="3" bestFit="1" customWidth="1"/>
    <col min="9943" max="9949" width="9.140625" style="3"/>
    <col min="9950" max="9950" width="34.42578125" style="3" bestFit="1" customWidth="1"/>
    <col min="9951" max="9957" width="9.140625" style="3"/>
    <col min="9958" max="9958" width="34.42578125" style="3" bestFit="1" customWidth="1"/>
    <col min="9959" max="9965" width="9.140625" style="3"/>
    <col min="9966" max="9966" width="34.42578125" style="3" bestFit="1" customWidth="1"/>
    <col min="9967" max="9973" width="9.140625" style="3"/>
    <col min="9974" max="9974" width="34.42578125" style="3" bestFit="1" customWidth="1"/>
    <col min="9975" max="9981" width="9.140625" style="3"/>
    <col min="9982" max="9982" width="34.42578125" style="3" bestFit="1" customWidth="1"/>
    <col min="9983" max="9989" width="9.140625" style="3"/>
    <col min="9990" max="9990" width="34.42578125" style="3" bestFit="1" customWidth="1"/>
    <col min="9991" max="9997" width="9.140625" style="3"/>
    <col min="9998" max="9998" width="34.42578125" style="3" bestFit="1" customWidth="1"/>
    <col min="9999" max="10005" width="9.140625" style="3"/>
    <col min="10006" max="10006" width="34.42578125" style="3" bestFit="1" customWidth="1"/>
    <col min="10007" max="10013" width="9.140625" style="3"/>
    <col min="10014" max="10014" width="34.42578125" style="3" bestFit="1" customWidth="1"/>
    <col min="10015" max="10021" width="9.140625" style="3"/>
    <col min="10022" max="10022" width="34.42578125" style="3" bestFit="1" customWidth="1"/>
    <col min="10023" max="10029" width="9.140625" style="3"/>
    <col min="10030" max="10030" width="34.42578125" style="3" bestFit="1" customWidth="1"/>
    <col min="10031" max="10037" width="9.140625" style="3"/>
    <col min="10038" max="10038" width="34.42578125" style="3" bestFit="1" customWidth="1"/>
    <col min="10039" max="10045" width="9.140625" style="3"/>
    <col min="10046" max="10046" width="34.42578125" style="3" bestFit="1" customWidth="1"/>
    <col min="10047" max="10053" width="9.140625" style="3"/>
    <col min="10054" max="10054" width="34.42578125" style="3" bestFit="1" customWidth="1"/>
    <col min="10055" max="10061" width="9.140625" style="3"/>
    <col min="10062" max="10062" width="34.42578125" style="3" bestFit="1" customWidth="1"/>
    <col min="10063" max="10069" width="9.140625" style="3"/>
    <col min="10070" max="10070" width="34.42578125" style="3" bestFit="1" customWidth="1"/>
    <col min="10071" max="10077" width="9.140625" style="3"/>
    <col min="10078" max="10078" width="34.42578125" style="3" bestFit="1" customWidth="1"/>
    <col min="10079" max="10085" width="9.140625" style="3"/>
    <col min="10086" max="10086" width="34.42578125" style="3" bestFit="1" customWidth="1"/>
    <col min="10087" max="10093" width="9.140625" style="3"/>
    <col min="10094" max="10094" width="34.42578125" style="3" bestFit="1" customWidth="1"/>
    <col min="10095" max="10101" width="9.140625" style="3"/>
    <col min="10102" max="10102" width="34.42578125" style="3" bestFit="1" customWidth="1"/>
    <col min="10103" max="10109" width="9.140625" style="3"/>
    <col min="10110" max="10110" width="34.42578125" style="3" bestFit="1" customWidth="1"/>
    <col min="10111" max="10117" width="9.140625" style="3"/>
    <col min="10118" max="10118" width="34.42578125" style="3" bestFit="1" customWidth="1"/>
    <col min="10119" max="10125" width="9.140625" style="3"/>
    <col min="10126" max="10126" width="34.42578125" style="3" bestFit="1" customWidth="1"/>
    <col min="10127" max="10133" width="9.140625" style="3"/>
    <col min="10134" max="10134" width="34.42578125" style="3" bestFit="1" customWidth="1"/>
    <col min="10135" max="10141" width="9.140625" style="3"/>
    <col min="10142" max="10142" width="34.42578125" style="3" bestFit="1" customWidth="1"/>
    <col min="10143" max="10149" width="9.140625" style="3"/>
    <col min="10150" max="10150" width="34.42578125" style="3" bestFit="1" customWidth="1"/>
    <col min="10151" max="10157" width="9.140625" style="3"/>
    <col min="10158" max="10158" width="34.42578125" style="3" bestFit="1" customWidth="1"/>
    <col min="10159" max="10165" width="9.140625" style="3"/>
    <col min="10166" max="10166" width="34.42578125" style="3" bestFit="1" customWidth="1"/>
    <col min="10167" max="10173" width="9.140625" style="3"/>
    <col min="10174" max="10174" width="34.42578125" style="3" bestFit="1" customWidth="1"/>
    <col min="10175" max="10181" width="9.140625" style="3"/>
    <col min="10182" max="10182" width="34.42578125" style="3" bestFit="1" customWidth="1"/>
    <col min="10183" max="10189" width="9.140625" style="3"/>
    <col min="10190" max="10190" width="34.42578125" style="3" bestFit="1" customWidth="1"/>
    <col min="10191" max="10197" width="9.140625" style="3"/>
    <col min="10198" max="10198" width="34.42578125" style="3" bestFit="1" customWidth="1"/>
    <col min="10199" max="10205" width="9.140625" style="3"/>
    <col min="10206" max="10206" width="34.42578125" style="3" bestFit="1" customWidth="1"/>
    <col min="10207" max="10213" width="9.140625" style="3"/>
    <col min="10214" max="10214" width="34.42578125" style="3" bestFit="1" customWidth="1"/>
    <col min="10215" max="10221" width="9.140625" style="3"/>
    <col min="10222" max="10222" width="34.42578125" style="3" bestFit="1" customWidth="1"/>
    <col min="10223" max="10229" width="9.140625" style="3"/>
    <col min="10230" max="10230" width="34.42578125" style="3" bestFit="1" customWidth="1"/>
    <col min="10231" max="10237" width="9.140625" style="3"/>
    <col min="10238" max="10238" width="34.42578125" style="3" bestFit="1" customWidth="1"/>
    <col min="10239" max="10245" width="9.140625" style="3"/>
    <col min="10246" max="10246" width="34.42578125" style="3" bestFit="1" customWidth="1"/>
    <col min="10247" max="10253" width="9.140625" style="3"/>
    <col min="10254" max="10254" width="34.42578125" style="3" bestFit="1" customWidth="1"/>
    <col min="10255" max="10261" width="9.140625" style="3"/>
    <col min="10262" max="10262" width="34.42578125" style="3" bestFit="1" customWidth="1"/>
    <col min="10263" max="10269" width="9.140625" style="3"/>
    <col min="10270" max="10270" width="34.42578125" style="3" bestFit="1" customWidth="1"/>
    <col min="10271" max="10277" width="9.140625" style="3"/>
    <col min="10278" max="10278" width="34.42578125" style="3" bestFit="1" customWidth="1"/>
    <col min="10279" max="10285" width="9.140625" style="3"/>
    <col min="10286" max="10286" width="34.42578125" style="3" bestFit="1" customWidth="1"/>
    <col min="10287" max="10293" width="9.140625" style="3"/>
    <col min="10294" max="10294" width="34.42578125" style="3" bestFit="1" customWidth="1"/>
    <col min="10295" max="10301" width="9.140625" style="3"/>
    <col min="10302" max="10302" width="34.42578125" style="3" bestFit="1" customWidth="1"/>
    <col min="10303" max="10309" width="9.140625" style="3"/>
    <col min="10310" max="10310" width="34.42578125" style="3" bestFit="1" customWidth="1"/>
    <col min="10311" max="10317" width="9.140625" style="3"/>
    <col min="10318" max="10318" width="34.42578125" style="3" bestFit="1" customWidth="1"/>
    <col min="10319" max="10325" width="9.140625" style="3"/>
    <col min="10326" max="10326" width="34.42578125" style="3" bestFit="1" customWidth="1"/>
    <col min="10327" max="10333" width="9.140625" style="3"/>
    <col min="10334" max="10334" width="34.42578125" style="3" bestFit="1" customWidth="1"/>
    <col min="10335" max="10341" width="9.140625" style="3"/>
    <col min="10342" max="10342" width="34.42578125" style="3" bestFit="1" customWidth="1"/>
    <col min="10343" max="10349" width="9.140625" style="3"/>
    <col min="10350" max="10350" width="34.42578125" style="3" bestFit="1" customWidth="1"/>
    <col min="10351" max="10357" width="9.140625" style="3"/>
    <col min="10358" max="10358" width="34.42578125" style="3" bestFit="1" customWidth="1"/>
    <col min="10359" max="10365" width="9.140625" style="3"/>
    <col min="10366" max="10366" width="34.42578125" style="3" bestFit="1" customWidth="1"/>
    <col min="10367" max="10373" width="9.140625" style="3"/>
    <col min="10374" max="10374" width="34.42578125" style="3" bestFit="1" customWidth="1"/>
    <col min="10375" max="10381" width="9.140625" style="3"/>
    <col min="10382" max="10382" width="34.42578125" style="3" bestFit="1" customWidth="1"/>
    <col min="10383" max="10389" width="9.140625" style="3"/>
    <col min="10390" max="10390" width="34.42578125" style="3" bestFit="1" customWidth="1"/>
    <col min="10391" max="10397" width="9.140625" style="3"/>
    <col min="10398" max="10398" width="34.42578125" style="3" bestFit="1" customWidth="1"/>
    <col min="10399" max="10405" width="9.140625" style="3"/>
    <col min="10406" max="10406" width="34.42578125" style="3" bestFit="1" customWidth="1"/>
    <col min="10407" max="10413" width="9.140625" style="3"/>
    <col min="10414" max="10414" width="34.42578125" style="3" bestFit="1" customWidth="1"/>
    <col min="10415" max="10421" width="9.140625" style="3"/>
    <col min="10422" max="10422" width="34.42578125" style="3" bestFit="1" customWidth="1"/>
    <col min="10423" max="10429" width="9.140625" style="3"/>
    <col min="10430" max="10430" width="34.42578125" style="3" bestFit="1" customWidth="1"/>
    <col min="10431" max="10437" width="9.140625" style="3"/>
    <col min="10438" max="10438" width="34.42578125" style="3" bestFit="1" customWidth="1"/>
    <col min="10439" max="10445" width="9.140625" style="3"/>
    <col min="10446" max="10446" width="34.42578125" style="3" bestFit="1" customWidth="1"/>
    <col min="10447" max="10453" width="9.140625" style="3"/>
    <col min="10454" max="10454" width="34.42578125" style="3" bestFit="1" customWidth="1"/>
    <col min="10455" max="10461" width="9.140625" style="3"/>
    <col min="10462" max="10462" width="34.42578125" style="3" bestFit="1" customWidth="1"/>
    <col min="10463" max="10469" width="9.140625" style="3"/>
    <col min="10470" max="10470" width="34.42578125" style="3" bestFit="1" customWidth="1"/>
    <col min="10471" max="10477" width="9.140625" style="3"/>
    <col min="10478" max="10478" width="34.42578125" style="3" bestFit="1" customWidth="1"/>
    <col min="10479" max="10485" width="9.140625" style="3"/>
    <col min="10486" max="10486" width="34.42578125" style="3" bestFit="1" customWidth="1"/>
    <col min="10487" max="10493" width="9.140625" style="3"/>
    <col min="10494" max="10494" width="34.42578125" style="3" bestFit="1" customWidth="1"/>
    <col min="10495" max="10501" width="9.140625" style="3"/>
    <col min="10502" max="10502" width="34.42578125" style="3" bestFit="1" customWidth="1"/>
    <col min="10503" max="10509" width="9.140625" style="3"/>
    <col min="10510" max="10510" width="34.42578125" style="3" bestFit="1" customWidth="1"/>
    <col min="10511" max="10517" width="9.140625" style="3"/>
    <col min="10518" max="10518" width="34.42578125" style="3" bestFit="1" customWidth="1"/>
    <col min="10519" max="10525" width="9.140625" style="3"/>
    <col min="10526" max="10526" width="34.42578125" style="3" bestFit="1" customWidth="1"/>
    <col min="10527" max="10533" width="9.140625" style="3"/>
    <col min="10534" max="10534" width="34.42578125" style="3" bestFit="1" customWidth="1"/>
    <col min="10535" max="10541" width="9.140625" style="3"/>
    <col min="10542" max="10542" width="34.42578125" style="3" bestFit="1" customWidth="1"/>
    <col min="10543" max="10549" width="9.140625" style="3"/>
    <col min="10550" max="10550" width="34.42578125" style="3" bestFit="1" customWidth="1"/>
    <col min="10551" max="10557" width="9.140625" style="3"/>
    <col min="10558" max="10558" width="34.42578125" style="3" bestFit="1" customWidth="1"/>
    <col min="10559" max="10565" width="9.140625" style="3"/>
    <col min="10566" max="10566" width="34.42578125" style="3" bestFit="1" customWidth="1"/>
    <col min="10567" max="10573" width="9.140625" style="3"/>
    <col min="10574" max="10574" width="34.42578125" style="3" bestFit="1" customWidth="1"/>
    <col min="10575" max="10581" width="9.140625" style="3"/>
    <col min="10582" max="10582" width="34.42578125" style="3" bestFit="1" customWidth="1"/>
    <col min="10583" max="10589" width="9.140625" style="3"/>
    <col min="10590" max="10590" width="34.42578125" style="3" bestFit="1" customWidth="1"/>
    <col min="10591" max="10597" width="9.140625" style="3"/>
    <col min="10598" max="10598" width="34.42578125" style="3" bestFit="1" customWidth="1"/>
    <col min="10599" max="10605" width="9.140625" style="3"/>
    <col min="10606" max="10606" width="34.42578125" style="3" bestFit="1" customWidth="1"/>
    <col min="10607" max="10613" width="9.140625" style="3"/>
    <col min="10614" max="10614" width="34.42578125" style="3" bestFit="1" customWidth="1"/>
    <col min="10615" max="10621" width="9.140625" style="3"/>
    <col min="10622" max="10622" width="34.42578125" style="3" bestFit="1" customWidth="1"/>
    <col min="10623" max="10629" width="9.140625" style="3"/>
    <col min="10630" max="10630" width="34.42578125" style="3" bestFit="1" customWidth="1"/>
    <col min="10631" max="10637" width="9.140625" style="3"/>
    <col min="10638" max="10638" width="34.42578125" style="3" bestFit="1" customWidth="1"/>
    <col min="10639" max="10645" width="9.140625" style="3"/>
    <col min="10646" max="10646" width="34.42578125" style="3" bestFit="1" customWidth="1"/>
    <col min="10647" max="10653" width="9.140625" style="3"/>
    <col min="10654" max="10654" width="34.42578125" style="3" bestFit="1" customWidth="1"/>
    <col min="10655" max="10661" width="9.140625" style="3"/>
    <col min="10662" max="10662" width="34.42578125" style="3" bestFit="1" customWidth="1"/>
    <col min="10663" max="10669" width="9.140625" style="3"/>
    <col min="10670" max="10670" width="34.42578125" style="3" bestFit="1" customWidth="1"/>
    <col min="10671" max="10677" width="9.140625" style="3"/>
    <col min="10678" max="10678" width="34.42578125" style="3" bestFit="1" customWidth="1"/>
    <col min="10679" max="10685" width="9.140625" style="3"/>
    <col min="10686" max="10686" width="34.42578125" style="3" bestFit="1" customWidth="1"/>
    <col min="10687" max="10693" width="9.140625" style="3"/>
    <col min="10694" max="10694" width="34.42578125" style="3" bestFit="1" customWidth="1"/>
    <col min="10695" max="10701" width="9.140625" style="3"/>
    <col min="10702" max="10702" width="34.42578125" style="3" bestFit="1" customWidth="1"/>
    <col min="10703" max="10709" width="9.140625" style="3"/>
    <col min="10710" max="10710" width="34.42578125" style="3" bestFit="1" customWidth="1"/>
    <col min="10711" max="10717" width="9.140625" style="3"/>
    <col min="10718" max="10718" width="34.42578125" style="3" bestFit="1" customWidth="1"/>
    <col min="10719" max="10725" width="9.140625" style="3"/>
    <col min="10726" max="10726" width="34.42578125" style="3" bestFit="1" customWidth="1"/>
    <col min="10727" max="10733" width="9.140625" style="3"/>
    <col min="10734" max="10734" width="34.42578125" style="3" bestFit="1" customWidth="1"/>
    <col min="10735" max="10741" width="9.140625" style="3"/>
    <col min="10742" max="10742" width="34.42578125" style="3" bestFit="1" customWidth="1"/>
    <col min="10743" max="10749" width="9.140625" style="3"/>
    <col min="10750" max="10750" width="34.42578125" style="3" bestFit="1" customWidth="1"/>
    <col min="10751" max="10757" width="9.140625" style="3"/>
    <col min="10758" max="10758" width="34.42578125" style="3" bestFit="1" customWidth="1"/>
    <col min="10759" max="10765" width="9.140625" style="3"/>
    <col min="10766" max="10766" width="34.42578125" style="3" bestFit="1" customWidth="1"/>
    <col min="10767" max="10773" width="9.140625" style="3"/>
    <col min="10774" max="10774" width="34.42578125" style="3" bestFit="1" customWidth="1"/>
    <col min="10775" max="10781" width="9.140625" style="3"/>
    <col min="10782" max="10782" width="34.42578125" style="3" bestFit="1" customWidth="1"/>
    <col min="10783" max="10789" width="9.140625" style="3"/>
    <col min="10790" max="10790" width="34.42578125" style="3" bestFit="1" customWidth="1"/>
    <col min="10791" max="10797" width="9.140625" style="3"/>
    <col min="10798" max="10798" width="34.42578125" style="3" bestFit="1" customWidth="1"/>
    <col min="10799" max="10805" width="9.140625" style="3"/>
    <col min="10806" max="10806" width="34.42578125" style="3" bestFit="1" customWidth="1"/>
    <col min="10807" max="10813" width="9.140625" style="3"/>
    <col min="10814" max="10814" width="34.42578125" style="3" bestFit="1" customWidth="1"/>
    <col min="10815" max="10821" width="9.140625" style="3"/>
    <col min="10822" max="10822" width="34.42578125" style="3" bestFit="1" customWidth="1"/>
    <col min="10823" max="10829" width="9.140625" style="3"/>
    <col min="10830" max="10830" width="34.42578125" style="3" bestFit="1" customWidth="1"/>
    <col min="10831" max="10837" width="9.140625" style="3"/>
    <col min="10838" max="10838" width="34.42578125" style="3" bestFit="1" customWidth="1"/>
    <col min="10839" max="10845" width="9.140625" style="3"/>
    <col min="10846" max="10846" width="34.42578125" style="3" bestFit="1" customWidth="1"/>
    <col min="10847" max="10853" width="9.140625" style="3"/>
    <col min="10854" max="10854" width="34.42578125" style="3" bestFit="1" customWidth="1"/>
    <col min="10855" max="10861" width="9.140625" style="3"/>
    <col min="10862" max="10862" width="34.42578125" style="3" bestFit="1" customWidth="1"/>
    <col min="10863" max="10869" width="9.140625" style="3"/>
    <col min="10870" max="10870" width="34.42578125" style="3" bestFit="1" customWidth="1"/>
    <col min="10871" max="10877" width="9.140625" style="3"/>
    <col min="10878" max="10878" width="34.42578125" style="3" bestFit="1" customWidth="1"/>
    <col min="10879" max="10885" width="9.140625" style="3"/>
    <col min="10886" max="10886" width="34.42578125" style="3" bestFit="1" customWidth="1"/>
    <col min="10887" max="10893" width="9.140625" style="3"/>
    <col min="10894" max="10894" width="34.42578125" style="3" bestFit="1" customWidth="1"/>
    <col min="10895" max="10901" width="9.140625" style="3"/>
    <col min="10902" max="10902" width="34.42578125" style="3" bestFit="1" customWidth="1"/>
    <col min="10903" max="10909" width="9.140625" style="3"/>
    <col min="10910" max="10910" width="34.42578125" style="3" bestFit="1" customWidth="1"/>
    <col min="10911" max="10917" width="9.140625" style="3"/>
    <col min="10918" max="10918" width="34.42578125" style="3" bestFit="1" customWidth="1"/>
    <col min="10919" max="10925" width="9.140625" style="3"/>
    <col min="10926" max="10926" width="34.42578125" style="3" bestFit="1" customWidth="1"/>
    <col min="10927" max="10933" width="9.140625" style="3"/>
    <col min="10934" max="10934" width="34.42578125" style="3" bestFit="1" customWidth="1"/>
    <col min="10935" max="10941" width="9.140625" style="3"/>
    <col min="10942" max="10942" width="34.42578125" style="3" bestFit="1" customWidth="1"/>
    <col min="10943" max="10949" width="9.140625" style="3"/>
    <col min="10950" max="10950" width="34.42578125" style="3" bestFit="1" customWidth="1"/>
    <col min="10951" max="10957" width="9.140625" style="3"/>
    <col min="10958" max="10958" width="34.42578125" style="3" bestFit="1" customWidth="1"/>
    <col min="10959" max="10965" width="9.140625" style="3"/>
    <col min="10966" max="10966" width="34.42578125" style="3" bestFit="1" customWidth="1"/>
    <col min="10967" max="10973" width="9.140625" style="3"/>
    <col min="10974" max="10974" width="34.42578125" style="3" bestFit="1" customWidth="1"/>
    <col min="10975" max="10981" width="9.140625" style="3"/>
    <col min="10982" max="10982" width="34.42578125" style="3" bestFit="1" customWidth="1"/>
    <col min="10983" max="10989" width="9.140625" style="3"/>
    <col min="10990" max="10990" width="34.42578125" style="3" bestFit="1" customWidth="1"/>
    <col min="10991" max="10997" width="9.140625" style="3"/>
    <col min="10998" max="10998" width="34.42578125" style="3" bestFit="1" customWidth="1"/>
    <col min="10999" max="11005" width="9.140625" style="3"/>
    <col min="11006" max="11006" width="34.42578125" style="3" bestFit="1" customWidth="1"/>
    <col min="11007" max="11013" width="9.140625" style="3"/>
    <col min="11014" max="11014" width="34.42578125" style="3" bestFit="1" customWidth="1"/>
    <col min="11015" max="11021" width="9.140625" style="3"/>
    <col min="11022" max="11022" width="34.42578125" style="3" bestFit="1" customWidth="1"/>
    <col min="11023" max="11029" width="9.140625" style="3"/>
    <col min="11030" max="11030" width="34.42578125" style="3" bestFit="1" customWidth="1"/>
    <col min="11031" max="11037" width="9.140625" style="3"/>
    <col min="11038" max="11038" width="34.42578125" style="3" bestFit="1" customWidth="1"/>
    <col min="11039" max="11045" width="9.140625" style="3"/>
    <col min="11046" max="11046" width="34.42578125" style="3" bestFit="1" customWidth="1"/>
    <col min="11047" max="11053" width="9.140625" style="3"/>
    <col min="11054" max="11054" width="34.42578125" style="3" bestFit="1" customWidth="1"/>
    <col min="11055" max="11061" width="9.140625" style="3"/>
    <col min="11062" max="11062" width="34.42578125" style="3" bestFit="1" customWidth="1"/>
    <col min="11063" max="11069" width="9.140625" style="3"/>
    <col min="11070" max="11070" width="34.42578125" style="3" bestFit="1" customWidth="1"/>
    <col min="11071" max="11077" width="9.140625" style="3"/>
    <col min="11078" max="11078" width="34.42578125" style="3" bestFit="1" customWidth="1"/>
    <col min="11079" max="11085" width="9.140625" style="3"/>
    <col min="11086" max="11086" width="34.42578125" style="3" bestFit="1" customWidth="1"/>
    <col min="11087" max="11093" width="9.140625" style="3"/>
    <col min="11094" max="11094" width="34.42578125" style="3" bestFit="1" customWidth="1"/>
    <col min="11095" max="11101" width="9.140625" style="3"/>
    <col min="11102" max="11102" width="34.42578125" style="3" bestFit="1" customWidth="1"/>
    <col min="11103" max="11109" width="9.140625" style="3"/>
    <col min="11110" max="11110" width="34.42578125" style="3" bestFit="1" customWidth="1"/>
    <col min="11111" max="11117" width="9.140625" style="3"/>
    <col min="11118" max="11118" width="34.42578125" style="3" bestFit="1" customWidth="1"/>
    <col min="11119" max="11125" width="9.140625" style="3"/>
    <col min="11126" max="11126" width="34.42578125" style="3" bestFit="1" customWidth="1"/>
    <col min="11127" max="11133" width="9.140625" style="3"/>
    <col min="11134" max="11134" width="34.42578125" style="3" bestFit="1" customWidth="1"/>
    <col min="11135" max="11141" width="9.140625" style="3"/>
    <col min="11142" max="11142" width="34.42578125" style="3" bestFit="1" customWidth="1"/>
    <col min="11143" max="11149" width="9.140625" style="3"/>
    <col min="11150" max="11150" width="34.42578125" style="3" bestFit="1" customWidth="1"/>
    <col min="11151" max="11157" width="9.140625" style="3"/>
    <col min="11158" max="11158" width="34.42578125" style="3" bestFit="1" customWidth="1"/>
    <col min="11159" max="11165" width="9.140625" style="3"/>
    <col min="11166" max="11166" width="34.42578125" style="3" bestFit="1" customWidth="1"/>
    <col min="11167" max="11173" width="9.140625" style="3"/>
    <col min="11174" max="11174" width="34.42578125" style="3" bestFit="1" customWidth="1"/>
    <col min="11175" max="11181" width="9.140625" style="3"/>
    <col min="11182" max="11182" width="34.42578125" style="3" bestFit="1" customWidth="1"/>
    <col min="11183" max="11189" width="9.140625" style="3"/>
    <col min="11190" max="11190" width="34.42578125" style="3" bestFit="1" customWidth="1"/>
    <col min="11191" max="11197" width="9.140625" style="3"/>
    <col min="11198" max="11198" width="34.42578125" style="3" bestFit="1" customWidth="1"/>
    <col min="11199" max="11205" width="9.140625" style="3"/>
    <col min="11206" max="11206" width="34.42578125" style="3" bestFit="1" customWidth="1"/>
    <col min="11207" max="11213" width="9.140625" style="3"/>
    <col min="11214" max="11214" width="34.42578125" style="3" bestFit="1" customWidth="1"/>
    <col min="11215" max="11221" width="9.140625" style="3"/>
    <col min="11222" max="11222" width="34.42578125" style="3" bestFit="1" customWidth="1"/>
    <col min="11223" max="11229" width="9.140625" style="3"/>
    <col min="11230" max="11230" width="34.42578125" style="3" bestFit="1" customWidth="1"/>
    <col min="11231" max="11237" width="9.140625" style="3"/>
    <col min="11238" max="11238" width="34.42578125" style="3" bestFit="1" customWidth="1"/>
    <col min="11239" max="11245" width="9.140625" style="3"/>
    <col min="11246" max="11246" width="34.42578125" style="3" bestFit="1" customWidth="1"/>
    <col min="11247" max="11253" width="9.140625" style="3"/>
    <col min="11254" max="11254" width="34.42578125" style="3" bestFit="1" customWidth="1"/>
    <col min="11255" max="11261" width="9.140625" style="3"/>
    <col min="11262" max="11262" width="34.42578125" style="3" bestFit="1" customWidth="1"/>
    <col min="11263" max="11269" width="9.140625" style="3"/>
    <col min="11270" max="11270" width="34.42578125" style="3" bestFit="1" customWidth="1"/>
    <col min="11271" max="11277" width="9.140625" style="3"/>
    <col min="11278" max="11278" width="34.42578125" style="3" bestFit="1" customWidth="1"/>
    <col min="11279" max="11285" width="9.140625" style="3"/>
    <col min="11286" max="11286" width="34.42578125" style="3" bestFit="1" customWidth="1"/>
    <col min="11287" max="11293" width="9.140625" style="3"/>
    <col min="11294" max="11294" width="34.42578125" style="3" bestFit="1" customWidth="1"/>
    <col min="11295" max="11301" width="9.140625" style="3"/>
    <col min="11302" max="11302" width="34.42578125" style="3" bestFit="1" customWidth="1"/>
    <col min="11303" max="11309" width="9.140625" style="3"/>
    <col min="11310" max="11310" width="34.42578125" style="3" bestFit="1" customWidth="1"/>
    <col min="11311" max="11317" width="9.140625" style="3"/>
    <col min="11318" max="11318" width="34.42578125" style="3" bestFit="1" customWidth="1"/>
    <col min="11319" max="11325" width="9.140625" style="3"/>
    <col min="11326" max="11326" width="34.42578125" style="3" bestFit="1" customWidth="1"/>
    <col min="11327" max="11333" width="9.140625" style="3"/>
    <col min="11334" max="11334" width="34.42578125" style="3" bestFit="1" customWidth="1"/>
    <col min="11335" max="11341" width="9.140625" style="3"/>
    <col min="11342" max="11342" width="34.42578125" style="3" bestFit="1" customWidth="1"/>
    <col min="11343" max="11349" width="9.140625" style="3"/>
    <col min="11350" max="11350" width="34.42578125" style="3" bestFit="1" customWidth="1"/>
    <col min="11351" max="11357" width="9.140625" style="3"/>
    <col min="11358" max="11358" width="34.42578125" style="3" bestFit="1" customWidth="1"/>
    <col min="11359" max="11365" width="9.140625" style="3"/>
    <col min="11366" max="11366" width="34.42578125" style="3" bestFit="1" customWidth="1"/>
    <col min="11367" max="11373" width="9.140625" style="3"/>
    <col min="11374" max="11374" width="34.42578125" style="3" bestFit="1" customWidth="1"/>
    <col min="11375" max="11381" width="9.140625" style="3"/>
    <col min="11382" max="11382" width="34.42578125" style="3" bestFit="1" customWidth="1"/>
    <col min="11383" max="11389" width="9.140625" style="3"/>
    <col min="11390" max="11390" width="34.42578125" style="3" bestFit="1" customWidth="1"/>
    <col min="11391" max="11397" width="9.140625" style="3"/>
    <col min="11398" max="11398" width="34.42578125" style="3" bestFit="1" customWidth="1"/>
    <col min="11399" max="11405" width="9.140625" style="3"/>
    <col min="11406" max="11406" width="34.42578125" style="3" bestFit="1" customWidth="1"/>
    <col min="11407" max="11413" width="9.140625" style="3"/>
    <col min="11414" max="11414" width="34.42578125" style="3" bestFit="1" customWidth="1"/>
    <col min="11415" max="11421" width="9.140625" style="3"/>
    <col min="11422" max="11422" width="34.42578125" style="3" bestFit="1" customWidth="1"/>
    <col min="11423" max="11429" width="9.140625" style="3"/>
    <col min="11430" max="11430" width="34.42578125" style="3" bestFit="1" customWidth="1"/>
    <col min="11431" max="11437" width="9.140625" style="3"/>
    <col min="11438" max="11438" width="34.42578125" style="3" bestFit="1" customWidth="1"/>
    <col min="11439" max="11445" width="9.140625" style="3"/>
    <col min="11446" max="11446" width="34.42578125" style="3" bestFit="1" customWidth="1"/>
    <col min="11447" max="11453" width="9.140625" style="3"/>
    <col min="11454" max="11454" width="34.42578125" style="3" bestFit="1" customWidth="1"/>
    <col min="11455" max="11461" width="9.140625" style="3"/>
    <col min="11462" max="11462" width="34.42578125" style="3" bestFit="1" customWidth="1"/>
    <col min="11463" max="11469" width="9.140625" style="3"/>
    <col min="11470" max="11470" width="34.42578125" style="3" bestFit="1" customWidth="1"/>
    <col min="11471" max="11477" width="9.140625" style="3"/>
    <col min="11478" max="11478" width="34.42578125" style="3" bestFit="1" customWidth="1"/>
    <col min="11479" max="11485" width="9.140625" style="3"/>
    <col min="11486" max="11486" width="34.42578125" style="3" bestFit="1" customWidth="1"/>
    <col min="11487" max="11493" width="9.140625" style="3"/>
    <col min="11494" max="11494" width="34.42578125" style="3" bestFit="1" customWidth="1"/>
    <col min="11495" max="11501" width="9.140625" style="3"/>
    <col min="11502" max="11502" width="34.42578125" style="3" bestFit="1" customWidth="1"/>
    <col min="11503" max="11509" width="9.140625" style="3"/>
    <col min="11510" max="11510" width="34.42578125" style="3" bestFit="1" customWidth="1"/>
    <col min="11511" max="11517" width="9.140625" style="3"/>
    <col min="11518" max="11518" width="34.42578125" style="3" bestFit="1" customWidth="1"/>
    <col min="11519" max="11525" width="9.140625" style="3"/>
    <col min="11526" max="11526" width="34.42578125" style="3" bestFit="1" customWidth="1"/>
    <col min="11527" max="11533" width="9.140625" style="3"/>
    <col min="11534" max="11534" width="34.42578125" style="3" bestFit="1" customWidth="1"/>
    <col min="11535" max="11541" width="9.140625" style="3"/>
    <col min="11542" max="11542" width="34.42578125" style="3" bestFit="1" customWidth="1"/>
    <col min="11543" max="11549" width="9.140625" style="3"/>
    <col min="11550" max="11550" width="34.42578125" style="3" bestFit="1" customWidth="1"/>
    <col min="11551" max="11557" width="9.140625" style="3"/>
    <col min="11558" max="11558" width="34.42578125" style="3" bestFit="1" customWidth="1"/>
    <col min="11559" max="11565" width="9.140625" style="3"/>
    <col min="11566" max="11566" width="34.42578125" style="3" bestFit="1" customWidth="1"/>
    <col min="11567" max="11573" width="9.140625" style="3"/>
    <col min="11574" max="11574" width="34.42578125" style="3" bestFit="1" customWidth="1"/>
    <col min="11575" max="11581" width="9.140625" style="3"/>
    <col min="11582" max="11582" width="34.42578125" style="3" bestFit="1" customWidth="1"/>
    <col min="11583" max="11589" width="9.140625" style="3"/>
    <col min="11590" max="11590" width="34.42578125" style="3" bestFit="1" customWidth="1"/>
    <col min="11591" max="11597" width="9.140625" style="3"/>
    <col min="11598" max="11598" width="34.42578125" style="3" bestFit="1" customWidth="1"/>
    <col min="11599" max="11605" width="9.140625" style="3"/>
    <col min="11606" max="11606" width="34.42578125" style="3" bestFit="1" customWidth="1"/>
    <col min="11607" max="11613" width="9.140625" style="3"/>
    <col min="11614" max="11614" width="34.42578125" style="3" bestFit="1" customWidth="1"/>
    <col min="11615" max="11621" width="9.140625" style="3"/>
    <col min="11622" max="11622" width="34.42578125" style="3" bestFit="1" customWidth="1"/>
    <col min="11623" max="11629" width="9.140625" style="3"/>
    <col min="11630" max="11630" width="34.42578125" style="3" bestFit="1" customWidth="1"/>
    <col min="11631" max="11637" width="9.140625" style="3"/>
    <col min="11638" max="11638" width="34.42578125" style="3" bestFit="1" customWidth="1"/>
    <col min="11639" max="11645" width="9.140625" style="3"/>
    <col min="11646" max="11646" width="34.42578125" style="3" bestFit="1" customWidth="1"/>
    <col min="11647" max="11653" width="9.140625" style="3"/>
    <col min="11654" max="11654" width="34.42578125" style="3" bestFit="1" customWidth="1"/>
    <col min="11655" max="11661" width="9.140625" style="3"/>
    <col min="11662" max="11662" width="34.42578125" style="3" bestFit="1" customWidth="1"/>
    <col min="11663" max="11669" width="9.140625" style="3"/>
    <col min="11670" max="11670" width="34.42578125" style="3" bestFit="1" customWidth="1"/>
    <col min="11671" max="11677" width="9.140625" style="3"/>
    <col min="11678" max="11678" width="34.42578125" style="3" bestFit="1" customWidth="1"/>
    <col min="11679" max="11685" width="9.140625" style="3"/>
    <col min="11686" max="11686" width="34.42578125" style="3" bestFit="1" customWidth="1"/>
    <col min="11687" max="11693" width="9.140625" style="3"/>
    <col min="11694" max="11694" width="34.42578125" style="3" bestFit="1" customWidth="1"/>
    <col min="11695" max="11701" width="9.140625" style="3"/>
    <col min="11702" max="11702" width="34.42578125" style="3" bestFit="1" customWidth="1"/>
    <col min="11703" max="11709" width="9.140625" style="3"/>
    <col min="11710" max="11710" width="34.42578125" style="3" bestFit="1" customWidth="1"/>
    <col min="11711" max="11717" width="9.140625" style="3"/>
    <col min="11718" max="11718" width="34.42578125" style="3" bestFit="1" customWidth="1"/>
    <col min="11719" max="11725" width="9.140625" style="3"/>
    <col min="11726" max="11726" width="34.42578125" style="3" bestFit="1" customWidth="1"/>
    <col min="11727" max="11733" width="9.140625" style="3"/>
    <col min="11734" max="11734" width="34.42578125" style="3" bestFit="1" customWidth="1"/>
    <col min="11735" max="11741" width="9.140625" style="3"/>
    <col min="11742" max="11742" width="34.42578125" style="3" bestFit="1" customWidth="1"/>
    <col min="11743" max="11749" width="9.140625" style="3"/>
    <col min="11750" max="11750" width="34.42578125" style="3" bestFit="1" customWidth="1"/>
    <col min="11751" max="11757" width="9.140625" style="3"/>
    <col min="11758" max="11758" width="34.42578125" style="3" bestFit="1" customWidth="1"/>
    <col min="11759" max="11765" width="9.140625" style="3"/>
    <col min="11766" max="11766" width="34.42578125" style="3" bestFit="1" customWidth="1"/>
    <col min="11767" max="11773" width="9.140625" style="3"/>
    <col min="11774" max="11774" width="34.42578125" style="3" bestFit="1" customWidth="1"/>
    <col min="11775" max="11781" width="9.140625" style="3"/>
    <col min="11782" max="11782" width="34.42578125" style="3" bestFit="1" customWidth="1"/>
    <col min="11783" max="11789" width="9.140625" style="3"/>
    <col min="11790" max="11790" width="34.42578125" style="3" bestFit="1" customWidth="1"/>
    <col min="11791" max="11797" width="9.140625" style="3"/>
    <col min="11798" max="11798" width="34.42578125" style="3" bestFit="1" customWidth="1"/>
    <col min="11799" max="11805" width="9.140625" style="3"/>
    <col min="11806" max="11806" width="34.42578125" style="3" bestFit="1" customWidth="1"/>
    <col min="11807" max="11813" width="9.140625" style="3"/>
    <col min="11814" max="11814" width="34.42578125" style="3" bestFit="1" customWidth="1"/>
    <col min="11815" max="11821" width="9.140625" style="3"/>
    <col min="11822" max="11822" width="34.42578125" style="3" bestFit="1" customWidth="1"/>
    <col min="11823" max="11829" width="9.140625" style="3"/>
    <col min="11830" max="11830" width="34.42578125" style="3" bestFit="1" customWidth="1"/>
    <col min="11831" max="11837" width="9.140625" style="3"/>
    <col min="11838" max="11838" width="34.42578125" style="3" bestFit="1" customWidth="1"/>
    <col min="11839" max="11845" width="9.140625" style="3"/>
    <col min="11846" max="11846" width="34.42578125" style="3" bestFit="1" customWidth="1"/>
    <col min="11847" max="11853" width="9.140625" style="3"/>
    <col min="11854" max="11854" width="34.42578125" style="3" bestFit="1" customWidth="1"/>
    <col min="11855" max="11861" width="9.140625" style="3"/>
    <col min="11862" max="11862" width="34.42578125" style="3" bestFit="1" customWidth="1"/>
    <col min="11863" max="11869" width="9.140625" style="3"/>
    <col min="11870" max="11870" width="34.42578125" style="3" bestFit="1" customWidth="1"/>
    <col min="11871" max="11877" width="9.140625" style="3"/>
    <col min="11878" max="11878" width="34.42578125" style="3" bestFit="1" customWidth="1"/>
    <col min="11879" max="11885" width="9.140625" style="3"/>
    <col min="11886" max="11886" width="34.42578125" style="3" bestFit="1" customWidth="1"/>
    <col min="11887" max="11893" width="9.140625" style="3"/>
    <col min="11894" max="11894" width="34.42578125" style="3" bestFit="1" customWidth="1"/>
    <col min="11895" max="11901" width="9.140625" style="3"/>
    <col min="11902" max="11902" width="34.42578125" style="3" bestFit="1" customWidth="1"/>
    <col min="11903" max="11909" width="9.140625" style="3"/>
    <col min="11910" max="11910" width="34.42578125" style="3" bestFit="1" customWidth="1"/>
    <col min="11911" max="11917" width="9.140625" style="3"/>
    <col min="11918" max="11918" width="34.42578125" style="3" bestFit="1" customWidth="1"/>
    <col min="11919" max="11925" width="9.140625" style="3"/>
    <col min="11926" max="11926" width="34.42578125" style="3" bestFit="1" customWidth="1"/>
    <col min="11927" max="11933" width="9.140625" style="3"/>
    <col min="11934" max="11934" width="34.42578125" style="3" bestFit="1" customWidth="1"/>
    <col min="11935" max="11941" width="9.140625" style="3"/>
    <col min="11942" max="11942" width="34.42578125" style="3" bestFit="1" customWidth="1"/>
    <col min="11943" max="11949" width="9.140625" style="3"/>
    <col min="11950" max="11950" width="34.42578125" style="3" bestFit="1" customWidth="1"/>
    <col min="11951" max="11957" width="9.140625" style="3"/>
    <col min="11958" max="11958" width="34.42578125" style="3" bestFit="1" customWidth="1"/>
    <col min="11959" max="11965" width="9.140625" style="3"/>
    <col min="11966" max="11966" width="34.42578125" style="3" bestFit="1" customWidth="1"/>
    <col min="11967" max="11973" width="9.140625" style="3"/>
    <col min="11974" max="11974" width="34.42578125" style="3" bestFit="1" customWidth="1"/>
    <col min="11975" max="11981" width="9.140625" style="3"/>
    <col min="11982" max="11982" width="34.42578125" style="3" bestFit="1" customWidth="1"/>
    <col min="11983" max="11989" width="9.140625" style="3"/>
    <col min="11990" max="11990" width="34.42578125" style="3" bestFit="1" customWidth="1"/>
    <col min="11991" max="11997" width="9.140625" style="3"/>
    <col min="11998" max="11998" width="34.42578125" style="3" bestFit="1" customWidth="1"/>
    <col min="11999" max="12005" width="9.140625" style="3"/>
    <col min="12006" max="12006" width="34.42578125" style="3" bestFit="1" customWidth="1"/>
    <col min="12007" max="12013" width="9.140625" style="3"/>
    <col min="12014" max="12014" width="34.42578125" style="3" bestFit="1" customWidth="1"/>
    <col min="12015" max="12021" width="9.140625" style="3"/>
    <col min="12022" max="12022" width="34.42578125" style="3" bestFit="1" customWidth="1"/>
    <col min="12023" max="12029" width="9.140625" style="3"/>
    <col min="12030" max="12030" width="34.42578125" style="3" bestFit="1" customWidth="1"/>
    <col min="12031" max="12037" width="9.140625" style="3"/>
    <col min="12038" max="12038" width="34.42578125" style="3" bestFit="1" customWidth="1"/>
    <col min="12039" max="12045" width="9.140625" style="3"/>
    <col min="12046" max="12046" width="34.42578125" style="3" bestFit="1" customWidth="1"/>
    <col min="12047" max="12053" width="9.140625" style="3"/>
    <col min="12054" max="12054" width="34.42578125" style="3" bestFit="1" customWidth="1"/>
    <col min="12055" max="12061" width="9.140625" style="3"/>
    <col min="12062" max="12062" width="34.42578125" style="3" bestFit="1" customWidth="1"/>
    <col min="12063" max="12069" width="9.140625" style="3"/>
    <col min="12070" max="12070" width="34.42578125" style="3" bestFit="1" customWidth="1"/>
    <col min="12071" max="12077" width="9.140625" style="3"/>
    <col min="12078" max="12078" width="34.42578125" style="3" bestFit="1" customWidth="1"/>
    <col min="12079" max="12085" width="9.140625" style="3"/>
    <col min="12086" max="12086" width="34.42578125" style="3" bestFit="1" customWidth="1"/>
    <col min="12087" max="12093" width="9.140625" style="3"/>
    <col min="12094" max="12094" width="34.42578125" style="3" bestFit="1" customWidth="1"/>
    <col min="12095" max="12101" width="9.140625" style="3"/>
    <col min="12102" max="12102" width="34.42578125" style="3" bestFit="1" customWidth="1"/>
    <col min="12103" max="12109" width="9.140625" style="3"/>
    <col min="12110" max="12110" width="34.42578125" style="3" bestFit="1" customWidth="1"/>
    <col min="12111" max="12117" width="9.140625" style="3"/>
    <col min="12118" max="12118" width="34.42578125" style="3" bestFit="1" customWidth="1"/>
    <col min="12119" max="12125" width="9.140625" style="3"/>
    <col min="12126" max="12126" width="34.42578125" style="3" bestFit="1" customWidth="1"/>
    <col min="12127" max="12133" width="9.140625" style="3"/>
    <col min="12134" max="12134" width="34.42578125" style="3" bestFit="1" customWidth="1"/>
    <col min="12135" max="12141" width="9.140625" style="3"/>
    <col min="12142" max="12142" width="34.42578125" style="3" bestFit="1" customWidth="1"/>
    <col min="12143" max="12149" width="9.140625" style="3"/>
    <col min="12150" max="12150" width="34.42578125" style="3" bestFit="1" customWidth="1"/>
    <col min="12151" max="12157" width="9.140625" style="3"/>
    <col min="12158" max="12158" width="34.42578125" style="3" bestFit="1" customWidth="1"/>
    <col min="12159" max="12165" width="9.140625" style="3"/>
    <col min="12166" max="12166" width="34.42578125" style="3" bestFit="1" customWidth="1"/>
    <col min="12167" max="12173" width="9.140625" style="3"/>
    <col min="12174" max="12174" width="34.42578125" style="3" bestFit="1" customWidth="1"/>
    <col min="12175" max="12181" width="9.140625" style="3"/>
    <col min="12182" max="12182" width="34.42578125" style="3" bestFit="1" customWidth="1"/>
    <col min="12183" max="12189" width="9.140625" style="3"/>
    <col min="12190" max="12190" width="34.42578125" style="3" bestFit="1" customWidth="1"/>
    <col min="12191" max="12197" width="9.140625" style="3"/>
    <col min="12198" max="12198" width="34.42578125" style="3" bestFit="1" customWidth="1"/>
    <col min="12199" max="12205" width="9.140625" style="3"/>
    <col min="12206" max="12206" width="34.42578125" style="3" bestFit="1" customWidth="1"/>
    <col min="12207" max="12213" width="9.140625" style="3"/>
    <col min="12214" max="12214" width="34.42578125" style="3" bestFit="1" customWidth="1"/>
    <col min="12215" max="12221" width="9.140625" style="3"/>
    <col min="12222" max="12222" width="34.42578125" style="3" bestFit="1" customWidth="1"/>
    <col min="12223" max="12229" width="9.140625" style="3"/>
    <col min="12230" max="12230" width="34.42578125" style="3" bestFit="1" customWidth="1"/>
    <col min="12231" max="12237" width="9.140625" style="3"/>
    <col min="12238" max="12238" width="34.42578125" style="3" bestFit="1" customWidth="1"/>
    <col min="12239" max="12245" width="9.140625" style="3"/>
    <col min="12246" max="12246" width="34.42578125" style="3" bestFit="1" customWidth="1"/>
    <col min="12247" max="12253" width="9.140625" style="3"/>
    <col min="12254" max="12254" width="34.42578125" style="3" bestFit="1" customWidth="1"/>
    <col min="12255" max="12261" width="9.140625" style="3"/>
    <col min="12262" max="12262" width="34.42578125" style="3" bestFit="1" customWidth="1"/>
    <col min="12263" max="12269" width="9.140625" style="3"/>
    <col min="12270" max="12270" width="34.42578125" style="3" bestFit="1" customWidth="1"/>
    <col min="12271" max="12277" width="9.140625" style="3"/>
    <col min="12278" max="12278" width="34.42578125" style="3" bestFit="1" customWidth="1"/>
    <col min="12279" max="12285" width="9.140625" style="3"/>
    <col min="12286" max="12286" width="34.42578125" style="3" bestFit="1" customWidth="1"/>
    <col min="12287" max="12293" width="9.140625" style="3"/>
    <col min="12294" max="12294" width="34.42578125" style="3" bestFit="1" customWidth="1"/>
    <col min="12295" max="12301" width="9.140625" style="3"/>
    <col min="12302" max="12302" width="34.42578125" style="3" bestFit="1" customWidth="1"/>
    <col min="12303" max="12309" width="9.140625" style="3"/>
    <col min="12310" max="12310" width="34.42578125" style="3" bestFit="1" customWidth="1"/>
    <col min="12311" max="12317" width="9.140625" style="3"/>
    <col min="12318" max="12318" width="34.42578125" style="3" bestFit="1" customWidth="1"/>
    <col min="12319" max="12325" width="9.140625" style="3"/>
    <col min="12326" max="12326" width="34.42578125" style="3" bestFit="1" customWidth="1"/>
    <col min="12327" max="12333" width="9.140625" style="3"/>
    <col min="12334" max="12334" width="34.42578125" style="3" bestFit="1" customWidth="1"/>
    <col min="12335" max="12341" width="9.140625" style="3"/>
    <col min="12342" max="12342" width="34.42578125" style="3" bestFit="1" customWidth="1"/>
    <col min="12343" max="12349" width="9.140625" style="3"/>
    <col min="12350" max="12350" width="34.42578125" style="3" bestFit="1" customWidth="1"/>
    <col min="12351" max="12357" width="9.140625" style="3"/>
    <col min="12358" max="12358" width="34.42578125" style="3" bestFit="1" customWidth="1"/>
    <col min="12359" max="12365" width="9.140625" style="3"/>
    <col min="12366" max="12366" width="34.42578125" style="3" bestFit="1" customWidth="1"/>
    <col min="12367" max="12373" width="9.140625" style="3"/>
    <col min="12374" max="12374" width="34.42578125" style="3" bestFit="1" customWidth="1"/>
    <col min="12375" max="12381" width="9.140625" style="3"/>
    <col min="12382" max="12382" width="34.42578125" style="3" bestFit="1" customWidth="1"/>
    <col min="12383" max="12389" width="9.140625" style="3"/>
    <col min="12390" max="12390" width="34.42578125" style="3" bestFit="1" customWidth="1"/>
    <col min="12391" max="12397" width="9.140625" style="3"/>
    <col min="12398" max="12398" width="34.42578125" style="3" bestFit="1" customWidth="1"/>
    <col min="12399" max="12405" width="9.140625" style="3"/>
    <col min="12406" max="12406" width="34.42578125" style="3" bestFit="1" customWidth="1"/>
    <col min="12407" max="12413" width="9.140625" style="3"/>
    <col min="12414" max="12414" width="34.42578125" style="3" bestFit="1" customWidth="1"/>
    <col min="12415" max="12421" width="9.140625" style="3"/>
    <col min="12422" max="12422" width="34.42578125" style="3" bestFit="1" customWidth="1"/>
    <col min="12423" max="12429" width="9.140625" style="3"/>
    <col min="12430" max="12430" width="34.42578125" style="3" bestFit="1" customWidth="1"/>
    <col min="12431" max="12437" width="9.140625" style="3"/>
    <col min="12438" max="12438" width="34.42578125" style="3" bestFit="1" customWidth="1"/>
    <col min="12439" max="12445" width="9.140625" style="3"/>
    <col min="12446" max="12446" width="34.42578125" style="3" bestFit="1" customWidth="1"/>
    <col min="12447" max="12453" width="9.140625" style="3"/>
    <col min="12454" max="12454" width="34.42578125" style="3" bestFit="1" customWidth="1"/>
    <col min="12455" max="12461" width="9.140625" style="3"/>
    <col min="12462" max="12462" width="34.42578125" style="3" bestFit="1" customWidth="1"/>
    <col min="12463" max="12469" width="9.140625" style="3"/>
    <col min="12470" max="12470" width="34.42578125" style="3" bestFit="1" customWidth="1"/>
    <col min="12471" max="12477" width="9.140625" style="3"/>
    <col min="12478" max="12478" width="34.42578125" style="3" bestFit="1" customWidth="1"/>
    <col min="12479" max="12485" width="9.140625" style="3"/>
    <col min="12486" max="12486" width="34.42578125" style="3" bestFit="1" customWidth="1"/>
    <col min="12487" max="12493" width="9.140625" style="3"/>
    <col min="12494" max="12494" width="34.42578125" style="3" bestFit="1" customWidth="1"/>
    <col min="12495" max="12501" width="9.140625" style="3"/>
    <col min="12502" max="12502" width="34.42578125" style="3" bestFit="1" customWidth="1"/>
    <col min="12503" max="12509" width="9.140625" style="3"/>
    <col min="12510" max="12510" width="34.42578125" style="3" bestFit="1" customWidth="1"/>
    <col min="12511" max="12517" width="9.140625" style="3"/>
    <col min="12518" max="12518" width="34.42578125" style="3" bestFit="1" customWidth="1"/>
    <col min="12519" max="12525" width="9.140625" style="3"/>
    <col min="12526" max="12526" width="34.42578125" style="3" bestFit="1" customWidth="1"/>
    <col min="12527" max="12533" width="9.140625" style="3"/>
    <col min="12534" max="12534" width="34.42578125" style="3" bestFit="1" customWidth="1"/>
    <col min="12535" max="12541" width="9.140625" style="3"/>
    <col min="12542" max="12542" width="34.42578125" style="3" bestFit="1" customWidth="1"/>
    <col min="12543" max="12549" width="9.140625" style="3"/>
    <col min="12550" max="12550" width="34.42578125" style="3" bestFit="1" customWidth="1"/>
    <col min="12551" max="12557" width="9.140625" style="3"/>
    <col min="12558" max="12558" width="34.42578125" style="3" bestFit="1" customWidth="1"/>
    <col min="12559" max="12565" width="9.140625" style="3"/>
    <col min="12566" max="12566" width="34.42578125" style="3" bestFit="1" customWidth="1"/>
    <col min="12567" max="12573" width="9.140625" style="3"/>
    <col min="12574" max="12574" width="34.42578125" style="3" bestFit="1" customWidth="1"/>
    <col min="12575" max="12581" width="9.140625" style="3"/>
    <col min="12582" max="12582" width="34.42578125" style="3" bestFit="1" customWidth="1"/>
    <col min="12583" max="12589" width="9.140625" style="3"/>
    <col min="12590" max="12590" width="34.42578125" style="3" bestFit="1" customWidth="1"/>
    <col min="12591" max="12597" width="9.140625" style="3"/>
    <col min="12598" max="12598" width="34.42578125" style="3" bestFit="1" customWidth="1"/>
    <col min="12599" max="12605" width="9.140625" style="3"/>
    <col min="12606" max="12606" width="34.42578125" style="3" bestFit="1" customWidth="1"/>
    <col min="12607" max="12613" width="9.140625" style="3"/>
    <col min="12614" max="12614" width="34.42578125" style="3" bestFit="1" customWidth="1"/>
    <col min="12615" max="12621" width="9.140625" style="3"/>
    <col min="12622" max="12622" width="34.42578125" style="3" bestFit="1" customWidth="1"/>
    <col min="12623" max="12629" width="9.140625" style="3"/>
    <col min="12630" max="12630" width="34.42578125" style="3" bestFit="1" customWidth="1"/>
    <col min="12631" max="12637" width="9.140625" style="3"/>
    <col min="12638" max="12638" width="34.42578125" style="3" bestFit="1" customWidth="1"/>
    <col min="12639" max="12645" width="9.140625" style="3"/>
    <col min="12646" max="12646" width="34.42578125" style="3" bestFit="1" customWidth="1"/>
    <col min="12647" max="12653" width="9.140625" style="3"/>
    <col min="12654" max="12654" width="34.42578125" style="3" bestFit="1" customWidth="1"/>
    <col min="12655" max="12661" width="9.140625" style="3"/>
    <col min="12662" max="12662" width="34.42578125" style="3" bestFit="1" customWidth="1"/>
    <col min="12663" max="12669" width="9.140625" style="3"/>
    <col min="12670" max="12670" width="34.42578125" style="3" bestFit="1" customWidth="1"/>
    <col min="12671" max="12677" width="9.140625" style="3"/>
    <col min="12678" max="12678" width="34.42578125" style="3" bestFit="1" customWidth="1"/>
    <col min="12679" max="12685" width="9.140625" style="3"/>
    <col min="12686" max="12686" width="34.42578125" style="3" bestFit="1" customWidth="1"/>
    <col min="12687" max="12693" width="9.140625" style="3"/>
    <col min="12694" max="12694" width="34.42578125" style="3" bestFit="1" customWidth="1"/>
    <col min="12695" max="12701" width="9.140625" style="3"/>
    <col min="12702" max="12702" width="34.42578125" style="3" bestFit="1" customWidth="1"/>
    <col min="12703" max="12709" width="9.140625" style="3"/>
    <col min="12710" max="12710" width="34.42578125" style="3" bestFit="1" customWidth="1"/>
    <col min="12711" max="12717" width="9.140625" style="3"/>
    <col min="12718" max="12718" width="34.42578125" style="3" bestFit="1" customWidth="1"/>
    <col min="12719" max="12725" width="9.140625" style="3"/>
    <col min="12726" max="12726" width="34.42578125" style="3" bestFit="1" customWidth="1"/>
    <col min="12727" max="12733" width="9.140625" style="3"/>
    <col min="12734" max="12734" width="34.42578125" style="3" bestFit="1" customWidth="1"/>
    <col min="12735" max="12741" width="9.140625" style="3"/>
    <col min="12742" max="12742" width="34.42578125" style="3" bestFit="1" customWidth="1"/>
    <col min="12743" max="12749" width="9.140625" style="3"/>
    <col min="12750" max="12750" width="34.42578125" style="3" bestFit="1" customWidth="1"/>
    <col min="12751" max="12757" width="9.140625" style="3"/>
    <col min="12758" max="12758" width="34.42578125" style="3" bestFit="1" customWidth="1"/>
    <col min="12759" max="12765" width="9.140625" style="3"/>
    <col min="12766" max="12766" width="34.42578125" style="3" bestFit="1" customWidth="1"/>
    <col min="12767" max="12773" width="9.140625" style="3"/>
    <col min="12774" max="12774" width="34.42578125" style="3" bestFit="1" customWidth="1"/>
    <col min="12775" max="12781" width="9.140625" style="3"/>
    <col min="12782" max="12782" width="34.42578125" style="3" bestFit="1" customWidth="1"/>
    <col min="12783" max="12789" width="9.140625" style="3"/>
    <col min="12790" max="12790" width="34.42578125" style="3" bestFit="1" customWidth="1"/>
    <col min="12791" max="12797" width="9.140625" style="3"/>
    <col min="12798" max="12798" width="34.42578125" style="3" bestFit="1" customWidth="1"/>
    <col min="12799" max="12805" width="9.140625" style="3"/>
    <col min="12806" max="12806" width="34.42578125" style="3" bestFit="1" customWidth="1"/>
    <col min="12807" max="12813" width="9.140625" style="3"/>
    <col min="12814" max="12814" width="34.42578125" style="3" bestFit="1" customWidth="1"/>
    <col min="12815" max="12821" width="9.140625" style="3"/>
    <col min="12822" max="12822" width="34.42578125" style="3" bestFit="1" customWidth="1"/>
    <col min="12823" max="12829" width="9.140625" style="3"/>
    <col min="12830" max="12830" width="34.42578125" style="3" bestFit="1" customWidth="1"/>
    <col min="12831" max="12837" width="9.140625" style="3"/>
    <col min="12838" max="12838" width="34.42578125" style="3" bestFit="1" customWidth="1"/>
    <col min="12839" max="12845" width="9.140625" style="3"/>
    <col min="12846" max="12846" width="34.42578125" style="3" bestFit="1" customWidth="1"/>
    <col min="12847" max="12853" width="9.140625" style="3"/>
    <col min="12854" max="12854" width="34.42578125" style="3" bestFit="1" customWidth="1"/>
    <col min="12855" max="12861" width="9.140625" style="3"/>
    <col min="12862" max="12862" width="34.42578125" style="3" bestFit="1" customWidth="1"/>
    <col min="12863" max="12869" width="9.140625" style="3"/>
    <col min="12870" max="12870" width="34.42578125" style="3" bestFit="1" customWidth="1"/>
    <col min="12871" max="12877" width="9.140625" style="3"/>
    <col min="12878" max="12878" width="34.42578125" style="3" bestFit="1" customWidth="1"/>
    <col min="12879" max="12885" width="9.140625" style="3"/>
    <col min="12886" max="12886" width="34.42578125" style="3" bestFit="1" customWidth="1"/>
    <col min="12887" max="12893" width="9.140625" style="3"/>
    <col min="12894" max="12894" width="34.42578125" style="3" bestFit="1" customWidth="1"/>
    <col min="12895" max="12901" width="9.140625" style="3"/>
    <col min="12902" max="12902" width="34.42578125" style="3" bestFit="1" customWidth="1"/>
    <col min="12903" max="12909" width="9.140625" style="3"/>
    <col min="12910" max="12910" width="34.42578125" style="3" bestFit="1" customWidth="1"/>
    <col min="12911" max="12917" width="9.140625" style="3"/>
    <col min="12918" max="12918" width="34.42578125" style="3" bestFit="1" customWidth="1"/>
    <col min="12919" max="12925" width="9.140625" style="3"/>
    <col min="12926" max="12926" width="34.42578125" style="3" bestFit="1" customWidth="1"/>
    <col min="12927" max="12933" width="9.140625" style="3"/>
    <col min="12934" max="12934" width="34.42578125" style="3" bestFit="1" customWidth="1"/>
    <col min="12935" max="12941" width="9.140625" style="3"/>
    <col min="12942" max="12942" width="34.42578125" style="3" bestFit="1" customWidth="1"/>
    <col min="12943" max="12949" width="9.140625" style="3"/>
    <col min="12950" max="12950" width="34.42578125" style="3" bestFit="1" customWidth="1"/>
    <col min="12951" max="12957" width="9.140625" style="3"/>
    <col min="12958" max="12958" width="34.42578125" style="3" bestFit="1" customWidth="1"/>
    <col min="12959" max="12965" width="9.140625" style="3"/>
    <col min="12966" max="12966" width="34.42578125" style="3" bestFit="1" customWidth="1"/>
    <col min="12967" max="12973" width="9.140625" style="3"/>
    <col min="12974" max="12974" width="34.42578125" style="3" bestFit="1" customWidth="1"/>
    <col min="12975" max="12981" width="9.140625" style="3"/>
    <col min="12982" max="12982" width="34.42578125" style="3" bestFit="1" customWidth="1"/>
    <col min="12983" max="12989" width="9.140625" style="3"/>
    <col min="12990" max="12990" width="34.42578125" style="3" bestFit="1" customWidth="1"/>
    <col min="12991" max="12997" width="9.140625" style="3"/>
    <col min="12998" max="12998" width="34.42578125" style="3" bestFit="1" customWidth="1"/>
    <col min="12999" max="13005" width="9.140625" style="3"/>
    <col min="13006" max="13006" width="34.42578125" style="3" bestFit="1" customWidth="1"/>
    <col min="13007" max="13013" width="9.140625" style="3"/>
    <col min="13014" max="13014" width="34.42578125" style="3" bestFit="1" customWidth="1"/>
    <col min="13015" max="13021" width="9.140625" style="3"/>
    <col min="13022" max="13022" width="34.42578125" style="3" bestFit="1" customWidth="1"/>
    <col min="13023" max="13029" width="9.140625" style="3"/>
    <col min="13030" max="13030" width="34.42578125" style="3" bestFit="1" customWidth="1"/>
    <col min="13031" max="13037" width="9.140625" style="3"/>
    <col min="13038" max="13038" width="34.42578125" style="3" bestFit="1" customWidth="1"/>
    <col min="13039" max="13045" width="9.140625" style="3"/>
    <col min="13046" max="13046" width="34.42578125" style="3" bestFit="1" customWidth="1"/>
    <col min="13047" max="13053" width="9.140625" style="3"/>
    <col min="13054" max="13054" width="34.42578125" style="3" bestFit="1" customWidth="1"/>
    <col min="13055" max="13061" width="9.140625" style="3"/>
    <col min="13062" max="13062" width="34.42578125" style="3" bestFit="1" customWidth="1"/>
    <col min="13063" max="13069" width="9.140625" style="3"/>
    <col min="13070" max="13070" width="34.42578125" style="3" bestFit="1" customWidth="1"/>
    <col min="13071" max="13077" width="9.140625" style="3"/>
    <col min="13078" max="13078" width="34.42578125" style="3" bestFit="1" customWidth="1"/>
    <col min="13079" max="13085" width="9.140625" style="3"/>
    <col min="13086" max="13086" width="34.42578125" style="3" bestFit="1" customWidth="1"/>
    <col min="13087" max="13093" width="9.140625" style="3"/>
    <col min="13094" max="13094" width="34.42578125" style="3" bestFit="1" customWidth="1"/>
    <col min="13095" max="13101" width="9.140625" style="3"/>
    <col min="13102" max="13102" width="34.42578125" style="3" bestFit="1" customWidth="1"/>
    <col min="13103" max="13109" width="9.140625" style="3"/>
    <col min="13110" max="13110" width="34.42578125" style="3" bestFit="1" customWidth="1"/>
    <col min="13111" max="13117" width="9.140625" style="3"/>
    <col min="13118" max="13118" width="34.42578125" style="3" bestFit="1" customWidth="1"/>
    <col min="13119" max="13125" width="9.140625" style="3"/>
    <col min="13126" max="13126" width="34.42578125" style="3" bestFit="1" customWidth="1"/>
    <col min="13127" max="13133" width="9.140625" style="3"/>
    <col min="13134" max="13134" width="34.42578125" style="3" bestFit="1" customWidth="1"/>
    <col min="13135" max="13141" width="9.140625" style="3"/>
    <col min="13142" max="13142" width="34.42578125" style="3" bestFit="1" customWidth="1"/>
    <col min="13143" max="13149" width="9.140625" style="3"/>
    <col min="13150" max="13150" width="34.42578125" style="3" bestFit="1" customWidth="1"/>
    <col min="13151" max="13157" width="9.140625" style="3"/>
    <col min="13158" max="13158" width="34.42578125" style="3" bestFit="1" customWidth="1"/>
    <col min="13159" max="13165" width="9.140625" style="3"/>
    <col min="13166" max="13166" width="34.42578125" style="3" bestFit="1" customWidth="1"/>
    <col min="13167" max="13173" width="9.140625" style="3"/>
    <col min="13174" max="13174" width="34.42578125" style="3" bestFit="1" customWidth="1"/>
    <col min="13175" max="13181" width="9.140625" style="3"/>
    <col min="13182" max="13182" width="34.42578125" style="3" bestFit="1" customWidth="1"/>
    <col min="13183" max="13189" width="9.140625" style="3"/>
    <col min="13190" max="13190" width="34.42578125" style="3" bestFit="1" customWidth="1"/>
    <col min="13191" max="13197" width="9.140625" style="3"/>
    <col min="13198" max="13198" width="34.42578125" style="3" bestFit="1" customWidth="1"/>
    <col min="13199" max="13205" width="9.140625" style="3"/>
    <col min="13206" max="13206" width="34.42578125" style="3" bestFit="1" customWidth="1"/>
    <col min="13207" max="13213" width="9.140625" style="3"/>
    <col min="13214" max="13214" width="34.42578125" style="3" bestFit="1" customWidth="1"/>
    <col min="13215" max="13221" width="9.140625" style="3"/>
    <col min="13222" max="13222" width="34.42578125" style="3" bestFit="1" customWidth="1"/>
    <col min="13223" max="13229" width="9.140625" style="3"/>
    <col min="13230" max="13230" width="34.42578125" style="3" bestFit="1" customWidth="1"/>
    <col min="13231" max="13237" width="9.140625" style="3"/>
    <col min="13238" max="13238" width="34.42578125" style="3" bestFit="1" customWidth="1"/>
    <col min="13239" max="13245" width="9.140625" style="3"/>
    <col min="13246" max="13246" width="34.42578125" style="3" bestFit="1" customWidth="1"/>
    <col min="13247" max="13253" width="9.140625" style="3"/>
    <col min="13254" max="13254" width="34.42578125" style="3" bestFit="1" customWidth="1"/>
    <col min="13255" max="13261" width="9.140625" style="3"/>
    <col min="13262" max="13262" width="34.42578125" style="3" bestFit="1" customWidth="1"/>
    <col min="13263" max="13269" width="9.140625" style="3"/>
    <col min="13270" max="13270" width="34.42578125" style="3" bestFit="1" customWidth="1"/>
    <col min="13271" max="13277" width="9.140625" style="3"/>
    <col min="13278" max="13278" width="34.42578125" style="3" bestFit="1" customWidth="1"/>
    <col min="13279" max="13285" width="9.140625" style="3"/>
    <col min="13286" max="13286" width="34.42578125" style="3" bestFit="1" customWidth="1"/>
    <col min="13287" max="13293" width="9.140625" style="3"/>
    <col min="13294" max="13294" width="34.42578125" style="3" bestFit="1" customWidth="1"/>
    <col min="13295" max="13301" width="9.140625" style="3"/>
    <col min="13302" max="13302" width="34.42578125" style="3" bestFit="1" customWidth="1"/>
    <col min="13303" max="13309" width="9.140625" style="3"/>
    <col min="13310" max="13310" width="34.42578125" style="3" bestFit="1" customWidth="1"/>
    <col min="13311" max="13317" width="9.140625" style="3"/>
    <col min="13318" max="13318" width="34.42578125" style="3" bestFit="1" customWidth="1"/>
    <col min="13319" max="13325" width="9.140625" style="3"/>
    <col min="13326" max="13326" width="34.42578125" style="3" bestFit="1" customWidth="1"/>
    <col min="13327" max="13333" width="9.140625" style="3"/>
    <col min="13334" max="13334" width="34.42578125" style="3" bestFit="1" customWidth="1"/>
    <col min="13335" max="13341" width="9.140625" style="3"/>
    <col min="13342" max="13342" width="34.42578125" style="3" bestFit="1" customWidth="1"/>
    <col min="13343" max="13349" width="9.140625" style="3"/>
    <col min="13350" max="13350" width="34.42578125" style="3" bestFit="1" customWidth="1"/>
    <col min="13351" max="13357" width="9.140625" style="3"/>
    <col min="13358" max="13358" width="34.42578125" style="3" bestFit="1" customWidth="1"/>
    <col min="13359" max="13365" width="9.140625" style="3"/>
    <col min="13366" max="13366" width="34.42578125" style="3" bestFit="1" customWidth="1"/>
    <col min="13367" max="13373" width="9.140625" style="3"/>
    <col min="13374" max="13374" width="34.42578125" style="3" bestFit="1" customWidth="1"/>
    <col min="13375" max="13381" width="9.140625" style="3"/>
    <col min="13382" max="13382" width="34.42578125" style="3" bestFit="1" customWidth="1"/>
    <col min="13383" max="13389" width="9.140625" style="3"/>
    <col min="13390" max="13390" width="34.42578125" style="3" bestFit="1" customWidth="1"/>
    <col min="13391" max="13397" width="9.140625" style="3"/>
    <col min="13398" max="13398" width="34.42578125" style="3" bestFit="1" customWidth="1"/>
    <col min="13399" max="13405" width="9.140625" style="3"/>
    <col min="13406" max="13406" width="34.42578125" style="3" bestFit="1" customWidth="1"/>
    <col min="13407" max="13413" width="9.140625" style="3"/>
    <col min="13414" max="13414" width="34.42578125" style="3" bestFit="1" customWidth="1"/>
    <col min="13415" max="13421" width="9.140625" style="3"/>
    <col min="13422" max="13422" width="34.42578125" style="3" bestFit="1" customWidth="1"/>
    <col min="13423" max="13429" width="9.140625" style="3"/>
    <col min="13430" max="13430" width="34.42578125" style="3" bestFit="1" customWidth="1"/>
    <col min="13431" max="13437" width="9.140625" style="3"/>
    <col min="13438" max="13438" width="34.42578125" style="3" bestFit="1" customWidth="1"/>
    <col min="13439" max="13445" width="9.140625" style="3"/>
    <col min="13446" max="13446" width="34.42578125" style="3" bestFit="1" customWidth="1"/>
    <col min="13447" max="13453" width="9.140625" style="3"/>
    <col min="13454" max="13454" width="34.42578125" style="3" bestFit="1" customWidth="1"/>
    <col min="13455" max="13461" width="9.140625" style="3"/>
    <col min="13462" max="13462" width="34.42578125" style="3" bestFit="1" customWidth="1"/>
    <col min="13463" max="13469" width="9.140625" style="3"/>
    <col min="13470" max="13470" width="34.42578125" style="3" bestFit="1" customWidth="1"/>
    <col min="13471" max="13477" width="9.140625" style="3"/>
    <col min="13478" max="13478" width="34.42578125" style="3" bestFit="1" customWidth="1"/>
    <col min="13479" max="13485" width="9.140625" style="3"/>
    <col min="13486" max="13486" width="34.42578125" style="3" bestFit="1" customWidth="1"/>
    <col min="13487" max="13493" width="9.140625" style="3"/>
    <col min="13494" max="13494" width="34.42578125" style="3" bestFit="1" customWidth="1"/>
    <col min="13495" max="13501" width="9.140625" style="3"/>
    <col min="13502" max="13502" width="34.42578125" style="3" bestFit="1" customWidth="1"/>
    <col min="13503" max="13509" width="9.140625" style="3"/>
    <col min="13510" max="13510" width="34.42578125" style="3" bestFit="1" customWidth="1"/>
    <col min="13511" max="13517" width="9.140625" style="3"/>
    <col min="13518" max="13518" width="34.42578125" style="3" bestFit="1" customWidth="1"/>
    <col min="13519" max="13525" width="9.140625" style="3"/>
    <col min="13526" max="13526" width="34.42578125" style="3" bestFit="1" customWidth="1"/>
    <col min="13527" max="13533" width="9.140625" style="3"/>
    <col min="13534" max="13534" width="34.42578125" style="3" bestFit="1" customWidth="1"/>
    <col min="13535" max="13541" width="9.140625" style="3"/>
    <col min="13542" max="13542" width="34.42578125" style="3" bestFit="1" customWidth="1"/>
    <col min="13543" max="13549" width="9.140625" style="3"/>
    <col min="13550" max="13550" width="34.42578125" style="3" bestFit="1" customWidth="1"/>
    <col min="13551" max="13557" width="9.140625" style="3"/>
    <col min="13558" max="13558" width="34.42578125" style="3" bestFit="1" customWidth="1"/>
    <col min="13559" max="13565" width="9.140625" style="3"/>
    <col min="13566" max="13566" width="34.42578125" style="3" bestFit="1" customWidth="1"/>
    <col min="13567" max="13573" width="9.140625" style="3"/>
    <col min="13574" max="13574" width="34.42578125" style="3" bestFit="1" customWidth="1"/>
    <col min="13575" max="13581" width="9.140625" style="3"/>
    <col min="13582" max="13582" width="34.42578125" style="3" bestFit="1" customWidth="1"/>
    <col min="13583" max="13589" width="9.140625" style="3"/>
    <col min="13590" max="13590" width="34.42578125" style="3" bestFit="1" customWidth="1"/>
    <col min="13591" max="13597" width="9.140625" style="3"/>
    <col min="13598" max="13598" width="34.42578125" style="3" bestFit="1" customWidth="1"/>
    <col min="13599" max="13605" width="9.140625" style="3"/>
    <col min="13606" max="13606" width="34.42578125" style="3" bestFit="1" customWidth="1"/>
    <col min="13607" max="13613" width="9.140625" style="3"/>
    <col min="13614" max="13614" width="34.42578125" style="3" bestFit="1" customWidth="1"/>
    <col min="13615" max="13621" width="9.140625" style="3"/>
    <col min="13622" max="13622" width="34.42578125" style="3" bestFit="1" customWidth="1"/>
    <col min="13623" max="13629" width="9.140625" style="3"/>
    <col min="13630" max="13630" width="34.42578125" style="3" bestFit="1" customWidth="1"/>
    <col min="13631" max="13637" width="9.140625" style="3"/>
    <col min="13638" max="13638" width="34.42578125" style="3" bestFit="1" customWidth="1"/>
    <col min="13639" max="13645" width="9.140625" style="3"/>
    <col min="13646" max="13646" width="34.42578125" style="3" bestFit="1" customWidth="1"/>
    <col min="13647" max="13653" width="9.140625" style="3"/>
    <col min="13654" max="13654" width="34.42578125" style="3" bestFit="1" customWidth="1"/>
    <col min="13655" max="13661" width="9.140625" style="3"/>
    <col min="13662" max="13662" width="34.42578125" style="3" bestFit="1" customWidth="1"/>
    <col min="13663" max="13669" width="9.140625" style="3"/>
    <col min="13670" max="13670" width="34.42578125" style="3" bestFit="1" customWidth="1"/>
    <col min="13671" max="13677" width="9.140625" style="3"/>
    <col min="13678" max="13678" width="34.42578125" style="3" bestFit="1" customWidth="1"/>
    <col min="13679" max="13685" width="9.140625" style="3"/>
    <col min="13686" max="13686" width="34.42578125" style="3" bestFit="1" customWidth="1"/>
    <col min="13687" max="13693" width="9.140625" style="3"/>
    <col min="13694" max="13694" width="34.42578125" style="3" bestFit="1" customWidth="1"/>
    <col min="13695" max="13701" width="9.140625" style="3"/>
    <col min="13702" max="13702" width="34.42578125" style="3" bestFit="1" customWidth="1"/>
    <col min="13703" max="13709" width="9.140625" style="3"/>
    <col min="13710" max="13710" width="34.42578125" style="3" bestFit="1" customWidth="1"/>
    <col min="13711" max="13717" width="9.140625" style="3"/>
    <col min="13718" max="13718" width="34.42578125" style="3" bestFit="1" customWidth="1"/>
    <col min="13719" max="13725" width="9.140625" style="3"/>
    <col min="13726" max="13726" width="34.42578125" style="3" bestFit="1" customWidth="1"/>
    <col min="13727" max="13733" width="9.140625" style="3"/>
    <col min="13734" max="13734" width="34.42578125" style="3" bestFit="1" customWidth="1"/>
    <col min="13735" max="13741" width="9.140625" style="3"/>
    <col min="13742" max="13742" width="34.42578125" style="3" bestFit="1" customWidth="1"/>
    <col min="13743" max="13749" width="9.140625" style="3"/>
    <col min="13750" max="13750" width="34.42578125" style="3" bestFit="1" customWidth="1"/>
    <col min="13751" max="13757" width="9.140625" style="3"/>
    <col min="13758" max="13758" width="34.42578125" style="3" bestFit="1" customWidth="1"/>
    <col min="13759" max="13765" width="9.140625" style="3"/>
    <col min="13766" max="13766" width="34.42578125" style="3" bestFit="1" customWidth="1"/>
    <col min="13767" max="13773" width="9.140625" style="3"/>
    <col min="13774" max="13774" width="34.42578125" style="3" bestFit="1" customWidth="1"/>
    <col min="13775" max="13781" width="9.140625" style="3"/>
    <col min="13782" max="13782" width="34.42578125" style="3" bestFit="1" customWidth="1"/>
    <col min="13783" max="13789" width="9.140625" style="3"/>
    <col min="13790" max="13790" width="34.42578125" style="3" bestFit="1" customWidth="1"/>
    <col min="13791" max="13797" width="9.140625" style="3"/>
    <col min="13798" max="13798" width="34.42578125" style="3" bestFit="1" customWidth="1"/>
    <col min="13799" max="13805" width="9.140625" style="3"/>
    <col min="13806" max="13806" width="34.42578125" style="3" bestFit="1" customWidth="1"/>
    <col min="13807" max="13813" width="9.140625" style="3"/>
    <col min="13814" max="13814" width="34.42578125" style="3" bestFit="1" customWidth="1"/>
    <col min="13815" max="13821" width="9.140625" style="3"/>
    <col min="13822" max="13822" width="34.42578125" style="3" bestFit="1" customWidth="1"/>
    <col min="13823" max="13829" width="9.140625" style="3"/>
    <col min="13830" max="13830" width="34.42578125" style="3" bestFit="1" customWidth="1"/>
    <col min="13831" max="13837" width="9.140625" style="3"/>
    <col min="13838" max="13838" width="34.42578125" style="3" bestFit="1" customWidth="1"/>
    <col min="13839" max="13845" width="9.140625" style="3"/>
    <col min="13846" max="13846" width="34.42578125" style="3" bestFit="1" customWidth="1"/>
    <col min="13847" max="13853" width="9.140625" style="3"/>
    <col min="13854" max="13854" width="34.42578125" style="3" bestFit="1" customWidth="1"/>
    <col min="13855" max="13861" width="9.140625" style="3"/>
    <col min="13862" max="13862" width="34.42578125" style="3" bestFit="1" customWidth="1"/>
    <col min="13863" max="13869" width="9.140625" style="3"/>
    <col min="13870" max="13870" width="34.42578125" style="3" bestFit="1" customWidth="1"/>
    <col min="13871" max="13877" width="9.140625" style="3"/>
    <col min="13878" max="13878" width="34.42578125" style="3" bestFit="1" customWidth="1"/>
    <col min="13879" max="13885" width="9.140625" style="3"/>
    <col min="13886" max="13886" width="34.42578125" style="3" bestFit="1" customWidth="1"/>
    <col min="13887" max="13893" width="9.140625" style="3"/>
    <col min="13894" max="13894" width="34.42578125" style="3" bestFit="1" customWidth="1"/>
    <col min="13895" max="13901" width="9.140625" style="3"/>
    <col min="13902" max="13902" width="34.42578125" style="3" bestFit="1" customWidth="1"/>
    <col min="13903" max="13909" width="9.140625" style="3"/>
    <col min="13910" max="13910" width="34.42578125" style="3" bestFit="1" customWidth="1"/>
    <col min="13911" max="13917" width="9.140625" style="3"/>
    <col min="13918" max="13918" width="34.42578125" style="3" bestFit="1" customWidth="1"/>
    <col min="13919" max="13925" width="9.140625" style="3"/>
    <col min="13926" max="13926" width="34.42578125" style="3" bestFit="1" customWidth="1"/>
    <col min="13927" max="13933" width="9.140625" style="3"/>
    <col min="13934" max="13934" width="34.42578125" style="3" bestFit="1" customWidth="1"/>
    <col min="13935" max="13941" width="9.140625" style="3"/>
    <col min="13942" max="13942" width="34.42578125" style="3" bestFit="1" customWidth="1"/>
    <col min="13943" max="13949" width="9.140625" style="3"/>
    <col min="13950" max="13950" width="34.42578125" style="3" bestFit="1" customWidth="1"/>
    <col min="13951" max="13957" width="9.140625" style="3"/>
    <col min="13958" max="13958" width="34.42578125" style="3" bestFit="1" customWidth="1"/>
    <col min="13959" max="13965" width="9.140625" style="3"/>
    <col min="13966" max="13966" width="34.42578125" style="3" bestFit="1" customWidth="1"/>
    <col min="13967" max="13973" width="9.140625" style="3"/>
    <col min="13974" max="13974" width="34.42578125" style="3" bestFit="1" customWidth="1"/>
    <col min="13975" max="13981" width="9.140625" style="3"/>
    <col min="13982" max="13982" width="34.42578125" style="3" bestFit="1" customWidth="1"/>
    <col min="13983" max="13989" width="9.140625" style="3"/>
    <col min="13990" max="13990" width="34.42578125" style="3" bestFit="1" customWidth="1"/>
    <col min="13991" max="13997" width="9.140625" style="3"/>
    <col min="13998" max="13998" width="34.42578125" style="3" bestFit="1" customWidth="1"/>
    <col min="13999" max="14005" width="9.140625" style="3"/>
    <col min="14006" max="14006" width="34.42578125" style="3" bestFit="1" customWidth="1"/>
    <col min="14007" max="14013" width="9.140625" style="3"/>
    <col min="14014" max="14014" width="34.42578125" style="3" bestFit="1" customWidth="1"/>
    <col min="14015" max="14021" width="9.140625" style="3"/>
    <col min="14022" max="14022" width="34.42578125" style="3" bestFit="1" customWidth="1"/>
    <col min="14023" max="14029" width="9.140625" style="3"/>
    <col min="14030" max="14030" width="34.42578125" style="3" bestFit="1" customWidth="1"/>
    <col min="14031" max="14037" width="9.140625" style="3"/>
    <col min="14038" max="14038" width="34.42578125" style="3" bestFit="1" customWidth="1"/>
    <col min="14039" max="14045" width="9.140625" style="3"/>
    <col min="14046" max="14046" width="34.42578125" style="3" bestFit="1" customWidth="1"/>
    <col min="14047" max="14053" width="9.140625" style="3"/>
    <col min="14054" max="14054" width="34.42578125" style="3" bestFit="1" customWidth="1"/>
    <col min="14055" max="14061" width="9.140625" style="3"/>
    <col min="14062" max="14062" width="34.42578125" style="3" bestFit="1" customWidth="1"/>
    <col min="14063" max="14069" width="9.140625" style="3"/>
    <col min="14070" max="14070" width="34.42578125" style="3" bestFit="1" customWidth="1"/>
    <col min="14071" max="14077" width="9.140625" style="3"/>
    <col min="14078" max="14078" width="34.42578125" style="3" bestFit="1" customWidth="1"/>
    <col min="14079" max="14085" width="9.140625" style="3"/>
    <col min="14086" max="14086" width="34.42578125" style="3" bestFit="1" customWidth="1"/>
    <col min="14087" max="14093" width="9.140625" style="3"/>
    <col min="14094" max="14094" width="34.42578125" style="3" bestFit="1" customWidth="1"/>
    <col min="14095" max="14101" width="9.140625" style="3"/>
    <col min="14102" max="14102" width="34.42578125" style="3" bestFit="1" customWidth="1"/>
    <col min="14103" max="14109" width="9.140625" style="3"/>
    <col min="14110" max="14110" width="34.42578125" style="3" bestFit="1" customWidth="1"/>
    <col min="14111" max="14117" width="9.140625" style="3"/>
    <col min="14118" max="14118" width="34.42578125" style="3" bestFit="1" customWidth="1"/>
    <col min="14119" max="14125" width="9.140625" style="3"/>
    <col min="14126" max="14126" width="34.42578125" style="3" bestFit="1" customWidth="1"/>
    <col min="14127" max="14133" width="9.140625" style="3"/>
    <col min="14134" max="14134" width="34.42578125" style="3" bestFit="1" customWidth="1"/>
    <col min="14135" max="14141" width="9.140625" style="3"/>
    <col min="14142" max="14142" width="34.42578125" style="3" bestFit="1" customWidth="1"/>
    <col min="14143" max="14149" width="9.140625" style="3"/>
    <col min="14150" max="14150" width="34.42578125" style="3" bestFit="1" customWidth="1"/>
    <col min="14151" max="14157" width="9.140625" style="3"/>
    <col min="14158" max="14158" width="34.42578125" style="3" bestFit="1" customWidth="1"/>
    <col min="14159" max="14165" width="9.140625" style="3"/>
    <col min="14166" max="14166" width="34.42578125" style="3" bestFit="1" customWidth="1"/>
    <col min="14167" max="14173" width="9.140625" style="3"/>
    <col min="14174" max="14174" width="34.42578125" style="3" bestFit="1" customWidth="1"/>
    <col min="14175" max="14181" width="9.140625" style="3"/>
    <col min="14182" max="14182" width="34.42578125" style="3" bestFit="1" customWidth="1"/>
    <col min="14183" max="14189" width="9.140625" style="3"/>
    <col min="14190" max="14190" width="34.42578125" style="3" bestFit="1" customWidth="1"/>
    <col min="14191" max="14197" width="9.140625" style="3"/>
    <col min="14198" max="14198" width="34.42578125" style="3" bestFit="1" customWidth="1"/>
    <col min="14199" max="14205" width="9.140625" style="3"/>
    <col min="14206" max="14206" width="34.42578125" style="3" bestFit="1" customWidth="1"/>
    <col min="14207" max="14213" width="9.140625" style="3"/>
    <col min="14214" max="14214" width="34.42578125" style="3" bestFit="1" customWidth="1"/>
    <col min="14215" max="14221" width="9.140625" style="3"/>
    <col min="14222" max="14222" width="34.42578125" style="3" bestFit="1" customWidth="1"/>
    <col min="14223" max="14229" width="9.140625" style="3"/>
    <col min="14230" max="14230" width="34.42578125" style="3" bestFit="1" customWidth="1"/>
    <col min="14231" max="14237" width="9.140625" style="3"/>
    <col min="14238" max="14238" width="34.42578125" style="3" bestFit="1" customWidth="1"/>
    <col min="14239" max="14245" width="9.140625" style="3"/>
    <col min="14246" max="14246" width="34.42578125" style="3" bestFit="1" customWidth="1"/>
    <col min="14247" max="14253" width="9.140625" style="3"/>
    <col min="14254" max="14254" width="34.42578125" style="3" bestFit="1" customWidth="1"/>
    <col min="14255" max="14261" width="9.140625" style="3"/>
    <col min="14262" max="14262" width="34.42578125" style="3" bestFit="1" customWidth="1"/>
    <col min="14263" max="14269" width="9.140625" style="3"/>
    <col min="14270" max="14270" width="34.42578125" style="3" bestFit="1" customWidth="1"/>
    <col min="14271" max="14277" width="9.140625" style="3"/>
    <col min="14278" max="14278" width="34.42578125" style="3" bestFit="1" customWidth="1"/>
    <col min="14279" max="14285" width="9.140625" style="3"/>
    <col min="14286" max="14286" width="34.42578125" style="3" bestFit="1" customWidth="1"/>
    <col min="14287" max="14293" width="9.140625" style="3"/>
    <col min="14294" max="14294" width="34.42578125" style="3" bestFit="1" customWidth="1"/>
    <col min="14295" max="14301" width="9.140625" style="3"/>
    <col min="14302" max="14302" width="34.42578125" style="3" bestFit="1" customWidth="1"/>
    <col min="14303" max="14309" width="9.140625" style="3"/>
    <col min="14310" max="14310" width="34.42578125" style="3" bestFit="1" customWidth="1"/>
    <col min="14311" max="14317" width="9.140625" style="3"/>
    <col min="14318" max="14318" width="34.42578125" style="3" bestFit="1" customWidth="1"/>
    <col min="14319" max="14325" width="9.140625" style="3"/>
    <col min="14326" max="14326" width="34.42578125" style="3" bestFit="1" customWidth="1"/>
    <col min="14327" max="14333" width="9.140625" style="3"/>
    <col min="14334" max="14334" width="34.42578125" style="3" bestFit="1" customWidth="1"/>
    <col min="14335" max="14341" width="9.140625" style="3"/>
    <col min="14342" max="14342" width="34.42578125" style="3" bestFit="1" customWidth="1"/>
    <col min="14343" max="14349" width="9.140625" style="3"/>
    <col min="14350" max="14350" width="34.42578125" style="3" bestFit="1" customWidth="1"/>
    <col min="14351" max="14357" width="9.140625" style="3"/>
    <col min="14358" max="14358" width="34.42578125" style="3" bestFit="1" customWidth="1"/>
    <col min="14359" max="14365" width="9.140625" style="3"/>
    <col min="14366" max="14366" width="34.42578125" style="3" bestFit="1" customWidth="1"/>
    <col min="14367" max="14373" width="9.140625" style="3"/>
    <col min="14374" max="14374" width="34.42578125" style="3" bestFit="1" customWidth="1"/>
    <col min="14375" max="14381" width="9.140625" style="3"/>
    <col min="14382" max="14382" width="34.42578125" style="3" bestFit="1" customWidth="1"/>
    <col min="14383" max="14389" width="9.140625" style="3"/>
    <col min="14390" max="14390" width="34.42578125" style="3" bestFit="1" customWidth="1"/>
    <col min="14391" max="14397" width="9.140625" style="3"/>
    <col min="14398" max="14398" width="34.42578125" style="3" bestFit="1" customWidth="1"/>
    <col min="14399" max="14405" width="9.140625" style="3"/>
    <col min="14406" max="14406" width="34.42578125" style="3" bestFit="1" customWidth="1"/>
    <col min="14407" max="14413" width="9.140625" style="3"/>
    <col min="14414" max="14414" width="34.42578125" style="3" bestFit="1" customWidth="1"/>
    <col min="14415" max="14421" width="9.140625" style="3"/>
    <col min="14422" max="14422" width="34.42578125" style="3" bestFit="1" customWidth="1"/>
    <col min="14423" max="14429" width="9.140625" style="3"/>
    <col min="14430" max="14430" width="34.42578125" style="3" bestFit="1" customWidth="1"/>
    <col min="14431" max="14437" width="9.140625" style="3"/>
    <col min="14438" max="14438" width="34.42578125" style="3" bestFit="1" customWidth="1"/>
    <col min="14439" max="14445" width="9.140625" style="3"/>
    <col min="14446" max="14446" width="34.42578125" style="3" bestFit="1" customWidth="1"/>
    <col min="14447" max="14453" width="9.140625" style="3"/>
    <col min="14454" max="14454" width="34.42578125" style="3" bestFit="1" customWidth="1"/>
    <col min="14455" max="14461" width="9.140625" style="3"/>
    <col min="14462" max="14462" width="34.42578125" style="3" bestFit="1" customWidth="1"/>
    <col min="14463" max="14469" width="9.140625" style="3"/>
    <col min="14470" max="14470" width="34.42578125" style="3" bestFit="1" customWidth="1"/>
    <col min="14471" max="14477" width="9.140625" style="3"/>
    <col min="14478" max="14478" width="34.42578125" style="3" bestFit="1" customWidth="1"/>
    <col min="14479" max="14485" width="9.140625" style="3"/>
    <col min="14486" max="14486" width="34.42578125" style="3" bestFit="1" customWidth="1"/>
    <col min="14487" max="14493" width="9.140625" style="3"/>
    <col min="14494" max="14494" width="34.42578125" style="3" bestFit="1" customWidth="1"/>
    <col min="14495" max="14501" width="9.140625" style="3"/>
    <col min="14502" max="14502" width="34.42578125" style="3" bestFit="1" customWidth="1"/>
    <col min="14503" max="14509" width="9.140625" style="3"/>
    <col min="14510" max="14510" width="34.42578125" style="3" bestFit="1" customWidth="1"/>
    <col min="14511" max="14517" width="9.140625" style="3"/>
    <col min="14518" max="14518" width="34.42578125" style="3" bestFit="1" customWidth="1"/>
    <col min="14519" max="14525" width="9.140625" style="3"/>
    <col min="14526" max="14526" width="34.42578125" style="3" bestFit="1" customWidth="1"/>
    <col min="14527" max="14533" width="9.140625" style="3"/>
    <col min="14534" max="14534" width="34.42578125" style="3" bestFit="1" customWidth="1"/>
    <col min="14535" max="14541" width="9.140625" style="3"/>
    <col min="14542" max="14542" width="34.42578125" style="3" bestFit="1" customWidth="1"/>
    <col min="14543" max="14549" width="9.140625" style="3"/>
    <col min="14550" max="14550" width="34.42578125" style="3" bestFit="1" customWidth="1"/>
    <col min="14551" max="14557" width="9.140625" style="3"/>
    <col min="14558" max="14558" width="34.42578125" style="3" bestFit="1" customWidth="1"/>
    <col min="14559" max="14565" width="9.140625" style="3"/>
    <col min="14566" max="14566" width="34.42578125" style="3" bestFit="1" customWidth="1"/>
    <col min="14567" max="14573" width="9.140625" style="3"/>
    <col min="14574" max="14574" width="34.42578125" style="3" bestFit="1" customWidth="1"/>
    <col min="14575" max="14581" width="9.140625" style="3"/>
    <col min="14582" max="14582" width="34.42578125" style="3" bestFit="1" customWidth="1"/>
    <col min="14583" max="14589" width="9.140625" style="3"/>
    <col min="14590" max="14590" width="34.42578125" style="3" bestFit="1" customWidth="1"/>
    <col min="14591" max="14597" width="9.140625" style="3"/>
    <col min="14598" max="14598" width="34.42578125" style="3" bestFit="1" customWidth="1"/>
    <col min="14599" max="14605" width="9.140625" style="3"/>
    <col min="14606" max="14606" width="34.42578125" style="3" bestFit="1" customWidth="1"/>
    <col min="14607" max="14613" width="9.140625" style="3"/>
    <col min="14614" max="14614" width="34.42578125" style="3" bestFit="1" customWidth="1"/>
    <col min="14615" max="14621" width="9.140625" style="3"/>
    <col min="14622" max="14622" width="34.42578125" style="3" bestFit="1" customWidth="1"/>
    <col min="14623" max="14629" width="9.140625" style="3"/>
    <col min="14630" max="14630" width="34.42578125" style="3" bestFit="1" customWidth="1"/>
    <col min="14631" max="14637" width="9.140625" style="3"/>
    <col min="14638" max="14638" width="34.42578125" style="3" bestFit="1" customWidth="1"/>
    <col min="14639" max="14645" width="9.140625" style="3"/>
    <col min="14646" max="14646" width="34.42578125" style="3" bestFit="1" customWidth="1"/>
    <col min="14647" max="14653" width="9.140625" style="3"/>
    <col min="14654" max="14654" width="34.42578125" style="3" bestFit="1" customWidth="1"/>
    <col min="14655" max="14661" width="9.140625" style="3"/>
    <col min="14662" max="14662" width="34.42578125" style="3" bestFit="1" customWidth="1"/>
    <col min="14663" max="14669" width="9.140625" style="3"/>
    <col min="14670" max="14670" width="34.42578125" style="3" bestFit="1" customWidth="1"/>
    <col min="14671" max="14677" width="9.140625" style="3"/>
    <col min="14678" max="14678" width="34.42578125" style="3" bestFit="1" customWidth="1"/>
    <col min="14679" max="14685" width="9.140625" style="3"/>
    <col min="14686" max="14686" width="34.42578125" style="3" bestFit="1" customWidth="1"/>
    <col min="14687" max="14693" width="9.140625" style="3"/>
    <col min="14694" max="14694" width="34.42578125" style="3" bestFit="1" customWidth="1"/>
    <col min="14695" max="14701" width="9.140625" style="3"/>
    <col min="14702" max="14702" width="34.42578125" style="3" bestFit="1" customWidth="1"/>
    <col min="14703" max="14709" width="9.140625" style="3"/>
    <col min="14710" max="14710" width="34.42578125" style="3" bestFit="1" customWidth="1"/>
    <col min="14711" max="14717" width="9.140625" style="3"/>
    <col min="14718" max="14718" width="34.42578125" style="3" bestFit="1" customWidth="1"/>
    <col min="14719" max="14725" width="9.140625" style="3"/>
    <col min="14726" max="14726" width="34.42578125" style="3" bestFit="1" customWidth="1"/>
    <col min="14727" max="14733" width="9.140625" style="3"/>
    <col min="14734" max="14734" width="34.42578125" style="3" bestFit="1" customWidth="1"/>
    <col min="14735" max="14741" width="9.140625" style="3"/>
    <col min="14742" max="14742" width="34.42578125" style="3" bestFit="1" customWidth="1"/>
    <col min="14743" max="14749" width="9.140625" style="3"/>
    <col min="14750" max="14750" width="34.42578125" style="3" bestFit="1" customWidth="1"/>
    <col min="14751" max="14757" width="9.140625" style="3"/>
    <col min="14758" max="14758" width="34.42578125" style="3" bestFit="1" customWidth="1"/>
    <col min="14759" max="14765" width="9.140625" style="3"/>
    <col min="14766" max="14766" width="34.42578125" style="3" bestFit="1" customWidth="1"/>
    <col min="14767" max="14773" width="9.140625" style="3"/>
    <col min="14774" max="14774" width="34.42578125" style="3" bestFit="1" customWidth="1"/>
    <col min="14775" max="14781" width="9.140625" style="3"/>
    <col min="14782" max="14782" width="34.42578125" style="3" bestFit="1" customWidth="1"/>
    <col min="14783" max="14789" width="9.140625" style="3"/>
    <col min="14790" max="14790" width="34.42578125" style="3" bestFit="1" customWidth="1"/>
    <col min="14791" max="14797" width="9.140625" style="3"/>
    <col min="14798" max="14798" width="34.42578125" style="3" bestFit="1" customWidth="1"/>
    <col min="14799" max="14805" width="9.140625" style="3"/>
    <col min="14806" max="14806" width="34.42578125" style="3" bestFit="1" customWidth="1"/>
    <col min="14807" max="14813" width="9.140625" style="3"/>
    <col min="14814" max="14814" width="34.42578125" style="3" bestFit="1" customWidth="1"/>
    <col min="14815" max="14821" width="9.140625" style="3"/>
    <col min="14822" max="14822" width="34.42578125" style="3" bestFit="1" customWidth="1"/>
    <col min="14823" max="14829" width="9.140625" style="3"/>
    <col min="14830" max="14830" width="34.42578125" style="3" bestFit="1" customWidth="1"/>
    <col min="14831" max="14837" width="9.140625" style="3"/>
    <col min="14838" max="14838" width="34.42578125" style="3" bestFit="1" customWidth="1"/>
    <col min="14839" max="14845" width="9.140625" style="3"/>
    <col min="14846" max="14846" width="34.42578125" style="3" bestFit="1" customWidth="1"/>
    <col min="14847" max="14853" width="9.140625" style="3"/>
    <col min="14854" max="14854" width="34.42578125" style="3" bestFit="1" customWidth="1"/>
    <col min="14855" max="14861" width="9.140625" style="3"/>
    <col min="14862" max="14862" width="34.42578125" style="3" bestFit="1" customWidth="1"/>
    <col min="14863" max="14869" width="9.140625" style="3"/>
    <col min="14870" max="14870" width="34.42578125" style="3" bestFit="1" customWidth="1"/>
    <col min="14871" max="14877" width="9.140625" style="3"/>
    <col min="14878" max="14878" width="34.42578125" style="3" bestFit="1" customWidth="1"/>
    <col min="14879" max="14885" width="9.140625" style="3"/>
    <col min="14886" max="14886" width="34.42578125" style="3" bestFit="1" customWidth="1"/>
    <col min="14887" max="14893" width="9.140625" style="3"/>
    <col min="14894" max="14894" width="34.42578125" style="3" bestFit="1" customWidth="1"/>
    <col min="14895" max="14901" width="9.140625" style="3"/>
    <col min="14902" max="14902" width="34.42578125" style="3" bestFit="1" customWidth="1"/>
    <col min="14903" max="14909" width="9.140625" style="3"/>
    <col min="14910" max="14910" width="34.42578125" style="3" bestFit="1" customWidth="1"/>
    <col min="14911" max="14917" width="9.140625" style="3"/>
    <col min="14918" max="14918" width="34.42578125" style="3" bestFit="1" customWidth="1"/>
    <col min="14919" max="14925" width="9.140625" style="3"/>
    <col min="14926" max="14926" width="34.42578125" style="3" bestFit="1" customWidth="1"/>
    <col min="14927" max="14933" width="9.140625" style="3"/>
    <col min="14934" max="14934" width="34.42578125" style="3" bestFit="1" customWidth="1"/>
    <col min="14935" max="14941" width="9.140625" style="3"/>
    <col min="14942" max="14942" width="34.42578125" style="3" bestFit="1" customWidth="1"/>
    <col min="14943" max="14949" width="9.140625" style="3"/>
    <col min="14950" max="14950" width="34.42578125" style="3" bestFit="1" customWidth="1"/>
    <col min="14951" max="14957" width="9.140625" style="3"/>
    <col min="14958" max="14958" width="34.42578125" style="3" bestFit="1" customWidth="1"/>
    <col min="14959" max="14965" width="9.140625" style="3"/>
    <col min="14966" max="14966" width="34.42578125" style="3" bestFit="1" customWidth="1"/>
    <col min="14967" max="14973" width="9.140625" style="3"/>
    <col min="14974" max="14974" width="34.42578125" style="3" bestFit="1" customWidth="1"/>
    <col min="14975" max="14981" width="9.140625" style="3"/>
    <col min="14982" max="14982" width="34.42578125" style="3" bestFit="1" customWidth="1"/>
    <col min="14983" max="14989" width="9.140625" style="3"/>
    <col min="14990" max="14990" width="34.42578125" style="3" bestFit="1" customWidth="1"/>
    <col min="14991" max="14997" width="9.140625" style="3"/>
    <col min="14998" max="14998" width="34.42578125" style="3" bestFit="1" customWidth="1"/>
    <col min="14999" max="15005" width="9.140625" style="3"/>
    <col min="15006" max="15006" width="34.42578125" style="3" bestFit="1" customWidth="1"/>
    <col min="15007" max="15013" width="9.140625" style="3"/>
    <col min="15014" max="15014" width="34.42578125" style="3" bestFit="1" customWidth="1"/>
    <col min="15015" max="15021" width="9.140625" style="3"/>
    <col min="15022" max="15022" width="34.42578125" style="3" bestFit="1" customWidth="1"/>
    <col min="15023" max="15029" width="9.140625" style="3"/>
    <col min="15030" max="15030" width="34.42578125" style="3" bestFit="1" customWidth="1"/>
    <col min="15031" max="15037" width="9.140625" style="3"/>
    <col min="15038" max="15038" width="34.42578125" style="3" bestFit="1" customWidth="1"/>
    <col min="15039" max="15045" width="9.140625" style="3"/>
    <col min="15046" max="15046" width="34.42578125" style="3" bestFit="1" customWidth="1"/>
    <col min="15047" max="15053" width="9.140625" style="3"/>
    <col min="15054" max="15054" width="34.42578125" style="3" bestFit="1" customWidth="1"/>
    <col min="15055" max="15061" width="9.140625" style="3"/>
    <col min="15062" max="15062" width="34.42578125" style="3" bestFit="1" customWidth="1"/>
    <col min="15063" max="15069" width="9.140625" style="3"/>
    <col min="15070" max="15070" width="34.42578125" style="3" bestFit="1" customWidth="1"/>
    <col min="15071" max="15077" width="9.140625" style="3"/>
    <col min="15078" max="15078" width="34.42578125" style="3" bestFit="1" customWidth="1"/>
    <col min="15079" max="15085" width="9.140625" style="3"/>
    <col min="15086" max="15086" width="34.42578125" style="3" bestFit="1" customWidth="1"/>
    <col min="15087" max="15093" width="9.140625" style="3"/>
    <col min="15094" max="15094" width="34.42578125" style="3" bestFit="1" customWidth="1"/>
    <col min="15095" max="15101" width="9.140625" style="3"/>
    <col min="15102" max="15102" width="34.42578125" style="3" bestFit="1" customWidth="1"/>
    <col min="15103" max="15109" width="9.140625" style="3"/>
    <col min="15110" max="15110" width="34.42578125" style="3" bestFit="1" customWidth="1"/>
    <col min="15111" max="15117" width="9.140625" style="3"/>
    <col min="15118" max="15118" width="34.42578125" style="3" bestFit="1" customWidth="1"/>
    <col min="15119" max="15125" width="9.140625" style="3"/>
    <col min="15126" max="15126" width="34.42578125" style="3" bestFit="1" customWidth="1"/>
    <col min="15127" max="15133" width="9.140625" style="3"/>
    <col min="15134" max="15134" width="34.42578125" style="3" bestFit="1" customWidth="1"/>
    <col min="15135" max="15141" width="9.140625" style="3"/>
    <col min="15142" max="15142" width="34.42578125" style="3" bestFit="1" customWidth="1"/>
    <col min="15143" max="15149" width="9.140625" style="3"/>
    <col min="15150" max="15150" width="34.42578125" style="3" bestFit="1" customWidth="1"/>
    <col min="15151" max="15157" width="9.140625" style="3"/>
    <col min="15158" max="15158" width="34.42578125" style="3" bestFit="1" customWidth="1"/>
    <col min="15159" max="15165" width="9.140625" style="3"/>
    <col min="15166" max="15166" width="34.42578125" style="3" bestFit="1" customWidth="1"/>
    <col min="15167" max="15173" width="9.140625" style="3"/>
    <col min="15174" max="15174" width="34.42578125" style="3" bestFit="1" customWidth="1"/>
    <col min="15175" max="15181" width="9.140625" style="3"/>
    <col min="15182" max="15182" width="34.42578125" style="3" bestFit="1" customWidth="1"/>
    <col min="15183" max="15189" width="9.140625" style="3"/>
    <col min="15190" max="15190" width="34.42578125" style="3" bestFit="1" customWidth="1"/>
    <col min="15191" max="15197" width="9.140625" style="3"/>
    <col min="15198" max="15198" width="34.42578125" style="3" bestFit="1" customWidth="1"/>
    <col min="15199" max="15205" width="9.140625" style="3"/>
    <col min="15206" max="15206" width="34.42578125" style="3" bestFit="1" customWidth="1"/>
    <col min="15207" max="15213" width="9.140625" style="3"/>
    <col min="15214" max="15214" width="34.42578125" style="3" bestFit="1" customWidth="1"/>
    <col min="15215" max="15221" width="9.140625" style="3"/>
    <col min="15222" max="15222" width="34.42578125" style="3" bestFit="1" customWidth="1"/>
    <col min="15223" max="15229" width="9.140625" style="3"/>
    <col min="15230" max="15230" width="34.42578125" style="3" bestFit="1" customWidth="1"/>
    <col min="15231" max="15237" width="9.140625" style="3"/>
    <col min="15238" max="15238" width="34.42578125" style="3" bestFit="1" customWidth="1"/>
    <col min="15239" max="15245" width="9.140625" style="3"/>
    <col min="15246" max="15246" width="34.42578125" style="3" bestFit="1" customWidth="1"/>
    <col min="15247" max="15253" width="9.140625" style="3"/>
    <col min="15254" max="15254" width="34.42578125" style="3" bestFit="1" customWidth="1"/>
    <col min="15255" max="15261" width="9.140625" style="3"/>
    <col min="15262" max="15262" width="34.42578125" style="3" bestFit="1" customWidth="1"/>
    <col min="15263" max="15269" width="9.140625" style="3"/>
    <col min="15270" max="15270" width="34.42578125" style="3" bestFit="1" customWidth="1"/>
    <col min="15271" max="15277" width="9.140625" style="3"/>
    <col min="15278" max="15278" width="34.42578125" style="3" bestFit="1" customWidth="1"/>
    <col min="15279" max="15285" width="9.140625" style="3"/>
    <col min="15286" max="15286" width="34.42578125" style="3" bestFit="1" customWidth="1"/>
    <col min="15287" max="15293" width="9.140625" style="3"/>
    <col min="15294" max="15294" width="34.42578125" style="3" bestFit="1" customWidth="1"/>
    <col min="15295" max="15301" width="9.140625" style="3"/>
    <col min="15302" max="15302" width="34.42578125" style="3" bestFit="1" customWidth="1"/>
    <col min="15303" max="15309" width="9.140625" style="3"/>
    <col min="15310" max="15310" width="34.42578125" style="3" bestFit="1" customWidth="1"/>
    <col min="15311" max="15317" width="9.140625" style="3"/>
    <col min="15318" max="15318" width="34.42578125" style="3" bestFit="1" customWidth="1"/>
    <col min="15319" max="15325" width="9.140625" style="3"/>
    <col min="15326" max="15326" width="34.42578125" style="3" bestFit="1" customWidth="1"/>
    <col min="15327" max="15333" width="9.140625" style="3"/>
    <col min="15334" max="15334" width="34.42578125" style="3" bestFit="1" customWidth="1"/>
    <col min="15335" max="15341" width="9.140625" style="3"/>
    <col min="15342" max="15342" width="34.42578125" style="3" bestFit="1" customWidth="1"/>
    <col min="15343" max="15349" width="9.140625" style="3"/>
    <col min="15350" max="15350" width="34.42578125" style="3" bestFit="1" customWidth="1"/>
    <col min="15351" max="15357" width="9.140625" style="3"/>
    <col min="15358" max="15358" width="34.42578125" style="3" bestFit="1" customWidth="1"/>
    <col min="15359" max="15365" width="9.140625" style="3"/>
    <col min="15366" max="15366" width="34.42578125" style="3" bestFit="1" customWidth="1"/>
    <col min="15367" max="15373" width="9.140625" style="3"/>
    <col min="15374" max="15374" width="34.42578125" style="3" bestFit="1" customWidth="1"/>
    <col min="15375" max="15381" width="9.140625" style="3"/>
    <col min="15382" max="15382" width="34.42578125" style="3" bestFit="1" customWidth="1"/>
    <col min="15383" max="15389" width="9.140625" style="3"/>
    <col min="15390" max="15390" width="34.42578125" style="3" bestFit="1" customWidth="1"/>
    <col min="15391" max="15397" width="9.140625" style="3"/>
    <col min="15398" max="15398" width="34.42578125" style="3" bestFit="1" customWidth="1"/>
    <col min="15399" max="15405" width="9.140625" style="3"/>
    <col min="15406" max="15406" width="34.42578125" style="3" bestFit="1" customWidth="1"/>
    <col min="15407" max="15413" width="9.140625" style="3"/>
    <col min="15414" max="15414" width="34.42578125" style="3" bestFit="1" customWidth="1"/>
    <col min="15415" max="15421" width="9.140625" style="3"/>
    <col min="15422" max="15422" width="34.42578125" style="3" bestFit="1" customWidth="1"/>
    <col min="15423" max="15429" width="9.140625" style="3"/>
    <col min="15430" max="15430" width="34.42578125" style="3" bestFit="1" customWidth="1"/>
    <col min="15431" max="15437" width="9.140625" style="3"/>
    <col min="15438" max="15438" width="34.42578125" style="3" bestFit="1" customWidth="1"/>
    <col min="15439" max="15445" width="9.140625" style="3"/>
    <col min="15446" max="15446" width="34.42578125" style="3" bestFit="1" customWidth="1"/>
    <col min="15447" max="15453" width="9.140625" style="3"/>
    <col min="15454" max="15454" width="34.42578125" style="3" bestFit="1" customWidth="1"/>
    <col min="15455" max="15461" width="9.140625" style="3"/>
    <col min="15462" max="15462" width="34.42578125" style="3" bestFit="1" customWidth="1"/>
    <col min="15463" max="15469" width="9.140625" style="3"/>
    <col min="15470" max="15470" width="34.42578125" style="3" bestFit="1" customWidth="1"/>
    <col min="15471" max="15477" width="9.140625" style="3"/>
    <col min="15478" max="15478" width="34.42578125" style="3" bestFit="1" customWidth="1"/>
    <col min="15479" max="15485" width="9.140625" style="3"/>
    <col min="15486" max="15486" width="34.42578125" style="3" bestFit="1" customWidth="1"/>
    <col min="15487" max="15493" width="9.140625" style="3"/>
    <col min="15494" max="15494" width="34.42578125" style="3" bestFit="1" customWidth="1"/>
    <col min="15495" max="15501" width="9.140625" style="3"/>
    <col min="15502" max="15502" width="34.42578125" style="3" bestFit="1" customWidth="1"/>
    <col min="15503" max="15509" width="9.140625" style="3"/>
    <col min="15510" max="15510" width="34.42578125" style="3" bestFit="1" customWidth="1"/>
    <col min="15511" max="15517" width="9.140625" style="3"/>
    <col min="15518" max="15518" width="34.42578125" style="3" bestFit="1" customWidth="1"/>
    <col min="15519" max="15525" width="9.140625" style="3"/>
    <col min="15526" max="15526" width="34.42578125" style="3" bestFit="1" customWidth="1"/>
    <col min="15527" max="15533" width="9.140625" style="3"/>
    <col min="15534" max="15534" width="34.42578125" style="3" bestFit="1" customWidth="1"/>
    <col min="15535" max="15541" width="9.140625" style="3"/>
    <col min="15542" max="15542" width="34.42578125" style="3" bestFit="1" customWidth="1"/>
    <col min="15543" max="15549" width="9.140625" style="3"/>
    <col min="15550" max="15550" width="34.42578125" style="3" bestFit="1" customWidth="1"/>
    <col min="15551" max="15557" width="9.140625" style="3"/>
    <col min="15558" max="15558" width="34.42578125" style="3" bestFit="1" customWidth="1"/>
    <col min="15559" max="15565" width="9.140625" style="3"/>
    <col min="15566" max="15566" width="34.42578125" style="3" bestFit="1" customWidth="1"/>
    <col min="15567" max="15573" width="9.140625" style="3"/>
    <col min="15574" max="15574" width="34.42578125" style="3" bestFit="1" customWidth="1"/>
    <col min="15575" max="15581" width="9.140625" style="3"/>
    <col min="15582" max="15582" width="34.42578125" style="3" bestFit="1" customWidth="1"/>
    <col min="15583" max="15589" width="9.140625" style="3"/>
    <col min="15590" max="15590" width="34.42578125" style="3" bestFit="1" customWidth="1"/>
    <col min="15591" max="15597" width="9.140625" style="3"/>
    <col min="15598" max="15598" width="34.42578125" style="3" bestFit="1" customWidth="1"/>
    <col min="15599" max="15605" width="9.140625" style="3"/>
    <col min="15606" max="15606" width="34.42578125" style="3" bestFit="1" customWidth="1"/>
    <col min="15607" max="15613" width="9.140625" style="3"/>
    <col min="15614" max="15614" width="34.42578125" style="3" bestFit="1" customWidth="1"/>
    <col min="15615" max="15621" width="9.140625" style="3"/>
    <col min="15622" max="15622" width="34.42578125" style="3" bestFit="1" customWidth="1"/>
    <col min="15623" max="15629" width="9.140625" style="3"/>
    <col min="15630" max="15630" width="34.42578125" style="3" bestFit="1" customWidth="1"/>
    <col min="15631" max="15637" width="9.140625" style="3"/>
    <col min="15638" max="15638" width="34.42578125" style="3" bestFit="1" customWidth="1"/>
    <col min="15639" max="15645" width="9.140625" style="3"/>
    <col min="15646" max="15646" width="34.42578125" style="3" bestFit="1" customWidth="1"/>
    <col min="15647" max="15653" width="9.140625" style="3"/>
    <col min="15654" max="15654" width="34.42578125" style="3" bestFit="1" customWidth="1"/>
    <col min="15655" max="15661" width="9.140625" style="3"/>
    <col min="15662" max="15662" width="34.42578125" style="3" bestFit="1" customWidth="1"/>
    <col min="15663" max="15669" width="9.140625" style="3"/>
    <col min="15670" max="15670" width="34.42578125" style="3" bestFit="1" customWidth="1"/>
    <col min="15671" max="15677" width="9.140625" style="3"/>
    <col min="15678" max="15678" width="34.42578125" style="3" bestFit="1" customWidth="1"/>
    <col min="15679" max="15685" width="9.140625" style="3"/>
    <col min="15686" max="15686" width="34.42578125" style="3" bestFit="1" customWidth="1"/>
    <col min="15687" max="15693" width="9.140625" style="3"/>
    <col min="15694" max="15694" width="34.42578125" style="3" bestFit="1" customWidth="1"/>
    <col min="15695" max="15701" width="9.140625" style="3"/>
    <col min="15702" max="15702" width="34.42578125" style="3" bestFit="1" customWidth="1"/>
    <col min="15703" max="15709" width="9.140625" style="3"/>
    <col min="15710" max="15710" width="34.42578125" style="3" bestFit="1" customWidth="1"/>
    <col min="15711" max="15717" width="9.140625" style="3"/>
    <col min="15718" max="15718" width="34.42578125" style="3" bestFit="1" customWidth="1"/>
    <col min="15719" max="15725" width="9.140625" style="3"/>
    <col min="15726" max="15726" width="34.42578125" style="3" bestFit="1" customWidth="1"/>
    <col min="15727" max="15733" width="9.140625" style="3"/>
    <col min="15734" max="15734" width="34.42578125" style="3" bestFit="1" customWidth="1"/>
    <col min="15735" max="15741" width="9.140625" style="3"/>
    <col min="15742" max="15742" width="34.42578125" style="3" bestFit="1" customWidth="1"/>
    <col min="15743" max="15749" width="9.140625" style="3"/>
    <col min="15750" max="15750" width="34.42578125" style="3" bestFit="1" customWidth="1"/>
    <col min="15751" max="15757" width="9.140625" style="3"/>
    <col min="15758" max="15758" width="34.42578125" style="3" bestFit="1" customWidth="1"/>
    <col min="15759" max="15765" width="9.140625" style="3"/>
    <col min="15766" max="15766" width="34.42578125" style="3" bestFit="1" customWidth="1"/>
    <col min="15767" max="15773" width="9.140625" style="3"/>
    <col min="15774" max="15774" width="34.42578125" style="3" bestFit="1" customWidth="1"/>
    <col min="15775" max="15781" width="9.140625" style="3"/>
    <col min="15782" max="15782" width="34.42578125" style="3" bestFit="1" customWidth="1"/>
    <col min="15783" max="15789" width="9.140625" style="3"/>
    <col min="15790" max="15790" width="34.42578125" style="3" bestFit="1" customWidth="1"/>
    <col min="15791" max="15797" width="9.140625" style="3"/>
    <col min="15798" max="15798" width="34.42578125" style="3" bestFit="1" customWidth="1"/>
    <col min="15799" max="15805" width="9.140625" style="3"/>
    <col min="15806" max="15806" width="34.42578125" style="3" bestFit="1" customWidth="1"/>
    <col min="15807" max="15813" width="9.140625" style="3"/>
    <col min="15814" max="15814" width="34.42578125" style="3" bestFit="1" customWidth="1"/>
    <col min="15815" max="15821" width="9.140625" style="3"/>
    <col min="15822" max="15822" width="34.42578125" style="3" bestFit="1" customWidth="1"/>
    <col min="15823" max="15829" width="9.140625" style="3"/>
    <col min="15830" max="15830" width="34.42578125" style="3" bestFit="1" customWidth="1"/>
    <col min="15831" max="15837" width="9.140625" style="3"/>
    <col min="15838" max="15838" width="34.42578125" style="3" bestFit="1" customWidth="1"/>
    <col min="15839" max="15845" width="9.140625" style="3"/>
    <col min="15846" max="15846" width="34.42578125" style="3" bestFit="1" customWidth="1"/>
    <col min="15847" max="15853" width="9.140625" style="3"/>
    <col min="15854" max="15854" width="34.42578125" style="3" bestFit="1" customWidth="1"/>
    <col min="15855" max="15861" width="9.140625" style="3"/>
    <col min="15862" max="15862" width="34.42578125" style="3" bestFit="1" customWidth="1"/>
    <col min="15863" max="15869" width="9.140625" style="3"/>
    <col min="15870" max="15870" width="34.42578125" style="3" bestFit="1" customWidth="1"/>
    <col min="15871" max="15877" width="9.140625" style="3"/>
    <col min="15878" max="15878" width="34.42578125" style="3" bestFit="1" customWidth="1"/>
    <col min="15879" max="15885" width="9.140625" style="3"/>
    <col min="15886" max="15886" width="34.42578125" style="3" bestFit="1" customWidth="1"/>
    <col min="15887" max="15893" width="9.140625" style="3"/>
    <col min="15894" max="15894" width="34.42578125" style="3" bestFit="1" customWidth="1"/>
    <col min="15895" max="15901" width="9.140625" style="3"/>
    <col min="15902" max="15902" width="34.42578125" style="3" bestFit="1" customWidth="1"/>
    <col min="15903" max="15909" width="9.140625" style="3"/>
    <col min="15910" max="15910" width="34.42578125" style="3" bestFit="1" customWidth="1"/>
    <col min="15911" max="15917" width="9.140625" style="3"/>
    <col min="15918" max="15918" width="34.42578125" style="3" bestFit="1" customWidth="1"/>
    <col min="15919" max="15925" width="9.140625" style="3"/>
    <col min="15926" max="15926" width="34.42578125" style="3" bestFit="1" customWidth="1"/>
    <col min="15927" max="15933" width="9.140625" style="3"/>
    <col min="15934" max="15934" width="34.42578125" style="3" bestFit="1" customWidth="1"/>
    <col min="15935" max="15941" width="9.140625" style="3"/>
    <col min="15942" max="15942" width="34.42578125" style="3" bestFit="1" customWidth="1"/>
    <col min="15943" max="15949" width="9.140625" style="3"/>
    <col min="15950" max="15950" width="34.42578125" style="3" bestFit="1" customWidth="1"/>
    <col min="15951" max="15957" width="9.140625" style="3"/>
    <col min="15958" max="15958" width="34.42578125" style="3" bestFit="1" customWidth="1"/>
    <col min="15959" max="15965" width="9.140625" style="3"/>
    <col min="15966" max="15966" width="34.42578125" style="3" bestFit="1" customWidth="1"/>
    <col min="15967" max="15973" width="9.140625" style="3"/>
    <col min="15974" max="15974" width="34.42578125" style="3" bestFit="1" customWidth="1"/>
    <col min="15975" max="15981" width="9.140625" style="3"/>
    <col min="15982" max="15982" width="34.42578125" style="3" bestFit="1" customWidth="1"/>
    <col min="15983" max="15989" width="9.140625" style="3"/>
    <col min="15990" max="15990" width="34.42578125" style="3" bestFit="1" customWidth="1"/>
    <col min="15991" max="15997" width="9.140625" style="3"/>
    <col min="15998" max="15998" width="34.42578125" style="3" bestFit="1" customWidth="1"/>
    <col min="15999" max="16005" width="9.140625" style="3"/>
    <col min="16006" max="16006" width="34.42578125" style="3" bestFit="1" customWidth="1"/>
    <col min="16007" max="16013" width="9.140625" style="3"/>
    <col min="16014" max="16014" width="34.42578125" style="3" bestFit="1" customWidth="1"/>
    <col min="16015" max="16021" width="9.140625" style="3"/>
    <col min="16022" max="16022" width="34.42578125" style="3" bestFit="1" customWidth="1"/>
    <col min="16023" max="16029" width="9.140625" style="3"/>
    <col min="16030" max="16030" width="34.42578125" style="3" bestFit="1" customWidth="1"/>
    <col min="16031" max="16037" width="9.140625" style="3"/>
    <col min="16038" max="16038" width="34.42578125" style="3" bestFit="1" customWidth="1"/>
    <col min="16039" max="16045" width="9.140625" style="3"/>
    <col min="16046" max="16046" width="34.42578125" style="3" bestFit="1" customWidth="1"/>
    <col min="16047" max="16053" width="9.140625" style="3"/>
    <col min="16054" max="16054" width="34.42578125" style="3" bestFit="1" customWidth="1"/>
    <col min="16055" max="16061" width="9.140625" style="3"/>
    <col min="16062" max="16062" width="34.42578125" style="3" bestFit="1" customWidth="1"/>
    <col min="16063" max="16069" width="9.140625" style="3"/>
    <col min="16070" max="16070" width="34.42578125" style="3" bestFit="1" customWidth="1"/>
    <col min="16071" max="16077" width="9.140625" style="3"/>
    <col min="16078" max="16078" width="34.42578125" style="3" bestFit="1" customWidth="1"/>
    <col min="16079" max="16085" width="9.140625" style="3"/>
    <col min="16086" max="16086" width="34.42578125" style="3" bestFit="1" customWidth="1"/>
    <col min="16087" max="16093" width="9.140625" style="3"/>
    <col min="16094" max="16094" width="34.42578125" style="3" bestFit="1" customWidth="1"/>
    <col min="16095" max="16101" width="9.140625" style="3"/>
    <col min="16102" max="16102" width="34.42578125" style="3" bestFit="1" customWidth="1"/>
    <col min="16103" max="16109" width="9.140625" style="3"/>
    <col min="16110" max="16110" width="34.42578125" style="3" bestFit="1" customWidth="1"/>
    <col min="16111" max="16117" width="9.140625" style="3"/>
    <col min="16118" max="16118" width="34.42578125" style="3" bestFit="1" customWidth="1"/>
    <col min="16119" max="16125" width="9.140625" style="3"/>
    <col min="16126" max="16126" width="34.42578125" style="3" bestFit="1" customWidth="1"/>
    <col min="16127" max="16133" width="9.140625" style="3"/>
    <col min="16134" max="16134" width="34.42578125" style="3" bestFit="1" customWidth="1"/>
    <col min="16135" max="16141" width="9.140625" style="3"/>
    <col min="16142" max="16142" width="34.42578125" style="3" bestFit="1" customWidth="1"/>
    <col min="16143" max="16149" width="9.140625" style="3"/>
    <col min="16150" max="16150" width="34.42578125" style="3" bestFit="1" customWidth="1"/>
    <col min="16151" max="16157" width="9.140625" style="3"/>
    <col min="16158" max="16158" width="34.42578125" style="3" bestFit="1" customWidth="1"/>
    <col min="16159" max="16165" width="9.140625" style="3"/>
    <col min="16166" max="16166" width="34.42578125" style="3" bestFit="1" customWidth="1"/>
    <col min="16167" max="16173" width="9.140625" style="3"/>
    <col min="16174" max="16174" width="34.42578125" style="3" bestFit="1" customWidth="1"/>
    <col min="16175" max="16181" width="9.140625" style="3"/>
    <col min="16182" max="16182" width="34.42578125" style="3" bestFit="1" customWidth="1"/>
    <col min="16183" max="16189" width="9.140625" style="3"/>
    <col min="16190" max="16190" width="34.42578125" style="3" bestFit="1" customWidth="1"/>
    <col min="16191" max="16197" width="9.140625" style="3"/>
    <col min="16198" max="16198" width="34.42578125" style="3" bestFit="1" customWidth="1"/>
    <col min="16199" max="16205" width="9.140625" style="3"/>
    <col min="16206" max="16206" width="34.42578125" style="3" bestFit="1" customWidth="1"/>
    <col min="16207" max="16213" width="9.140625" style="3"/>
    <col min="16214" max="16214" width="34.42578125" style="3" bestFit="1" customWidth="1"/>
    <col min="16215" max="16221" width="9.140625" style="3"/>
    <col min="16222" max="16222" width="34.42578125" style="3" bestFit="1" customWidth="1"/>
    <col min="16223" max="16229" width="9.140625" style="3"/>
    <col min="16230" max="16230" width="34.42578125" style="3" bestFit="1" customWidth="1"/>
    <col min="16231" max="16237" width="9.140625" style="3"/>
    <col min="16238" max="16238" width="34.42578125" style="3" bestFit="1" customWidth="1"/>
    <col min="16239" max="16245" width="9.140625" style="3"/>
    <col min="16246" max="16246" width="34.42578125" style="3" bestFit="1" customWidth="1"/>
    <col min="16247" max="16253" width="9.140625" style="3"/>
    <col min="16254" max="16254" width="34.42578125" style="3" bestFit="1" customWidth="1"/>
    <col min="16255" max="16261" width="9.140625" style="3"/>
    <col min="16262" max="16262" width="34.42578125" style="3" bestFit="1" customWidth="1"/>
    <col min="16263" max="16269" width="9.140625" style="3"/>
    <col min="16270" max="16270" width="34.42578125" style="3" bestFit="1" customWidth="1"/>
    <col min="16271" max="16277" width="9.140625" style="3"/>
    <col min="16278" max="16278" width="34.42578125" style="3" bestFit="1" customWidth="1"/>
    <col min="16279" max="16285" width="9.140625" style="3"/>
    <col min="16286" max="16286" width="34.42578125" style="3" bestFit="1" customWidth="1"/>
    <col min="16287" max="16293" width="9.140625" style="3"/>
    <col min="16294" max="16294" width="34.42578125" style="3" bestFit="1" customWidth="1"/>
    <col min="16295" max="16301" width="9.140625" style="3"/>
    <col min="16302" max="16302" width="34.42578125" style="3" bestFit="1" customWidth="1"/>
    <col min="16303" max="16309" width="9.140625" style="3"/>
    <col min="16310" max="16310" width="34.42578125" style="3" bestFit="1" customWidth="1"/>
    <col min="16311" max="16317" width="9.140625" style="3"/>
    <col min="16318" max="16318" width="34.42578125" style="3" bestFit="1" customWidth="1"/>
    <col min="16319" max="16325" width="9.140625" style="3"/>
    <col min="16326" max="16326" width="34.42578125" style="3" bestFit="1" customWidth="1"/>
    <col min="16327" max="16333" width="9.140625" style="3"/>
    <col min="16334" max="16334" width="34.42578125" style="3" bestFit="1" customWidth="1"/>
    <col min="16335" max="16341" width="9.140625" style="3"/>
    <col min="16342" max="16342" width="34.42578125" style="3" bestFit="1" customWidth="1"/>
    <col min="16343" max="16349" width="9.140625" style="3"/>
    <col min="16350" max="16350" width="34.42578125" style="3" bestFit="1" customWidth="1"/>
    <col min="16351" max="16357" width="9.140625" style="3"/>
    <col min="16358" max="16358" width="34.42578125" style="3" bestFit="1" customWidth="1"/>
    <col min="16359" max="16365" width="9.140625" style="3"/>
    <col min="16366" max="16366" width="34.42578125" style="3" bestFit="1" customWidth="1"/>
    <col min="16367" max="16373" width="9.140625" style="3"/>
    <col min="16374" max="16374" width="34.42578125" style="3" bestFit="1" customWidth="1"/>
    <col min="16375" max="16384" width="9.140625" style="3"/>
  </cols>
  <sheetData>
    <row r="1" spans="1:13" ht="15.75" customHeight="1">
      <c r="A1" s="58" t="s">
        <v>213</v>
      </c>
      <c r="B1" s="59"/>
      <c r="C1" s="59"/>
      <c r="D1" s="59"/>
      <c r="E1" s="59"/>
      <c r="F1" s="59"/>
      <c r="G1" s="59"/>
      <c r="H1" s="59"/>
      <c r="I1" s="59"/>
      <c r="J1" s="44"/>
      <c r="M1" s="4"/>
    </row>
    <row r="2" spans="1:13" ht="15.75" customHeight="1">
      <c r="A2" s="58" t="s">
        <v>211</v>
      </c>
      <c r="B2" s="59"/>
      <c r="C2" s="59"/>
      <c r="D2" s="59"/>
      <c r="E2" s="59"/>
      <c r="F2" s="59"/>
      <c r="G2" s="59"/>
      <c r="H2" s="59"/>
      <c r="I2" s="59"/>
      <c r="J2" s="44"/>
    </row>
    <row r="3" spans="1:13" s="5" customFormat="1" ht="34.5" customHeight="1">
      <c r="A3" s="5" t="s">
        <v>164</v>
      </c>
      <c r="B3" s="6" t="s">
        <v>0</v>
      </c>
      <c r="C3" s="6" t="s">
        <v>1</v>
      </c>
      <c r="D3" s="5" t="s">
        <v>2</v>
      </c>
      <c r="E3" s="5" t="s">
        <v>3</v>
      </c>
      <c r="F3" s="5" t="s">
        <v>4</v>
      </c>
      <c r="G3" s="5" t="s">
        <v>168</v>
      </c>
      <c r="H3" s="5" t="s">
        <v>167</v>
      </c>
      <c r="I3" s="5" t="s">
        <v>227</v>
      </c>
      <c r="J3" s="45" t="s">
        <v>169</v>
      </c>
    </row>
    <row r="4" spans="1:13">
      <c r="B4" s="3"/>
      <c r="C4" s="7"/>
    </row>
    <row r="5" spans="1:13" ht="31.5">
      <c r="A5" s="5">
        <v>1</v>
      </c>
      <c r="B5" s="2" t="s">
        <v>220</v>
      </c>
      <c r="C5" s="11" t="s">
        <v>7</v>
      </c>
      <c r="D5" s="12" t="s">
        <v>226</v>
      </c>
      <c r="E5" s="1" t="s">
        <v>5</v>
      </c>
      <c r="F5" s="8" t="s">
        <v>8</v>
      </c>
      <c r="G5" s="5">
        <v>0</v>
      </c>
      <c r="H5" s="1">
        <v>16</v>
      </c>
      <c r="I5" s="1">
        <v>65150.85</v>
      </c>
      <c r="J5" s="46">
        <f>H5*I5</f>
        <v>1042413.6</v>
      </c>
    </row>
    <row r="6" spans="1:13" ht="31.5">
      <c r="A6" s="5">
        <v>2</v>
      </c>
      <c r="B6" s="1" t="s">
        <v>9</v>
      </c>
      <c r="C6" s="11" t="s">
        <v>10</v>
      </c>
      <c r="D6" s="12" t="s">
        <v>11</v>
      </c>
      <c r="E6" s="1" t="s">
        <v>5</v>
      </c>
      <c r="F6" s="8" t="s">
        <v>13</v>
      </c>
      <c r="G6" s="5">
        <v>0</v>
      </c>
      <c r="H6" s="1">
        <v>57</v>
      </c>
      <c r="I6" s="1">
        <v>17731.11</v>
      </c>
      <c r="J6" s="46">
        <f t="shared" ref="J6:J20" si="0">H6*I6</f>
        <v>1010673.27</v>
      </c>
    </row>
    <row r="7" spans="1:13" ht="31.5">
      <c r="A7" s="5">
        <v>3</v>
      </c>
      <c r="B7" s="1" t="s">
        <v>14</v>
      </c>
      <c r="C7" s="11" t="s">
        <v>15</v>
      </c>
      <c r="D7" s="12" t="s">
        <v>16</v>
      </c>
      <c r="E7" s="1" t="s">
        <v>5</v>
      </c>
      <c r="F7" s="8" t="s">
        <v>163</v>
      </c>
      <c r="G7" s="5">
        <v>80</v>
      </c>
      <c r="H7" s="3">
        <v>109</v>
      </c>
      <c r="I7" s="1">
        <v>75126.28</v>
      </c>
      <c r="J7" s="46">
        <f t="shared" si="0"/>
        <v>8188764.5199999996</v>
      </c>
    </row>
    <row r="8" spans="1:13" ht="31.5">
      <c r="A8" s="5">
        <v>4</v>
      </c>
      <c r="B8" s="1" t="s">
        <v>17</v>
      </c>
      <c r="C8" s="11" t="s">
        <v>18</v>
      </c>
      <c r="D8" s="13" t="s">
        <v>228</v>
      </c>
      <c r="E8" s="1" t="s">
        <v>5</v>
      </c>
      <c r="F8" s="8" t="s">
        <v>19</v>
      </c>
      <c r="G8" s="5">
        <v>164</v>
      </c>
      <c r="H8" s="1">
        <v>185</v>
      </c>
      <c r="I8" s="1">
        <v>11650.43</v>
      </c>
      <c r="J8" s="46">
        <f t="shared" si="0"/>
        <v>2155329.5500000003</v>
      </c>
    </row>
    <row r="9" spans="1:13" ht="31.5">
      <c r="A9" s="10">
        <v>5</v>
      </c>
      <c r="B9" s="1" t="s">
        <v>20</v>
      </c>
      <c r="C9" s="11" t="s">
        <v>21</v>
      </c>
      <c r="D9" s="12" t="s">
        <v>22</v>
      </c>
      <c r="E9" s="8" t="s">
        <v>162</v>
      </c>
      <c r="F9" s="8" t="s">
        <v>23</v>
      </c>
      <c r="G9" s="5">
        <v>32</v>
      </c>
      <c r="H9" s="1">
        <v>41</v>
      </c>
      <c r="I9" s="1">
        <v>18973.73</v>
      </c>
      <c r="J9" s="46">
        <f t="shared" si="0"/>
        <v>777922.92999999993</v>
      </c>
    </row>
    <row r="10" spans="1:13" ht="31.5">
      <c r="A10" s="5">
        <v>6</v>
      </c>
      <c r="B10" s="2" t="s">
        <v>6</v>
      </c>
      <c r="C10" s="11" t="s">
        <v>24</v>
      </c>
      <c r="D10" s="12" t="s">
        <v>25</v>
      </c>
      <c r="E10" s="1" t="s">
        <v>5</v>
      </c>
      <c r="F10" s="8" t="s">
        <v>236</v>
      </c>
      <c r="G10" s="5">
        <v>0</v>
      </c>
      <c r="H10" s="1">
        <v>31</v>
      </c>
      <c r="I10" s="1">
        <v>17530.09</v>
      </c>
      <c r="J10" s="46">
        <f t="shared" si="0"/>
        <v>543432.79</v>
      </c>
    </row>
    <row r="11" spans="1:13" ht="31.5">
      <c r="A11" s="5">
        <v>7</v>
      </c>
      <c r="B11" s="1" t="s">
        <v>17</v>
      </c>
      <c r="C11" s="11" t="s">
        <v>26</v>
      </c>
      <c r="D11" s="12" t="s">
        <v>27</v>
      </c>
      <c r="E11" s="1" t="s">
        <v>5</v>
      </c>
      <c r="F11" s="8" t="s">
        <v>28</v>
      </c>
      <c r="G11" s="5">
        <v>27</v>
      </c>
      <c r="H11" s="1">
        <v>193</v>
      </c>
      <c r="I11" s="3">
        <v>12363.56</v>
      </c>
      <c r="J11" s="46">
        <f t="shared" si="0"/>
        <v>2386167.08</v>
      </c>
    </row>
    <row r="12" spans="1:13" ht="31.5">
      <c r="A12" s="5">
        <v>8</v>
      </c>
      <c r="B12" s="2" t="s">
        <v>219</v>
      </c>
      <c r="C12" s="11" t="s">
        <v>29</v>
      </c>
      <c r="D12" s="12" t="s">
        <v>239</v>
      </c>
      <c r="E12" s="1" t="s">
        <v>162</v>
      </c>
      <c r="F12" s="8" t="s">
        <v>23</v>
      </c>
      <c r="G12" s="5">
        <v>0</v>
      </c>
      <c r="H12" s="1">
        <v>73</v>
      </c>
      <c r="I12" s="1">
        <v>2086.04</v>
      </c>
      <c r="J12" s="46">
        <f t="shared" si="0"/>
        <v>152280.91999999998</v>
      </c>
    </row>
    <row r="13" spans="1:13" ht="31.5">
      <c r="A13" s="5">
        <v>9</v>
      </c>
      <c r="B13" s="2" t="s">
        <v>218</v>
      </c>
      <c r="C13" s="14" t="s">
        <v>30</v>
      </c>
      <c r="D13" s="12" t="s">
        <v>31</v>
      </c>
      <c r="E13" s="8" t="s">
        <v>162</v>
      </c>
      <c r="F13" s="8" t="s">
        <v>235</v>
      </c>
      <c r="G13" s="5">
        <v>0</v>
      </c>
      <c r="H13" s="1">
        <v>4</v>
      </c>
      <c r="I13" s="1">
        <v>104605.94</v>
      </c>
      <c r="J13" s="46">
        <f t="shared" si="0"/>
        <v>418423.76</v>
      </c>
    </row>
    <row r="14" spans="1:13" ht="31.5">
      <c r="A14" s="5">
        <v>10</v>
      </c>
      <c r="B14" s="2" t="s">
        <v>229</v>
      </c>
      <c r="C14" s="8" t="s">
        <v>32</v>
      </c>
      <c r="D14" s="12" t="s">
        <v>238</v>
      </c>
      <c r="E14" s="1" t="s">
        <v>5</v>
      </c>
      <c r="F14" s="8" t="s">
        <v>33</v>
      </c>
      <c r="G14" s="5">
        <v>0</v>
      </c>
      <c r="H14" s="1">
        <v>483</v>
      </c>
      <c r="I14" s="46">
        <v>17731</v>
      </c>
      <c r="J14" s="46">
        <f t="shared" si="0"/>
        <v>8564073</v>
      </c>
    </row>
    <row r="15" spans="1:13" s="9" customFormat="1" ht="31.5">
      <c r="A15" s="6">
        <v>11</v>
      </c>
      <c r="B15" s="7" t="s">
        <v>217</v>
      </c>
      <c r="C15" s="15" t="s">
        <v>34</v>
      </c>
      <c r="D15" s="16" t="s">
        <v>131</v>
      </c>
      <c r="E15" s="17" t="s">
        <v>162</v>
      </c>
      <c r="F15" s="17" t="s">
        <v>185</v>
      </c>
      <c r="G15" s="6">
        <v>14</v>
      </c>
      <c r="H15" s="7">
        <v>18</v>
      </c>
      <c r="I15" s="7">
        <v>23053.82</v>
      </c>
      <c r="J15" s="46">
        <f t="shared" si="0"/>
        <v>414968.76</v>
      </c>
    </row>
    <row r="16" spans="1:13" ht="31.5">
      <c r="A16" s="5">
        <v>12</v>
      </c>
      <c r="B16" s="2" t="s">
        <v>216</v>
      </c>
      <c r="C16" s="14" t="s">
        <v>35</v>
      </c>
      <c r="D16" s="12" t="s">
        <v>36</v>
      </c>
      <c r="E16" s="1" t="s">
        <v>37</v>
      </c>
      <c r="F16" s="8" t="s">
        <v>38</v>
      </c>
      <c r="G16" s="5">
        <v>150</v>
      </c>
      <c r="H16" s="1">
        <v>2979</v>
      </c>
      <c r="I16" s="1">
        <v>30478.22</v>
      </c>
      <c r="J16" s="46">
        <f t="shared" si="0"/>
        <v>90794617.38000001</v>
      </c>
    </row>
    <row r="17" spans="1:11" ht="31.5">
      <c r="A17" s="5">
        <v>13</v>
      </c>
      <c r="B17" s="1" t="s">
        <v>166</v>
      </c>
      <c r="C17" s="11" t="s">
        <v>39</v>
      </c>
      <c r="D17" s="12" t="s">
        <v>40</v>
      </c>
      <c r="E17" s="8" t="s">
        <v>37</v>
      </c>
      <c r="F17" s="8" t="s">
        <v>237</v>
      </c>
      <c r="G17" s="10">
        <v>385</v>
      </c>
      <c r="H17" s="3">
        <v>920</v>
      </c>
      <c r="I17" s="1">
        <v>13633.06</v>
      </c>
      <c r="J17" s="46">
        <f t="shared" si="0"/>
        <v>12542415.199999999</v>
      </c>
      <c r="K17" s="1"/>
    </row>
    <row r="18" spans="1:11" ht="31.5">
      <c r="A18" s="5">
        <v>14</v>
      </c>
      <c r="B18" s="1" t="s">
        <v>14</v>
      </c>
      <c r="C18" s="14" t="s">
        <v>15</v>
      </c>
      <c r="D18" s="12" t="s">
        <v>16</v>
      </c>
      <c r="E18" s="8" t="s">
        <v>12</v>
      </c>
      <c r="F18" s="8" t="s">
        <v>163</v>
      </c>
      <c r="G18" s="5">
        <v>145</v>
      </c>
      <c r="H18" s="1">
        <v>44</v>
      </c>
      <c r="I18" s="1">
        <v>75126.28</v>
      </c>
      <c r="J18" s="46">
        <f t="shared" si="0"/>
        <v>3305556.32</v>
      </c>
    </row>
    <row r="19" spans="1:11" ht="31.5">
      <c r="A19" s="5">
        <v>15</v>
      </c>
      <c r="B19" s="2" t="s">
        <v>215</v>
      </c>
      <c r="C19" s="8" t="s">
        <v>214</v>
      </c>
      <c r="D19" s="12" t="s">
        <v>41</v>
      </c>
      <c r="E19" s="8" t="s">
        <v>162</v>
      </c>
      <c r="F19" s="18" t="s">
        <v>165</v>
      </c>
      <c r="G19" s="5">
        <v>16</v>
      </c>
      <c r="H19" s="1">
        <v>8</v>
      </c>
      <c r="I19" s="1">
        <v>42757.14</v>
      </c>
      <c r="J19" s="46">
        <f t="shared" si="0"/>
        <v>342057.12</v>
      </c>
    </row>
    <row r="20" spans="1:11" ht="31.5">
      <c r="A20" s="5">
        <v>16</v>
      </c>
      <c r="B20" s="19" t="s">
        <v>221</v>
      </c>
      <c r="C20" s="14" t="s">
        <v>42</v>
      </c>
      <c r="D20" s="20" t="s">
        <v>43</v>
      </c>
      <c r="E20" s="8" t="s">
        <v>162</v>
      </c>
      <c r="F20" s="21" t="s">
        <v>44</v>
      </c>
      <c r="G20" s="5">
        <v>5</v>
      </c>
      <c r="H20" s="1">
        <v>4</v>
      </c>
      <c r="I20" s="1">
        <v>69312.72</v>
      </c>
      <c r="J20" s="46">
        <f t="shared" si="0"/>
        <v>277250.88</v>
      </c>
    </row>
    <row r="21" spans="1:11" ht="25.5" customHeight="1">
      <c r="B21" s="6" t="s">
        <v>170</v>
      </c>
      <c r="J21" s="47">
        <f>SUM(J5:J20)</f>
        <v>132916347.08000001</v>
      </c>
    </row>
    <row r="22" spans="1:11">
      <c r="B22" s="7"/>
    </row>
    <row r="23" spans="1:11">
      <c r="B23" s="7"/>
    </row>
    <row r="24" spans="1:11">
      <c r="B24" s="7"/>
    </row>
  </sheetData>
  <mergeCells count="2">
    <mergeCell ref="A2:I2"/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"/>
  <sheetViews>
    <sheetView workbookViewId="0">
      <selection activeCell="D11" sqref="D11"/>
    </sheetView>
  </sheetViews>
  <sheetFormatPr defaultRowHeight="15.75"/>
  <cols>
    <col min="1" max="1" width="9" style="26" bestFit="1" customWidth="1"/>
    <col min="2" max="2" width="72" style="24" customWidth="1"/>
    <col min="3" max="3" width="21" style="22" customWidth="1"/>
    <col min="4" max="5" width="13.7109375" style="22" bestFit="1" customWidth="1"/>
    <col min="6" max="6" width="9.7109375" style="22" bestFit="1" customWidth="1"/>
    <col min="7" max="7" width="13.7109375" style="22" bestFit="1" customWidth="1"/>
    <col min="8" max="8" width="13.140625" style="26" bestFit="1" customWidth="1"/>
    <col min="9" max="9" width="15.140625" style="23" bestFit="1" customWidth="1"/>
    <col min="10" max="10" width="17.85546875" style="23" bestFit="1" customWidth="1"/>
    <col min="11" max="16384" width="9.140625" style="23"/>
  </cols>
  <sheetData>
    <row r="1" spans="1:14">
      <c r="A1" s="60" t="s">
        <v>213</v>
      </c>
      <c r="B1" s="61"/>
      <c r="C1" s="61"/>
      <c r="D1" s="61"/>
      <c r="E1" s="61"/>
      <c r="F1" s="61"/>
      <c r="G1" s="61"/>
      <c r="H1" s="61"/>
      <c r="I1" s="62"/>
    </row>
    <row r="2" spans="1:14">
      <c r="A2" s="60" t="s">
        <v>212</v>
      </c>
      <c r="B2" s="61"/>
      <c r="C2" s="61"/>
      <c r="D2" s="61"/>
      <c r="E2" s="61"/>
      <c r="F2" s="61"/>
      <c r="G2" s="61"/>
      <c r="H2" s="61"/>
      <c r="I2" s="62"/>
    </row>
    <row r="3" spans="1:14" s="32" customFormat="1" ht="31.5">
      <c r="A3" s="26" t="s">
        <v>45</v>
      </c>
      <c r="B3" s="31" t="s">
        <v>0</v>
      </c>
      <c r="C3" s="31" t="s">
        <v>1</v>
      </c>
      <c r="D3" s="26" t="s">
        <v>2</v>
      </c>
      <c r="E3" s="26" t="s">
        <v>3</v>
      </c>
      <c r="F3" s="26" t="s">
        <v>4</v>
      </c>
      <c r="G3" s="26" t="s">
        <v>168</v>
      </c>
      <c r="H3" s="26" t="s">
        <v>167</v>
      </c>
      <c r="I3" s="5" t="s">
        <v>227</v>
      </c>
      <c r="J3" s="32" t="s">
        <v>169</v>
      </c>
    </row>
    <row r="4" spans="1:14">
      <c r="B4" s="22"/>
      <c r="C4" s="24"/>
      <c r="G4" s="26"/>
      <c r="I4" s="25"/>
    </row>
    <row r="5" spans="1:14" s="9" customFormat="1" ht="31.5">
      <c r="A5" s="6">
        <v>1</v>
      </c>
      <c r="B5" s="7" t="s">
        <v>46</v>
      </c>
      <c r="C5" s="33" t="s">
        <v>47</v>
      </c>
      <c r="D5" s="7" t="s">
        <v>48</v>
      </c>
      <c r="E5" s="22" t="s">
        <v>5</v>
      </c>
      <c r="F5" s="7" t="s">
        <v>173</v>
      </c>
      <c r="G5" s="6">
        <v>20</v>
      </c>
      <c r="H5" s="6">
        <v>14</v>
      </c>
      <c r="I5" s="48">
        <v>770831.94</v>
      </c>
      <c r="J5" s="55">
        <f>H5*I5</f>
        <v>10791647.16</v>
      </c>
    </row>
    <row r="6" spans="1:14" ht="31.5">
      <c r="A6" s="26">
        <v>2</v>
      </c>
      <c r="B6" s="22" t="s">
        <v>49</v>
      </c>
      <c r="C6" s="30" t="s">
        <v>50</v>
      </c>
      <c r="D6" s="29" t="s">
        <v>51</v>
      </c>
      <c r="E6" s="22" t="s">
        <v>5</v>
      </c>
      <c r="F6" s="22" t="s">
        <v>172</v>
      </c>
      <c r="G6" s="26">
        <v>0</v>
      </c>
      <c r="H6" s="26">
        <v>1</v>
      </c>
      <c r="I6" s="49">
        <v>1912365.2</v>
      </c>
      <c r="J6" s="55">
        <f t="shared" ref="J6:J48" si="0">H6*I6</f>
        <v>1912365.2</v>
      </c>
    </row>
    <row r="7" spans="1:14" ht="31.5">
      <c r="A7" s="26">
        <v>3</v>
      </c>
      <c r="B7" s="22" t="s">
        <v>52</v>
      </c>
      <c r="C7" s="30" t="s">
        <v>53</v>
      </c>
      <c r="D7" s="29" t="s">
        <v>200</v>
      </c>
      <c r="E7" s="22" t="s">
        <v>5</v>
      </c>
      <c r="F7" s="22" t="s">
        <v>54</v>
      </c>
      <c r="G7" s="26">
        <v>0</v>
      </c>
      <c r="H7" s="26">
        <v>23</v>
      </c>
      <c r="I7" s="49">
        <v>30760</v>
      </c>
      <c r="J7" s="55">
        <f t="shared" si="0"/>
        <v>707480</v>
      </c>
    </row>
    <row r="8" spans="1:14" ht="31.5">
      <c r="A8" s="26">
        <v>4</v>
      </c>
      <c r="B8" s="22" t="s">
        <v>230</v>
      </c>
      <c r="C8" s="30" t="s">
        <v>55</v>
      </c>
      <c r="D8" s="29" t="s">
        <v>201</v>
      </c>
      <c r="E8" s="22" t="s">
        <v>5</v>
      </c>
      <c r="F8" s="22" t="s">
        <v>56</v>
      </c>
      <c r="G8" s="26">
        <v>357</v>
      </c>
      <c r="H8" s="26">
        <v>52</v>
      </c>
      <c r="I8" s="49">
        <v>51953.3</v>
      </c>
      <c r="J8" s="55">
        <f t="shared" si="0"/>
        <v>2701571.6</v>
      </c>
    </row>
    <row r="9" spans="1:14" s="3" customFormat="1" ht="31.5">
      <c r="A9" s="5">
        <v>5</v>
      </c>
      <c r="B9" s="2" t="s">
        <v>57</v>
      </c>
      <c r="C9" s="11" t="s">
        <v>58</v>
      </c>
      <c r="D9" s="12" t="s">
        <v>59</v>
      </c>
      <c r="E9" s="22" t="s">
        <v>5</v>
      </c>
      <c r="F9" s="2" t="s">
        <v>174</v>
      </c>
      <c r="G9" s="5">
        <v>693</v>
      </c>
      <c r="H9" s="5">
        <v>263</v>
      </c>
      <c r="I9" s="50">
        <v>28937.27</v>
      </c>
      <c r="J9" s="55">
        <f t="shared" si="0"/>
        <v>7610502.0099999998</v>
      </c>
    </row>
    <row r="10" spans="1:14" ht="31.5">
      <c r="A10" s="26">
        <v>6</v>
      </c>
      <c r="B10" s="22" t="s">
        <v>60</v>
      </c>
      <c r="C10" s="30" t="s">
        <v>61</v>
      </c>
      <c r="D10" s="29" t="s">
        <v>62</v>
      </c>
      <c r="E10" s="22" t="s">
        <v>5</v>
      </c>
      <c r="F10" s="22" t="s">
        <v>175</v>
      </c>
      <c r="G10" s="26">
        <v>227</v>
      </c>
      <c r="H10" s="26">
        <v>68</v>
      </c>
      <c r="I10" s="49">
        <v>91777.97</v>
      </c>
      <c r="J10" s="55">
        <f t="shared" si="0"/>
        <v>6240901.96</v>
      </c>
    </row>
    <row r="11" spans="1:14" ht="31.5">
      <c r="A11" s="26">
        <v>7</v>
      </c>
      <c r="B11" s="22" t="s">
        <v>63</v>
      </c>
      <c r="C11" s="30" t="s">
        <v>64</v>
      </c>
      <c r="D11" s="29" t="s">
        <v>65</v>
      </c>
      <c r="E11" s="22" t="s">
        <v>5</v>
      </c>
      <c r="F11" s="22" t="s">
        <v>176</v>
      </c>
      <c r="G11" s="32">
        <v>463</v>
      </c>
      <c r="H11" s="32">
        <v>139</v>
      </c>
      <c r="I11" s="49">
        <v>96196</v>
      </c>
      <c r="J11" s="55">
        <f t="shared" si="0"/>
        <v>13371244</v>
      </c>
    </row>
    <row r="12" spans="1:14" ht="31.5">
      <c r="A12" s="26">
        <v>8</v>
      </c>
      <c r="B12" s="22" t="s">
        <v>66</v>
      </c>
      <c r="C12" s="30" t="s">
        <v>67</v>
      </c>
      <c r="D12" s="29" t="s">
        <v>68</v>
      </c>
      <c r="E12" s="22" t="s">
        <v>5</v>
      </c>
      <c r="F12" s="22" t="s">
        <v>231</v>
      </c>
      <c r="G12" s="32">
        <v>0</v>
      </c>
      <c r="H12" s="26">
        <v>48</v>
      </c>
      <c r="I12" s="49">
        <v>94800</v>
      </c>
      <c r="J12" s="55">
        <f t="shared" si="0"/>
        <v>4550400</v>
      </c>
    </row>
    <row r="13" spans="1:14" ht="31.5" customHeight="1">
      <c r="A13" s="32">
        <v>9</v>
      </c>
      <c r="B13" s="22" t="s">
        <v>69</v>
      </c>
      <c r="C13" s="30" t="s">
        <v>70</v>
      </c>
      <c r="D13" s="29" t="s">
        <v>71</v>
      </c>
      <c r="E13" s="22" t="s">
        <v>5</v>
      </c>
      <c r="F13" s="22" t="s">
        <v>161</v>
      </c>
      <c r="G13" s="32">
        <v>7</v>
      </c>
      <c r="H13" s="32">
        <v>3</v>
      </c>
      <c r="I13" s="51">
        <v>917555.09</v>
      </c>
      <c r="J13" s="55">
        <f t="shared" si="0"/>
        <v>2752665.27</v>
      </c>
      <c r="K13" s="30"/>
      <c r="L13" s="29"/>
      <c r="M13" s="29"/>
      <c r="N13" s="22"/>
    </row>
    <row r="14" spans="1:14" ht="30.75" customHeight="1">
      <c r="A14" s="32">
        <v>10</v>
      </c>
      <c r="B14" s="22" t="s">
        <v>72</v>
      </c>
      <c r="C14" s="30" t="s">
        <v>73</v>
      </c>
      <c r="D14" s="29" t="s">
        <v>74</v>
      </c>
      <c r="E14" s="22" t="s">
        <v>5</v>
      </c>
      <c r="F14" s="22" t="s">
        <v>177</v>
      </c>
      <c r="G14" s="32">
        <v>12</v>
      </c>
      <c r="H14" s="32">
        <v>9</v>
      </c>
      <c r="I14" s="51">
        <v>465950</v>
      </c>
      <c r="J14" s="55">
        <f t="shared" si="0"/>
        <v>4193550</v>
      </c>
      <c r="K14" s="30"/>
      <c r="L14" s="29"/>
      <c r="M14" s="29"/>
      <c r="N14" s="22"/>
    </row>
    <row r="15" spans="1:14" ht="31.5">
      <c r="A15" s="32">
        <v>11</v>
      </c>
      <c r="B15" s="22" t="s">
        <v>75</v>
      </c>
      <c r="C15" s="30" t="s">
        <v>76</v>
      </c>
      <c r="D15" s="29" t="s">
        <v>77</v>
      </c>
      <c r="E15" s="22" t="s">
        <v>5</v>
      </c>
      <c r="F15" s="22" t="s">
        <v>178</v>
      </c>
      <c r="G15" s="32">
        <v>24</v>
      </c>
      <c r="H15" s="32">
        <v>18</v>
      </c>
      <c r="I15" s="52">
        <v>151501</v>
      </c>
      <c r="J15" s="55">
        <f t="shared" si="0"/>
        <v>2727018</v>
      </c>
    </row>
    <row r="16" spans="1:14" ht="31.5">
      <c r="A16" s="32">
        <v>12</v>
      </c>
      <c r="B16" s="22" t="s">
        <v>78</v>
      </c>
      <c r="C16" s="30" t="s">
        <v>79</v>
      </c>
      <c r="D16" s="29" t="s">
        <v>80</v>
      </c>
      <c r="E16" s="22" t="s">
        <v>5</v>
      </c>
      <c r="F16" s="22" t="s">
        <v>179</v>
      </c>
      <c r="G16" s="32">
        <v>16</v>
      </c>
      <c r="H16" s="26">
        <v>30</v>
      </c>
      <c r="I16" s="49">
        <v>239105.94</v>
      </c>
      <c r="J16" s="55">
        <f t="shared" si="0"/>
        <v>7173178.2000000002</v>
      </c>
    </row>
    <row r="17" spans="1:10" ht="31.5">
      <c r="A17" s="32">
        <v>13</v>
      </c>
      <c r="B17" s="22" t="s">
        <v>81</v>
      </c>
      <c r="C17" s="30" t="s">
        <v>82</v>
      </c>
      <c r="D17" s="29" t="s">
        <v>202</v>
      </c>
      <c r="E17" s="22" t="s">
        <v>5</v>
      </c>
      <c r="F17" s="22" t="s">
        <v>83</v>
      </c>
      <c r="G17" s="32">
        <v>0</v>
      </c>
      <c r="H17" s="26">
        <v>26</v>
      </c>
      <c r="I17" s="49">
        <v>127893.21</v>
      </c>
      <c r="J17" s="55">
        <f t="shared" si="0"/>
        <v>3325223.46</v>
      </c>
    </row>
    <row r="18" spans="1:10" ht="31.5">
      <c r="A18" s="26">
        <v>14</v>
      </c>
      <c r="B18" s="22" t="s">
        <v>84</v>
      </c>
      <c r="C18" s="30" t="s">
        <v>85</v>
      </c>
      <c r="D18" s="29" t="s">
        <v>86</v>
      </c>
      <c r="E18" s="22" t="s">
        <v>5</v>
      </c>
      <c r="F18" s="22" t="s">
        <v>180</v>
      </c>
      <c r="G18" s="26">
        <v>20</v>
      </c>
      <c r="H18" s="26">
        <v>24</v>
      </c>
      <c r="I18" s="49">
        <v>356427</v>
      </c>
      <c r="J18" s="55">
        <f t="shared" si="0"/>
        <v>8554248</v>
      </c>
    </row>
    <row r="19" spans="1:10" ht="31.5">
      <c r="A19" s="32">
        <v>15</v>
      </c>
      <c r="B19" s="22" t="s">
        <v>87</v>
      </c>
      <c r="C19" s="30" t="s">
        <v>88</v>
      </c>
      <c r="D19" s="29" t="s">
        <v>89</v>
      </c>
      <c r="E19" s="22" t="s">
        <v>5</v>
      </c>
      <c r="F19" s="22" t="s">
        <v>181</v>
      </c>
      <c r="G19" s="32">
        <v>10</v>
      </c>
      <c r="H19" s="32">
        <v>3</v>
      </c>
      <c r="I19" s="49">
        <v>2085792.03</v>
      </c>
      <c r="J19" s="55">
        <f t="shared" si="0"/>
        <v>6257376.0899999999</v>
      </c>
    </row>
    <row r="20" spans="1:10" ht="47.25">
      <c r="A20" s="26">
        <v>16</v>
      </c>
      <c r="B20" s="22" t="s">
        <v>90</v>
      </c>
      <c r="C20" s="30" t="s">
        <v>91</v>
      </c>
      <c r="D20" s="29" t="s">
        <v>92</v>
      </c>
      <c r="E20" s="22" t="s">
        <v>5</v>
      </c>
      <c r="F20" s="22" t="s">
        <v>182</v>
      </c>
      <c r="G20" s="26">
        <v>56</v>
      </c>
      <c r="H20" s="26">
        <v>7</v>
      </c>
      <c r="I20" s="49">
        <v>603698.31000000006</v>
      </c>
      <c r="J20" s="55">
        <f t="shared" si="0"/>
        <v>4225888.17</v>
      </c>
    </row>
    <row r="21" spans="1:10" ht="47.25">
      <c r="A21" s="26">
        <v>17</v>
      </c>
      <c r="B21" s="22" t="s">
        <v>93</v>
      </c>
      <c r="C21" s="30" t="s">
        <v>94</v>
      </c>
      <c r="D21" s="29" t="s">
        <v>95</v>
      </c>
      <c r="E21" s="22" t="s">
        <v>5</v>
      </c>
      <c r="F21" s="22" t="s">
        <v>183</v>
      </c>
      <c r="G21" s="26">
        <v>8</v>
      </c>
      <c r="H21" s="26">
        <v>44</v>
      </c>
      <c r="I21" s="49">
        <v>227772.89</v>
      </c>
      <c r="J21" s="55">
        <f t="shared" si="0"/>
        <v>10022007.16</v>
      </c>
    </row>
    <row r="22" spans="1:10" ht="31.5">
      <c r="A22" s="26">
        <v>18</v>
      </c>
      <c r="B22" s="22" t="s">
        <v>96</v>
      </c>
      <c r="C22" s="30" t="s">
        <v>97</v>
      </c>
      <c r="D22" s="29" t="s">
        <v>95</v>
      </c>
      <c r="E22" s="22" t="s">
        <v>5</v>
      </c>
      <c r="F22" s="22" t="s">
        <v>184</v>
      </c>
      <c r="G22" s="26">
        <v>27</v>
      </c>
      <c r="H22" s="26">
        <v>113</v>
      </c>
      <c r="I22" s="49">
        <v>220326.28</v>
      </c>
      <c r="J22" s="55">
        <f t="shared" si="0"/>
        <v>24896869.640000001</v>
      </c>
    </row>
    <row r="23" spans="1:10" ht="31.5">
      <c r="A23" s="26">
        <v>19</v>
      </c>
      <c r="B23" s="22" t="s">
        <v>98</v>
      </c>
      <c r="C23" s="30" t="s">
        <v>99</v>
      </c>
      <c r="D23" s="29" t="s">
        <v>203</v>
      </c>
      <c r="E23" s="22" t="s">
        <v>5</v>
      </c>
      <c r="F23" s="22" t="s">
        <v>185</v>
      </c>
      <c r="G23" s="26">
        <v>9</v>
      </c>
      <c r="H23" s="26">
        <v>23</v>
      </c>
      <c r="I23" s="49">
        <v>260335.6</v>
      </c>
      <c r="J23" s="55">
        <f t="shared" si="0"/>
        <v>5987718.7999999998</v>
      </c>
    </row>
    <row r="24" spans="1:10" ht="31.5">
      <c r="A24" s="26">
        <v>20</v>
      </c>
      <c r="B24" s="22" t="s">
        <v>100</v>
      </c>
      <c r="C24" s="30" t="s">
        <v>101</v>
      </c>
      <c r="D24" s="29" t="s">
        <v>204</v>
      </c>
      <c r="E24" s="22" t="s">
        <v>5</v>
      </c>
      <c r="F24" s="22" t="s">
        <v>187</v>
      </c>
      <c r="G24" s="26">
        <v>0</v>
      </c>
      <c r="H24" s="26">
        <v>9</v>
      </c>
      <c r="I24" s="49">
        <v>2137206.06</v>
      </c>
      <c r="J24" s="55">
        <f t="shared" si="0"/>
        <v>19234854.539999999</v>
      </c>
    </row>
    <row r="25" spans="1:10" ht="31.5">
      <c r="A25" s="26">
        <v>21</v>
      </c>
      <c r="B25" s="22" t="s">
        <v>102</v>
      </c>
      <c r="C25" s="34" t="s">
        <v>103</v>
      </c>
      <c r="D25" s="29" t="s">
        <v>104</v>
      </c>
      <c r="E25" s="22" t="s">
        <v>5</v>
      </c>
      <c r="F25" s="35" t="s">
        <v>186</v>
      </c>
      <c r="G25" s="32">
        <v>0</v>
      </c>
      <c r="H25" s="26">
        <v>159</v>
      </c>
      <c r="I25" s="52">
        <v>14500.85</v>
      </c>
      <c r="J25" s="55">
        <f t="shared" si="0"/>
        <v>2305635.15</v>
      </c>
    </row>
    <row r="26" spans="1:10" ht="31.5">
      <c r="A26" s="32">
        <v>22</v>
      </c>
      <c r="B26" s="22" t="s">
        <v>105</v>
      </c>
      <c r="C26" s="35" t="s">
        <v>106</v>
      </c>
      <c r="D26" s="29" t="s">
        <v>107</v>
      </c>
      <c r="E26" s="35" t="s">
        <v>162</v>
      </c>
      <c r="F26" s="35" t="s">
        <v>188</v>
      </c>
      <c r="G26" s="32">
        <v>10</v>
      </c>
      <c r="H26" s="26">
        <v>20</v>
      </c>
      <c r="I26" s="52">
        <v>1114848.31</v>
      </c>
      <c r="J26" s="55">
        <f t="shared" si="0"/>
        <v>22296966.200000003</v>
      </c>
    </row>
    <row r="27" spans="1:10" ht="31.5">
      <c r="A27" s="32">
        <v>23</v>
      </c>
      <c r="B27" s="22" t="s">
        <v>108</v>
      </c>
      <c r="C27" s="34" t="s">
        <v>109</v>
      </c>
      <c r="D27" s="29" t="s">
        <v>110</v>
      </c>
      <c r="E27" s="22" t="s">
        <v>5</v>
      </c>
      <c r="F27" s="35" t="s">
        <v>111</v>
      </c>
      <c r="G27" s="32">
        <v>0</v>
      </c>
      <c r="H27" s="32">
        <v>24</v>
      </c>
      <c r="I27" s="52">
        <v>194838.2</v>
      </c>
      <c r="J27" s="55">
        <f t="shared" si="0"/>
        <v>4676116.8000000007</v>
      </c>
    </row>
    <row r="28" spans="1:10" ht="31.5">
      <c r="A28" s="32">
        <v>24</v>
      </c>
      <c r="B28" s="22" t="s">
        <v>232</v>
      </c>
      <c r="C28" s="34" t="s">
        <v>112</v>
      </c>
      <c r="D28" s="29" t="s">
        <v>110</v>
      </c>
      <c r="E28" s="22" t="s">
        <v>5</v>
      </c>
      <c r="F28" s="29" t="s">
        <v>113</v>
      </c>
      <c r="G28" s="32">
        <v>0</v>
      </c>
      <c r="H28" s="32">
        <v>5</v>
      </c>
      <c r="I28" s="52">
        <v>1874321.2</v>
      </c>
      <c r="J28" s="55">
        <f t="shared" si="0"/>
        <v>9371606</v>
      </c>
    </row>
    <row r="29" spans="1:10" ht="31.5">
      <c r="A29" s="26">
        <v>25</v>
      </c>
      <c r="B29" s="22" t="s">
        <v>114</v>
      </c>
      <c r="C29" s="34" t="s">
        <v>115</v>
      </c>
      <c r="D29" s="29" t="s">
        <v>116</v>
      </c>
      <c r="E29" s="22" t="s">
        <v>5</v>
      </c>
      <c r="F29" s="35" t="s">
        <v>117</v>
      </c>
      <c r="G29" s="26">
        <v>40</v>
      </c>
      <c r="H29" s="26">
        <v>18</v>
      </c>
      <c r="I29" s="49">
        <v>122900</v>
      </c>
      <c r="J29" s="55">
        <f t="shared" si="0"/>
        <v>2212200</v>
      </c>
    </row>
    <row r="30" spans="1:10" ht="31.5">
      <c r="A30" s="26">
        <v>26</v>
      </c>
      <c r="B30" s="22" t="s">
        <v>118</v>
      </c>
      <c r="C30" s="34" t="s">
        <v>119</v>
      </c>
      <c r="D30" s="29" t="s">
        <v>120</v>
      </c>
      <c r="E30" s="22" t="s">
        <v>5</v>
      </c>
      <c r="F30" s="35" t="s">
        <v>189</v>
      </c>
      <c r="G30" s="32">
        <v>0</v>
      </c>
      <c r="H30" s="26">
        <v>38</v>
      </c>
      <c r="I30" s="49">
        <v>41261.019999999997</v>
      </c>
      <c r="J30" s="55">
        <f t="shared" si="0"/>
        <v>1567918.7599999998</v>
      </c>
    </row>
    <row r="31" spans="1:10" ht="31.5">
      <c r="A31" s="26">
        <v>27</v>
      </c>
      <c r="B31" s="22" t="s">
        <v>121</v>
      </c>
      <c r="C31" s="34" t="s">
        <v>122</v>
      </c>
      <c r="D31" s="29" t="s">
        <v>233</v>
      </c>
      <c r="E31" s="22" t="s">
        <v>5</v>
      </c>
      <c r="F31" s="35" t="s">
        <v>188</v>
      </c>
      <c r="G31" s="26">
        <v>0</v>
      </c>
      <c r="H31" s="26">
        <v>30</v>
      </c>
      <c r="I31" s="49">
        <v>123290.7</v>
      </c>
      <c r="J31" s="55">
        <f t="shared" si="0"/>
        <v>3698721</v>
      </c>
    </row>
    <row r="32" spans="1:10" s="36" customFormat="1" ht="31.5">
      <c r="A32" s="32">
        <v>28</v>
      </c>
      <c r="B32" s="22" t="s">
        <v>123</v>
      </c>
      <c r="C32" s="34" t="s">
        <v>124</v>
      </c>
      <c r="D32" s="29" t="s">
        <v>125</v>
      </c>
      <c r="E32" s="22" t="s">
        <v>5</v>
      </c>
      <c r="F32" s="26" t="s">
        <v>190</v>
      </c>
      <c r="G32" s="32">
        <v>16</v>
      </c>
      <c r="H32" s="26">
        <v>53</v>
      </c>
      <c r="I32" s="52">
        <v>999983.9</v>
      </c>
      <c r="J32" s="55">
        <f t="shared" si="0"/>
        <v>52999146.700000003</v>
      </c>
    </row>
    <row r="33" spans="1:10" ht="31.5">
      <c r="A33" s="26">
        <v>29</v>
      </c>
      <c r="B33" s="22" t="s">
        <v>118</v>
      </c>
      <c r="C33" s="34" t="s">
        <v>126</v>
      </c>
      <c r="D33" s="29" t="s">
        <v>205</v>
      </c>
      <c r="E33" s="22" t="s">
        <v>5</v>
      </c>
      <c r="F33" s="35" t="s">
        <v>127</v>
      </c>
      <c r="G33" s="26">
        <v>0</v>
      </c>
      <c r="H33" s="26">
        <v>27</v>
      </c>
      <c r="I33" s="52">
        <v>42979.67</v>
      </c>
      <c r="J33" s="55">
        <f t="shared" si="0"/>
        <v>1160451.0899999999</v>
      </c>
    </row>
    <row r="34" spans="1:10" ht="31.5">
      <c r="A34" s="26">
        <v>30</v>
      </c>
      <c r="B34" s="22" t="s">
        <v>128</v>
      </c>
      <c r="C34" s="34" t="s">
        <v>129</v>
      </c>
      <c r="D34" s="29" t="s">
        <v>206</v>
      </c>
      <c r="E34" s="22" t="s">
        <v>5</v>
      </c>
      <c r="F34" s="37" t="s">
        <v>191</v>
      </c>
      <c r="G34" s="26">
        <v>16</v>
      </c>
      <c r="H34" s="26">
        <v>36</v>
      </c>
      <c r="I34" s="49">
        <v>1842288.14</v>
      </c>
      <c r="J34" s="55">
        <f t="shared" si="0"/>
        <v>66322373.039999999</v>
      </c>
    </row>
    <row r="35" spans="1:10" ht="31.5">
      <c r="A35" s="26">
        <v>31</v>
      </c>
      <c r="B35" s="24" t="s">
        <v>130</v>
      </c>
      <c r="C35" s="22" t="s">
        <v>196</v>
      </c>
      <c r="D35" s="22" t="s">
        <v>131</v>
      </c>
      <c r="E35" s="22" t="s">
        <v>5</v>
      </c>
      <c r="F35" s="22" t="s">
        <v>132</v>
      </c>
      <c r="G35" s="26">
        <v>0</v>
      </c>
      <c r="H35" s="26">
        <v>19</v>
      </c>
      <c r="I35" s="49">
        <v>212750</v>
      </c>
      <c r="J35" s="55">
        <f t="shared" si="0"/>
        <v>4042250</v>
      </c>
    </row>
    <row r="36" spans="1:10" ht="31.5">
      <c r="A36" s="26">
        <v>32</v>
      </c>
      <c r="B36" s="24" t="s">
        <v>133</v>
      </c>
      <c r="C36" s="22" t="s">
        <v>197</v>
      </c>
      <c r="D36" s="22" t="s">
        <v>131</v>
      </c>
      <c r="E36" s="22" t="s">
        <v>5</v>
      </c>
      <c r="F36" s="22" t="s">
        <v>134</v>
      </c>
      <c r="G36" s="26">
        <v>0</v>
      </c>
      <c r="H36" s="26">
        <v>131</v>
      </c>
      <c r="I36" s="49">
        <v>93953.39</v>
      </c>
      <c r="J36" s="55">
        <f t="shared" si="0"/>
        <v>12307894.09</v>
      </c>
    </row>
    <row r="37" spans="1:10" ht="31.5">
      <c r="A37" s="26">
        <v>33</v>
      </c>
      <c r="B37" s="24" t="s">
        <v>135</v>
      </c>
      <c r="C37" s="22" t="s">
        <v>198</v>
      </c>
      <c r="D37" s="22" t="s">
        <v>131</v>
      </c>
      <c r="E37" s="22" t="s">
        <v>5</v>
      </c>
      <c r="F37" s="22" t="s">
        <v>136</v>
      </c>
      <c r="G37" s="26">
        <v>25</v>
      </c>
      <c r="H37" s="26">
        <v>40</v>
      </c>
      <c r="I37" s="49">
        <v>18943.7</v>
      </c>
      <c r="J37" s="55">
        <f t="shared" si="0"/>
        <v>757748</v>
      </c>
    </row>
    <row r="38" spans="1:10" ht="31.5">
      <c r="A38" s="26">
        <v>34</v>
      </c>
      <c r="B38" s="24" t="s">
        <v>137</v>
      </c>
      <c r="C38" s="22" t="s">
        <v>199</v>
      </c>
      <c r="D38" s="22" t="s">
        <v>138</v>
      </c>
      <c r="E38" s="22" t="s">
        <v>5</v>
      </c>
      <c r="F38" s="22" t="s">
        <v>139</v>
      </c>
      <c r="G38" s="26">
        <v>25</v>
      </c>
      <c r="H38" s="26">
        <v>62</v>
      </c>
      <c r="I38" s="49">
        <v>113548</v>
      </c>
      <c r="J38" s="55">
        <f t="shared" si="0"/>
        <v>7039976</v>
      </c>
    </row>
    <row r="39" spans="1:10" ht="31.5">
      <c r="A39" s="26">
        <v>35</v>
      </c>
      <c r="B39" s="24" t="s">
        <v>140</v>
      </c>
      <c r="C39" s="22" t="s">
        <v>141</v>
      </c>
      <c r="D39" s="22" t="s">
        <v>138</v>
      </c>
      <c r="E39" s="22" t="s">
        <v>5</v>
      </c>
      <c r="F39" s="22" t="s">
        <v>142</v>
      </c>
      <c r="G39" s="26">
        <v>0</v>
      </c>
      <c r="H39" s="26">
        <v>55</v>
      </c>
      <c r="I39" s="49">
        <v>151207.63</v>
      </c>
      <c r="J39" s="55">
        <f t="shared" si="0"/>
        <v>8316419.6500000004</v>
      </c>
    </row>
    <row r="40" spans="1:10" ht="31.5">
      <c r="A40" s="26">
        <v>36</v>
      </c>
      <c r="B40" s="22" t="s">
        <v>143</v>
      </c>
      <c r="C40" s="34" t="s">
        <v>144</v>
      </c>
      <c r="D40" s="29" t="s">
        <v>207</v>
      </c>
      <c r="E40" s="22" t="s">
        <v>5</v>
      </c>
      <c r="F40" s="35" t="s">
        <v>192</v>
      </c>
      <c r="G40" s="26">
        <v>9</v>
      </c>
      <c r="H40" s="26">
        <v>5</v>
      </c>
      <c r="I40" s="49">
        <v>1376012.5</v>
      </c>
      <c r="J40" s="55">
        <f t="shared" si="0"/>
        <v>6880062.5</v>
      </c>
    </row>
    <row r="41" spans="1:10" ht="47.25">
      <c r="A41" s="26">
        <v>37</v>
      </c>
      <c r="B41" s="22" t="s">
        <v>145</v>
      </c>
      <c r="C41" s="34" t="s">
        <v>146</v>
      </c>
      <c r="D41" s="29" t="s">
        <v>208</v>
      </c>
      <c r="E41" s="22" t="s">
        <v>5</v>
      </c>
      <c r="F41" s="29" t="s">
        <v>147</v>
      </c>
      <c r="G41" s="26">
        <v>0</v>
      </c>
      <c r="H41" s="26">
        <v>37</v>
      </c>
      <c r="I41" s="49">
        <v>219631.35999999999</v>
      </c>
      <c r="J41" s="55">
        <f t="shared" si="0"/>
        <v>8126360.3199999994</v>
      </c>
    </row>
    <row r="42" spans="1:10" ht="31.5">
      <c r="A42" s="26">
        <v>38</v>
      </c>
      <c r="B42" s="22" t="s">
        <v>225</v>
      </c>
      <c r="C42" s="34" t="s">
        <v>148</v>
      </c>
      <c r="D42" s="29" t="s">
        <v>209</v>
      </c>
      <c r="E42" s="22" t="s">
        <v>5</v>
      </c>
      <c r="F42" s="35" t="s">
        <v>193</v>
      </c>
      <c r="G42" s="32">
        <v>1</v>
      </c>
      <c r="H42" s="32">
        <v>14</v>
      </c>
      <c r="I42" s="49">
        <v>128518.65</v>
      </c>
      <c r="J42" s="55">
        <f t="shared" si="0"/>
        <v>1799261.0999999999</v>
      </c>
    </row>
    <row r="43" spans="1:10" ht="31.5">
      <c r="A43" s="26">
        <v>39</v>
      </c>
      <c r="B43" s="27" t="s">
        <v>224</v>
      </c>
      <c r="C43" s="14" t="s">
        <v>149</v>
      </c>
      <c r="D43" s="38" t="s">
        <v>150</v>
      </c>
      <c r="E43" s="22" t="s">
        <v>5</v>
      </c>
      <c r="F43" s="40" t="s">
        <v>151</v>
      </c>
      <c r="G43" s="26">
        <v>0</v>
      </c>
      <c r="H43" s="26">
        <v>6</v>
      </c>
      <c r="I43" s="49">
        <v>517639.84</v>
      </c>
      <c r="J43" s="55">
        <f t="shared" si="0"/>
        <v>3105839.04</v>
      </c>
    </row>
    <row r="44" spans="1:10" ht="31.5">
      <c r="A44" s="43">
        <v>40</v>
      </c>
      <c r="B44" s="27" t="s">
        <v>223</v>
      </c>
      <c r="C44" s="14" t="s">
        <v>234</v>
      </c>
      <c r="D44" s="38" t="s">
        <v>152</v>
      </c>
      <c r="E44" s="39" t="s">
        <v>171</v>
      </c>
      <c r="F44" s="40" t="s">
        <v>195</v>
      </c>
      <c r="G44" s="39">
        <v>5</v>
      </c>
      <c r="H44" s="39">
        <v>4</v>
      </c>
      <c r="I44" s="54">
        <v>485000</v>
      </c>
      <c r="J44" s="55">
        <f t="shared" si="0"/>
        <v>1940000</v>
      </c>
    </row>
    <row r="45" spans="1:10" ht="31.5">
      <c r="A45" s="43">
        <v>41</v>
      </c>
      <c r="B45" s="27" t="s">
        <v>105</v>
      </c>
      <c r="C45" s="14" t="s">
        <v>153</v>
      </c>
      <c r="D45" s="38" t="s">
        <v>152</v>
      </c>
      <c r="E45" s="39" t="s">
        <v>171</v>
      </c>
      <c r="F45" s="40" t="s">
        <v>154</v>
      </c>
      <c r="G45" s="39">
        <v>0</v>
      </c>
      <c r="H45" s="39">
        <v>4</v>
      </c>
      <c r="I45" s="53">
        <v>1086059.33</v>
      </c>
      <c r="J45" s="55">
        <f t="shared" si="0"/>
        <v>4344237.32</v>
      </c>
    </row>
    <row r="46" spans="1:10" ht="31.5">
      <c r="A46" s="39">
        <v>42</v>
      </c>
      <c r="B46" s="27" t="s">
        <v>222</v>
      </c>
      <c r="C46" s="14" t="s">
        <v>155</v>
      </c>
      <c r="D46" s="38" t="s">
        <v>156</v>
      </c>
      <c r="E46" s="39" t="s">
        <v>171</v>
      </c>
      <c r="F46" s="40" t="s">
        <v>8</v>
      </c>
      <c r="G46" s="26">
        <v>0</v>
      </c>
      <c r="H46" s="39">
        <v>16</v>
      </c>
      <c r="I46" s="49">
        <v>124658.48</v>
      </c>
      <c r="J46" s="55">
        <f t="shared" si="0"/>
        <v>1994535.68</v>
      </c>
    </row>
    <row r="47" spans="1:10" ht="31.5">
      <c r="A47" s="26">
        <v>43</v>
      </c>
      <c r="B47" s="27" t="s">
        <v>240</v>
      </c>
      <c r="C47" s="8" t="s">
        <v>157</v>
      </c>
      <c r="D47" s="38" t="s">
        <v>210</v>
      </c>
      <c r="E47" s="39" t="s">
        <v>171</v>
      </c>
      <c r="F47" s="40" t="s">
        <v>194</v>
      </c>
      <c r="G47" s="26">
        <v>0</v>
      </c>
      <c r="H47" s="26">
        <v>24</v>
      </c>
      <c r="I47" s="49">
        <v>128162</v>
      </c>
      <c r="J47" s="55">
        <f t="shared" si="0"/>
        <v>3075888</v>
      </c>
    </row>
    <row r="48" spans="1:10" ht="31.5">
      <c r="A48" s="26">
        <v>44</v>
      </c>
      <c r="B48" s="28" t="s">
        <v>158</v>
      </c>
      <c r="C48" s="14" t="s">
        <v>159</v>
      </c>
      <c r="D48" s="41" t="s">
        <v>160</v>
      </c>
      <c r="E48" s="39" t="s">
        <v>171</v>
      </c>
      <c r="F48" s="42" t="s">
        <v>161</v>
      </c>
      <c r="G48" s="26">
        <v>0</v>
      </c>
      <c r="H48" s="26">
        <v>10</v>
      </c>
      <c r="I48" s="49">
        <v>330279.67</v>
      </c>
      <c r="J48" s="55">
        <f t="shared" si="0"/>
        <v>3302796.6999999997</v>
      </c>
    </row>
    <row r="49" spans="2:10">
      <c r="B49" s="57" t="s">
        <v>170</v>
      </c>
      <c r="G49" s="26"/>
      <c r="I49" s="49"/>
      <c r="J49" s="56">
        <f>SUM(J5:J48)</f>
        <v>380881112.39999998</v>
      </c>
    </row>
    <row r="50" spans="2:10">
      <c r="G50" s="26"/>
    </row>
    <row r="51" spans="2:10">
      <c r="G51" s="26"/>
    </row>
    <row r="52" spans="2:10">
      <c r="G52" s="26"/>
    </row>
    <row r="53" spans="2:10">
      <c r="G53" s="26"/>
    </row>
    <row r="54" spans="2:10">
      <c r="G54" s="26"/>
    </row>
    <row r="55" spans="2:10">
      <c r="G55" s="26"/>
    </row>
    <row r="56" spans="2:10">
      <c r="G56" s="26"/>
    </row>
    <row r="57" spans="2:10">
      <c r="G57" s="26"/>
    </row>
    <row r="58" spans="2:10">
      <c r="G58" s="26"/>
    </row>
    <row r="59" spans="2:10">
      <c r="G59" s="26"/>
    </row>
    <row r="60" spans="2:10">
      <c r="G60" s="26"/>
    </row>
    <row r="61" spans="2:10">
      <c r="G61" s="26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Furnishing</vt:lpstr>
      <vt:lpstr>Shell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2023-08-23T11:52:56Z</dcterms:modified>
</cp:coreProperties>
</file>