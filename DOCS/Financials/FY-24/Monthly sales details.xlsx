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948515AD-A6E3-4EF2-9821-C73B724955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urnover" sheetId="1" r:id="rId1"/>
  </sheets>
  <calcPr calcId="181029"/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E17" i="1"/>
  <c r="E6" i="1"/>
  <c r="E7" i="1"/>
  <c r="E8" i="1"/>
  <c r="E9" i="1"/>
  <c r="E10" i="1"/>
  <c r="E11" i="1"/>
  <c r="E12" i="1"/>
  <c r="E13" i="1"/>
  <c r="E14" i="1"/>
  <c r="E15" i="1"/>
  <c r="E16" i="1"/>
  <c r="E5" i="1"/>
  <c r="D17" i="1"/>
  <c r="I9" i="1"/>
  <c r="G6" i="1"/>
  <c r="G7" i="1" s="1"/>
  <c r="G8" i="1" s="1"/>
  <c r="B9" i="1" s="1"/>
  <c r="B10" i="1" s="1"/>
  <c r="B11" i="1" s="1"/>
  <c r="B12" i="1" s="1"/>
  <c r="B13" i="1" s="1"/>
  <c r="B14" i="1" s="1"/>
  <c r="B15" i="1" s="1"/>
  <c r="B16" i="1" s="1"/>
  <c r="B7" i="1"/>
  <c r="B8" i="1" s="1"/>
  <c r="B6" i="1"/>
</calcChain>
</file>

<file path=xl/sharedStrings.xml><?xml version="1.0" encoding="utf-8"?>
<sst xmlns="http://schemas.openxmlformats.org/spreadsheetml/2006/main" count="25" uniqueCount="22">
  <si>
    <t>Month</t>
  </si>
  <si>
    <t>Amount</t>
  </si>
  <si>
    <t>Apr'23</t>
  </si>
  <si>
    <t>May'23</t>
  </si>
  <si>
    <t>June'23</t>
  </si>
  <si>
    <t>July'23</t>
  </si>
  <si>
    <t>Total</t>
  </si>
  <si>
    <t>S. No.</t>
  </si>
  <si>
    <t>Turnover from April'23 to Mar'24</t>
  </si>
  <si>
    <t>Turnover from April'24 to July'24</t>
  </si>
  <si>
    <t>Aug'23</t>
  </si>
  <si>
    <t>Sept'23</t>
  </si>
  <si>
    <t>Oct'23</t>
  </si>
  <si>
    <t>Nov'23</t>
  </si>
  <si>
    <t>Dec'23</t>
  </si>
  <si>
    <t>Jan'24</t>
  </si>
  <si>
    <t>Feb'24</t>
  </si>
  <si>
    <t>Mar'24</t>
  </si>
  <si>
    <t>Apr'24</t>
  </si>
  <si>
    <t>May'24</t>
  </si>
  <si>
    <t>June'24</t>
  </si>
  <si>
    <t>July'24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</si>
</sst>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.0_ ;_ * \-#,##0.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9" fontId="2" fillId="0" borderId="1" xfId="0" applyNumberFormat="1" applyFont="1" applyBorder="1" applyAlignment="1">
      <alignment vertical="center"/>
    </xf>
    <xf numFmtId="37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43" fontId="1" fillId="0" borderId="0" xfId="1" applyFont="1" applyAlignment="1">
      <alignment vertical="center"/>
    </xf>
    <xf numFmtId="165" fontId="1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7"/>
  <sheetViews>
    <sheetView tabSelected="1" workbookViewId="0">
      <selection activeCell="E5" sqref="E5:E17"/>
    </sheetView>
  </sheetViews>
  <sheetFormatPr defaultRowHeight="20.100000000000001" customHeight="1" x14ac:dyDescent="0.25"/>
  <cols>
    <col min="1" max="2" width="9.140625" style="1"/>
    <col min="3" max="3" width="16.140625" style="1" customWidth="1"/>
    <col min="4" max="4" width="24.5703125" style="1" customWidth="1"/>
    <col min="5" max="7" width="9.140625" style="1"/>
    <col min="8" max="8" width="12.140625" style="1" customWidth="1"/>
    <col min="9" max="9" width="20.28515625" style="1" customWidth="1"/>
    <col min="10" max="16384" width="9.140625" style="1"/>
  </cols>
  <sheetData>
    <row r="3" spans="2:10" ht="20.100000000000001" customHeight="1" x14ac:dyDescent="0.25">
      <c r="B3" s="9" t="s">
        <v>8</v>
      </c>
      <c r="C3" s="9"/>
      <c r="D3" s="9"/>
      <c r="G3" s="9" t="s">
        <v>9</v>
      </c>
      <c r="H3" s="9"/>
      <c r="I3" s="9"/>
    </row>
    <row r="4" spans="2:10" s="2" customFormat="1" ht="20.100000000000001" customHeight="1" x14ac:dyDescent="0.25">
      <c r="B4" s="3" t="s">
        <v>7</v>
      </c>
      <c r="C4" s="3" t="s">
        <v>0</v>
      </c>
      <c r="D4" s="3" t="s">
        <v>1</v>
      </c>
      <c r="G4" s="3" t="s">
        <v>7</v>
      </c>
      <c r="H4" s="3" t="s">
        <v>0</v>
      </c>
      <c r="I4" s="3" t="s">
        <v>1</v>
      </c>
    </row>
    <row r="5" spans="2:10" ht="20.100000000000001" customHeight="1" x14ac:dyDescent="0.25">
      <c r="B5" s="4">
        <v>1</v>
      </c>
      <c r="C5" s="4" t="s">
        <v>2</v>
      </c>
      <c r="D5" s="5">
        <v>47287825.939999998</v>
      </c>
      <c r="E5" s="11">
        <f>D5/10^7</f>
        <v>4.7287825940000001</v>
      </c>
      <c r="G5" s="4">
        <v>1</v>
      </c>
      <c r="H5" s="4" t="s">
        <v>18</v>
      </c>
      <c r="I5" s="5">
        <v>38100442.75</v>
      </c>
      <c r="J5" s="10">
        <f t="shared" ref="J5:J9" si="0">I5/10^7</f>
        <v>3.8100442750000001</v>
      </c>
    </row>
    <row r="6" spans="2:10" ht="20.100000000000001" customHeight="1" x14ac:dyDescent="0.25">
      <c r="B6" s="4">
        <f>+B5+1</f>
        <v>2</v>
      </c>
      <c r="C6" s="4" t="s">
        <v>3</v>
      </c>
      <c r="D6" s="5">
        <v>54765292.07</v>
      </c>
      <c r="E6" s="11">
        <f t="shared" ref="E6:E17" si="1">D6/10^7</f>
        <v>5.4765292070000005</v>
      </c>
      <c r="G6" s="4">
        <f>+G5+1</f>
        <v>2</v>
      </c>
      <c r="H6" s="4" t="s">
        <v>19</v>
      </c>
      <c r="I6" s="5">
        <v>52296548.359999999</v>
      </c>
      <c r="J6" s="10">
        <f t="shared" si="0"/>
        <v>5.2296548359999999</v>
      </c>
    </row>
    <row r="7" spans="2:10" ht="20.100000000000001" customHeight="1" x14ac:dyDescent="0.25">
      <c r="B7" s="4">
        <f t="shared" ref="B7:B8" si="2">+B6+1</f>
        <v>3</v>
      </c>
      <c r="C7" s="4" t="s">
        <v>4</v>
      </c>
      <c r="D7" s="5">
        <v>48156292.770000003</v>
      </c>
      <c r="E7" s="11">
        <f t="shared" si="1"/>
        <v>4.8156292770000002</v>
      </c>
      <c r="G7" s="4">
        <f t="shared" ref="G7:G8" si="3">+G6+1</f>
        <v>3</v>
      </c>
      <c r="H7" s="4" t="s">
        <v>20</v>
      </c>
      <c r="I7" s="5">
        <v>47909573.240000002</v>
      </c>
      <c r="J7" s="10">
        <f t="shared" si="0"/>
        <v>4.7909573239999999</v>
      </c>
    </row>
    <row r="8" spans="2:10" ht="20.100000000000001" customHeight="1" x14ac:dyDescent="0.25">
      <c r="B8" s="4">
        <f t="shared" si="2"/>
        <v>4</v>
      </c>
      <c r="C8" s="4" t="s">
        <v>5</v>
      </c>
      <c r="D8" s="5">
        <v>56535449.539999999</v>
      </c>
      <c r="E8" s="11">
        <f t="shared" si="1"/>
        <v>5.653544954</v>
      </c>
      <c r="G8" s="4">
        <f t="shared" si="3"/>
        <v>4</v>
      </c>
      <c r="H8" s="4" t="s">
        <v>21</v>
      </c>
      <c r="I8" s="5">
        <v>49043183.329999998</v>
      </c>
      <c r="J8" s="10">
        <f t="shared" si="0"/>
        <v>4.904318333</v>
      </c>
    </row>
    <row r="9" spans="2:10" ht="20.100000000000001" customHeight="1" x14ac:dyDescent="0.25">
      <c r="B9" s="4">
        <f>+G8+1</f>
        <v>5</v>
      </c>
      <c r="C9" s="4" t="s">
        <v>10</v>
      </c>
      <c r="D9" s="5">
        <v>74864150.359999999</v>
      </c>
      <c r="E9" s="11">
        <f t="shared" si="1"/>
        <v>7.4864150360000004</v>
      </c>
      <c r="G9" s="6"/>
      <c r="H9" s="6"/>
      <c r="I9" s="7">
        <f>SUM(I5:I8)</f>
        <v>187349747.68000001</v>
      </c>
      <c r="J9" s="10">
        <f t="shared" si="0"/>
        <v>18.734974768000001</v>
      </c>
    </row>
    <row r="10" spans="2:10" ht="20.100000000000001" customHeight="1" x14ac:dyDescent="0.25">
      <c r="B10" s="4">
        <f t="shared" ref="B10:B16" si="4">+B9+1</f>
        <v>6</v>
      </c>
      <c r="C10" s="4" t="s">
        <v>11</v>
      </c>
      <c r="D10" s="5">
        <v>59266663.439999998</v>
      </c>
      <c r="E10" s="11">
        <f t="shared" si="1"/>
        <v>5.926666344</v>
      </c>
    </row>
    <row r="11" spans="2:10" ht="20.100000000000001" customHeight="1" x14ac:dyDescent="0.25">
      <c r="B11" s="4">
        <f t="shared" si="4"/>
        <v>7</v>
      </c>
      <c r="C11" s="4" t="s">
        <v>12</v>
      </c>
      <c r="D11" s="5">
        <v>52336544.509999998</v>
      </c>
      <c r="E11" s="11">
        <f t="shared" si="1"/>
        <v>5.2336544509999996</v>
      </c>
    </row>
    <row r="12" spans="2:10" ht="20.100000000000001" customHeight="1" x14ac:dyDescent="0.25">
      <c r="B12" s="4">
        <f t="shared" si="4"/>
        <v>8</v>
      </c>
      <c r="C12" s="4" t="s">
        <v>13</v>
      </c>
      <c r="D12" s="5">
        <v>51844101.009999998</v>
      </c>
      <c r="E12" s="11">
        <f t="shared" si="1"/>
        <v>5.1844101010000001</v>
      </c>
    </row>
    <row r="13" spans="2:10" ht="20.100000000000001" customHeight="1" x14ac:dyDescent="0.25">
      <c r="B13" s="4">
        <f t="shared" si="4"/>
        <v>9</v>
      </c>
      <c r="C13" s="4" t="s">
        <v>14</v>
      </c>
      <c r="D13" s="5">
        <v>59824518.119999997</v>
      </c>
      <c r="E13" s="11">
        <f t="shared" si="1"/>
        <v>5.9824518119999999</v>
      </c>
      <c r="I13" s="8"/>
    </row>
    <row r="14" spans="2:10" ht="20.100000000000001" customHeight="1" x14ac:dyDescent="0.25">
      <c r="B14" s="4">
        <f t="shared" si="4"/>
        <v>10</v>
      </c>
      <c r="C14" s="4" t="s">
        <v>15</v>
      </c>
      <c r="D14" s="5">
        <v>51547680.68</v>
      </c>
      <c r="E14" s="11">
        <f t="shared" si="1"/>
        <v>5.1547680680000001</v>
      </c>
      <c r="I14" s="8"/>
    </row>
    <row r="15" spans="2:10" ht="20.100000000000001" customHeight="1" x14ac:dyDescent="0.25">
      <c r="B15" s="4">
        <f t="shared" si="4"/>
        <v>11</v>
      </c>
      <c r="C15" s="4" t="s">
        <v>16</v>
      </c>
      <c r="D15" s="5">
        <v>61980343</v>
      </c>
      <c r="E15" s="11">
        <f t="shared" si="1"/>
        <v>6.1980342999999998</v>
      </c>
      <c r="I15" s="8"/>
    </row>
    <row r="16" spans="2:10" ht="20.100000000000001" customHeight="1" x14ac:dyDescent="0.25">
      <c r="B16" s="4">
        <f t="shared" si="4"/>
        <v>12</v>
      </c>
      <c r="C16" s="4" t="s">
        <v>17</v>
      </c>
      <c r="D16" s="5">
        <v>53088092.909999996</v>
      </c>
      <c r="E16" s="11">
        <f t="shared" si="1"/>
        <v>5.3088092909999993</v>
      </c>
      <c r="I16" s="8"/>
    </row>
    <row r="17" spans="2:5" ht="20.100000000000001" customHeight="1" x14ac:dyDescent="0.25">
      <c r="B17" s="6"/>
      <c r="C17" s="3" t="s">
        <v>6</v>
      </c>
      <c r="D17" s="7">
        <f>SUM(D5:D16)</f>
        <v>671496954.3499999</v>
      </c>
      <c r="E17" s="11">
        <f t="shared" si="1"/>
        <v>67.149695434999984</v>
      </c>
    </row>
  </sheetData>
  <mergeCells count="2">
    <mergeCell ref="B3:D3"/>
    <mergeCell ref="G3:I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2024-08-12T04:56:36Z</dcterms:modified>
</cp:coreProperties>
</file>