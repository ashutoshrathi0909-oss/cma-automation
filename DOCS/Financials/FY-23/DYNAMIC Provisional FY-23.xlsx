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16CE6914-075D-4607-BDC4-4713B2B1D1E9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P&amp;L" sheetId="2" r:id="rId1"/>
    <sheet name="B&amp;S" sheetId="3" r:id="rId2"/>
    <sheet name="Notes" sheetId="4" r:id="rId3"/>
    <sheet name="FA" sheetId="5" r:id="rId4"/>
  </sheets>
  <calcPr calcId="181029"/>
</workbook>
</file>

<file path=xl/calcChain.xml><?xml version="1.0" encoding="utf-8"?>
<calcChain xmlns="http://schemas.openxmlformats.org/spreadsheetml/2006/main">
  <c r="D184" i="4" l="1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5" i="4"/>
  <c r="D216" i="4"/>
  <c r="D199" i="4"/>
  <c r="G11" i="2"/>
  <c r="G12" i="2"/>
  <c r="G20" i="2"/>
  <c r="G22" i="2"/>
  <c r="G24" i="2"/>
  <c r="C154" i="4"/>
  <c r="C241" i="4"/>
  <c r="C130" i="4"/>
  <c r="C128" i="4"/>
  <c r="C121" i="4"/>
  <c r="C68" i="4"/>
  <c r="C37" i="4"/>
  <c r="C40" i="4" s="1"/>
  <c r="D9" i="5"/>
  <c r="E11" i="5"/>
  <c r="E16" i="5"/>
  <c r="C238" i="4" l="1"/>
  <c r="C229" i="4"/>
  <c r="C231" i="4"/>
  <c r="C230" i="4"/>
  <c r="C234" i="4"/>
  <c r="C225" i="4"/>
  <c r="C236" i="4"/>
  <c r="C232" i="4"/>
  <c r="C214" i="4"/>
  <c r="D214" i="4" s="1"/>
  <c r="C192" i="4"/>
  <c r="C163" i="4"/>
  <c r="C166" i="4"/>
  <c r="C161" i="4"/>
  <c r="C162" i="4"/>
  <c r="C153" i="4"/>
  <c r="C244" i="4" l="1"/>
  <c r="J17" i="5" l="1"/>
  <c r="J14" i="5"/>
  <c r="J13" i="5"/>
  <c r="J12" i="5"/>
  <c r="J11" i="5"/>
  <c r="J10" i="5"/>
  <c r="J9" i="5"/>
  <c r="J7" i="5"/>
  <c r="I15" i="5"/>
  <c r="F15" i="5"/>
  <c r="C140" i="4"/>
  <c r="K15" i="5" l="1"/>
  <c r="C81" i="4"/>
  <c r="C23" i="4" l="1"/>
  <c r="E12" i="3"/>
  <c r="C9" i="4"/>
  <c r="E18" i="2" l="1"/>
  <c r="G18" i="2" s="1"/>
  <c r="F17" i="5"/>
  <c r="F16" i="5"/>
  <c r="F14" i="5"/>
  <c r="F13" i="5"/>
  <c r="F12" i="5"/>
  <c r="F11" i="5"/>
  <c r="F10" i="5"/>
  <c r="F9" i="5"/>
  <c r="F8" i="5"/>
  <c r="F7" i="5"/>
  <c r="K13" i="5" l="1"/>
  <c r="C61" i="4"/>
  <c r="E19" i="3" s="1"/>
  <c r="I17" i="5"/>
  <c r="K17" i="5" s="1"/>
  <c r="I16" i="5"/>
  <c r="K16" i="5" s="1"/>
  <c r="I14" i="5"/>
  <c r="K14" i="5" s="1"/>
  <c r="I13" i="5"/>
  <c r="I12" i="5"/>
  <c r="K12" i="5" s="1"/>
  <c r="I11" i="5"/>
  <c r="K11" i="5" s="1"/>
  <c r="I10" i="5"/>
  <c r="K10" i="5" s="1"/>
  <c r="I9" i="5"/>
  <c r="K9" i="5" s="1"/>
  <c r="I8" i="5"/>
  <c r="K8" i="5" s="1"/>
  <c r="I7" i="5"/>
  <c r="K7" i="5" s="1"/>
  <c r="J18" i="5"/>
  <c r="H18" i="5"/>
  <c r="E17" i="2" s="1"/>
  <c r="G17" i="2" s="1"/>
  <c r="G18" i="5"/>
  <c r="F18" i="5"/>
  <c r="E18" i="5"/>
  <c r="D18" i="5"/>
  <c r="C115" i="4"/>
  <c r="E34" i="3" s="1"/>
  <c r="C97" i="4"/>
  <c r="C54" i="4"/>
  <c r="E18" i="3" s="1"/>
  <c r="E15" i="3"/>
  <c r="C182" i="4"/>
  <c r="C177" i="4"/>
  <c r="C184" i="4" s="1"/>
  <c r="E32" i="3" l="1"/>
  <c r="I18" i="5"/>
  <c r="K18" i="5"/>
  <c r="E27" i="3" s="1"/>
  <c r="E35" i="3"/>
  <c r="E20" i="3"/>
  <c r="E14" i="2"/>
  <c r="G14" i="2" s="1"/>
  <c r="C218" i="4"/>
  <c r="E16" i="2" s="1"/>
  <c r="G16" i="2" s="1"/>
  <c r="C194" i="4"/>
  <c r="E15" i="2" s="1"/>
  <c r="G15" i="2" s="1"/>
  <c r="C156" i="4"/>
  <c r="E9" i="2" s="1"/>
  <c r="G9" i="2" s="1"/>
  <c r="C148" i="4"/>
  <c r="E8" i="2" s="1"/>
  <c r="C104" i="4"/>
  <c r="E33" i="3" s="1"/>
  <c r="C47" i="4"/>
  <c r="E29" i="3" s="1"/>
  <c r="C11" i="4"/>
  <c r="E10" i="3" s="1"/>
  <c r="C6" i="4"/>
  <c r="E10" i="2" l="1"/>
  <c r="G10" i="2" s="1"/>
  <c r="C168" i="4"/>
  <c r="E13" i="2" l="1"/>
  <c r="E37" i="3"/>
  <c r="E19" i="2" l="1"/>
  <c r="G13" i="2"/>
  <c r="E21" i="2" l="1"/>
  <c r="G19" i="2"/>
  <c r="G21" i="2" l="1"/>
  <c r="E23" i="2"/>
  <c r="C86" i="4" l="1"/>
  <c r="G23" i="2"/>
  <c r="E25" i="2"/>
  <c r="C17" i="4" l="1"/>
  <c r="C19" i="4" s="1"/>
  <c r="E11" i="3" s="1"/>
  <c r="G25" i="2"/>
  <c r="C88" i="4"/>
  <c r="E21" i="3" s="1"/>
  <c r="E23" i="3" s="1"/>
  <c r="E45" i="3" s="1"/>
</calcChain>
</file>

<file path=xl/sharedStrings.xml><?xml version="1.0" encoding="utf-8"?>
<sst xmlns="http://schemas.openxmlformats.org/spreadsheetml/2006/main" count="296" uniqueCount="219">
  <si>
    <t>Total</t>
  </si>
  <si>
    <t>Amount</t>
  </si>
  <si>
    <t>Dynamic Air Engineering India Pvt Ltd</t>
  </si>
  <si>
    <t>No 4, Boopathy Nagar, Industrial Estate</t>
  </si>
  <si>
    <t>Particulars</t>
  </si>
  <si>
    <t>Note No.</t>
  </si>
  <si>
    <t>Revenue from operations</t>
  </si>
  <si>
    <t>Other Income</t>
  </si>
  <si>
    <t>Total Revenue (I + II)</t>
  </si>
  <si>
    <t>Expenses</t>
  </si>
  <si>
    <t>I.</t>
  </si>
  <si>
    <t>II.</t>
  </si>
  <si>
    <t>III.</t>
  </si>
  <si>
    <t>IV.</t>
  </si>
  <si>
    <t>Purchases and Direct Costs</t>
  </si>
  <si>
    <t>Change in Inventories</t>
  </si>
  <si>
    <t>Employee Benefit Expenses</t>
  </si>
  <si>
    <t>Finance Costs</t>
  </si>
  <si>
    <t xml:space="preserve">Depreciation </t>
  </si>
  <si>
    <t>Other Expenses</t>
  </si>
  <si>
    <t>V.</t>
  </si>
  <si>
    <t xml:space="preserve">Total Expenses </t>
  </si>
  <si>
    <t>Profit Before Tax (III - IV)</t>
  </si>
  <si>
    <t>Equity And Liabilities</t>
  </si>
  <si>
    <t>Shareholders' Fund</t>
  </si>
  <si>
    <t>a) Share Capital</t>
  </si>
  <si>
    <t>b) Reserves &amp; Surplus</t>
  </si>
  <si>
    <t>Non- Current Liabilities</t>
  </si>
  <si>
    <t>Current Liabilities</t>
  </si>
  <si>
    <t xml:space="preserve"> a) Long term borrowings</t>
  </si>
  <si>
    <t xml:space="preserve"> a) Short term borrowings</t>
  </si>
  <si>
    <t xml:space="preserve"> b) Trade payables</t>
  </si>
  <si>
    <t>c) Other current liabilities</t>
  </si>
  <si>
    <t>d) Short term provisions</t>
  </si>
  <si>
    <t>Assets</t>
  </si>
  <si>
    <t>Non Current Assets</t>
  </si>
  <si>
    <t>a) Fixed Assets</t>
  </si>
  <si>
    <t>i) Tangible assets</t>
  </si>
  <si>
    <t>b) Deferred tax assets / (liabilities)</t>
  </si>
  <si>
    <t>Current Assets</t>
  </si>
  <si>
    <t>a) Inventories</t>
  </si>
  <si>
    <t>b) Trade receivables</t>
  </si>
  <si>
    <t>c) Cash &amp; cash equivalents</t>
  </si>
  <si>
    <t>d) Short term loans &amp; advances</t>
  </si>
  <si>
    <t>Note:1 Share Capital</t>
  </si>
  <si>
    <t>Authorised</t>
  </si>
  <si>
    <t xml:space="preserve">65,00,000 Equity Shares of Rs 10 each </t>
  </si>
  <si>
    <t>Issued, Subscribed &amp; Paid up</t>
  </si>
  <si>
    <t>Note:2 Reserves &amp; Surplus</t>
  </si>
  <si>
    <t>Opening balance</t>
  </si>
  <si>
    <t>(+) Net Profit/ (Net Loss) for the period</t>
  </si>
  <si>
    <t>Note:3 Long Term Borrowings</t>
  </si>
  <si>
    <t>Secured Loans</t>
  </si>
  <si>
    <t>Note: 5 Short Term Borrowings</t>
  </si>
  <si>
    <t>Note: 6 Trade Payables</t>
  </si>
  <si>
    <t>Trade Payables</t>
  </si>
  <si>
    <t>Note: 7 Other Current Liabilities</t>
  </si>
  <si>
    <t>Outstanding Expenses</t>
  </si>
  <si>
    <t>Salary &amp; Wages payable</t>
  </si>
  <si>
    <t>Other Expenses Payable</t>
  </si>
  <si>
    <t>Statutory Dues</t>
  </si>
  <si>
    <t>TDS payable</t>
  </si>
  <si>
    <t>GST payable</t>
  </si>
  <si>
    <t>ESI &amp; PF payable</t>
  </si>
  <si>
    <t>Related party transactions</t>
  </si>
  <si>
    <t>Note: 8 Short term provisions</t>
  </si>
  <si>
    <t>Provision for taxation</t>
  </si>
  <si>
    <t>Note: 9 Inventories</t>
  </si>
  <si>
    <t>Closing stock of raw materials</t>
  </si>
  <si>
    <t>Closing stock of work in progress</t>
  </si>
  <si>
    <t>Closing stock of finished goods</t>
  </si>
  <si>
    <t>Note: 10 Trade Receivables</t>
  </si>
  <si>
    <t>Note: 11 Cash &amp; Cash Equivalents</t>
  </si>
  <si>
    <t>Balance with banks</t>
  </si>
  <si>
    <t>Indian overseas bank</t>
  </si>
  <si>
    <t>Indian bank</t>
  </si>
  <si>
    <t>Cash on hand</t>
  </si>
  <si>
    <t>Note: 12 Short term loans and advances</t>
  </si>
  <si>
    <t>Deposits</t>
  </si>
  <si>
    <t>Deposits - Telephone and Electricity</t>
  </si>
  <si>
    <t>Other Advances</t>
  </si>
  <si>
    <t>Note: 13 Revenue from operations</t>
  </si>
  <si>
    <t>Sales</t>
  </si>
  <si>
    <t>Note: 14 Other Income</t>
  </si>
  <si>
    <t>Note: 15 Cost of materials consumed</t>
  </si>
  <si>
    <t>Purchases &amp; Direct Expenses</t>
  </si>
  <si>
    <t>Carriage Inwards</t>
  </si>
  <si>
    <t>Rent - Factory</t>
  </si>
  <si>
    <t>Electricity &amp; power</t>
  </si>
  <si>
    <t>Wages &amp; other expenses</t>
  </si>
  <si>
    <t xml:space="preserve">Note: 16 Changes in Inventories </t>
  </si>
  <si>
    <t>Raw Materials</t>
  </si>
  <si>
    <t>Work In Process</t>
  </si>
  <si>
    <t>Finished goods</t>
  </si>
  <si>
    <t>Opeing stock :</t>
  </si>
  <si>
    <t xml:space="preserve">Note: 17 Employee Benefit Expense </t>
  </si>
  <si>
    <t>Salaries and incentives</t>
  </si>
  <si>
    <t>Staff Welfare</t>
  </si>
  <si>
    <t>Director Remuneration</t>
  </si>
  <si>
    <t>Contribution to PF  &amp; ESI</t>
  </si>
  <si>
    <t xml:space="preserve">Note: 18 Finance Cost </t>
  </si>
  <si>
    <t xml:space="preserve">Note: 19 Other Expense </t>
  </si>
  <si>
    <t>Printing &amp; Stationery</t>
  </si>
  <si>
    <t>Communication Expenses</t>
  </si>
  <si>
    <t>Insurance</t>
  </si>
  <si>
    <t>Repairs &amp; maintenance expenses</t>
  </si>
  <si>
    <t>Professional charges</t>
  </si>
  <si>
    <t>Rates &amp; taxes</t>
  </si>
  <si>
    <t>Bank Charges</t>
  </si>
  <si>
    <t>Interest on FD</t>
  </si>
  <si>
    <t>Other direct expenses</t>
  </si>
  <si>
    <t>Closing stock :</t>
  </si>
  <si>
    <t>Vehicle Expenses</t>
  </si>
  <si>
    <t>Carriage Outward</t>
  </si>
  <si>
    <t>Office Expenses</t>
  </si>
  <si>
    <t>Other sundry expenses</t>
  </si>
  <si>
    <t>VI.</t>
  </si>
  <si>
    <t>Current tax</t>
  </si>
  <si>
    <t>VII.</t>
  </si>
  <si>
    <t>Profit/(Loss) for the period (V - VI)</t>
  </si>
  <si>
    <t>TDS Receivable</t>
  </si>
  <si>
    <t xml:space="preserve">Trade receivables </t>
  </si>
  <si>
    <t>Fixed Assets</t>
  </si>
  <si>
    <t>Additions</t>
  </si>
  <si>
    <t>Gross Block</t>
  </si>
  <si>
    <t>Accumulated Depreciation</t>
  </si>
  <si>
    <t>Net Block</t>
  </si>
  <si>
    <t>Tangible Assets</t>
  </si>
  <si>
    <t>Land</t>
  </si>
  <si>
    <t>Factory Building</t>
  </si>
  <si>
    <t>Comptuers</t>
  </si>
  <si>
    <t>Air Conditioners</t>
  </si>
  <si>
    <t>Plant &amp; Machineries</t>
  </si>
  <si>
    <t>Invertor</t>
  </si>
  <si>
    <t>Telephone Instruments</t>
  </si>
  <si>
    <t>Vehicles</t>
  </si>
  <si>
    <t>Furiniture &amp; Fixtures</t>
  </si>
  <si>
    <t>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</si>
  <si>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</si>
  <si>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</si>
  <si>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</si>
  <si>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</si>
  <si>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</si>
  <si>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</si>
  <si>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</si>
  <si>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</si>
  <si>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</si>
  <si>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</si>
  <si>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Note : 20 Non Current Assets - Fixed Assets</t>
  </si>
  <si>
    <t>Note: 4 Deferred Tax (Liability) / Asset</t>
  </si>
  <si>
    <t>Keelkattalai, Chennai - 600 117</t>
  </si>
  <si>
    <t>Contract / Security Expenses</t>
  </si>
  <si>
    <t>ICF Security Deposit</t>
  </si>
  <si>
    <t>Salary Advance</t>
  </si>
  <si>
    <t>For Dynamic Air Engineering India Pvt Ltd</t>
  </si>
  <si>
    <t>Managing Director</t>
  </si>
  <si>
    <t xml:space="preserve">28,50,000 Equity Shares of Rs 10 each </t>
  </si>
  <si>
    <t xml:space="preserve">Share Premium </t>
  </si>
  <si>
    <t>c) Share Premium</t>
  </si>
  <si>
    <t>Commission &amp; Brokerage</t>
  </si>
  <si>
    <t>Advance Tax</t>
  </si>
  <si>
    <t xml:space="preserve">Packing &amp; Freight </t>
  </si>
  <si>
    <t>Interest paid - OCC</t>
  </si>
  <si>
    <t>Interest paid - NSIC</t>
  </si>
  <si>
    <t>Travelling &amp; Conveyance Expenses</t>
  </si>
  <si>
    <t>Generator Expenses</t>
  </si>
  <si>
    <t>Crane Hire Expenses</t>
  </si>
  <si>
    <t>Annual Maintenance Expenses</t>
  </si>
  <si>
    <t>Interest on delayed payment of Taxes</t>
  </si>
  <si>
    <t>Cetification Expenses</t>
  </si>
  <si>
    <t>Indian Bank Vehicle Loan</t>
  </si>
  <si>
    <t>Mr Karthikeyan</t>
  </si>
  <si>
    <t>Mrs Girija Karthikeyan</t>
  </si>
  <si>
    <t xml:space="preserve">Deferred Tax </t>
  </si>
  <si>
    <t>Provision for Gratuity</t>
  </si>
  <si>
    <t xml:space="preserve">Praxair Deposit </t>
  </si>
  <si>
    <t>GST Credit balance</t>
  </si>
  <si>
    <t>GST Cash balance</t>
  </si>
  <si>
    <t>TCS Receivable</t>
  </si>
  <si>
    <t>k</t>
  </si>
  <si>
    <t>Electrical Installations</t>
  </si>
  <si>
    <t>Office Equipments</t>
  </si>
  <si>
    <t>Depreciation for the year</t>
  </si>
  <si>
    <t>Other Advance</t>
  </si>
  <si>
    <t>Interest paid - Others</t>
  </si>
  <si>
    <t>Audit Fee</t>
  </si>
  <si>
    <t>Balance as at 31'March 2022</t>
  </si>
  <si>
    <t>Provisional Statement of Profit and Loss for the period ended 31st March 2023</t>
  </si>
  <si>
    <t>Provisional Balance Sheet for the period ended 31st March 2023</t>
  </si>
  <si>
    <t>Balance as at 31'March 2023</t>
  </si>
  <si>
    <t>As at 31.03.23</t>
  </si>
  <si>
    <t>Interest paid - TL -I HDFC</t>
  </si>
  <si>
    <t>Interest paid - TL -II HDFC</t>
  </si>
  <si>
    <t>Interest paid - GECL -I HDFC</t>
  </si>
  <si>
    <t>Interest paid - GECL -II HDFC</t>
  </si>
  <si>
    <t>Interest paid - TL -V HDFC</t>
  </si>
  <si>
    <t>Interest paid - TL -I IB</t>
  </si>
  <si>
    <t>Interest paid - TL -II IB</t>
  </si>
  <si>
    <t>Interest paid - GECL -I IB</t>
  </si>
  <si>
    <t>Interest paid - GECL -II IB</t>
  </si>
  <si>
    <t>Interest paid - SIDBI</t>
  </si>
  <si>
    <t>Interest paid - Sundaram Finance</t>
  </si>
  <si>
    <t>Interest paid - HDFC (Business loan)</t>
  </si>
  <si>
    <t>Interest paid - Indian Bank (vehicle loan)</t>
  </si>
  <si>
    <t>Interest paid - HDFC credit card</t>
  </si>
  <si>
    <t>Loan processing charges</t>
  </si>
  <si>
    <t>HDFC Bank - CC Account</t>
  </si>
  <si>
    <t>HDFC TL - I</t>
  </si>
  <si>
    <t>HDFC TL - II</t>
  </si>
  <si>
    <t>HDFC TL GECL - III</t>
  </si>
  <si>
    <t>HDFC TL GECL - IV</t>
  </si>
  <si>
    <t>HDFC TL - V</t>
  </si>
  <si>
    <t>SIDBI Machinery Loan</t>
  </si>
  <si>
    <t>Sundaram Machinery Loan</t>
  </si>
  <si>
    <t xml:space="preserve">FD -  HDFC BG Margin </t>
  </si>
  <si>
    <t>FD - SIDBI</t>
  </si>
  <si>
    <t>Interest receivable from HDFC</t>
  </si>
  <si>
    <t>Interest receivable from SIDBI</t>
  </si>
  <si>
    <t>Rent/ Lease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</si>
</sst>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.0_);_(* \(#,##0.0\);_(* &quot;-&quot;??_);_(@_)"/>
    <numFmt numFmtId="166" formatCode="#,##0.0000000_ ;\-#,##0.0000000\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1"/>
      <color rgb="FFFF0000"/>
      <name val="Cambria"/>
      <family val="1"/>
      <scheme val="major"/>
    </font>
    <font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7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9" fontId="1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7" xfId="0" applyFont="1" applyBorder="1" applyAlignment="1">
      <alignment horizontal="left" vertical="center" indent="1"/>
    </xf>
    <xf numFmtId="0" fontId="1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 indent="1"/>
    </xf>
    <xf numFmtId="0" fontId="1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center" vertical="center"/>
    </xf>
    <xf numFmtId="39" fontId="2" fillId="0" borderId="0" xfId="0" applyNumberFormat="1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3" fontId="2" fillId="0" borderId="7" xfId="0" applyNumberFormat="1" applyFont="1" applyBorder="1" applyAlignment="1">
      <alignment vertical="center"/>
    </xf>
    <xf numFmtId="39" fontId="2" fillId="0" borderId="11" xfId="0" applyNumberFormat="1" applyFont="1" applyBorder="1" applyAlignment="1">
      <alignment vertical="center"/>
    </xf>
    <xf numFmtId="39" fontId="2" fillId="0" borderId="8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9" fontId="1" fillId="0" borderId="12" xfId="0" applyNumberFormat="1" applyFont="1" applyBorder="1" applyAlignment="1">
      <alignment vertical="center"/>
    </xf>
    <xf numFmtId="39" fontId="2" fillId="0" borderId="3" xfId="0" applyNumberFormat="1" applyFont="1" applyBorder="1" applyAlignment="1">
      <alignment vertical="center"/>
    </xf>
    <xf numFmtId="3" fontId="2" fillId="0" borderId="7" xfId="0" applyNumberFormat="1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39" fontId="1" fillId="0" borderId="13" xfId="0" applyNumberFormat="1" applyFont="1" applyBorder="1" applyAlignment="1">
      <alignment vertical="center"/>
    </xf>
    <xf numFmtId="39" fontId="1" fillId="0" borderId="8" xfId="0" applyNumberFormat="1" applyFont="1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39" fontId="2" fillId="0" borderId="6" xfId="0" applyNumberFormat="1" applyFont="1" applyBorder="1" applyAlignment="1">
      <alignment vertical="center"/>
    </xf>
    <xf numFmtId="164" fontId="2" fillId="0" borderId="3" xfId="1" applyFont="1" applyBorder="1" applyAlignment="1">
      <alignment vertical="center"/>
    </xf>
    <xf numFmtId="164" fontId="2" fillId="0" borderId="8" xfId="1" applyFont="1" applyBorder="1" applyAlignment="1">
      <alignment vertical="center"/>
    </xf>
    <xf numFmtId="164" fontId="2" fillId="0" borderId="0" xfId="1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9" fontId="2" fillId="0" borderId="2" xfId="0" applyNumberFormat="1" applyFont="1" applyBorder="1" applyAlignment="1">
      <alignment vertical="center"/>
    </xf>
    <xf numFmtId="39" fontId="2" fillId="0" borderId="0" xfId="0" applyNumberFormat="1" applyFont="1"/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39" fontId="1" fillId="0" borderId="0" xfId="0" applyNumberFormat="1" applyFont="1" applyAlignment="1">
      <alignment vertical="center"/>
    </xf>
    <xf numFmtId="39" fontId="1" fillId="0" borderId="6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4" fontId="2" fillId="0" borderId="0" xfId="0" applyNumberFormat="1" applyFont="1" applyAlignment="1">
      <alignment vertical="center"/>
    </xf>
    <xf numFmtId="164" fontId="2" fillId="0" borderId="0" xfId="1" applyFont="1" applyBorder="1" applyAlignment="1">
      <alignment vertical="center"/>
    </xf>
    <xf numFmtId="39" fontId="1" fillId="0" borderId="0" xfId="0" applyNumberFormat="1" applyFont="1" applyAlignment="1">
      <alignment horizontal="center" vertical="center"/>
    </xf>
    <xf numFmtId="3" fontId="2" fillId="0" borderId="3" xfId="0" applyNumberFormat="1" applyFont="1" applyBorder="1" applyAlignment="1">
      <alignment horizontal="left" vertical="center" indent="1"/>
    </xf>
    <xf numFmtId="165" fontId="2" fillId="0" borderId="0" xfId="1" applyNumberFormat="1" applyFont="1" applyAlignment="1">
      <alignment vertical="center"/>
    </xf>
    <xf numFmtId="165" fontId="2" fillId="0" borderId="0" xfId="1" applyNumberFormat="1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0" fontId="6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39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33"/>
  <sheetViews>
    <sheetView topLeftCell="A7" workbookViewId="0">
      <selection activeCell="G23" sqref="G23"/>
    </sheetView>
  </sheetViews>
  <sheetFormatPr defaultRowHeight="18" customHeight="1" x14ac:dyDescent="0.25"/>
  <cols>
    <col min="1" max="2" width="9.140625" style="3"/>
    <col min="3" max="3" width="41.85546875" style="3" customWidth="1"/>
    <col min="4" max="4" width="10.85546875" style="3" customWidth="1"/>
    <col min="5" max="5" width="24.140625" style="3" customWidth="1"/>
    <col min="6" max="6" width="9.140625" style="3"/>
    <col min="7" max="7" width="9.140625" style="62"/>
    <col min="8" max="8" width="14.7109375" style="3" bestFit="1" customWidth="1"/>
    <col min="9" max="9" width="16.28515625" style="3" bestFit="1" customWidth="1"/>
    <col min="10" max="10" width="9.140625" style="3"/>
    <col min="11" max="11" width="20.5703125" style="3" bestFit="1" customWidth="1"/>
    <col min="12" max="16384" width="9.140625" style="3"/>
  </cols>
  <sheetData>
    <row r="2" spans="2:9" ht="18" customHeight="1" x14ac:dyDescent="0.25">
      <c r="B2" s="71" t="s">
        <v>2</v>
      </c>
      <c r="C2" s="71"/>
      <c r="D2" s="71"/>
      <c r="E2" s="71"/>
    </row>
    <row r="3" spans="2:9" ht="18" customHeight="1" x14ac:dyDescent="0.25">
      <c r="B3" s="71" t="s">
        <v>3</v>
      </c>
      <c r="C3" s="71"/>
      <c r="D3" s="71"/>
      <c r="E3" s="71"/>
    </row>
    <row r="4" spans="2:9" ht="18" customHeight="1" x14ac:dyDescent="0.25">
      <c r="B4" s="71" t="s">
        <v>150</v>
      </c>
      <c r="C4" s="71"/>
      <c r="D4" s="71"/>
      <c r="E4" s="71"/>
    </row>
    <row r="5" spans="2:9" ht="18" customHeight="1" x14ac:dyDescent="0.25">
      <c r="B5" s="72" t="s">
        <v>187</v>
      </c>
      <c r="C5" s="72"/>
      <c r="D5" s="72"/>
      <c r="E5" s="72"/>
    </row>
    <row r="6" spans="2:9" s="2" customFormat="1" ht="18" customHeight="1" x14ac:dyDescent="0.25">
      <c r="B6" s="1"/>
      <c r="C6" s="1" t="s">
        <v>4</v>
      </c>
      <c r="D6" s="1" t="s">
        <v>5</v>
      </c>
      <c r="E6" s="1" t="s">
        <v>1</v>
      </c>
      <c r="G6" s="63"/>
    </row>
    <row r="7" spans="2:9" ht="18" customHeight="1" x14ac:dyDescent="0.25">
      <c r="B7" s="6"/>
      <c r="C7" s="9"/>
      <c r="D7" s="17"/>
      <c r="E7" s="10"/>
    </row>
    <row r="8" spans="2:9" ht="18" customHeight="1" x14ac:dyDescent="0.25">
      <c r="B8" s="7" t="s">
        <v>10</v>
      </c>
      <c r="C8" s="11" t="s">
        <v>6</v>
      </c>
      <c r="D8" s="7">
        <v>13</v>
      </c>
      <c r="E8" s="29">
        <f>+Notes!C148</f>
        <v>694372699.50999999</v>
      </c>
    </row>
    <row r="9" spans="2:9" ht="18" customHeight="1" x14ac:dyDescent="0.25">
      <c r="B9" s="7" t="s">
        <v>11</v>
      </c>
      <c r="C9" s="11" t="s">
        <v>7</v>
      </c>
      <c r="D9" s="7">
        <v>14</v>
      </c>
      <c r="E9" s="29">
        <f>+Notes!C156</f>
        <v>1692373.3299999998</v>
      </c>
      <c r="G9" s="62">
        <f t="shared" ref="G9:G25" si="0">E9/10^7</f>
        <v>0.16923733299999999</v>
      </c>
    </row>
    <row r="10" spans="2:9" ht="18" customHeight="1" thickBot="1" x14ac:dyDescent="0.3">
      <c r="B10" s="7" t="s">
        <v>12</v>
      </c>
      <c r="C10" s="13" t="s">
        <v>8</v>
      </c>
      <c r="D10" s="7"/>
      <c r="E10" s="37">
        <f>SUM(E8:E9)</f>
        <v>696065072.84000003</v>
      </c>
      <c r="G10" s="62">
        <f t="shared" si="0"/>
        <v>69.606507284000003</v>
      </c>
      <c r="I10" s="25"/>
    </row>
    <row r="11" spans="2:9" ht="18" customHeight="1" thickTop="1" x14ac:dyDescent="0.25">
      <c r="B11" s="7"/>
      <c r="C11" s="13"/>
      <c r="D11" s="7"/>
      <c r="E11" s="12"/>
      <c r="G11" s="62">
        <f t="shared" si="0"/>
        <v>0</v>
      </c>
    </row>
    <row r="12" spans="2:9" ht="18" customHeight="1" x14ac:dyDescent="0.25">
      <c r="B12" s="7" t="s">
        <v>13</v>
      </c>
      <c r="C12" s="14" t="s">
        <v>9</v>
      </c>
      <c r="D12" s="7"/>
      <c r="E12" s="12"/>
      <c r="G12" s="62">
        <f t="shared" si="0"/>
        <v>0</v>
      </c>
    </row>
    <row r="13" spans="2:9" ht="18" customHeight="1" x14ac:dyDescent="0.25">
      <c r="B13" s="7"/>
      <c r="C13" s="11" t="s">
        <v>14</v>
      </c>
      <c r="D13" s="7">
        <v>15</v>
      </c>
      <c r="E13" s="29">
        <f>+Notes!C168</f>
        <v>648153843.31000006</v>
      </c>
      <c r="G13" s="62">
        <f t="shared" si="0"/>
        <v>64.815384331000004</v>
      </c>
    </row>
    <row r="14" spans="2:9" ht="18" customHeight="1" x14ac:dyDescent="0.25">
      <c r="B14" s="7"/>
      <c r="C14" s="11" t="s">
        <v>15</v>
      </c>
      <c r="D14" s="7">
        <v>16</v>
      </c>
      <c r="E14" s="29">
        <f>+Notes!C184</f>
        <v>-55223620</v>
      </c>
      <c r="G14" s="62">
        <f t="shared" si="0"/>
        <v>-5.5223620000000002</v>
      </c>
    </row>
    <row r="15" spans="2:9" ht="18" customHeight="1" x14ac:dyDescent="0.25">
      <c r="B15" s="7"/>
      <c r="C15" s="11" t="s">
        <v>16</v>
      </c>
      <c r="D15" s="7">
        <v>17</v>
      </c>
      <c r="E15" s="29">
        <f>+Notes!C194</f>
        <v>11737846.34</v>
      </c>
      <c r="G15" s="62">
        <f t="shared" si="0"/>
        <v>1.173784634</v>
      </c>
    </row>
    <row r="16" spans="2:9" ht="18" customHeight="1" x14ac:dyDescent="0.25">
      <c r="B16" s="7"/>
      <c r="C16" s="11" t="s">
        <v>17</v>
      </c>
      <c r="D16" s="7">
        <v>18</v>
      </c>
      <c r="E16" s="29">
        <f>+Notes!C218</f>
        <v>26089552.959999997</v>
      </c>
      <c r="G16" s="62">
        <f t="shared" si="0"/>
        <v>2.6089552959999995</v>
      </c>
    </row>
    <row r="17" spans="2:11" ht="18" customHeight="1" x14ac:dyDescent="0.25">
      <c r="B17" s="7"/>
      <c r="C17" s="11" t="s">
        <v>18</v>
      </c>
      <c r="D17" s="7"/>
      <c r="E17" s="29">
        <f>+FA!H18</f>
        <v>27954173</v>
      </c>
      <c r="G17" s="62">
        <f t="shared" si="0"/>
        <v>2.7954173</v>
      </c>
      <c r="K17" s="64"/>
    </row>
    <row r="18" spans="2:11" ht="18" customHeight="1" x14ac:dyDescent="0.25">
      <c r="B18" s="7"/>
      <c r="C18" s="11" t="s">
        <v>19</v>
      </c>
      <c r="D18" s="7">
        <v>19</v>
      </c>
      <c r="E18" s="29">
        <f>+Notes!C244</f>
        <v>24743397.170000002</v>
      </c>
      <c r="G18" s="62">
        <f t="shared" si="0"/>
        <v>2.4743397170000003</v>
      </c>
    </row>
    <row r="19" spans="2:11" ht="18" customHeight="1" thickBot="1" x14ac:dyDescent="0.3">
      <c r="B19" s="7"/>
      <c r="C19" s="13" t="s">
        <v>21</v>
      </c>
      <c r="D19" s="7"/>
      <c r="E19" s="37">
        <f>SUM(E13:E18)</f>
        <v>683455192.78000009</v>
      </c>
      <c r="G19" s="62">
        <f t="shared" si="0"/>
        <v>68.345519278000012</v>
      </c>
    </row>
    <row r="20" spans="2:11" ht="18" customHeight="1" thickTop="1" x14ac:dyDescent="0.25">
      <c r="B20" s="7"/>
      <c r="C20" s="11"/>
      <c r="D20" s="7"/>
      <c r="E20" s="12"/>
      <c r="G20" s="62">
        <f t="shared" si="0"/>
        <v>0</v>
      </c>
      <c r="H20" s="25"/>
    </row>
    <row r="21" spans="2:11" ht="18" customHeight="1" x14ac:dyDescent="0.25">
      <c r="B21" s="7" t="s">
        <v>20</v>
      </c>
      <c r="C21" s="14" t="s">
        <v>22</v>
      </c>
      <c r="D21" s="7"/>
      <c r="E21" s="38">
        <f>+E10-E19</f>
        <v>12609880.059999943</v>
      </c>
      <c r="G21" s="62">
        <f t="shared" si="0"/>
        <v>1.2609880059999943</v>
      </c>
      <c r="H21" s="25"/>
    </row>
    <row r="22" spans="2:11" ht="18" customHeight="1" x14ac:dyDescent="0.25">
      <c r="B22" s="7"/>
      <c r="C22" s="11"/>
      <c r="D22" s="7"/>
      <c r="E22" s="12"/>
      <c r="G22" s="62">
        <f t="shared" si="0"/>
        <v>0</v>
      </c>
      <c r="H22" s="25"/>
    </row>
    <row r="23" spans="2:11" ht="18" customHeight="1" x14ac:dyDescent="0.25">
      <c r="B23" s="7" t="s">
        <v>116</v>
      </c>
      <c r="C23" s="11" t="s">
        <v>117</v>
      </c>
      <c r="D23" s="7"/>
      <c r="E23" s="38">
        <f>+E21*25%</f>
        <v>3152470.0149999857</v>
      </c>
      <c r="G23" s="62">
        <f t="shared" si="0"/>
        <v>0.31524700149999857</v>
      </c>
    </row>
    <row r="24" spans="2:11" ht="18" customHeight="1" x14ac:dyDescent="0.25">
      <c r="B24" s="7"/>
      <c r="C24" s="11"/>
      <c r="D24" s="7"/>
      <c r="E24" s="29"/>
      <c r="G24" s="62">
        <f t="shared" si="0"/>
        <v>0</v>
      </c>
    </row>
    <row r="25" spans="2:11" ht="18" customHeight="1" thickBot="1" x14ac:dyDescent="0.3">
      <c r="B25" s="7" t="s">
        <v>118</v>
      </c>
      <c r="C25" s="14" t="s">
        <v>119</v>
      </c>
      <c r="D25" s="7"/>
      <c r="E25" s="37">
        <f>+E21-E23</f>
        <v>9457410.0449999571</v>
      </c>
      <c r="G25" s="62">
        <f t="shared" si="0"/>
        <v>0.94574100449999576</v>
      </c>
    </row>
    <row r="26" spans="2:11" ht="18" customHeight="1" thickTop="1" x14ac:dyDescent="0.25">
      <c r="B26" s="8"/>
      <c r="C26" s="15"/>
      <c r="D26" s="19"/>
      <c r="E26" s="16"/>
    </row>
    <row r="27" spans="2:11" ht="18" customHeight="1" x14ac:dyDescent="0.25">
      <c r="B27" s="2"/>
    </row>
    <row r="28" spans="2:11" ht="18" customHeight="1" x14ac:dyDescent="0.25">
      <c r="B28" s="2"/>
      <c r="E28" s="52" t="s">
        <v>154</v>
      </c>
    </row>
    <row r="29" spans="2:11" ht="18" customHeight="1" x14ac:dyDescent="0.25">
      <c r="B29" s="2"/>
    </row>
    <row r="30" spans="2:11" ht="18" customHeight="1" x14ac:dyDescent="0.25">
      <c r="B30" s="2"/>
    </row>
    <row r="31" spans="2:11" ht="18" customHeight="1" x14ac:dyDescent="0.25">
      <c r="B31" s="2"/>
      <c r="E31" s="52" t="s">
        <v>155</v>
      </c>
    </row>
    <row r="32" spans="2:11" ht="18" customHeight="1" x14ac:dyDescent="0.25">
      <c r="B32" s="2"/>
    </row>
    <row r="33" spans="2:8" ht="18" customHeight="1" x14ac:dyDescent="0.25">
      <c r="B33" s="2"/>
      <c r="H33" s="53"/>
    </row>
  </sheetData>
  <mergeCells count="4">
    <mergeCell ref="B2:E2"/>
    <mergeCell ref="B3:E3"/>
    <mergeCell ref="B4:E4"/>
    <mergeCell ref="B5:E5"/>
  </mergeCells>
  <printOptions horizontalCentered="1"/>
  <pageMargins left="0.45" right="0.2" top="1" bottom="0.75" header="0.3" footer="0.3"/>
  <pageSetup paperSize="9" scale="8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H45"/>
  <sheetViews>
    <sheetView topLeftCell="A28" workbookViewId="0">
      <selection activeCell="E29" sqref="E29"/>
    </sheetView>
  </sheetViews>
  <sheetFormatPr defaultRowHeight="18" customHeight="1" x14ac:dyDescent="0.25"/>
  <cols>
    <col min="1" max="2" width="9.140625" style="3"/>
    <col min="3" max="3" width="41.140625" style="3" customWidth="1"/>
    <col min="4" max="4" width="10.85546875" style="3" customWidth="1"/>
    <col min="5" max="5" width="24.140625" style="3" customWidth="1"/>
    <col min="6" max="7" width="9.140625" style="3"/>
    <col min="8" max="8" width="16.28515625" style="3" bestFit="1" customWidth="1"/>
    <col min="9" max="16384" width="9.140625" style="3"/>
  </cols>
  <sheetData>
    <row r="2" spans="2:5" ht="18" customHeight="1" x14ac:dyDescent="0.25">
      <c r="B2" s="71" t="s">
        <v>2</v>
      </c>
      <c r="C2" s="71"/>
      <c r="D2" s="71"/>
      <c r="E2" s="71"/>
    </row>
    <row r="3" spans="2:5" ht="18" customHeight="1" x14ac:dyDescent="0.25">
      <c r="B3" s="71" t="s">
        <v>3</v>
      </c>
      <c r="C3" s="71"/>
      <c r="D3" s="71"/>
      <c r="E3" s="71"/>
    </row>
    <row r="4" spans="2:5" ht="18" customHeight="1" x14ac:dyDescent="0.25">
      <c r="B4" s="71" t="s">
        <v>150</v>
      </c>
      <c r="C4" s="71"/>
      <c r="D4" s="71"/>
      <c r="E4" s="71"/>
    </row>
    <row r="5" spans="2:5" ht="18" customHeight="1" x14ac:dyDescent="0.25">
      <c r="B5" s="72" t="s">
        <v>188</v>
      </c>
      <c r="C5" s="72"/>
      <c r="D5" s="72"/>
      <c r="E5" s="72"/>
    </row>
    <row r="6" spans="2:5" s="2" customFormat="1" ht="18" customHeight="1" x14ac:dyDescent="0.25">
      <c r="B6" s="1"/>
      <c r="C6" s="1" t="s">
        <v>4</v>
      </c>
      <c r="D6" s="1" t="s">
        <v>5</v>
      </c>
      <c r="E6" s="1" t="s">
        <v>1</v>
      </c>
    </row>
    <row r="7" spans="2:5" ht="18" customHeight="1" x14ac:dyDescent="0.25">
      <c r="B7" s="6"/>
      <c r="C7" s="10"/>
      <c r="D7" s="10"/>
      <c r="E7" s="10"/>
    </row>
    <row r="8" spans="2:5" ht="18" customHeight="1" x14ac:dyDescent="0.25">
      <c r="B8" s="7" t="s">
        <v>10</v>
      </c>
      <c r="C8" s="22" t="s">
        <v>23</v>
      </c>
      <c r="D8" s="44"/>
      <c r="E8" s="12"/>
    </row>
    <row r="9" spans="2:5" ht="18" customHeight="1" x14ac:dyDescent="0.25">
      <c r="B9" s="7">
        <v>1</v>
      </c>
      <c r="C9" s="12" t="s">
        <v>24</v>
      </c>
      <c r="D9" s="44"/>
      <c r="E9" s="12"/>
    </row>
    <row r="10" spans="2:5" ht="18" customHeight="1" x14ac:dyDescent="0.25">
      <c r="B10" s="7"/>
      <c r="C10" s="23" t="s">
        <v>25</v>
      </c>
      <c r="D10" s="44">
        <v>1</v>
      </c>
      <c r="E10" s="29">
        <f>+Notes!C11</f>
        <v>28500000</v>
      </c>
    </row>
    <row r="11" spans="2:5" ht="18" customHeight="1" x14ac:dyDescent="0.25">
      <c r="B11" s="7"/>
      <c r="C11" s="23" t="s">
        <v>26</v>
      </c>
      <c r="D11" s="73">
        <v>2</v>
      </c>
      <c r="E11" s="29">
        <f>+Notes!C19</f>
        <v>56607039.734999955</v>
      </c>
    </row>
    <row r="12" spans="2:5" ht="18" customHeight="1" x14ac:dyDescent="0.25">
      <c r="B12" s="7"/>
      <c r="C12" s="23" t="s">
        <v>158</v>
      </c>
      <c r="D12" s="73"/>
      <c r="E12" s="29">
        <f>+Notes!C23</f>
        <v>16200000</v>
      </c>
    </row>
    <row r="13" spans="2:5" ht="18" customHeight="1" x14ac:dyDescent="0.25">
      <c r="B13" s="7"/>
      <c r="C13" s="12"/>
      <c r="D13" s="44"/>
      <c r="E13" s="12"/>
    </row>
    <row r="14" spans="2:5" ht="18" customHeight="1" x14ac:dyDescent="0.25">
      <c r="B14" s="7">
        <v>2</v>
      </c>
      <c r="C14" s="22" t="s">
        <v>27</v>
      </c>
      <c r="D14" s="44"/>
      <c r="E14" s="12"/>
    </row>
    <row r="15" spans="2:5" ht="18" customHeight="1" x14ac:dyDescent="0.25">
      <c r="B15" s="7"/>
      <c r="C15" s="12" t="s">
        <v>29</v>
      </c>
      <c r="D15" s="44">
        <v>3</v>
      </c>
      <c r="E15" s="29">
        <f>+Notes!C40</f>
        <v>199698207.44</v>
      </c>
    </row>
    <row r="16" spans="2:5" ht="18" customHeight="1" x14ac:dyDescent="0.25">
      <c r="B16" s="7"/>
      <c r="C16" s="12"/>
      <c r="D16" s="44"/>
      <c r="E16" s="12"/>
    </row>
    <row r="17" spans="2:8" ht="18" customHeight="1" x14ac:dyDescent="0.25">
      <c r="B17" s="7">
        <v>3</v>
      </c>
      <c r="C17" s="22" t="s">
        <v>28</v>
      </c>
      <c r="D17" s="44"/>
      <c r="E17" s="12"/>
    </row>
    <row r="18" spans="2:8" ht="18" customHeight="1" x14ac:dyDescent="0.25">
      <c r="B18" s="7"/>
      <c r="C18" s="12" t="s">
        <v>30</v>
      </c>
      <c r="D18" s="44">
        <v>5</v>
      </c>
      <c r="E18" s="29">
        <f>+Notes!C54</f>
        <v>122484214.18000001</v>
      </c>
    </row>
    <row r="19" spans="2:8" ht="18" customHeight="1" x14ac:dyDescent="0.25">
      <c r="B19" s="7"/>
      <c r="C19" s="12" t="s">
        <v>31</v>
      </c>
      <c r="D19" s="44">
        <v>6</v>
      </c>
      <c r="E19" s="29">
        <f>+Notes!C61</f>
        <v>83726013.379999995</v>
      </c>
    </row>
    <row r="20" spans="2:8" ht="18" customHeight="1" x14ac:dyDescent="0.25">
      <c r="B20" s="7"/>
      <c r="C20" s="23" t="s">
        <v>32</v>
      </c>
      <c r="D20" s="44">
        <v>7</v>
      </c>
      <c r="E20" s="29">
        <f>+Notes!C81</f>
        <v>40333112.210000001</v>
      </c>
    </row>
    <row r="21" spans="2:8" ht="18" customHeight="1" x14ac:dyDescent="0.25">
      <c r="B21" s="7"/>
      <c r="C21" s="12" t="s">
        <v>33</v>
      </c>
      <c r="D21" s="44">
        <v>8</v>
      </c>
      <c r="E21" s="29">
        <f>+Notes!C88</f>
        <v>3152470.0149999857</v>
      </c>
      <c r="H21" s="25"/>
    </row>
    <row r="22" spans="2:8" ht="18" customHeight="1" x14ac:dyDescent="0.25">
      <c r="B22" s="7"/>
      <c r="C22" s="12"/>
      <c r="D22" s="44"/>
      <c r="E22" s="12"/>
    </row>
    <row r="23" spans="2:8" ht="18" customHeight="1" thickBot="1" x14ac:dyDescent="0.3">
      <c r="B23" s="7"/>
      <c r="C23" s="24" t="s">
        <v>0</v>
      </c>
      <c r="D23" s="44"/>
      <c r="E23" s="37">
        <f>SUM(E10:E21)</f>
        <v>550701056.95999992</v>
      </c>
    </row>
    <row r="24" spans="2:8" ht="18" customHeight="1" thickTop="1" x14ac:dyDescent="0.25">
      <c r="B24" s="7"/>
      <c r="C24" s="12"/>
      <c r="D24" s="44"/>
      <c r="E24" s="12"/>
    </row>
    <row r="25" spans="2:8" ht="18" customHeight="1" x14ac:dyDescent="0.25">
      <c r="B25" s="7" t="s">
        <v>11</v>
      </c>
      <c r="C25" s="22" t="s">
        <v>34</v>
      </c>
      <c r="D25" s="44"/>
      <c r="E25" s="12"/>
    </row>
    <row r="26" spans="2:8" ht="18" customHeight="1" x14ac:dyDescent="0.25">
      <c r="B26" s="7"/>
      <c r="C26" s="22" t="s">
        <v>35</v>
      </c>
      <c r="D26" s="44"/>
      <c r="E26" s="12"/>
    </row>
    <row r="27" spans="2:8" ht="18" customHeight="1" x14ac:dyDescent="0.25">
      <c r="B27" s="7">
        <v>1</v>
      </c>
      <c r="C27" s="12" t="s">
        <v>36</v>
      </c>
      <c r="D27" s="44">
        <v>20</v>
      </c>
      <c r="E27" s="29">
        <f>+FA!K18</f>
        <v>212969177.23999998</v>
      </c>
    </row>
    <row r="28" spans="2:8" ht="18" customHeight="1" x14ac:dyDescent="0.25">
      <c r="B28" s="7"/>
      <c r="C28" s="23" t="s">
        <v>37</v>
      </c>
      <c r="D28" s="44"/>
      <c r="E28" s="29"/>
    </row>
    <row r="29" spans="2:8" ht="18" customHeight="1" x14ac:dyDescent="0.25">
      <c r="B29" s="7"/>
      <c r="C29" s="12" t="s">
        <v>38</v>
      </c>
      <c r="D29" s="44">
        <v>4</v>
      </c>
      <c r="E29" s="29">
        <f>-Notes!C47</f>
        <v>-2881489.85</v>
      </c>
    </row>
    <row r="30" spans="2:8" ht="18" customHeight="1" x14ac:dyDescent="0.25">
      <c r="B30" s="7"/>
      <c r="C30" s="12"/>
      <c r="D30" s="44"/>
      <c r="E30" s="12"/>
    </row>
    <row r="31" spans="2:8" ht="18" customHeight="1" x14ac:dyDescent="0.25">
      <c r="B31" s="7">
        <v>2</v>
      </c>
      <c r="C31" s="22" t="s">
        <v>39</v>
      </c>
      <c r="D31" s="44"/>
      <c r="E31" s="12"/>
    </row>
    <row r="32" spans="2:8" ht="18" customHeight="1" x14ac:dyDescent="0.25">
      <c r="B32" s="7"/>
      <c r="C32" s="12" t="s">
        <v>40</v>
      </c>
      <c r="D32" s="44">
        <v>9</v>
      </c>
      <c r="E32" s="29">
        <f>+Notes!C97</f>
        <v>149725000</v>
      </c>
    </row>
    <row r="33" spans="2:8" ht="18" customHeight="1" x14ac:dyDescent="0.25">
      <c r="B33" s="7"/>
      <c r="C33" s="12" t="s">
        <v>41</v>
      </c>
      <c r="D33" s="44">
        <v>10</v>
      </c>
      <c r="E33" s="29">
        <f>+Notes!C104</f>
        <v>145345319.94999999</v>
      </c>
    </row>
    <row r="34" spans="2:8" ht="18" customHeight="1" x14ac:dyDescent="0.25">
      <c r="B34" s="7"/>
      <c r="C34" s="12" t="s">
        <v>42</v>
      </c>
      <c r="D34" s="44">
        <v>11</v>
      </c>
      <c r="E34" s="29">
        <f>+Notes!C115</f>
        <v>124983.44</v>
      </c>
    </row>
    <row r="35" spans="2:8" ht="18" customHeight="1" x14ac:dyDescent="0.25">
      <c r="B35" s="7"/>
      <c r="C35" s="12" t="s">
        <v>43</v>
      </c>
      <c r="D35" s="44">
        <v>12</v>
      </c>
      <c r="E35" s="29">
        <f>+Notes!C140</f>
        <v>45418066.18</v>
      </c>
      <c r="H35" s="25"/>
    </row>
    <row r="36" spans="2:8" ht="18" customHeight="1" x14ac:dyDescent="0.25">
      <c r="B36" s="7"/>
      <c r="C36" s="12"/>
      <c r="D36" s="44"/>
      <c r="E36" s="12"/>
    </row>
    <row r="37" spans="2:8" ht="18" customHeight="1" thickBot="1" x14ac:dyDescent="0.3">
      <c r="B37" s="18"/>
      <c r="C37" s="24" t="s">
        <v>0</v>
      </c>
      <c r="D37" s="44"/>
      <c r="E37" s="37">
        <f>SUM(E27:E35)</f>
        <v>550701056.95999992</v>
      </c>
      <c r="H37" s="25"/>
    </row>
    <row r="38" spans="2:8" ht="18" customHeight="1" thickTop="1" x14ac:dyDescent="0.25">
      <c r="B38" s="19"/>
      <c r="C38" s="16"/>
      <c r="D38" s="16"/>
      <c r="E38" s="16"/>
    </row>
    <row r="40" spans="2:8" ht="18" customHeight="1" x14ac:dyDescent="0.25">
      <c r="E40" s="52" t="s">
        <v>154</v>
      </c>
    </row>
    <row r="43" spans="2:8" ht="18" customHeight="1" x14ac:dyDescent="0.25">
      <c r="E43" s="52" t="s">
        <v>155</v>
      </c>
    </row>
    <row r="45" spans="2:8" ht="18" customHeight="1" x14ac:dyDescent="0.25">
      <c r="E45" s="25">
        <f>+E23-E37</f>
        <v>0</v>
      </c>
    </row>
  </sheetData>
  <mergeCells count="5">
    <mergeCell ref="B2:E2"/>
    <mergeCell ref="B3:E3"/>
    <mergeCell ref="B4:E4"/>
    <mergeCell ref="B5:E5"/>
    <mergeCell ref="D11:D12"/>
  </mergeCells>
  <printOptions horizontalCentered="1"/>
  <pageMargins left="0.45" right="0.2" top="0.75" bottom="0.5" header="0.3" footer="0.3"/>
  <pageSetup paperSize="9" scale="96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248"/>
  <sheetViews>
    <sheetView tabSelected="1" topLeftCell="A39" workbookViewId="0">
      <selection activeCell="E49" sqref="E49"/>
    </sheetView>
  </sheetViews>
  <sheetFormatPr defaultRowHeight="15.95" customHeight="1" x14ac:dyDescent="0.25"/>
  <cols>
    <col min="1" max="1" width="9.140625" style="3"/>
    <col min="2" max="2" width="46.28515625" style="3" customWidth="1"/>
    <col min="3" max="5" width="21.7109375" style="3" customWidth="1"/>
    <col min="6" max="6" width="26.7109375" style="3" bestFit="1" customWidth="1"/>
    <col min="7" max="7" width="20.28515625" style="3" bestFit="1" customWidth="1"/>
    <col min="8" max="8" width="12.140625" style="3" bestFit="1" customWidth="1"/>
    <col min="9" max="9" width="17.5703125" style="3" bestFit="1" customWidth="1"/>
    <col min="10" max="16384" width="9.140625" style="3"/>
  </cols>
  <sheetData>
    <row r="1" spans="2:6" ht="15.95" customHeight="1" x14ac:dyDescent="0.25">
      <c r="D1" s="43"/>
    </row>
    <row r="2" spans="2:6" ht="15.95" customHeight="1" x14ac:dyDescent="0.25">
      <c r="B2" s="4" t="s">
        <v>44</v>
      </c>
      <c r="D2" s="43"/>
    </row>
    <row r="3" spans="2:6" s="2" customFormat="1" ht="15.95" customHeight="1" x14ac:dyDescent="0.25">
      <c r="B3" s="1" t="s">
        <v>4</v>
      </c>
      <c r="C3" s="1" t="s">
        <v>190</v>
      </c>
      <c r="D3" s="43"/>
      <c r="E3" s="54"/>
      <c r="F3" s="3"/>
    </row>
    <row r="4" spans="2:6" s="2" customFormat="1" ht="15.95" customHeight="1" x14ac:dyDescent="0.25">
      <c r="B4" s="30"/>
      <c r="C4" s="26"/>
      <c r="D4" s="43"/>
      <c r="E4" s="54"/>
      <c r="F4" s="3"/>
    </row>
    <row r="5" spans="2:6" ht="15.95" customHeight="1" x14ac:dyDescent="0.25">
      <c r="B5" s="31" t="s">
        <v>45</v>
      </c>
      <c r="C5" s="12"/>
      <c r="D5" s="43"/>
    </row>
    <row r="6" spans="2:6" ht="15.95" customHeight="1" thickBot="1" x14ac:dyDescent="0.3">
      <c r="B6" s="32" t="s">
        <v>46</v>
      </c>
      <c r="C6" s="28">
        <f>6500000*10</f>
        <v>65000000</v>
      </c>
      <c r="D6" s="43"/>
      <c r="E6" s="25"/>
    </row>
    <row r="7" spans="2:6" ht="15.95" customHeight="1" thickTop="1" x14ac:dyDescent="0.25">
      <c r="B7" s="18"/>
      <c r="C7" s="29"/>
      <c r="D7" s="43"/>
      <c r="E7" s="25"/>
    </row>
    <row r="8" spans="2:6" ht="15.95" customHeight="1" x14ac:dyDescent="0.25">
      <c r="B8" s="31" t="s">
        <v>47</v>
      </c>
      <c r="C8" s="29"/>
      <c r="D8" s="43"/>
      <c r="E8" s="25"/>
    </row>
    <row r="9" spans="2:6" ht="15.95" customHeight="1" x14ac:dyDescent="0.25">
      <c r="B9" s="32" t="s">
        <v>156</v>
      </c>
      <c r="C9" s="29">
        <f>2850000*10</f>
        <v>28500000</v>
      </c>
      <c r="D9" s="43"/>
      <c r="E9" s="25"/>
    </row>
    <row r="10" spans="2:6" ht="15.95" customHeight="1" x14ac:dyDescent="0.25">
      <c r="B10" s="18"/>
      <c r="C10" s="29"/>
      <c r="D10" s="43"/>
      <c r="E10" s="25"/>
    </row>
    <row r="11" spans="2:6" ht="15.95" customHeight="1" x14ac:dyDescent="0.25">
      <c r="B11" s="1" t="s">
        <v>0</v>
      </c>
      <c r="C11" s="33">
        <f>+C9</f>
        <v>28500000</v>
      </c>
      <c r="D11" s="43"/>
      <c r="E11" s="55"/>
    </row>
    <row r="12" spans="2:6" ht="15.95" customHeight="1" x14ac:dyDescent="0.25">
      <c r="C12" s="25"/>
      <c r="D12" s="43"/>
      <c r="E12" s="25"/>
    </row>
    <row r="13" spans="2:6" ht="15.95" customHeight="1" x14ac:dyDescent="0.25">
      <c r="B13" s="4" t="s">
        <v>48</v>
      </c>
      <c r="D13" s="43"/>
    </row>
    <row r="14" spans="2:6" ht="15.95" customHeight="1" x14ac:dyDescent="0.25">
      <c r="B14" s="1" t="s">
        <v>4</v>
      </c>
      <c r="C14" s="1" t="s">
        <v>190</v>
      </c>
      <c r="D14" s="43"/>
      <c r="E14" s="54"/>
    </row>
    <row r="15" spans="2:6" ht="15.95" customHeight="1" x14ac:dyDescent="0.25">
      <c r="B15" s="30"/>
      <c r="C15" s="26"/>
      <c r="D15" s="43"/>
      <c r="E15" s="54"/>
    </row>
    <row r="16" spans="2:6" ht="15.95" customHeight="1" x14ac:dyDescent="0.25">
      <c r="B16" s="20" t="s">
        <v>49</v>
      </c>
      <c r="C16" s="29">
        <v>47149629.689999998</v>
      </c>
      <c r="D16" s="43"/>
      <c r="E16" s="25"/>
    </row>
    <row r="17" spans="2:9" ht="15.95" customHeight="1" x14ac:dyDescent="0.25">
      <c r="B17" s="27" t="s">
        <v>50</v>
      </c>
      <c r="C17" s="34">
        <f>+'P&amp;L'!E25</f>
        <v>9457410.0449999571</v>
      </c>
      <c r="D17" s="43"/>
      <c r="E17" s="25"/>
    </row>
    <row r="18" spans="2:9" ht="15.95" customHeight="1" x14ac:dyDescent="0.25">
      <c r="B18" s="18"/>
      <c r="C18" s="29"/>
      <c r="D18" s="43"/>
      <c r="E18" s="25"/>
    </row>
    <row r="19" spans="2:9" ht="15.95" customHeight="1" x14ac:dyDescent="0.25">
      <c r="B19" s="1" t="s">
        <v>0</v>
      </c>
      <c r="C19" s="33">
        <f>+C16+C17</f>
        <v>56607039.734999955</v>
      </c>
      <c r="D19" s="43"/>
      <c r="E19" s="55"/>
    </row>
    <row r="20" spans="2:9" ht="15.95" customHeight="1" x14ac:dyDescent="0.25">
      <c r="B20" s="30"/>
      <c r="C20" s="56"/>
      <c r="D20" s="43"/>
      <c r="E20" s="55"/>
    </row>
    <row r="21" spans="2:9" ht="15.95" customHeight="1" x14ac:dyDescent="0.25">
      <c r="B21" s="57" t="s">
        <v>157</v>
      </c>
      <c r="C21" s="38">
        <v>16200000</v>
      </c>
      <c r="D21" s="43"/>
      <c r="E21" s="55"/>
    </row>
    <row r="22" spans="2:9" ht="15.95" customHeight="1" x14ac:dyDescent="0.25">
      <c r="B22" s="49"/>
      <c r="C22" s="38"/>
      <c r="D22" s="43"/>
      <c r="E22" s="55"/>
    </row>
    <row r="23" spans="2:9" ht="15.95" customHeight="1" x14ac:dyDescent="0.25">
      <c r="B23" s="1" t="s">
        <v>0</v>
      </c>
      <c r="C23" s="33">
        <f>SUM(C21:C21)</f>
        <v>16200000</v>
      </c>
      <c r="D23" s="43"/>
      <c r="E23" s="55"/>
    </row>
    <row r="24" spans="2:9" ht="15.95" customHeight="1" x14ac:dyDescent="0.25">
      <c r="B24" s="54"/>
      <c r="C24" s="55"/>
      <c r="D24" s="43"/>
      <c r="E24" s="55"/>
    </row>
    <row r="25" spans="2:9" ht="15.95" customHeight="1" x14ac:dyDescent="0.25">
      <c r="D25" s="43"/>
    </row>
    <row r="26" spans="2:9" ht="15.95" customHeight="1" x14ac:dyDescent="0.25">
      <c r="B26" s="4" t="s">
        <v>51</v>
      </c>
      <c r="D26" s="43"/>
    </row>
    <row r="27" spans="2:9" ht="15.95" customHeight="1" x14ac:dyDescent="0.25">
      <c r="B27" s="1" t="s">
        <v>4</v>
      </c>
      <c r="C27" s="1" t="s">
        <v>190</v>
      </c>
      <c r="D27" s="43"/>
      <c r="E27" s="54"/>
      <c r="F27" s="66"/>
      <c r="G27" s="66"/>
      <c r="H27" s="66"/>
      <c r="I27" s="66"/>
    </row>
    <row r="28" spans="2:9" ht="15.95" customHeight="1" x14ac:dyDescent="0.25">
      <c r="B28" s="30"/>
      <c r="C28" s="26"/>
      <c r="D28" s="43"/>
      <c r="E28" s="54"/>
      <c r="F28" s="67"/>
      <c r="G28" s="68"/>
      <c r="H28" s="68"/>
      <c r="I28" s="68"/>
    </row>
    <row r="29" spans="2:9" ht="15.95" customHeight="1" x14ac:dyDescent="0.25">
      <c r="B29" s="20" t="s">
        <v>52</v>
      </c>
      <c r="C29" s="29"/>
      <c r="D29" s="43"/>
      <c r="E29" s="25"/>
      <c r="F29" s="69"/>
      <c r="G29" s="68"/>
      <c r="H29" s="68"/>
      <c r="I29" s="68"/>
    </row>
    <row r="30" spans="2:9" ht="15.95" customHeight="1" x14ac:dyDescent="0.25">
      <c r="B30" s="35" t="s">
        <v>207</v>
      </c>
      <c r="C30" s="34">
        <v>21911950.829999998</v>
      </c>
      <c r="D30" s="43"/>
      <c r="E30" s="25"/>
      <c r="F30" s="69"/>
      <c r="G30" s="68"/>
      <c r="H30" s="68"/>
      <c r="I30" s="68"/>
    </row>
    <row r="31" spans="2:9" ht="15.95" customHeight="1" x14ac:dyDescent="0.25">
      <c r="B31" s="35" t="s">
        <v>208</v>
      </c>
      <c r="C31" s="34">
        <v>78748952.519999996</v>
      </c>
      <c r="D31" s="43"/>
      <c r="E31" s="25"/>
      <c r="F31" s="69"/>
      <c r="G31" s="68"/>
      <c r="H31" s="68"/>
      <c r="I31" s="68"/>
    </row>
    <row r="32" spans="2:9" ht="15.95" customHeight="1" x14ac:dyDescent="0.25">
      <c r="B32" s="35" t="s">
        <v>209</v>
      </c>
      <c r="C32" s="34">
        <v>21411543.09</v>
      </c>
      <c r="D32" s="43"/>
      <c r="E32" s="25"/>
      <c r="F32" s="69"/>
      <c r="G32" s="68"/>
      <c r="H32" s="68"/>
      <c r="I32" s="68"/>
    </row>
    <row r="33" spans="2:9" ht="15.95" customHeight="1" x14ac:dyDescent="0.25">
      <c r="B33" s="35" t="s">
        <v>210</v>
      </c>
      <c r="C33" s="34">
        <v>18400000</v>
      </c>
      <c r="D33" s="43"/>
      <c r="E33" s="25"/>
      <c r="F33" s="69"/>
      <c r="G33" s="68"/>
      <c r="H33" s="68"/>
      <c r="I33" s="68"/>
    </row>
    <row r="34" spans="2:9" ht="15.95" customHeight="1" x14ac:dyDescent="0.25">
      <c r="B34" s="35" t="s">
        <v>211</v>
      </c>
      <c r="C34" s="34">
        <v>29795507</v>
      </c>
      <c r="D34" s="43"/>
      <c r="E34" s="25"/>
      <c r="F34" s="69"/>
      <c r="G34" s="68"/>
      <c r="H34" s="68"/>
      <c r="I34" s="68"/>
    </row>
    <row r="35" spans="2:9" ht="15.95" customHeight="1" x14ac:dyDescent="0.25">
      <c r="B35" s="35" t="s">
        <v>170</v>
      </c>
      <c r="C35" s="34">
        <v>454601</v>
      </c>
      <c r="D35" s="43"/>
      <c r="E35" s="25"/>
      <c r="F35" s="69"/>
      <c r="G35" s="68"/>
      <c r="H35" s="68"/>
      <c r="I35" s="68"/>
    </row>
    <row r="36" spans="2:9" ht="15.95" customHeight="1" x14ac:dyDescent="0.25">
      <c r="B36" s="35" t="s">
        <v>212</v>
      </c>
      <c r="C36" s="34">
        <v>15295783</v>
      </c>
      <c r="D36" s="43"/>
      <c r="E36" s="25"/>
      <c r="F36" s="69"/>
      <c r="G36" s="68"/>
      <c r="H36" s="68"/>
      <c r="I36" s="68"/>
    </row>
    <row r="37" spans="2:9" ht="15.95" customHeight="1" x14ac:dyDescent="0.25">
      <c r="B37" s="61" t="s">
        <v>213</v>
      </c>
      <c r="C37" s="29">
        <f>13675870+4000</f>
        <v>13679870</v>
      </c>
      <c r="D37" s="43"/>
      <c r="E37" s="25"/>
    </row>
    <row r="38" spans="2:9" ht="15.95" customHeight="1" x14ac:dyDescent="0.25">
      <c r="B38" s="61"/>
      <c r="C38" s="29"/>
      <c r="D38" s="43"/>
      <c r="E38" s="25"/>
    </row>
    <row r="39" spans="2:9" ht="15.95" customHeight="1" x14ac:dyDescent="0.25">
      <c r="B39" s="18"/>
      <c r="C39" s="29"/>
      <c r="D39" s="43"/>
      <c r="E39" s="25"/>
    </row>
    <row r="40" spans="2:9" ht="15.95" customHeight="1" x14ac:dyDescent="0.25">
      <c r="B40" s="1" t="s">
        <v>0</v>
      </c>
      <c r="C40" s="33">
        <f>SUM(C30:C37)</f>
        <v>199698207.44</v>
      </c>
      <c r="D40" s="43"/>
      <c r="E40" s="55"/>
    </row>
    <row r="41" spans="2:9" ht="15.95" customHeight="1" x14ac:dyDescent="0.25">
      <c r="D41" s="43"/>
    </row>
    <row r="42" spans="2:9" ht="15.95" customHeight="1" x14ac:dyDescent="0.25">
      <c r="B42" s="4" t="s">
        <v>149</v>
      </c>
      <c r="D42" s="43"/>
    </row>
    <row r="43" spans="2:9" ht="15.95" customHeight="1" x14ac:dyDescent="0.25">
      <c r="B43" s="1" t="s">
        <v>4</v>
      </c>
      <c r="C43" s="1" t="s">
        <v>190</v>
      </c>
      <c r="D43" s="43"/>
      <c r="E43" s="54"/>
    </row>
    <row r="44" spans="2:9" ht="15.95" customHeight="1" x14ac:dyDescent="0.25">
      <c r="B44" s="17"/>
      <c r="C44" s="10"/>
      <c r="D44" s="43"/>
    </row>
    <row r="45" spans="2:9" ht="15.95" customHeight="1" x14ac:dyDescent="0.25">
      <c r="B45" s="18" t="s">
        <v>173</v>
      </c>
      <c r="C45" s="29">
        <v>2881489.85</v>
      </c>
      <c r="D45" s="43"/>
      <c r="E45" s="25"/>
    </row>
    <row r="46" spans="2:9" ht="15.95" customHeight="1" x14ac:dyDescent="0.25">
      <c r="B46" s="19"/>
      <c r="C46" s="29"/>
      <c r="D46" s="43"/>
      <c r="E46" s="25"/>
    </row>
    <row r="47" spans="2:9" ht="15.95" customHeight="1" x14ac:dyDescent="0.25">
      <c r="B47" s="1" t="s">
        <v>0</v>
      </c>
      <c r="C47" s="33">
        <f>SUM(C45:C45)</f>
        <v>2881489.85</v>
      </c>
      <c r="D47" s="43"/>
      <c r="E47" s="55"/>
    </row>
    <row r="48" spans="2:9" ht="15.95" customHeight="1" x14ac:dyDescent="0.25">
      <c r="C48" s="25"/>
      <c r="D48" s="43"/>
      <c r="E48" s="25"/>
    </row>
    <row r="49" spans="2:5" ht="15.95" customHeight="1" x14ac:dyDescent="0.25">
      <c r="B49" s="4" t="s">
        <v>53</v>
      </c>
      <c r="C49" s="25"/>
      <c r="D49" s="43"/>
      <c r="E49" s="25"/>
    </row>
    <row r="50" spans="2:5" ht="15.95" customHeight="1" x14ac:dyDescent="0.25">
      <c r="B50" s="1" t="s">
        <v>4</v>
      </c>
      <c r="C50" s="1" t="s">
        <v>190</v>
      </c>
      <c r="D50" s="43"/>
      <c r="E50" s="54"/>
    </row>
    <row r="51" spans="2:5" ht="15.95" customHeight="1" x14ac:dyDescent="0.25">
      <c r="B51" s="17"/>
      <c r="C51" s="10"/>
      <c r="D51" s="43"/>
    </row>
    <row r="52" spans="2:5" ht="15.95" customHeight="1" x14ac:dyDescent="0.25">
      <c r="B52" s="18" t="s">
        <v>206</v>
      </c>
      <c r="C52" s="29">
        <v>122484214.18000001</v>
      </c>
      <c r="D52" s="43"/>
      <c r="E52" s="25"/>
    </row>
    <row r="53" spans="2:5" ht="15.95" customHeight="1" x14ac:dyDescent="0.25">
      <c r="B53" s="18"/>
      <c r="C53" s="39"/>
      <c r="D53" s="43"/>
      <c r="E53" s="58"/>
    </row>
    <row r="54" spans="2:5" ht="15.95" customHeight="1" x14ac:dyDescent="0.25">
      <c r="B54" s="1" t="s">
        <v>0</v>
      </c>
      <c r="C54" s="33">
        <f>SUM(C52:C53)</f>
        <v>122484214.18000001</v>
      </c>
      <c r="D54" s="43"/>
      <c r="E54" s="55"/>
    </row>
    <row r="55" spans="2:5" ht="15.95" customHeight="1" x14ac:dyDescent="0.25">
      <c r="D55" s="43"/>
    </row>
    <row r="56" spans="2:5" ht="15.95" customHeight="1" x14ac:dyDescent="0.25">
      <c r="B56" s="4" t="s">
        <v>54</v>
      </c>
      <c r="D56" s="43"/>
    </row>
    <row r="57" spans="2:5" ht="15.95" customHeight="1" x14ac:dyDescent="0.25">
      <c r="B57" s="1" t="s">
        <v>4</v>
      </c>
      <c r="C57" s="1" t="s">
        <v>190</v>
      </c>
      <c r="D57" s="43"/>
      <c r="E57" s="54"/>
    </row>
    <row r="58" spans="2:5" ht="15.95" customHeight="1" x14ac:dyDescent="0.25">
      <c r="B58" s="17"/>
      <c r="C58" s="10"/>
      <c r="D58" s="43"/>
    </row>
    <row r="59" spans="2:5" ht="15.95" customHeight="1" x14ac:dyDescent="0.25">
      <c r="B59" s="18" t="s">
        <v>55</v>
      </c>
      <c r="C59" s="29">
        <v>83726013.379999995</v>
      </c>
      <c r="D59" s="43"/>
      <c r="E59" s="25"/>
    </row>
    <row r="60" spans="2:5" ht="15.95" customHeight="1" x14ac:dyDescent="0.25">
      <c r="B60" s="18"/>
      <c r="C60" s="29"/>
      <c r="D60" s="43"/>
      <c r="E60" s="55"/>
    </row>
    <row r="61" spans="2:5" ht="15.95" customHeight="1" x14ac:dyDescent="0.25">
      <c r="B61" s="1" t="s">
        <v>0</v>
      </c>
      <c r="C61" s="33">
        <f>SUM(C59:C60)</f>
        <v>83726013.379999995</v>
      </c>
      <c r="D61" s="43"/>
      <c r="E61" s="55"/>
    </row>
    <row r="62" spans="2:5" ht="15.95" customHeight="1" x14ac:dyDescent="0.25">
      <c r="D62" s="43"/>
      <c r="E62" s="55"/>
    </row>
    <row r="63" spans="2:5" ht="15.95" customHeight="1" x14ac:dyDescent="0.25">
      <c r="B63" s="4" t="s">
        <v>56</v>
      </c>
      <c r="D63" s="43"/>
      <c r="E63" s="55"/>
    </row>
    <row r="64" spans="2:5" ht="15.95" customHeight="1" x14ac:dyDescent="0.25">
      <c r="B64" s="1" t="s">
        <v>4</v>
      </c>
      <c r="C64" s="1" t="s">
        <v>190</v>
      </c>
      <c r="D64" s="43"/>
      <c r="E64" s="55"/>
    </row>
    <row r="65" spans="2:5" ht="15.95" customHeight="1" x14ac:dyDescent="0.25">
      <c r="B65" s="17"/>
      <c r="C65" s="10"/>
      <c r="D65" s="43"/>
      <c r="E65" s="55"/>
    </row>
    <row r="66" spans="2:5" ht="15.95" customHeight="1" x14ac:dyDescent="0.25">
      <c r="B66" s="18" t="s">
        <v>57</v>
      </c>
      <c r="C66" s="29"/>
      <c r="D66" s="43"/>
      <c r="E66" s="25"/>
    </row>
    <row r="67" spans="2:5" ht="15.95" customHeight="1" x14ac:dyDescent="0.25">
      <c r="B67" s="21" t="s">
        <v>58</v>
      </c>
      <c r="C67" s="29">
        <v>2158593</v>
      </c>
      <c r="D67" s="43"/>
      <c r="E67" s="25"/>
    </row>
    <row r="68" spans="2:5" ht="15.95" customHeight="1" x14ac:dyDescent="0.25">
      <c r="B68" s="21" t="s">
        <v>59</v>
      </c>
      <c r="C68" s="29">
        <f>38354233.56+4140385-3500000-2158593</f>
        <v>36836025.560000002</v>
      </c>
      <c r="D68" s="43"/>
      <c r="E68" s="25"/>
    </row>
    <row r="69" spans="2:5" ht="15.95" customHeight="1" x14ac:dyDescent="0.25">
      <c r="B69" s="21"/>
      <c r="C69" s="29"/>
      <c r="D69" s="43"/>
      <c r="E69" s="25"/>
    </row>
    <row r="70" spans="2:5" ht="15.95" customHeight="1" x14ac:dyDescent="0.25">
      <c r="B70" s="18" t="s">
        <v>60</v>
      </c>
      <c r="C70" s="29"/>
      <c r="D70" s="43"/>
      <c r="E70" s="25"/>
    </row>
    <row r="71" spans="2:5" ht="15.95" customHeight="1" x14ac:dyDescent="0.25">
      <c r="B71" s="21" t="s">
        <v>61</v>
      </c>
      <c r="C71" s="29">
        <v>716992.5</v>
      </c>
      <c r="D71" s="43"/>
      <c r="E71" s="25"/>
    </row>
    <row r="72" spans="2:5" ht="15.95" customHeight="1" x14ac:dyDescent="0.25">
      <c r="B72" s="21" t="s">
        <v>62</v>
      </c>
      <c r="C72" s="29">
        <v>-436356.85</v>
      </c>
      <c r="D72" s="43"/>
      <c r="E72" s="25"/>
    </row>
    <row r="73" spans="2:5" ht="15.95" customHeight="1" x14ac:dyDescent="0.25">
      <c r="B73" s="21" t="s">
        <v>63</v>
      </c>
      <c r="C73" s="29">
        <v>27102</v>
      </c>
      <c r="D73" s="43"/>
      <c r="E73" s="25"/>
    </row>
    <row r="74" spans="2:5" ht="15.95" customHeight="1" x14ac:dyDescent="0.25">
      <c r="B74" s="18"/>
      <c r="C74" s="29"/>
      <c r="D74" s="43"/>
      <c r="E74" s="25"/>
    </row>
    <row r="75" spans="2:5" ht="15.95" customHeight="1" x14ac:dyDescent="0.25">
      <c r="B75" s="18" t="s">
        <v>174</v>
      </c>
      <c r="C75" s="29">
        <v>720987</v>
      </c>
      <c r="D75" s="43"/>
      <c r="E75" s="25"/>
    </row>
    <row r="76" spans="2:5" ht="15.95" customHeight="1" x14ac:dyDescent="0.25">
      <c r="B76" s="18"/>
      <c r="C76" s="29"/>
      <c r="D76" s="43"/>
      <c r="E76" s="25"/>
    </row>
    <row r="77" spans="2:5" ht="15.95" customHeight="1" x14ac:dyDescent="0.25">
      <c r="B77" s="18" t="s">
        <v>64</v>
      </c>
      <c r="C77" s="29"/>
      <c r="D77" s="43"/>
      <c r="E77" s="25"/>
    </row>
    <row r="78" spans="2:5" ht="15.95" customHeight="1" x14ac:dyDescent="0.25">
      <c r="B78" s="21" t="s">
        <v>171</v>
      </c>
      <c r="C78" s="29">
        <v>74909</v>
      </c>
      <c r="D78" s="43"/>
      <c r="E78" s="25"/>
    </row>
    <row r="79" spans="2:5" ht="15.95" customHeight="1" x14ac:dyDescent="0.25">
      <c r="B79" s="21" t="s">
        <v>172</v>
      </c>
      <c r="C79" s="29">
        <v>234860</v>
      </c>
      <c r="D79" s="43"/>
      <c r="E79" s="25"/>
    </row>
    <row r="80" spans="2:5" ht="15.95" customHeight="1" x14ac:dyDescent="0.25">
      <c r="B80" s="18"/>
      <c r="C80" s="29"/>
      <c r="D80" s="43"/>
      <c r="E80" s="25"/>
    </row>
    <row r="81" spans="2:5" ht="15.95" customHeight="1" x14ac:dyDescent="0.25">
      <c r="B81" s="1" t="s">
        <v>0</v>
      </c>
      <c r="C81" s="33">
        <f>SUM(C67:C79)</f>
        <v>40333112.210000001</v>
      </c>
      <c r="D81" s="43"/>
      <c r="E81" s="55"/>
    </row>
    <row r="82" spans="2:5" ht="15.95" customHeight="1" x14ac:dyDescent="0.25">
      <c r="D82" s="43"/>
    </row>
    <row r="83" spans="2:5" ht="15.95" customHeight="1" x14ac:dyDescent="0.25">
      <c r="B83" s="4" t="s">
        <v>65</v>
      </c>
      <c r="D83" s="43"/>
    </row>
    <row r="84" spans="2:5" ht="15.95" customHeight="1" x14ac:dyDescent="0.25">
      <c r="B84" s="1" t="s">
        <v>4</v>
      </c>
      <c r="C84" s="1" t="s">
        <v>190</v>
      </c>
      <c r="D84" s="43"/>
      <c r="E84" s="54"/>
    </row>
    <row r="85" spans="2:5" ht="15.95" customHeight="1" x14ac:dyDescent="0.25">
      <c r="B85" s="17"/>
      <c r="C85" s="10"/>
      <c r="D85" s="43"/>
    </row>
    <row r="86" spans="2:5" ht="15.95" customHeight="1" x14ac:dyDescent="0.25">
      <c r="B86" s="18" t="s">
        <v>66</v>
      </c>
      <c r="C86" s="29">
        <f>+'P&amp;L'!E23</f>
        <v>3152470.0149999857</v>
      </c>
      <c r="D86" s="43"/>
      <c r="E86" s="25"/>
    </row>
    <row r="87" spans="2:5" ht="15.95" customHeight="1" x14ac:dyDescent="0.25">
      <c r="B87" s="18"/>
      <c r="C87" s="12"/>
      <c r="D87" s="43"/>
    </row>
    <row r="88" spans="2:5" ht="15.95" customHeight="1" x14ac:dyDescent="0.25">
      <c r="B88" s="1" t="s">
        <v>0</v>
      </c>
      <c r="C88" s="33">
        <f>SUM(C86:C87)</f>
        <v>3152470.0149999857</v>
      </c>
      <c r="D88" s="43"/>
      <c r="E88" s="55"/>
    </row>
    <row r="89" spans="2:5" ht="15.95" customHeight="1" x14ac:dyDescent="0.25">
      <c r="D89" s="43"/>
      <c r="E89" s="25"/>
    </row>
    <row r="90" spans="2:5" ht="15.95" customHeight="1" x14ac:dyDescent="0.25">
      <c r="B90" s="4" t="s">
        <v>67</v>
      </c>
      <c r="D90" s="43"/>
      <c r="E90" s="25"/>
    </row>
    <row r="91" spans="2:5" ht="15.95" customHeight="1" x14ac:dyDescent="0.25">
      <c r="B91" s="1" t="s">
        <v>4</v>
      </c>
      <c r="C91" s="1" t="s">
        <v>190</v>
      </c>
      <c r="D91" s="43"/>
      <c r="E91" s="60"/>
    </row>
    <row r="92" spans="2:5" ht="15.95" customHeight="1" x14ac:dyDescent="0.25">
      <c r="B92" s="17"/>
      <c r="C92" s="10"/>
      <c r="D92" s="43"/>
    </row>
    <row r="93" spans="2:5" ht="15.95" customHeight="1" x14ac:dyDescent="0.25">
      <c r="B93" s="18" t="s">
        <v>68</v>
      </c>
      <c r="C93" s="34">
        <v>72844880</v>
      </c>
      <c r="D93" s="43"/>
      <c r="E93" s="25"/>
    </row>
    <row r="94" spans="2:5" ht="15.95" customHeight="1" x14ac:dyDescent="0.25">
      <c r="B94" s="18" t="s">
        <v>69</v>
      </c>
      <c r="C94" s="34">
        <v>53582040</v>
      </c>
      <c r="D94" s="43"/>
      <c r="E94" s="25"/>
    </row>
    <row r="95" spans="2:5" ht="15.95" customHeight="1" x14ac:dyDescent="0.25">
      <c r="B95" s="18" t="s">
        <v>70</v>
      </c>
      <c r="C95" s="34">
        <v>23298080</v>
      </c>
      <c r="D95" s="43"/>
      <c r="E95" s="25"/>
    </row>
    <row r="96" spans="2:5" ht="15.95" customHeight="1" x14ac:dyDescent="0.25">
      <c r="B96" s="18"/>
      <c r="C96" s="12"/>
      <c r="D96" s="43"/>
    </row>
    <row r="97" spans="2:5" ht="15.95" customHeight="1" x14ac:dyDescent="0.25">
      <c r="B97" s="1" t="s">
        <v>0</v>
      </c>
      <c r="C97" s="33">
        <f>SUM(C93:C96)</f>
        <v>149725000</v>
      </c>
      <c r="D97" s="43"/>
      <c r="E97" s="55"/>
    </row>
    <row r="98" spans="2:5" ht="15.95" customHeight="1" x14ac:dyDescent="0.25">
      <c r="D98" s="43"/>
    </row>
    <row r="99" spans="2:5" ht="15.95" customHeight="1" x14ac:dyDescent="0.25">
      <c r="B99" s="4" t="s">
        <v>71</v>
      </c>
      <c r="D99" s="43"/>
    </row>
    <row r="100" spans="2:5" ht="15.95" customHeight="1" x14ac:dyDescent="0.25">
      <c r="B100" s="1" t="s">
        <v>4</v>
      </c>
      <c r="C100" s="1" t="s">
        <v>190</v>
      </c>
      <c r="D100" s="43"/>
      <c r="E100" s="54"/>
    </row>
    <row r="101" spans="2:5" ht="15.95" customHeight="1" x14ac:dyDescent="0.25">
      <c r="B101" s="17"/>
      <c r="C101" s="10"/>
      <c r="D101" s="43"/>
    </row>
    <row r="102" spans="2:5" ht="15.95" customHeight="1" x14ac:dyDescent="0.25">
      <c r="B102" s="18" t="s">
        <v>121</v>
      </c>
      <c r="C102" s="29">
        <v>145345319.94999999</v>
      </c>
      <c r="D102" s="43"/>
      <c r="E102" s="25"/>
    </row>
    <row r="103" spans="2:5" ht="15.95" customHeight="1" x14ac:dyDescent="0.25">
      <c r="B103" s="18"/>
      <c r="C103" s="12"/>
      <c r="D103" s="43"/>
    </row>
    <row r="104" spans="2:5" ht="15.95" customHeight="1" x14ac:dyDescent="0.25">
      <c r="B104" s="1" t="s">
        <v>0</v>
      </c>
      <c r="C104" s="33">
        <f>SUM(C101:C102)</f>
        <v>145345319.94999999</v>
      </c>
      <c r="D104" s="43"/>
      <c r="E104" s="55"/>
    </row>
    <row r="105" spans="2:5" ht="15.95" customHeight="1" x14ac:dyDescent="0.25">
      <c r="D105" s="43"/>
    </row>
    <row r="106" spans="2:5" ht="15.95" customHeight="1" x14ac:dyDescent="0.25">
      <c r="B106" s="4" t="s">
        <v>72</v>
      </c>
      <c r="D106" s="43"/>
    </row>
    <row r="107" spans="2:5" ht="15.95" customHeight="1" x14ac:dyDescent="0.25">
      <c r="B107" s="1" t="s">
        <v>4</v>
      </c>
      <c r="C107" s="1" t="s">
        <v>190</v>
      </c>
      <c r="D107" s="43"/>
      <c r="E107" s="54"/>
    </row>
    <row r="108" spans="2:5" ht="15.95" customHeight="1" x14ac:dyDescent="0.25">
      <c r="B108" s="17"/>
      <c r="C108" s="40"/>
      <c r="D108" s="43"/>
      <c r="E108" s="25"/>
    </row>
    <row r="109" spans="2:5" ht="15.95" customHeight="1" x14ac:dyDescent="0.25">
      <c r="B109" s="18" t="s">
        <v>73</v>
      </c>
      <c r="C109" s="29"/>
      <c r="D109" s="43"/>
      <c r="E109" s="25"/>
    </row>
    <row r="110" spans="2:5" ht="15.95" customHeight="1" x14ac:dyDescent="0.25">
      <c r="B110" s="21" t="s">
        <v>75</v>
      </c>
      <c r="C110" s="29">
        <v>95584.44</v>
      </c>
      <c r="D110" s="43"/>
      <c r="E110" s="25"/>
    </row>
    <row r="111" spans="2:5" ht="15.95" customHeight="1" x14ac:dyDescent="0.25">
      <c r="B111" s="21" t="s">
        <v>74</v>
      </c>
      <c r="C111" s="29">
        <v>400</v>
      </c>
      <c r="D111" s="43"/>
      <c r="E111" s="25"/>
    </row>
    <row r="112" spans="2:5" ht="15.95" customHeight="1" x14ac:dyDescent="0.25">
      <c r="B112" s="18"/>
      <c r="C112" s="29"/>
      <c r="D112" s="43"/>
      <c r="E112" s="25"/>
    </row>
    <row r="113" spans="2:5" ht="15.95" customHeight="1" x14ac:dyDescent="0.25">
      <c r="B113" s="18" t="s">
        <v>76</v>
      </c>
      <c r="C113" s="29">
        <v>28999</v>
      </c>
      <c r="D113" s="43"/>
      <c r="E113" s="25"/>
    </row>
    <row r="114" spans="2:5" ht="15.95" customHeight="1" x14ac:dyDescent="0.25">
      <c r="B114" s="18"/>
      <c r="C114" s="29"/>
      <c r="D114" s="43"/>
      <c r="E114" s="25"/>
    </row>
    <row r="115" spans="2:5" ht="15.95" customHeight="1" x14ac:dyDescent="0.25">
      <c r="B115" s="1" t="s">
        <v>0</v>
      </c>
      <c r="C115" s="33">
        <f>SUM(C110:C113)</f>
        <v>124983.44</v>
      </c>
      <c r="D115" s="43"/>
      <c r="E115" s="55"/>
    </row>
    <row r="116" spans="2:5" ht="15.95" customHeight="1" x14ac:dyDescent="0.25">
      <c r="D116" s="43"/>
    </row>
    <row r="117" spans="2:5" ht="15.95" customHeight="1" x14ac:dyDescent="0.25">
      <c r="B117" s="4" t="s">
        <v>77</v>
      </c>
      <c r="D117" s="43"/>
    </row>
    <row r="118" spans="2:5" ht="15.95" customHeight="1" x14ac:dyDescent="0.25">
      <c r="B118" s="1" t="s">
        <v>4</v>
      </c>
      <c r="C118" s="1" t="s">
        <v>190</v>
      </c>
      <c r="D118" s="43"/>
      <c r="E118" s="54"/>
    </row>
    <row r="119" spans="2:5" ht="15.95" customHeight="1" x14ac:dyDescent="0.25">
      <c r="B119" s="17"/>
      <c r="C119" s="10"/>
      <c r="D119" s="43"/>
    </row>
    <row r="120" spans="2:5" ht="15.95" customHeight="1" x14ac:dyDescent="0.25">
      <c r="B120" s="20" t="s">
        <v>78</v>
      </c>
      <c r="C120" s="29"/>
      <c r="D120" s="43"/>
      <c r="E120" s="25"/>
    </row>
    <row r="121" spans="2:5" ht="15.95" customHeight="1" x14ac:dyDescent="0.25">
      <c r="B121" s="21" t="s">
        <v>79</v>
      </c>
      <c r="C121" s="29">
        <f>929991+400+1700+85970+2000</f>
        <v>1020061</v>
      </c>
      <c r="D121" s="43"/>
      <c r="E121" s="25"/>
    </row>
    <row r="122" spans="2:5" ht="15.95" customHeight="1" x14ac:dyDescent="0.25">
      <c r="B122" s="21" t="s">
        <v>214</v>
      </c>
      <c r="C122" s="29">
        <v>4000000</v>
      </c>
      <c r="D122" s="43"/>
      <c r="E122" s="25"/>
    </row>
    <row r="123" spans="2:5" ht="15.95" customHeight="1" x14ac:dyDescent="0.25">
      <c r="B123" s="21" t="s">
        <v>215</v>
      </c>
      <c r="C123" s="29">
        <v>4130000</v>
      </c>
      <c r="D123" s="43"/>
      <c r="E123" s="25"/>
    </row>
    <row r="124" spans="2:5" ht="15.95" customHeight="1" x14ac:dyDescent="0.25">
      <c r="B124" s="21" t="s">
        <v>152</v>
      </c>
      <c r="C124" s="29">
        <v>6756672</v>
      </c>
      <c r="D124" s="43"/>
      <c r="E124" s="25"/>
    </row>
    <row r="125" spans="2:5" ht="15.95" customHeight="1" x14ac:dyDescent="0.25">
      <c r="B125" s="21" t="s">
        <v>175</v>
      </c>
      <c r="C125" s="29">
        <v>30000</v>
      </c>
      <c r="D125" s="43"/>
      <c r="E125" s="25"/>
    </row>
    <row r="126" spans="2:5" ht="15.95" customHeight="1" x14ac:dyDescent="0.25">
      <c r="B126" s="18"/>
      <c r="C126" s="29"/>
      <c r="D126" s="43"/>
      <c r="E126" s="25"/>
    </row>
    <row r="127" spans="2:5" ht="15.95" customHeight="1" x14ac:dyDescent="0.25">
      <c r="B127" s="20" t="s">
        <v>80</v>
      </c>
      <c r="C127" s="29"/>
      <c r="D127" s="43"/>
      <c r="E127" s="25"/>
    </row>
    <row r="128" spans="2:5" ht="15.95" customHeight="1" x14ac:dyDescent="0.25">
      <c r="B128" s="21" t="s">
        <v>218</v>
      </c>
      <c r="C128" s="29">
        <f>600000+61000+4000000+5000000</f>
        <v>9661000</v>
      </c>
      <c r="D128" s="43"/>
      <c r="E128" s="25"/>
    </row>
    <row r="129" spans="2:9" ht="15.95" customHeight="1" x14ac:dyDescent="0.25">
      <c r="B129" s="21" t="s">
        <v>160</v>
      </c>
      <c r="C129" s="29">
        <v>2000000</v>
      </c>
      <c r="D129" s="43"/>
      <c r="E129" s="25"/>
    </row>
    <row r="130" spans="2:9" ht="15.95" customHeight="1" x14ac:dyDescent="0.25">
      <c r="B130" s="21" t="s">
        <v>120</v>
      </c>
      <c r="C130" s="29">
        <f>4871.27+1965.76+688968.49</f>
        <v>695805.52</v>
      </c>
      <c r="D130" s="43"/>
      <c r="E130" s="25"/>
    </row>
    <row r="131" spans="2:9" ht="15.95" customHeight="1" x14ac:dyDescent="0.25">
      <c r="B131" s="21" t="s">
        <v>178</v>
      </c>
      <c r="C131" s="29">
        <v>171187.74</v>
      </c>
      <c r="D131" s="43"/>
      <c r="E131" s="25"/>
    </row>
    <row r="132" spans="2:9" ht="15.95" customHeight="1" x14ac:dyDescent="0.25">
      <c r="B132" s="21" t="s">
        <v>153</v>
      </c>
      <c r="C132" s="29">
        <v>20042</v>
      </c>
      <c r="D132" s="43"/>
      <c r="E132" s="25"/>
    </row>
    <row r="133" spans="2:9" ht="15.95" customHeight="1" x14ac:dyDescent="0.25">
      <c r="B133" s="21" t="s">
        <v>183</v>
      </c>
      <c r="C133" s="29">
        <v>3808836</v>
      </c>
      <c r="D133" s="43"/>
      <c r="E133" s="25"/>
    </row>
    <row r="134" spans="2:9" ht="15.95" customHeight="1" x14ac:dyDescent="0.25">
      <c r="B134" s="21" t="s">
        <v>216</v>
      </c>
      <c r="C134" s="29">
        <v>38406.6</v>
      </c>
      <c r="D134" s="43"/>
      <c r="E134" s="25"/>
    </row>
    <row r="135" spans="2:9" ht="15.95" customHeight="1" x14ac:dyDescent="0.25">
      <c r="B135" s="21" t="s">
        <v>217</v>
      </c>
      <c r="C135" s="29">
        <v>175360</v>
      </c>
      <c r="D135" s="43"/>
      <c r="E135" s="25"/>
    </row>
    <row r="136" spans="2:9" ht="15.95" customHeight="1" x14ac:dyDescent="0.25">
      <c r="B136" s="21"/>
      <c r="C136" s="29"/>
      <c r="D136" s="43"/>
      <c r="E136" s="25"/>
    </row>
    <row r="137" spans="2:9" ht="15.95" customHeight="1" x14ac:dyDescent="0.25">
      <c r="B137" s="21" t="s">
        <v>176</v>
      </c>
      <c r="C137" s="29">
        <v>1371332</v>
      </c>
      <c r="D137" s="43"/>
      <c r="E137" s="25"/>
      <c r="F137" s="43"/>
      <c r="G137" s="43"/>
      <c r="H137" s="43"/>
      <c r="I137" s="43"/>
    </row>
    <row r="138" spans="2:9" ht="15.95" customHeight="1" x14ac:dyDescent="0.25">
      <c r="B138" s="21" t="s">
        <v>177</v>
      </c>
      <c r="C138" s="29">
        <v>11539363.32</v>
      </c>
      <c r="D138" s="43"/>
      <c r="E138" s="25"/>
    </row>
    <row r="139" spans="2:9" s="43" customFormat="1" ht="15.95" customHeight="1" x14ac:dyDescent="0.25">
      <c r="B139" s="41"/>
      <c r="C139" s="42"/>
      <c r="E139" s="59"/>
      <c r="F139" s="3"/>
      <c r="G139" s="3"/>
      <c r="H139" s="3"/>
      <c r="I139" s="3"/>
    </row>
    <row r="140" spans="2:9" ht="15.95" customHeight="1" x14ac:dyDescent="0.25">
      <c r="B140" s="1" t="s">
        <v>0</v>
      </c>
      <c r="C140" s="33">
        <f>SUM(C120:C138)</f>
        <v>45418066.18</v>
      </c>
      <c r="D140" s="43"/>
      <c r="E140" s="55"/>
    </row>
    <row r="141" spans="2:9" ht="15.95" customHeight="1" x14ac:dyDescent="0.25">
      <c r="D141" s="43"/>
    </row>
    <row r="142" spans="2:9" ht="15.95" customHeight="1" x14ac:dyDescent="0.25">
      <c r="B142" s="4" t="s">
        <v>81</v>
      </c>
      <c r="D142" s="43"/>
    </row>
    <row r="143" spans="2:9" ht="19.5" customHeight="1" x14ac:dyDescent="0.25">
      <c r="B143" s="1" t="s">
        <v>4</v>
      </c>
      <c r="C143" s="1" t="s">
        <v>190</v>
      </c>
      <c r="D143" s="43"/>
      <c r="E143" s="54"/>
    </row>
    <row r="144" spans="2:9" ht="15.95" customHeight="1" x14ac:dyDescent="0.25">
      <c r="B144" s="17"/>
      <c r="C144" s="10"/>
      <c r="D144" s="43"/>
    </row>
    <row r="145" spans="2:5" ht="15.95" customHeight="1" x14ac:dyDescent="0.25">
      <c r="B145" s="18" t="s">
        <v>82</v>
      </c>
      <c r="C145" s="29">
        <v>691698647.91999996</v>
      </c>
      <c r="D145" s="43"/>
      <c r="E145" s="25"/>
    </row>
    <row r="146" spans="2:5" ht="15.95" customHeight="1" x14ac:dyDescent="0.25">
      <c r="B146" s="18" t="s">
        <v>161</v>
      </c>
      <c r="C146" s="29">
        <v>2674051.59</v>
      </c>
      <c r="D146" s="43"/>
      <c r="E146" s="25"/>
    </row>
    <row r="147" spans="2:5" ht="15.95" customHeight="1" x14ac:dyDescent="0.25">
      <c r="B147" s="18"/>
      <c r="C147" s="12"/>
      <c r="D147" s="43"/>
    </row>
    <row r="148" spans="2:5" ht="15.95" customHeight="1" x14ac:dyDescent="0.25">
      <c r="B148" s="1" t="s">
        <v>0</v>
      </c>
      <c r="C148" s="33">
        <f>SUM(C145:C147)</f>
        <v>694372699.50999999</v>
      </c>
      <c r="D148" s="43"/>
      <c r="E148" s="55"/>
    </row>
    <row r="149" spans="2:5" ht="15.95" customHeight="1" x14ac:dyDescent="0.25">
      <c r="D149" s="43"/>
    </row>
    <row r="150" spans="2:5" ht="15.95" customHeight="1" x14ac:dyDescent="0.25">
      <c r="B150" s="4" t="s">
        <v>83</v>
      </c>
      <c r="D150" s="43"/>
    </row>
    <row r="151" spans="2:5" ht="21" customHeight="1" x14ac:dyDescent="0.25">
      <c r="B151" s="1" t="s">
        <v>4</v>
      </c>
      <c r="C151" s="1" t="s">
        <v>190</v>
      </c>
      <c r="D151" s="43"/>
      <c r="E151" s="54"/>
    </row>
    <row r="152" spans="2:5" ht="15.95" customHeight="1" x14ac:dyDescent="0.25">
      <c r="B152" s="17"/>
      <c r="C152" s="10"/>
      <c r="D152" s="43"/>
    </row>
    <row r="153" spans="2:5" ht="15.95" customHeight="1" x14ac:dyDescent="0.25">
      <c r="B153" s="18" t="s">
        <v>109</v>
      </c>
      <c r="C153" s="29">
        <f>568689</f>
        <v>568689</v>
      </c>
      <c r="D153" s="43"/>
      <c r="E153" s="25"/>
    </row>
    <row r="154" spans="2:5" ht="15.95" customHeight="1" x14ac:dyDescent="0.25">
      <c r="B154" s="18" t="s">
        <v>7</v>
      </c>
      <c r="C154" s="29">
        <f>56929.21+951550.47-107836.28+208711+14329.93</f>
        <v>1123684.3299999998</v>
      </c>
      <c r="D154" s="43"/>
      <c r="E154" s="25"/>
    </row>
    <row r="155" spans="2:5" ht="15.95" customHeight="1" x14ac:dyDescent="0.25">
      <c r="B155" s="18"/>
      <c r="C155" s="29"/>
      <c r="D155" s="43"/>
      <c r="E155" s="25"/>
    </row>
    <row r="156" spans="2:5" ht="15.95" customHeight="1" x14ac:dyDescent="0.25">
      <c r="B156" s="1" t="s">
        <v>0</v>
      </c>
      <c r="C156" s="33">
        <f>SUM(C153:C155)</f>
        <v>1692373.3299999998</v>
      </c>
      <c r="D156" s="43"/>
      <c r="E156" s="55"/>
    </row>
    <row r="157" spans="2:5" ht="15.95" customHeight="1" x14ac:dyDescent="0.25">
      <c r="D157" s="43"/>
    </row>
    <row r="158" spans="2:5" ht="15.95" customHeight="1" x14ac:dyDescent="0.25">
      <c r="B158" s="4" t="s">
        <v>84</v>
      </c>
      <c r="D158" s="43"/>
    </row>
    <row r="159" spans="2:5" ht="20.25" customHeight="1" x14ac:dyDescent="0.25">
      <c r="B159" s="1" t="s">
        <v>4</v>
      </c>
      <c r="C159" s="1" t="s">
        <v>190</v>
      </c>
      <c r="D159" s="43"/>
      <c r="E159" s="54"/>
    </row>
    <row r="160" spans="2:5" ht="15.95" customHeight="1" x14ac:dyDescent="0.25">
      <c r="B160" s="17"/>
      <c r="C160" s="10"/>
      <c r="D160" s="43"/>
    </row>
    <row r="161" spans="2:5" ht="15.95" customHeight="1" x14ac:dyDescent="0.25">
      <c r="B161" s="18" t="s">
        <v>85</v>
      </c>
      <c r="C161" s="29">
        <f>542112924.62+36941672.45+577653.12+27297791+482866</f>
        <v>607412907.19000006</v>
      </c>
      <c r="D161" s="43"/>
      <c r="E161" s="25"/>
    </row>
    <row r="162" spans="2:5" ht="15.95" customHeight="1" x14ac:dyDescent="0.25">
      <c r="B162" s="18" t="s">
        <v>86</v>
      </c>
      <c r="C162" s="29">
        <f>5362972.43+123100.87</f>
        <v>5486073.2999999998</v>
      </c>
      <c r="D162" s="43"/>
      <c r="E162" s="25"/>
    </row>
    <row r="163" spans="2:5" ht="15.95" customHeight="1" x14ac:dyDescent="0.25">
      <c r="B163" s="18" t="s">
        <v>87</v>
      </c>
      <c r="C163" s="29">
        <f>1080000+321700</f>
        <v>1401700</v>
      </c>
      <c r="D163" s="43"/>
      <c r="E163" s="25"/>
    </row>
    <row r="164" spans="2:5" ht="15.95" customHeight="1" x14ac:dyDescent="0.25">
      <c r="B164" s="18" t="s">
        <v>88</v>
      </c>
      <c r="C164" s="29">
        <v>7888907</v>
      </c>
      <c r="D164" s="43"/>
      <c r="E164" s="25"/>
    </row>
    <row r="165" spans="2:5" ht="15.95" customHeight="1" x14ac:dyDescent="0.25">
      <c r="B165" s="18" t="s">
        <v>89</v>
      </c>
      <c r="C165" s="29">
        <v>23978319</v>
      </c>
      <c r="D165" s="43"/>
      <c r="E165" s="25"/>
    </row>
    <row r="166" spans="2:5" ht="15.95" customHeight="1" x14ac:dyDescent="0.25">
      <c r="B166" s="18" t="s">
        <v>110</v>
      </c>
      <c r="C166" s="29">
        <f>109760+942081.26+40702+871686+11564+8018.56+2125</f>
        <v>1985936.82</v>
      </c>
      <c r="D166" s="43"/>
      <c r="E166" s="25"/>
    </row>
    <row r="167" spans="2:5" ht="15.95" customHeight="1" x14ac:dyDescent="0.25">
      <c r="B167" s="18"/>
      <c r="C167" s="12"/>
      <c r="D167" s="43"/>
    </row>
    <row r="168" spans="2:5" ht="15.95" customHeight="1" x14ac:dyDescent="0.25">
      <c r="B168" s="1" t="s">
        <v>0</v>
      </c>
      <c r="C168" s="33">
        <f>SUM(C161:C166)</f>
        <v>648153843.31000006</v>
      </c>
      <c r="D168" s="43"/>
      <c r="E168" s="55"/>
    </row>
    <row r="169" spans="2:5" ht="15.95" customHeight="1" x14ac:dyDescent="0.25">
      <c r="D169" s="43"/>
    </row>
    <row r="170" spans="2:5" ht="15.95" customHeight="1" x14ac:dyDescent="0.25">
      <c r="B170" s="4" t="s">
        <v>90</v>
      </c>
      <c r="D170" s="43"/>
    </row>
    <row r="171" spans="2:5" ht="20.25" customHeight="1" x14ac:dyDescent="0.25">
      <c r="B171" s="1" t="s">
        <v>4</v>
      </c>
      <c r="C171" s="1" t="s">
        <v>190</v>
      </c>
      <c r="D171" s="43"/>
      <c r="E171" s="54"/>
    </row>
    <row r="172" spans="2:5" ht="15.95" customHeight="1" x14ac:dyDescent="0.25">
      <c r="B172" s="17"/>
      <c r="C172" s="17"/>
      <c r="D172" s="43"/>
    </row>
    <row r="173" spans="2:5" ht="15.95" customHeight="1" x14ac:dyDescent="0.25">
      <c r="B173" s="20" t="s">
        <v>94</v>
      </c>
      <c r="C173" s="34"/>
      <c r="D173" s="43"/>
      <c r="E173" s="25"/>
    </row>
    <row r="174" spans="2:5" ht="15.95" customHeight="1" x14ac:dyDescent="0.25">
      <c r="B174" s="21" t="s">
        <v>91</v>
      </c>
      <c r="C174" s="34">
        <v>58174190</v>
      </c>
      <c r="D174" s="43"/>
      <c r="E174" s="25"/>
    </row>
    <row r="175" spans="2:5" ht="15.95" customHeight="1" x14ac:dyDescent="0.25">
      <c r="B175" s="21" t="s">
        <v>92</v>
      </c>
      <c r="C175" s="34">
        <v>25014140</v>
      </c>
      <c r="D175" s="43"/>
      <c r="E175" s="25"/>
    </row>
    <row r="176" spans="2:5" ht="15.95" customHeight="1" x14ac:dyDescent="0.25">
      <c r="B176" s="21" t="s">
        <v>93</v>
      </c>
      <c r="C176" s="34">
        <v>11313050</v>
      </c>
      <c r="D176" s="43"/>
      <c r="E176" s="25"/>
    </row>
    <row r="177" spans="2:5" ht="15.95" customHeight="1" thickBot="1" x14ac:dyDescent="0.3">
      <c r="B177" s="18"/>
      <c r="C177" s="37">
        <f>SUM(C174:C176)</f>
        <v>94501380</v>
      </c>
      <c r="D177" s="43"/>
      <c r="E177" s="55"/>
    </row>
    <row r="178" spans="2:5" ht="15.95" customHeight="1" thickTop="1" x14ac:dyDescent="0.25">
      <c r="B178" s="20" t="s">
        <v>111</v>
      </c>
      <c r="C178" s="34"/>
      <c r="D178" s="43"/>
      <c r="E178" s="25"/>
    </row>
    <row r="179" spans="2:5" ht="15.95" customHeight="1" x14ac:dyDescent="0.25">
      <c r="B179" s="21" t="s">
        <v>91</v>
      </c>
      <c r="C179" s="34">
        <v>72844880</v>
      </c>
      <c r="D179" s="43"/>
      <c r="E179" s="25"/>
    </row>
    <row r="180" spans="2:5" ht="15.95" customHeight="1" x14ac:dyDescent="0.25">
      <c r="B180" s="21" t="s">
        <v>92</v>
      </c>
      <c r="C180" s="34">
        <v>53582040</v>
      </c>
      <c r="D180" s="43"/>
      <c r="E180" s="25"/>
    </row>
    <row r="181" spans="2:5" ht="15.95" customHeight="1" x14ac:dyDescent="0.25">
      <c r="B181" s="21" t="s">
        <v>93</v>
      </c>
      <c r="C181" s="34">
        <v>23298080</v>
      </c>
      <c r="D181" s="43"/>
      <c r="E181" s="25"/>
    </row>
    <row r="182" spans="2:5" ht="15.95" customHeight="1" thickBot="1" x14ac:dyDescent="0.3">
      <c r="B182" s="21"/>
      <c r="C182" s="37">
        <f>SUM(C179:C181)</f>
        <v>149725000</v>
      </c>
      <c r="D182" s="43"/>
      <c r="E182" s="55"/>
    </row>
    <row r="183" spans="2:5" ht="15.95" customHeight="1" thickTop="1" x14ac:dyDescent="0.25">
      <c r="B183" s="18"/>
      <c r="C183" s="18"/>
      <c r="D183" s="43"/>
    </row>
    <row r="184" spans="2:5" ht="15.95" customHeight="1" x14ac:dyDescent="0.25">
      <c r="B184" s="1" t="s">
        <v>0</v>
      </c>
      <c r="C184" s="5">
        <f>+C177-C182</f>
        <v>-55223620</v>
      </c>
      <c r="D184" s="43">
        <f>C174-C179</f>
        <v>-14670690</v>
      </c>
      <c r="E184" s="55"/>
    </row>
    <row r="185" spans="2:5" ht="15.95" customHeight="1" x14ac:dyDescent="0.25">
      <c r="D185" s="43"/>
    </row>
    <row r="186" spans="2:5" ht="15.95" customHeight="1" x14ac:dyDescent="0.25">
      <c r="B186" s="4" t="s">
        <v>95</v>
      </c>
      <c r="D186" s="43"/>
    </row>
    <row r="187" spans="2:5" ht="20.25" customHeight="1" x14ac:dyDescent="0.25">
      <c r="B187" s="1" t="s">
        <v>4</v>
      </c>
      <c r="C187" s="1" t="s">
        <v>190</v>
      </c>
      <c r="D187" s="43"/>
      <c r="E187" s="54"/>
    </row>
    <row r="188" spans="2:5" ht="15.95" customHeight="1" x14ac:dyDescent="0.25">
      <c r="B188" s="17"/>
      <c r="C188" s="10"/>
      <c r="D188" s="43"/>
    </row>
    <row r="189" spans="2:5" ht="15.95" customHeight="1" x14ac:dyDescent="0.25">
      <c r="B189" s="18" t="s">
        <v>96</v>
      </c>
      <c r="C189" s="29">
        <v>6647235</v>
      </c>
      <c r="D189" s="43"/>
      <c r="E189" s="25"/>
    </row>
    <row r="190" spans="2:5" ht="15.95" customHeight="1" x14ac:dyDescent="0.25">
      <c r="B190" s="18" t="s">
        <v>97</v>
      </c>
      <c r="C190" s="29">
        <v>1294041.3400000001</v>
      </c>
      <c r="D190" s="43"/>
      <c r="E190" s="25"/>
    </row>
    <row r="191" spans="2:5" ht="15.95" customHeight="1" x14ac:dyDescent="0.25">
      <c r="B191" s="18" t="s">
        <v>98</v>
      </c>
      <c r="C191" s="29">
        <v>3600000</v>
      </c>
      <c r="D191" s="43"/>
      <c r="E191" s="25"/>
    </row>
    <row r="192" spans="2:5" ht="15.95" customHeight="1" x14ac:dyDescent="0.25">
      <c r="B192" s="18" t="s">
        <v>99</v>
      </c>
      <c r="C192" s="29">
        <f>37835+12347+146388</f>
        <v>196570</v>
      </c>
      <c r="D192" s="43"/>
      <c r="E192" s="25"/>
    </row>
    <row r="193" spans="2:5" ht="15.95" customHeight="1" x14ac:dyDescent="0.25">
      <c r="B193" s="18"/>
      <c r="C193" s="29"/>
      <c r="D193" s="43"/>
      <c r="E193" s="25"/>
    </row>
    <row r="194" spans="2:5" ht="15.95" customHeight="1" x14ac:dyDescent="0.25">
      <c r="B194" s="1" t="s">
        <v>0</v>
      </c>
      <c r="C194" s="33">
        <f>SUM(C189:C193)</f>
        <v>11737846.34</v>
      </c>
      <c r="D194" s="43"/>
      <c r="E194" s="55"/>
    </row>
    <row r="195" spans="2:5" ht="15.95" customHeight="1" x14ac:dyDescent="0.25">
      <c r="D195" s="43"/>
    </row>
    <row r="196" spans="2:5" ht="15.95" customHeight="1" x14ac:dyDescent="0.25">
      <c r="B196" s="4" t="s">
        <v>100</v>
      </c>
      <c r="D196" s="43"/>
    </row>
    <row r="197" spans="2:5" ht="21" customHeight="1" x14ac:dyDescent="0.25">
      <c r="B197" s="1" t="s">
        <v>4</v>
      </c>
      <c r="C197" s="1" t="s">
        <v>190</v>
      </c>
      <c r="D197" s="43"/>
      <c r="E197" s="54"/>
    </row>
    <row r="198" spans="2:5" ht="15.95" customHeight="1" x14ac:dyDescent="0.25">
      <c r="B198" s="17"/>
      <c r="C198" s="10"/>
      <c r="D198" s="43"/>
    </row>
    <row r="199" spans="2:5" ht="15.95" customHeight="1" x14ac:dyDescent="0.25">
      <c r="B199" s="65" t="s">
        <v>162</v>
      </c>
      <c r="C199" s="29">
        <v>6045051</v>
      </c>
      <c r="D199" s="43">
        <f>C199/10^7</f>
        <v>0.60450510000000002</v>
      </c>
      <c r="E199" s="25"/>
    </row>
    <row r="200" spans="2:5" ht="15.95" customHeight="1" x14ac:dyDescent="0.25">
      <c r="B200" s="18" t="s">
        <v>191</v>
      </c>
      <c r="C200" s="29">
        <v>872211.83</v>
      </c>
      <c r="D200" s="43">
        <f t="shared" ref="D200:D216" si="0">C200/10^7</f>
        <v>8.7221182999999994E-2</v>
      </c>
      <c r="E200" s="25"/>
    </row>
    <row r="201" spans="2:5" ht="15.95" customHeight="1" x14ac:dyDescent="0.25">
      <c r="B201" s="18" t="s">
        <v>192</v>
      </c>
      <c r="C201" s="29">
        <v>3134625.52</v>
      </c>
      <c r="D201" s="43">
        <f t="shared" si="0"/>
        <v>0.31346255200000001</v>
      </c>
      <c r="E201" s="25"/>
    </row>
    <row r="202" spans="2:5" ht="15.95" customHeight="1" x14ac:dyDescent="0.25">
      <c r="B202" s="18" t="s">
        <v>193</v>
      </c>
      <c r="C202" s="29">
        <v>897462.09</v>
      </c>
      <c r="D202" s="43">
        <f t="shared" si="0"/>
        <v>8.9746208999999993E-2</v>
      </c>
      <c r="E202" s="25"/>
    </row>
    <row r="203" spans="2:5" ht="15.95" customHeight="1" x14ac:dyDescent="0.25">
      <c r="B203" s="18" t="s">
        <v>194</v>
      </c>
      <c r="C203" s="29">
        <v>682333.35</v>
      </c>
      <c r="D203" s="43">
        <f t="shared" si="0"/>
        <v>6.8233334999999992E-2</v>
      </c>
      <c r="E203" s="25"/>
    </row>
    <row r="204" spans="2:5" ht="15.95" customHeight="1" x14ac:dyDescent="0.25">
      <c r="B204" s="18" t="s">
        <v>195</v>
      </c>
      <c r="C204" s="29">
        <v>695528</v>
      </c>
      <c r="D204" s="43">
        <f t="shared" si="0"/>
        <v>6.9552799999999998E-2</v>
      </c>
      <c r="E204" s="25"/>
    </row>
    <row r="205" spans="2:5" ht="15.95" customHeight="1" x14ac:dyDescent="0.25">
      <c r="B205" s="18" t="s">
        <v>196</v>
      </c>
      <c r="C205" s="29">
        <v>1232892</v>
      </c>
      <c r="D205" s="43">
        <f t="shared" si="0"/>
        <v>0.1232892</v>
      </c>
      <c r="E205" s="25"/>
    </row>
    <row r="206" spans="2:5" ht="15.95" customHeight="1" x14ac:dyDescent="0.25">
      <c r="B206" s="18" t="s">
        <v>197</v>
      </c>
      <c r="C206" s="29">
        <v>4949067</v>
      </c>
      <c r="D206" s="43">
        <f t="shared" si="0"/>
        <v>0.49490669999999998</v>
      </c>
      <c r="E206" s="25"/>
    </row>
    <row r="207" spans="2:5" ht="15.95" customHeight="1" x14ac:dyDescent="0.25">
      <c r="B207" s="18" t="s">
        <v>198</v>
      </c>
      <c r="C207" s="29">
        <v>1333020</v>
      </c>
      <c r="D207" s="43">
        <f t="shared" si="0"/>
        <v>0.133302</v>
      </c>
      <c r="E207" s="25"/>
    </row>
    <row r="208" spans="2:5" ht="15.95" customHeight="1" x14ac:dyDescent="0.25">
      <c r="B208" s="18" t="s">
        <v>199</v>
      </c>
      <c r="C208" s="29">
        <v>854529</v>
      </c>
      <c r="D208" s="43">
        <f t="shared" si="0"/>
        <v>8.5452899999999998E-2</v>
      </c>
      <c r="E208" s="25"/>
    </row>
    <row r="209" spans="2:5" ht="15.95" customHeight="1" x14ac:dyDescent="0.25">
      <c r="B209" s="65" t="s">
        <v>163</v>
      </c>
      <c r="C209" s="29">
        <v>3170533</v>
      </c>
      <c r="D209" s="43">
        <f t="shared" si="0"/>
        <v>0.31705329999999998</v>
      </c>
      <c r="E209" s="25"/>
    </row>
    <row r="210" spans="2:5" ht="15.95" customHeight="1" x14ac:dyDescent="0.25">
      <c r="B210" s="18" t="s">
        <v>202</v>
      </c>
      <c r="C210" s="29">
        <v>39560</v>
      </c>
      <c r="D210" s="43">
        <f t="shared" si="0"/>
        <v>3.9560000000000003E-3</v>
      </c>
      <c r="E210" s="25"/>
    </row>
    <row r="211" spans="2:5" ht="15.95" customHeight="1" x14ac:dyDescent="0.25">
      <c r="B211" s="65" t="s">
        <v>204</v>
      </c>
      <c r="C211" s="29">
        <v>46401.15</v>
      </c>
      <c r="D211" s="43">
        <f t="shared" si="0"/>
        <v>4.6401150000000002E-3</v>
      </c>
      <c r="E211" s="25"/>
    </row>
    <row r="212" spans="2:5" ht="15.95" customHeight="1" x14ac:dyDescent="0.25">
      <c r="B212" s="18" t="s">
        <v>201</v>
      </c>
      <c r="C212" s="29">
        <v>884456</v>
      </c>
      <c r="D212" s="43">
        <f t="shared" si="0"/>
        <v>8.8445599999999999E-2</v>
      </c>
      <c r="E212" s="25"/>
    </row>
    <row r="213" spans="2:5" ht="15.95" customHeight="1" x14ac:dyDescent="0.25">
      <c r="B213" s="18" t="s">
        <v>200</v>
      </c>
      <c r="C213" s="29">
        <v>1046799</v>
      </c>
      <c r="D213" s="43">
        <f t="shared" si="0"/>
        <v>0.10467990000000001</v>
      </c>
      <c r="E213" s="25"/>
    </row>
    <row r="214" spans="2:5" ht="15.95" customHeight="1" x14ac:dyDescent="0.25">
      <c r="B214" s="18" t="s">
        <v>184</v>
      </c>
      <c r="C214" s="29">
        <f>1300+91</f>
        <v>1391</v>
      </c>
      <c r="D214" s="43">
        <f t="shared" si="0"/>
        <v>1.3909999999999999E-4</v>
      </c>
      <c r="E214" s="25"/>
    </row>
    <row r="215" spans="2:5" ht="15.95" customHeight="1" x14ac:dyDescent="0.25">
      <c r="B215" s="70" t="s">
        <v>205</v>
      </c>
      <c r="C215" s="29">
        <v>157700.01999999999</v>
      </c>
      <c r="D215" s="43">
        <f t="shared" si="0"/>
        <v>1.5770001999999998E-2</v>
      </c>
      <c r="E215" s="25"/>
    </row>
    <row r="216" spans="2:5" ht="15.95" customHeight="1" x14ac:dyDescent="0.25">
      <c r="B216" s="18" t="s">
        <v>203</v>
      </c>
      <c r="C216" s="29">
        <v>45993</v>
      </c>
      <c r="D216" s="43">
        <f t="shared" si="0"/>
        <v>4.5992999999999997E-3</v>
      </c>
      <c r="E216" s="25"/>
    </row>
    <row r="217" spans="2:5" ht="15.95" customHeight="1" x14ac:dyDescent="0.25">
      <c r="B217" s="18"/>
      <c r="C217" s="29"/>
      <c r="D217" s="43"/>
      <c r="E217" s="25"/>
    </row>
    <row r="218" spans="2:5" ht="15.95" customHeight="1" x14ac:dyDescent="0.25">
      <c r="B218" s="1" t="s">
        <v>0</v>
      </c>
      <c r="C218" s="33">
        <f>SUM(C199:C216)</f>
        <v>26089552.959999997</v>
      </c>
      <c r="D218" s="43"/>
      <c r="E218" s="55"/>
    </row>
    <row r="219" spans="2:5" ht="15.95" customHeight="1" x14ac:dyDescent="0.25">
      <c r="D219" s="43"/>
    </row>
    <row r="220" spans="2:5" ht="15.95" customHeight="1" x14ac:dyDescent="0.25">
      <c r="B220" s="4" t="s">
        <v>101</v>
      </c>
      <c r="D220" s="43"/>
    </row>
    <row r="221" spans="2:5" ht="18" customHeight="1" x14ac:dyDescent="0.25">
      <c r="B221" s="1" t="s">
        <v>4</v>
      </c>
      <c r="C221" s="1" t="s">
        <v>190</v>
      </c>
      <c r="D221" s="43"/>
      <c r="E221" s="54"/>
    </row>
    <row r="222" spans="2:5" ht="15.95" customHeight="1" x14ac:dyDescent="0.25">
      <c r="B222" s="17"/>
      <c r="C222" s="10"/>
      <c r="D222" s="43"/>
    </row>
    <row r="223" spans="2:5" ht="15.95" customHeight="1" x14ac:dyDescent="0.25">
      <c r="B223" s="18" t="s">
        <v>167</v>
      </c>
      <c r="C223" s="29">
        <v>72398</v>
      </c>
      <c r="D223" s="43"/>
    </row>
    <row r="224" spans="2:5" ht="15.95" customHeight="1" x14ac:dyDescent="0.25">
      <c r="B224" s="18" t="s">
        <v>102</v>
      </c>
      <c r="C224" s="29">
        <v>357863</v>
      </c>
      <c r="D224" s="43"/>
      <c r="E224" s="25"/>
    </row>
    <row r="225" spans="2:5" ht="15.95" customHeight="1" x14ac:dyDescent="0.25">
      <c r="B225" s="18" t="s">
        <v>103</v>
      </c>
      <c r="C225" s="29">
        <f>270976.89+11590.31</f>
        <v>282567.2</v>
      </c>
      <c r="D225" s="43"/>
      <c r="E225" s="25"/>
    </row>
    <row r="226" spans="2:5" ht="15.95" customHeight="1" x14ac:dyDescent="0.25">
      <c r="B226" s="18" t="s">
        <v>169</v>
      </c>
      <c r="C226" s="29">
        <v>151400</v>
      </c>
      <c r="D226" s="43"/>
      <c r="E226" s="25"/>
    </row>
    <row r="227" spans="2:5" ht="15.95" customHeight="1" x14ac:dyDescent="0.25">
      <c r="B227" s="18" t="s">
        <v>164</v>
      </c>
      <c r="C227" s="29">
        <v>939267</v>
      </c>
      <c r="D227" s="43"/>
      <c r="E227" s="25"/>
    </row>
    <row r="228" spans="2:5" ht="15.95" customHeight="1" x14ac:dyDescent="0.25">
      <c r="B228" s="18" t="s">
        <v>104</v>
      </c>
      <c r="C228" s="29">
        <v>366830</v>
      </c>
      <c r="D228" s="43"/>
      <c r="E228" s="25"/>
    </row>
    <row r="229" spans="2:5" ht="15.95" customHeight="1" x14ac:dyDescent="0.25">
      <c r="B229" s="18" t="s">
        <v>105</v>
      </c>
      <c r="C229" s="29">
        <f>27490+64215+161746.39+185397.71+2410777.08</f>
        <v>2849626.18</v>
      </c>
      <c r="D229" s="43"/>
      <c r="E229" s="25"/>
    </row>
    <row r="230" spans="2:5" ht="15.95" customHeight="1" x14ac:dyDescent="0.25">
      <c r="B230" s="18" t="s">
        <v>106</v>
      </c>
      <c r="C230" s="29">
        <f>2204594+228450</f>
        <v>2433044</v>
      </c>
      <c r="D230" s="43"/>
      <c r="E230" s="25"/>
    </row>
    <row r="231" spans="2:5" ht="15.95" customHeight="1" x14ac:dyDescent="0.25">
      <c r="B231" s="18" t="s">
        <v>107</v>
      </c>
      <c r="C231" s="29">
        <f>554808+2435+95220+1250+19530</f>
        <v>673243</v>
      </c>
      <c r="D231" s="43"/>
      <c r="E231" s="25"/>
    </row>
    <row r="232" spans="2:5" ht="15.95" customHeight="1" x14ac:dyDescent="0.25">
      <c r="B232" s="18" t="s">
        <v>168</v>
      </c>
      <c r="C232" s="29">
        <f>270033+733200</f>
        <v>1003233</v>
      </c>
      <c r="D232" s="43"/>
      <c r="E232" s="25"/>
    </row>
    <row r="233" spans="2:5" ht="15.95" customHeight="1" x14ac:dyDescent="0.25">
      <c r="B233" s="18" t="s">
        <v>165</v>
      </c>
      <c r="C233" s="29">
        <v>1684399</v>
      </c>
      <c r="D233" s="43"/>
      <c r="E233" s="25"/>
    </row>
    <row r="234" spans="2:5" ht="15.95" customHeight="1" x14ac:dyDescent="0.25">
      <c r="B234" s="18" t="s">
        <v>166</v>
      </c>
      <c r="C234" s="29">
        <f>112900+10750</f>
        <v>123650</v>
      </c>
      <c r="D234" s="43"/>
      <c r="E234" s="25"/>
    </row>
    <row r="235" spans="2:5" ht="15.95" customHeight="1" x14ac:dyDescent="0.25">
      <c r="B235" s="18" t="s">
        <v>112</v>
      </c>
      <c r="C235" s="29">
        <v>3028920.24</v>
      </c>
      <c r="D235" s="43"/>
      <c r="E235" s="25"/>
    </row>
    <row r="236" spans="2:5" ht="15.95" customHeight="1" x14ac:dyDescent="0.25">
      <c r="B236" s="18" t="s">
        <v>108</v>
      </c>
      <c r="C236" s="29">
        <f>2204759.97+104639.78</f>
        <v>2309399.75</v>
      </c>
      <c r="D236" s="43"/>
      <c r="E236" s="25"/>
    </row>
    <row r="237" spans="2:5" ht="15.95" customHeight="1" x14ac:dyDescent="0.25">
      <c r="B237" s="18" t="s">
        <v>113</v>
      </c>
      <c r="C237" s="29">
        <v>3530719</v>
      </c>
      <c r="D237" s="43"/>
      <c r="E237" s="25"/>
    </row>
    <row r="238" spans="2:5" ht="15.95" customHeight="1" x14ac:dyDescent="0.25">
      <c r="B238" s="18" t="s">
        <v>114</v>
      </c>
      <c r="C238" s="29">
        <f>320250+720832+188360</f>
        <v>1229442</v>
      </c>
      <c r="D238" s="43"/>
      <c r="E238" s="25"/>
    </row>
    <row r="239" spans="2:5" ht="15.95" customHeight="1" x14ac:dyDescent="0.25">
      <c r="B239" s="18" t="s">
        <v>185</v>
      </c>
      <c r="C239" s="29">
        <v>175000</v>
      </c>
      <c r="D239" s="43"/>
      <c r="E239" s="25"/>
    </row>
    <row r="240" spans="2:5" ht="15.95" customHeight="1" x14ac:dyDescent="0.25">
      <c r="B240" s="18" t="s">
        <v>151</v>
      </c>
      <c r="C240" s="29">
        <v>792660.11</v>
      </c>
      <c r="D240" s="43"/>
      <c r="E240" s="25"/>
    </row>
    <row r="241" spans="2:5" ht="15.95" customHeight="1" x14ac:dyDescent="0.25">
      <c r="B241" s="18" t="s">
        <v>115</v>
      </c>
      <c r="C241" s="29">
        <f>168941.06+6805.34+1572212+229.29</f>
        <v>1748187.69</v>
      </c>
      <c r="D241" s="43"/>
      <c r="E241" s="25"/>
    </row>
    <row r="242" spans="2:5" ht="15.95" customHeight="1" x14ac:dyDescent="0.25">
      <c r="B242" s="18" t="s">
        <v>159</v>
      </c>
      <c r="C242" s="29">
        <v>991548</v>
      </c>
      <c r="D242" s="43"/>
      <c r="E242" s="25"/>
    </row>
    <row r="243" spans="2:5" ht="15.95" customHeight="1" x14ac:dyDescent="0.25">
      <c r="B243" s="18"/>
      <c r="C243" s="29"/>
      <c r="D243" s="43"/>
      <c r="E243" s="25"/>
    </row>
    <row r="244" spans="2:5" ht="15.95" customHeight="1" x14ac:dyDescent="0.25">
      <c r="B244" s="1" t="s">
        <v>0</v>
      </c>
      <c r="C244" s="33">
        <f>SUM(C223:C242)</f>
        <v>24743397.170000002</v>
      </c>
      <c r="D244" s="43"/>
      <c r="E244" s="55"/>
    </row>
    <row r="246" spans="2:5" ht="15.95" customHeight="1" x14ac:dyDescent="0.25">
      <c r="C246" s="25"/>
      <c r="D246" s="25"/>
      <c r="E246" s="25"/>
    </row>
    <row r="247" spans="2:5" ht="15.95" customHeight="1" x14ac:dyDescent="0.25">
      <c r="C247" s="25"/>
      <c r="D247" s="25"/>
      <c r="E247" s="25"/>
    </row>
    <row r="248" spans="2:5" ht="15.95" customHeight="1" x14ac:dyDescent="0.25">
      <c r="C248" s="25"/>
      <c r="D248" s="25"/>
      <c r="E248" s="25"/>
    </row>
  </sheetData>
  <printOptions horizontalCentered="1"/>
  <pageMargins left="0.45" right="0.45" top="0.75" bottom="0.5" header="0.3" footer="0.3"/>
  <pageSetup paperSize="9" scale="2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3:M22"/>
  <sheetViews>
    <sheetView workbookViewId="0">
      <selection activeCell="J19" sqref="J19:L20"/>
    </sheetView>
  </sheetViews>
  <sheetFormatPr defaultRowHeight="18" customHeight="1" x14ac:dyDescent="0.2"/>
  <cols>
    <col min="1" max="2" width="9.140625" style="45"/>
    <col min="3" max="3" width="28" style="45" customWidth="1"/>
    <col min="4" max="4" width="17.85546875" style="45" bestFit="1" customWidth="1"/>
    <col min="5" max="6" width="18.28515625" style="45" bestFit="1" customWidth="1"/>
    <col min="7" max="7" width="17.85546875" style="45" bestFit="1" customWidth="1"/>
    <col min="8" max="8" width="16.42578125" style="45" bestFit="1" customWidth="1"/>
    <col min="9" max="10" width="17.85546875" style="45" bestFit="1" customWidth="1"/>
    <col min="11" max="11" width="18.28515625" style="45" bestFit="1" customWidth="1"/>
    <col min="12" max="12" width="9.140625" style="45"/>
    <col min="13" max="13" width="15.140625" style="45" bestFit="1" customWidth="1"/>
    <col min="14" max="16384" width="9.140625" style="45"/>
  </cols>
  <sheetData>
    <row r="3" spans="2:13" ht="18" customHeight="1" x14ac:dyDescent="0.2">
      <c r="B3" s="4" t="s">
        <v>148</v>
      </c>
    </row>
    <row r="4" spans="2:13" s="3" customFormat="1" ht="18" customHeight="1" x14ac:dyDescent="0.25">
      <c r="B4" s="72"/>
      <c r="C4" s="74" t="s">
        <v>122</v>
      </c>
      <c r="D4" s="72" t="s">
        <v>124</v>
      </c>
      <c r="E4" s="72"/>
      <c r="F4" s="72"/>
      <c r="G4" s="72" t="s">
        <v>125</v>
      </c>
      <c r="H4" s="72"/>
      <c r="I4" s="72"/>
      <c r="J4" s="72" t="s">
        <v>126</v>
      </c>
      <c r="K4" s="72"/>
    </row>
    <row r="5" spans="2:13" s="46" customFormat="1" ht="48.75" customHeight="1" x14ac:dyDescent="0.25">
      <c r="B5" s="72"/>
      <c r="C5" s="74"/>
      <c r="D5" s="36" t="s">
        <v>186</v>
      </c>
      <c r="E5" s="36" t="s">
        <v>123</v>
      </c>
      <c r="F5" s="36" t="s">
        <v>189</v>
      </c>
      <c r="G5" s="36" t="s">
        <v>186</v>
      </c>
      <c r="H5" s="36" t="s">
        <v>182</v>
      </c>
      <c r="I5" s="36" t="s">
        <v>189</v>
      </c>
      <c r="J5" s="36" t="s">
        <v>186</v>
      </c>
      <c r="K5" s="36" t="s">
        <v>189</v>
      </c>
    </row>
    <row r="6" spans="2:13" s="3" customFormat="1" ht="18" customHeight="1" x14ac:dyDescent="0.25">
      <c r="B6" s="30" t="s">
        <v>137</v>
      </c>
      <c r="C6" s="47" t="s">
        <v>127</v>
      </c>
      <c r="D6" s="17"/>
      <c r="E6" s="17"/>
      <c r="F6" s="17"/>
      <c r="G6" s="17"/>
      <c r="H6" s="50"/>
      <c r="I6" s="34"/>
      <c r="J6" s="17"/>
      <c r="K6" s="34"/>
    </row>
    <row r="7" spans="2:13" s="3" customFormat="1" ht="18" customHeight="1" x14ac:dyDescent="0.25">
      <c r="B7" s="7" t="s">
        <v>138</v>
      </c>
      <c r="C7" s="21" t="s">
        <v>128</v>
      </c>
      <c r="D7" s="34">
        <v>24942539.25</v>
      </c>
      <c r="E7" s="34"/>
      <c r="F7" s="34">
        <f>+D7+E7</f>
        <v>24942539.25</v>
      </c>
      <c r="G7" s="34">
        <v>0</v>
      </c>
      <c r="H7" s="34"/>
      <c r="I7" s="34">
        <f>+G7+H7</f>
        <v>0</v>
      </c>
      <c r="J7" s="34">
        <f>+D7-G7</f>
        <v>24942539.25</v>
      </c>
      <c r="K7" s="34">
        <f>F7-I7</f>
        <v>24942539.25</v>
      </c>
      <c r="M7" s="25"/>
    </row>
    <row r="8" spans="2:13" s="3" customFormat="1" ht="18" customHeight="1" x14ac:dyDescent="0.25">
      <c r="B8" s="7" t="s">
        <v>139</v>
      </c>
      <c r="C8" s="21" t="s">
        <v>129</v>
      </c>
      <c r="D8" s="34">
        <v>82773607.349999994</v>
      </c>
      <c r="E8" s="34">
        <v>2954596</v>
      </c>
      <c r="F8" s="34">
        <f t="shared" ref="F8:F17" si="0">+D8+E8</f>
        <v>85728203.349999994</v>
      </c>
      <c r="G8" s="34">
        <v>28012353.48</v>
      </c>
      <c r="H8" s="34">
        <v>5201608.0599999996</v>
      </c>
      <c r="I8" s="34">
        <f t="shared" ref="I8:I17" si="1">+G8+H8</f>
        <v>33213961.539999999</v>
      </c>
      <c r="J8" s="34">
        <v>54761255.240000002</v>
      </c>
      <c r="K8" s="34">
        <f t="shared" ref="K8:K17" si="2">F8-I8</f>
        <v>52514241.809999995</v>
      </c>
      <c r="M8" s="25"/>
    </row>
    <row r="9" spans="2:13" s="3" customFormat="1" ht="18" customHeight="1" x14ac:dyDescent="0.25">
      <c r="B9" s="7" t="s">
        <v>140</v>
      </c>
      <c r="C9" s="21" t="s">
        <v>130</v>
      </c>
      <c r="D9" s="34">
        <f>1878184.58+275000</f>
        <v>2153184.58</v>
      </c>
      <c r="E9" s="34">
        <v>448499.25</v>
      </c>
      <c r="F9" s="34">
        <f t="shared" si="0"/>
        <v>2601683.83</v>
      </c>
      <c r="G9" s="34">
        <v>1445113.19</v>
      </c>
      <c r="H9" s="34">
        <v>415473.94</v>
      </c>
      <c r="I9" s="34">
        <f t="shared" si="1"/>
        <v>1860587.13</v>
      </c>
      <c r="J9" s="34">
        <f t="shared" ref="J9:J17" si="3">+D9-G9</f>
        <v>708071.39000000013</v>
      </c>
      <c r="K9" s="34">
        <f t="shared" si="2"/>
        <v>741096.70000000019</v>
      </c>
      <c r="M9" s="25"/>
    </row>
    <row r="10" spans="2:13" s="3" customFormat="1" ht="18" customHeight="1" x14ac:dyDescent="0.25">
      <c r="B10" s="7" t="s">
        <v>141</v>
      </c>
      <c r="C10" s="21" t="s">
        <v>131</v>
      </c>
      <c r="D10" s="34">
        <v>199784</v>
      </c>
      <c r="E10" s="34">
        <v>34613</v>
      </c>
      <c r="F10" s="34">
        <f t="shared" si="0"/>
        <v>234397</v>
      </c>
      <c r="G10" s="34">
        <v>184785.67</v>
      </c>
      <c r="H10" s="34">
        <v>3460</v>
      </c>
      <c r="I10" s="34">
        <f t="shared" si="1"/>
        <v>188245.67</v>
      </c>
      <c r="J10" s="34">
        <f t="shared" si="3"/>
        <v>14998.329999999987</v>
      </c>
      <c r="K10" s="34">
        <f t="shared" si="2"/>
        <v>46151.329999999987</v>
      </c>
      <c r="M10" s="25"/>
    </row>
    <row r="11" spans="2:13" s="3" customFormat="1" ht="18" customHeight="1" x14ac:dyDescent="0.25">
      <c r="B11" s="7" t="s">
        <v>142</v>
      </c>
      <c r="C11" s="21" t="s">
        <v>132</v>
      </c>
      <c r="D11" s="34">
        <v>212012566.41999999</v>
      </c>
      <c r="E11" s="34">
        <f>32674810-98000</f>
        <v>32576810</v>
      </c>
      <c r="F11" s="34">
        <f t="shared" si="0"/>
        <v>244589376.41999999</v>
      </c>
      <c r="G11" s="34">
        <v>102383201.23</v>
      </c>
      <c r="H11" s="34">
        <v>19850328</v>
      </c>
      <c r="I11" s="34">
        <f t="shared" si="1"/>
        <v>122233529.23</v>
      </c>
      <c r="J11" s="34">
        <f t="shared" si="3"/>
        <v>109629365.18999998</v>
      </c>
      <c r="K11" s="34">
        <f t="shared" si="2"/>
        <v>122355847.18999998</v>
      </c>
      <c r="M11" s="25"/>
    </row>
    <row r="12" spans="2:13" s="3" customFormat="1" ht="18" customHeight="1" x14ac:dyDescent="0.25">
      <c r="B12" s="7" t="s">
        <v>143</v>
      </c>
      <c r="C12" s="21" t="s">
        <v>133</v>
      </c>
      <c r="D12" s="34">
        <v>25500</v>
      </c>
      <c r="E12" s="34">
        <v>0</v>
      </c>
      <c r="F12" s="34">
        <f t="shared" si="0"/>
        <v>25500</v>
      </c>
      <c r="G12" s="34">
        <v>24224.27</v>
      </c>
      <c r="H12" s="34">
        <v>0</v>
      </c>
      <c r="I12" s="34">
        <f t="shared" si="1"/>
        <v>24224.27</v>
      </c>
      <c r="J12" s="34">
        <f t="shared" si="3"/>
        <v>1275.7299999999996</v>
      </c>
      <c r="K12" s="34">
        <f t="shared" si="2"/>
        <v>1275.7299999999996</v>
      </c>
      <c r="M12" s="25"/>
    </row>
    <row r="13" spans="2:13" s="3" customFormat="1" ht="18" customHeight="1" x14ac:dyDescent="0.25">
      <c r="B13" s="7" t="s">
        <v>144</v>
      </c>
      <c r="C13" s="21" t="s">
        <v>134</v>
      </c>
      <c r="D13" s="34">
        <v>20948</v>
      </c>
      <c r="E13" s="34">
        <v>0</v>
      </c>
      <c r="F13" s="34">
        <f t="shared" si="0"/>
        <v>20948</v>
      </c>
      <c r="G13" s="34">
        <v>20546.349999999999</v>
      </c>
      <c r="H13" s="34">
        <v>0</v>
      </c>
      <c r="I13" s="34">
        <f t="shared" si="1"/>
        <v>20546.349999999999</v>
      </c>
      <c r="J13" s="34">
        <f t="shared" si="3"/>
        <v>401.65000000000146</v>
      </c>
      <c r="K13" s="34">
        <f t="shared" si="2"/>
        <v>401.65000000000146</v>
      </c>
      <c r="M13" s="25"/>
    </row>
    <row r="14" spans="2:13" s="3" customFormat="1" ht="18" customHeight="1" x14ac:dyDescent="0.25">
      <c r="B14" s="7" t="s">
        <v>145</v>
      </c>
      <c r="C14" s="21" t="s">
        <v>181</v>
      </c>
      <c r="D14" s="34">
        <v>851429.65</v>
      </c>
      <c r="E14" s="34">
        <v>264715.69</v>
      </c>
      <c r="F14" s="34">
        <f t="shared" si="0"/>
        <v>1116145.3400000001</v>
      </c>
      <c r="G14" s="34">
        <v>656016.6</v>
      </c>
      <c r="H14" s="34">
        <v>87796</v>
      </c>
      <c r="I14" s="34">
        <f t="shared" si="1"/>
        <v>743812.6</v>
      </c>
      <c r="J14" s="34">
        <f t="shared" si="3"/>
        <v>195413.05000000005</v>
      </c>
      <c r="K14" s="34">
        <f t="shared" si="2"/>
        <v>372332.74000000011</v>
      </c>
      <c r="M14" s="25"/>
    </row>
    <row r="15" spans="2:13" s="3" customFormat="1" ht="18" customHeight="1" x14ac:dyDescent="0.25">
      <c r="B15" s="7" t="s">
        <v>146</v>
      </c>
      <c r="C15" s="21" t="s">
        <v>180</v>
      </c>
      <c r="D15" s="34">
        <v>19682886.989999998</v>
      </c>
      <c r="E15" s="34">
        <v>1303919.5</v>
      </c>
      <c r="F15" s="34">
        <f t="shared" si="0"/>
        <v>20986806.489999998</v>
      </c>
      <c r="G15" s="34">
        <v>12701942</v>
      </c>
      <c r="H15" s="34">
        <v>1807126</v>
      </c>
      <c r="I15" s="34">
        <f t="shared" si="1"/>
        <v>14509068</v>
      </c>
      <c r="J15" s="34">
        <v>1425991.47</v>
      </c>
      <c r="K15" s="34">
        <f t="shared" si="2"/>
        <v>6477738.4899999984</v>
      </c>
      <c r="M15" s="25"/>
    </row>
    <row r="16" spans="2:13" s="3" customFormat="1" ht="18" customHeight="1" x14ac:dyDescent="0.25">
      <c r="B16" s="7" t="s">
        <v>147</v>
      </c>
      <c r="C16" s="21" t="s">
        <v>135</v>
      </c>
      <c r="D16" s="34">
        <v>9433524.6699999999</v>
      </c>
      <c r="E16" s="34">
        <f>799083.25+1200000</f>
        <v>1999083.25</v>
      </c>
      <c r="F16" s="34">
        <f t="shared" si="0"/>
        <v>11432607.92</v>
      </c>
      <c r="G16" s="34">
        <v>6409423.3600000003</v>
      </c>
      <c r="H16" s="34">
        <v>427675</v>
      </c>
      <c r="I16" s="34">
        <f t="shared" si="1"/>
        <v>6837098.3600000003</v>
      </c>
      <c r="J16" s="34">
        <v>9419268.9900000002</v>
      </c>
      <c r="K16" s="34">
        <f t="shared" si="2"/>
        <v>4595509.5599999996</v>
      </c>
      <c r="M16" s="25"/>
    </row>
    <row r="17" spans="2:13" s="3" customFormat="1" ht="18" customHeight="1" x14ac:dyDescent="0.25">
      <c r="B17" s="7" t="s">
        <v>179</v>
      </c>
      <c r="C17" s="21" t="s">
        <v>136</v>
      </c>
      <c r="D17" s="34">
        <v>1718806.47</v>
      </c>
      <c r="E17" s="34">
        <v>461950</v>
      </c>
      <c r="F17" s="34">
        <f t="shared" si="0"/>
        <v>2180756.4699999997</v>
      </c>
      <c r="G17" s="34">
        <v>1098007.68</v>
      </c>
      <c r="H17" s="34">
        <v>160706</v>
      </c>
      <c r="I17" s="34">
        <f t="shared" si="1"/>
        <v>1258713.68</v>
      </c>
      <c r="J17" s="34">
        <f t="shared" si="3"/>
        <v>620798.79</v>
      </c>
      <c r="K17" s="34">
        <f t="shared" si="2"/>
        <v>922042.7899999998</v>
      </c>
      <c r="M17" s="25"/>
    </row>
    <row r="18" spans="2:13" s="3" customFormat="1" ht="18" customHeight="1" x14ac:dyDescent="0.25">
      <c r="B18" s="48"/>
      <c r="C18" s="1" t="s">
        <v>0</v>
      </c>
      <c r="D18" s="5">
        <f>SUM(D7:D17)</f>
        <v>353814777.38</v>
      </c>
      <c r="E18" s="5">
        <f t="shared" ref="E18:J18" si="4">SUM(E7:E17)</f>
        <v>40044186.689999998</v>
      </c>
      <c r="F18" s="5">
        <f t="shared" si="4"/>
        <v>393858964.06999999</v>
      </c>
      <c r="G18" s="5">
        <f t="shared" si="4"/>
        <v>152935613.83000001</v>
      </c>
      <c r="H18" s="5">
        <f t="shared" si="4"/>
        <v>27954173</v>
      </c>
      <c r="I18" s="5">
        <f t="shared" si="4"/>
        <v>180889786.83000001</v>
      </c>
      <c r="J18" s="5">
        <f t="shared" si="4"/>
        <v>201719379.07999998</v>
      </c>
      <c r="K18" s="5">
        <f>SUM(K6:K17)</f>
        <v>212969177.23999998</v>
      </c>
      <c r="M18" s="25"/>
    </row>
    <row r="19" spans="2:13" s="3" customFormat="1" ht="18" customHeight="1" x14ac:dyDescent="0.25">
      <c r="B19" s="2"/>
      <c r="D19" s="25"/>
      <c r="E19" s="25"/>
      <c r="F19" s="25"/>
      <c r="G19" s="25"/>
      <c r="H19" s="25"/>
      <c r="I19" s="25"/>
      <c r="J19" s="25"/>
      <c r="K19" s="25"/>
      <c r="M19" s="25"/>
    </row>
    <row r="20" spans="2:13" ht="18" customHeight="1" x14ac:dyDescent="0.2">
      <c r="I20" s="51"/>
      <c r="J20" s="51"/>
      <c r="K20" s="51"/>
    </row>
    <row r="21" spans="2:13" ht="18" customHeight="1" x14ac:dyDescent="0.2">
      <c r="F21" s="51"/>
      <c r="J21" s="51"/>
    </row>
    <row r="22" spans="2:13" ht="18" customHeight="1" x14ac:dyDescent="0.2">
      <c r="E22" s="51"/>
    </row>
  </sheetData>
  <mergeCells count="5">
    <mergeCell ref="D4:F4"/>
    <mergeCell ref="G4:I4"/>
    <mergeCell ref="J4:K4"/>
    <mergeCell ref="C4:C5"/>
    <mergeCell ref="B4:B5"/>
  </mergeCells>
  <printOptions horizontalCentered="1"/>
  <pageMargins left="0.2" right="0.2" top="1" bottom="0.75" header="0.3" footer="0.3"/>
  <pageSetup paperSize="9" scale="7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</vt:lpstr>
      <vt:lpstr>B&amp;S</vt:lpstr>
      <vt:lpstr>Notes</vt:lpstr>
      <vt:lpstr>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2023-08-22T07:52:30Z</dcterms:modified>
</cp:coreProperties>
</file>