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4" sheetId="4" r:id="rId1"/>
    <sheet name="Sheet1" sheetId="1" r:id="rId2"/>
    <sheet name="Sheet2" sheetId="2" r:id="rId3"/>
    <sheet name="Sheet3" sheetId="3" r:id="rId4"/>
  </sheets>
  <calcPr calcId="124519"/>
</workbook>
</file>

<file path=xl/calcChain.xml><?xml version="1.0" encoding="utf-8"?>
<calcChain xmlns="http://schemas.openxmlformats.org/spreadsheetml/2006/main">
  <c r="A5" i="4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4"/>
  <c r="I90"/>
  <c r="I89"/>
  <c r="I88"/>
  <c r="I87"/>
  <c r="I86"/>
  <c r="I85"/>
  <c r="I84"/>
  <c r="I83"/>
  <c r="I82"/>
  <c r="I81"/>
  <c r="I80"/>
  <c r="I79"/>
  <c r="I78"/>
  <c r="I77"/>
  <c r="I76"/>
  <c r="I75"/>
  <c r="I74"/>
  <c r="I73"/>
  <c r="I72"/>
  <c r="I71"/>
  <c r="I70"/>
  <c r="I69"/>
  <c r="I68"/>
  <c r="I67"/>
  <c r="I66"/>
  <c r="I65"/>
  <c r="I64"/>
  <c r="I63"/>
  <c r="I62"/>
  <c r="I61"/>
  <c r="I60"/>
  <c r="I59"/>
  <c r="I58"/>
  <c r="I57"/>
  <c r="I56"/>
  <c r="I55"/>
  <c r="I54"/>
  <c r="I53"/>
  <c r="I52"/>
  <c r="I51"/>
  <c r="I50"/>
  <c r="I49"/>
  <c r="I48"/>
  <c r="I47"/>
  <c r="I46"/>
  <c r="I45"/>
  <c r="I44"/>
  <c r="I43"/>
  <c r="I42"/>
  <c r="I41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I9"/>
  <c r="I8"/>
  <c r="I7"/>
  <c r="I6"/>
  <c r="I5"/>
  <c r="I4"/>
  <c r="I3"/>
  <c r="I91" l="1"/>
</calcChain>
</file>

<file path=xl/sharedStrings.xml><?xml version="1.0" encoding="utf-8"?>
<sst xmlns="http://schemas.openxmlformats.org/spreadsheetml/2006/main" count="415" uniqueCount="320">
  <si>
    <t>.</t>
  </si>
  <si>
    <t xml:space="preserve">PURCHASE 
ORDER NO &amp; 
PL NO </t>
  </si>
  <si>
    <t xml:space="preserve">DESCRIPTION </t>
  </si>
  <si>
    <t xml:space="preserve">PO QTY </t>
  </si>
  <si>
    <t xml:space="preserve">SUPPLIED
 QTY </t>
  </si>
  <si>
    <t xml:space="preserve">BALANCE
 QTY </t>
  </si>
  <si>
    <t xml:space="preserve">BASIC 
RATE </t>
  </si>
  <si>
    <t xml:space="preserve">TRANSPORT 
CHARGES </t>
  </si>
  <si>
    <t>08/18/2530/2649/F/
PL NO : 31560301</t>
  </si>
  <si>
    <t xml:space="preserve">24 NOS </t>
  </si>
  <si>
    <t xml:space="preserve">16 NOS </t>
  </si>
  <si>
    <t xml:space="preserve">8 NOS </t>
  </si>
  <si>
    <t>05Y180852-T1850561</t>
  </si>
  <si>
    <t>4 SET</t>
  </si>
  <si>
    <t xml:space="preserve">4 SET </t>
  </si>
  <si>
    <t xml:space="preserve">34 SET </t>
  </si>
  <si>
    <t>02201055101355 /
PL NO : 33517745</t>
  </si>
  <si>
    <t xml:space="preserve">3 SET </t>
  </si>
  <si>
    <t>02201254101474/
PL NO : 31101495</t>
  </si>
  <si>
    <t xml:space="preserve">23 SET </t>
  </si>
  <si>
    <t>07211701102001
PL NO.36560030</t>
  </si>
  <si>
    <t>Electrical Cubical Door Assembly for MRM/MC ad MRM/TC Coaches</t>
  </si>
  <si>
    <t>16 SET</t>
  </si>
  <si>
    <t xml:space="preserve">48 SET </t>
  </si>
  <si>
    <t>02221075101433/
PL NO : 31908172</t>
  </si>
  <si>
    <t xml:space="preserve">SS NOSECONE FOR MRVC 
PHASE -II COACHES </t>
  </si>
  <si>
    <t xml:space="preserve">9 SET +
1 SET </t>
  </si>
  <si>
    <t xml:space="preserve">7 SET </t>
  </si>
  <si>
    <t xml:space="preserve">2 SET +
1 SET </t>
  </si>
  <si>
    <t xml:space="preserve">21 SET </t>
  </si>
  <si>
    <t>06220174102394/
PL NO: 31437140</t>
  </si>
  <si>
    <t xml:space="preserve">SS TUBULAR PARTITION 
( 3 SEAYER) AT DOOR WAY </t>
  </si>
  <si>
    <t xml:space="preserve">73 NOS </t>
  </si>
  <si>
    <t xml:space="preserve">48 NOS </t>
  </si>
  <si>
    <t xml:space="preserve">25 NOS </t>
  </si>
  <si>
    <t>02221125102318/
PL NO : 30140651</t>
  </si>
  <si>
    <t xml:space="preserve">ONE COACH  SET OF ROOF AND 
SIDEWALL FOR 3PH MEMU/
DMC COACHES </t>
  </si>
  <si>
    <t xml:space="preserve">9 SET </t>
  </si>
  <si>
    <t xml:space="preserve">2 SET </t>
  </si>
  <si>
    <t>02221666102621/
PL NO : 31247143</t>
  </si>
  <si>
    <t xml:space="preserve">FOOT STEP ARRANGEMENT </t>
  </si>
  <si>
    <t xml:space="preserve">159 SET </t>
  </si>
  <si>
    <t xml:space="preserve">S&amp;I OF FRAME ARRANGEMENT 
FOR TRAIN SET Ver.2 NOSE CONE
FOR DTC COACHES </t>
  </si>
  <si>
    <t>02221500102699/
PL NO : 33564474</t>
  </si>
  <si>
    <t xml:space="preserve">OIL PAN COMPLETE </t>
  </si>
  <si>
    <t xml:space="preserve">5 SET </t>
  </si>
  <si>
    <t>02221674102938/
PL NO : 36140030</t>
  </si>
  <si>
    <t xml:space="preserve">ONE COACH SET OF LIGHT RAIL 
AND WAIST RAIL FOR KOLKATTA 
METRO COACHES </t>
  </si>
  <si>
    <t xml:space="preserve">38 SET </t>
  </si>
  <si>
    <t xml:space="preserve">20 SET </t>
  </si>
  <si>
    <t xml:space="preserve">18 SET </t>
  </si>
  <si>
    <t>06221698100097/
PL NO : 36560042</t>
  </si>
  <si>
    <t xml:space="preserve">ONE COACH SET OF INTERIOR 
DOOR FOR MRM/DTC-5-6-013
COL-I , ALT -NIL </t>
  </si>
  <si>
    <t xml:space="preserve">40 SET </t>
  </si>
  <si>
    <t xml:space="preserve">55 SET </t>
  </si>
  <si>
    <t xml:space="preserve">37 SET </t>
  </si>
  <si>
    <t>02231197100551
PL NO : 30154091</t>
  </si>
  <si>
    <t xml:space="preserve">ONE COACH SET OF DOOR CUT OUT 
FOR TRAINSET DTC COACHES </t>
  </si>
  <si>
    <t xml:space="preserve">15 SET </t>
  </si>
  <si>
    <t xml:space="preserve">6 SET </t>
  </si>
  <si>
    <t xml:space="preserve">4 NOS </t>
  </si>
  <si>
    <t xml:space="preserve">24 SET </t>
  </si>
  <si>
    <t xml:space="preserve">12 NOS </t>
  </si>
  <si>
    <t xml:space="preserve">39 SET </t>
  </si>
  <si>
    <t xml:space="preserve">40 NOS </t>
  </si>
  <si>
    <t xml:space="preserve">SUPPLY SET OF IC DOOR 
TO DRG NO : ICF/SK3-5-6-014 
COL-I AND COL-II ALT -h </t>
  </si>
  <si>
    <t xml:space="preserve">29 SET </t>
  </si>
  <si>
    <t xml:space="preserve">8 SET </t>
  </si>
  <si>
    <t xml:space="preserve">17 SET </t>
  </si>
  <si>
    <t xml:space="preserve">25 SET </t>
  </si>
  <si>
    <t>02230149100106/
PL NO : 30150310</t>
  </si>
  <si>
    <t xml:space="preserve">ONE COACH SET OF DETAILS OF FRAME WORK 
FOR TRAIN SET TC COACHES </t>
  </si>
  <si>
    <t xml:space="preserve">16 SET </t>
  </si>
  <si>
    <t>06231453100311/
PL NO: 30561115</t>
  </si>
  <si>
    <t>386 SET</t>
  </si>
  <si>
    <t xml:space="preserve">268  SET </t>
  </si>
  <si>
    <t xml:space="preserve">118 SET </t>
  </si>
  <si>
    <t xml:space="preserve">12 SET </t>
  </si>
  <si>
    <t>02230155100288/
PL NO : 33592135</t>
  </si>
  <si>
    <t xml:space="preserve">ONE COACH SET OF CARLINE ASSEMBLY 
DETAILS FOR FRAME WORK AND 
WELDING PARTS ON SIDEWALL 
FOR LWACCN COACHES </t>
  </si>
  <si>
    <t xml:space="preserve">274 SET </t>
  </si>
  <si>
    <t xml:space="preserve">210 SET </t>
  </si>
  <si>
    <t xml:space="preserve">64 SET </t>
  </si>
  <si>
    <t xml:space="preserve">10 SET </t>
  </si>
  <si>
    <t xml:space="preserve">28 SET </t>
  </si>
  <si>
    <t xml:space="preserve">130 NOS </t>
  </si>
  <si>
    <t xml:space="preserve">ONE COACH SET OF AIR GRILLS FOR LWLRRM 
COACHES 
TO DRG NO : LWLRRM -6-4-048 , COL-1-1 NO ,
COL-3-1 NO &amp; COL -4-1 NO , ALT -a 
</t>
  </si>
  <si>
    <t xml:space="preserve">DOOR CUTOUT FOR LHB COACHES 
TO DRG NO : SSA14028 , ALT " d" -1 NO
SSA14032 , ALT "e" -1 NO </t>
  </si>
  <si>
    <t xml:space="preserve">60 SET </t>
  </si>
  <si>
    <t xml:space="preserve">35 SET </t>
  </si>
  <si>
    <t>07240210101281/
PL NO:33560869</t>
  </si>
  <si>
    <t xml:space="preserve">INSPECTION DOOR  FOR AMRIT BHARAT COACHES 
DRG NO : LGS/EOG/AY(670) -4-4-009 
ALT -d , COL-I </t>
  </si>
  <si>
    <t xml:space="preserve">120 NOS </t>
  </si>
  <si>
    <t>02240019100890/
PLNO : 31100491</t>
  </si>
  <si>
    <t xml:space="preserve">14 NOS </t>
  </si>
  <si>
    <t xml:space="preserve">10 NOS </t>
  </si>
  <si>
    <t xml:space="preserve">22 SET </t>
  </si>
  <si>
    <t xml:space="preserve">ONE COACH SET OF ROOF ASSEMBLY FOR 
AMRIT BHARAT LSCN/ PP2 (755 ) COACHES </t>
  </si>
  <si>
    <t xml:space="preserve">287 SET </t>
  </si>
  <si>
    <t>02240064101093/
PL NO : 31102232</t>
  </si>
  <si>
    <t>SUPPLY AND INSTALLATION OF SS NOSE CONE 
FOR SPIC SHELLS 
DRG NO : SPICAC-1-0 -015 , COL-I , alt-'b'</t>
  </si>
  <si>
    <t>33 SET</t>
  </si>
  <si>
    <t>29 SET</t>
  </si>
  <si>
    <t xml:space="preserve">26 SET </t>
  </si>
  <si>
    <t xml:space="preserve">32 SET </t>
  </si>
  <si>
    <t xml:space="preserve">51 SET </t>
  </si>
  <si>
    <t>02241494101342/
PL NO :33552137</t>
  </si>
  <si>
    <t>ONE COACH SET OF FRAME WORK ,
CARLINE AND WELDING PARTS FOR 
AMRIT BHARAT LWS /PP2</t>
  </si>
  <si>
    <t xml:space="preserve">63 SET </t>
  </si>
  <si>
    <t>02241207101366/
PL NO : 31102505</t>
  </si>
  <si>
    <t xml:space="preserve">SUPPLY AND INSTALLATION OF NOSE CONE
TO DRG NO : EMU/D/MMTS-1-0-003 ,
COL-I ALT 'a' </t>
  </si>
  <si>
    <t xml:space="preserve">24 SET +
7 SET </t>
  </si>
  <si>
    <t xml:space="preserve">19 SET </t>
  </si>
  <si>
    <t xml:space="preserve">400 NOS </t>
  </si>
  <si>
    <t>02241493101436/
PL NO :33563354</t>
  </si>
  <si>
    <t xml:space="preserve">ONE COACH SET OF FRAME WORK , 
CARLINE AND WELDING PARTS FOR 
AMRIT BHARAT LSCN / PP2 COACHES </t>
  </si>
  <si>
    <t xml:space="preserve">74 SET </t>
  </si>
  <si>
    <t xml:space="preserve">46 SET </t>
  </si>
  <si>
    <t>02241495101459/
PL NO : 33552113</t>
  </si>
  <si>
    <t xml:space="preserve">43 SET </t>
  </si>
  <si>
    <t>02241500101482/
PL NO :33551730</t>
  </si>
  <si>
    <t xml:space="preserve">ONE COACH SET OF ROOF, SIDEWALL &amp; 
ENDWALL FOR AMRIT BHARAT 
LSLRD /PP2 COACHES </t>
  </si>
  <si>
    <t xml:space="preserve">SET OF AIR GRILL TO 
DRG NO : 602.275.000.001 , ALT -AR-01 NO 
COVER TO DRG NO  : 
2 10113.0.29.400.051-1 NO  WITH FLAT 
RUBBER 2X20X1534 -1 NO FOR 
DOG BOX IN LSLRD COACHES </t>
  </si>
  <si>
    <t>02241234101566/
PL NO :31160130</t>
  </si>
  <si>
    <t xml:space="preserve">ONE COACH SET OF SS ROOF , SIDEWALL AND 
ENDWALL FOR 3 PHASE AIR 
CONDITIONED  AC/EMU/C,C2,C3 &amp; C4 BHEL 
AC COACHES </t>
  </si>
  <si>
    <t>05241696102162/
PL NO : 33552617</t>
  </si>
  <si>
    <t>FRAME ARRANGEMENT OF NOSE CONE FOR 
DTC VANDEBHARAT COACH 
DRG NO : 72610003 ALT 'Dr'
( Item NO :01 Of 7261002 ALT 'b'</t>
  </si>
  <si>
    <t xml:space="preserve">19 NOS </t>
  </si>
  <si>
    <t xml:space="preserve">1 NO </t>
  </si>
  <si>
    <t xml:space="preserve">18 NOS </t>
  </si>
  <si>
    <t xml:space="preserve">ONE COACH SET OF DETAILS OF FRAME 
WORK FOR TRAIN SET MC COACHES </t>
  </si>
  <si>
    <t>02241487101606/
PL NO : 33503382</t>
  </si>
  <si>
    <t xml:space="preserve">ENDWALL COMPLETE FOR LSCN/EOG 
COACHES 
TO DRG NO : 74115001 ,ALT "C' COL-I </t>
  </si>
  <si>
    <t xml:space="preserve">161 NOS </t>
  </si>
  <si>
    <t xml:space="preserve">90 NOS </t>
  </si>
  <si>
    <t xml:space="preserve">71 NOS </t>
  </si>
  <si>
    <t>02240057101578/
PL NO:33512309</t>
  </si>
  <si>
    <t xml:space="preserve">ONE COACH SET OF ROOF ,3 MM SIDEWALL
AND ENDWALL FOR LWLRRM COACHES </t>
  </si>
  <si>
    <t>12241339102446/
PL NO : 31980983</t>
  </si>
  <si>
    <t xml:space="preserve">BODY SIDE WINDOW ARRANGEMENT WITH
FIXED LOUVRE SHUTTER 
DRG NO : ICF/MRVC/C/BT-5-4-002 ., COL-I </t>
  </si>
  <si>
    <t xml:space="preserve">597 NOS </t>
  </si>
  <si>
    <t xml:space="preserve">197 NOS </t>
  </si>
  <si>
    <t>12241411102459/
PL NO : 33560936</t>
  </si>
  <si>
    <t>SET OF WINDOW INNER FRAME FOR LHB
SCN AMRIT BHARAT COACHES 
DRG : MPLWCLSCNABX  VER 02</t>
  </si>
  <si>
    <t>12241411102459/
PL NO : 33560948</t>
  </si>
  <si>
    <t>SET OF WINDOW INNER FRAME FOR LHB
GS AMRIT BHARAT COACHES 
DRG : MPLWCLSDDABX VER 01</t>
  </si>
  <si>
    <t>19 SET</t>
  </si>
  <si>
    <t>SET OF WINDOW INNER FRAME FOR LHB
SLRD  AMRIT BHARAT COACHES 
DRG : MPLWCLSLRABX VER 02</t>
  </si>
  <si>
    <t>02240109101739/
PL NO :33598381</t>
  </si>
  <si>
    <t>ONE COACH SET OF LACCW ROOF ASSEMBLY 
TO DRG NO : 59316001 ,COL-I , ALT"h"-1 NO 
FINAL ROOF ELEMENT -DRG NO:87716014 , COL-I ALT'c'-2NOS AND 87716015, COL-I ALT'c'-2 NOS</t>
  </si>
  <si>
    <t>02241102101754/
PL NO : 30922185</t>
  </si>
  <si>
    <t xml:space="preserve">SUPPLY AND INSTALLATION OF NOSE CONE FOR 
MEMU/DMC 3 PHASE COACHES TO 
DRG NO : MEMU/DMC/3PH-1-0-060 , ALT 'a',COL-I </t>
  </si>
  <si>
    <t>17241431102556/
PL NO :33561140</t>
  </si>
  <si>
    <t xml:space="preserve">INSPECTION DOOR ASSEMBLY FOR ACP 
ROOF PANELLING FOR LHB AMRIT 
BHARAT CAOCHES TO DRG NO : 
LGS /EOG /AY -4-4-009  ALT d , </t>
  </si>
  <si>
    <t xml:space="preserve">662 NOS </t>
  </si>
  <si>
    <t>02241192101936/
PL NO : 31101902</t>
  </si>
  <si>
    <t xml:space="preserve">SUPPLY AND INSTALLATION OF SS 
NOSE CONE FOR 3 PHASE AIR CONDITIONED 
AC/EMU/DRIVER MOTOR COACH (BHEL) 
TO DRG NO : EMU/DMC2/AC-1-0-204 / 
COL-I ALT NIL ITEMS1,2,3,7,10 &amp; 11 </t>
  </si>
  <si>
    <t xml:space="preserve">1 SET </t>
  </si>
  <si>
    <t>07242703103274/
PL NO : 31547424</t>
  </si>
  <si>
    <t xml:space="preserve">BODY SIDE WINDOW ARRANGEMENT 
WITH FIXED LOUVRE SHUTTER 
TO DRG NO : 
ICF/MRVC/D/BT5-4-003 COL-I , ALT -b </t>
  </si>
  <si>
    <t xml:space="preserve">86 NOS </t>
  </si>
  <si>
    <t xml:space="preserve">46 NOS </t>
  </si>
  <si>
    <t>02240099100016/
PL NO : 33566306</t>
  </si>
  <si>
    <t xml:space="preserve">972 PAIRS </t>
  </si>
  <si>
    <t xml:space="preserve">240 PAIRS </t>
  </si>
  <si>
    <t xml:space="preserve">732 PAIRS </t>
  </si>
  <si>
    <t>02241056100039/
PL NO : 33550724</t>
  </si>
  <si>
    <t xml:space="preserve">ONE COACH SET OF DETAILS FOR 
FRAME WORK FOR LWACCW/EOG COACHES 
LH &amp; RH TO DRG NO : 
1.59314007, COL-I , ALT -f -1 NO 
2.59314008 , COL-I , ALT -f -1 NO </t>
  </si>
  <si>
    <t>02241611100044/
PL NO :33552137</t>
  </si>
  <si>
    <t xml:space="preserve">ONE COACH SET OF FRAME WORK , 
CARLINE AND WELDING PARTS FOR 
AMRIT BHARAT LWS  / PP2 COACHES </t>
  </si>
  <si>
    <t>02245006100078/
PL NO :311400150015</t>
  </si>
  <si>
    <t>03242088100146/
PL NO : 33565430</t>
  </si>
  <si>
    <t>CREW-ROOM / GENERATOR ROOM 
DOOR AS PER DRG NO : MDTS 109 REV 02 
COLOUR SHADE RAL-DS-0808010</t>
  </si>
  <si>
    <t>12241320100148/
PL NO : 33560936</t>
  </si>
  <si>
    <t>02241597100124/
PL NO :31517080</t>
  </si>
  <si>
    <t xml:space="preserve">S&amp;I OF BODY SIDE ENTRANCE  DOOR 
LH ( 825 D/W) TO DRG NO : 
58151003 ,ALT 'd ' , COL -I -2 NOS </t>
  </si>
  <si>
    <t xml:space="preserve">121 PAIRS </t>
  </si>
  <si>
    <t xml:space="preserve">69 PAIRS </t>
  </si>
  <si>
    <t xml:space="preserve">52 PAIRS </t>
  </si>
  <si>
    <t xml:space="preserve">INSPECTION DOOR FOR LGS/EOG/AY COACHES 
TO DRG NO : 
LGS/EOG/AY-4-4-009 ALT 'd' COL-I </t>
  </si>
  <si>
    <t>02241905100153/
PL NO : 31102128</t>
  </si>
  <si>
    <t xml:space="preserve">ONE COACH SET OF FLOOR 
ARRANGEMENT AT VENDOR 
COMPARTMENT FOR 
EMU /C2/HC/ER COACHES </t>
  </si>
  <si>
    <t>06242061100462/
PL NO : 31430480</t>
  </si>
  <si>
    <t xml:space="preserve">S&amp;I SS TUBULAR PARTITION AT DOOR WAY 
( 3 SEATER )  TO DRG NO : 
ICF/MRVC/C/BT-4-3-002 , COL-I -1 NO &amp; 
COL-II  -1 NO ALT -d </t>
  </si>
  <si>
    <t xml:space="preserve">1826 PAIRS </t>
  </si>
  <si>
    <t xml:space="preserve">900 PAIRS </t>
  </si>
  <si>
    <t xml:space="preserve">926  PAIRS </t>
  </si>
  <si>
    <t>02241920100303/
PL NO : 33502882</t>
  </si>
  <si>
    <t xml:space="preserve">SUPPLY AND INSTALLATION OF ONE PAIR OF 
BODYSIDE ENTRANCE DOOR FOR LHB 
(LH &amp; RH ) TO DRG NO : 
58151003 COL.I ALT 'd'*1 NO 
58151004 COL .I ALT'd'-1 NO </t>
  </si>
  <si>
    <t xml:space="preserve">1984 PAIRS </t>
  </si>
  <si>
    <t xml:space="preserve">385 PAIRS </t>
  </si>
  <si>
    <t xml:space="preserve">1599 PAIRS </t>
  </si>
  <si>
    <t>02241714100310/
PL NO : 30140626</t>
  </si>
  <si>
    <t xml:space="preserve">57 SET </t>
  </si>
  <si>
    <t>05241913100230/
PL NO :31102578</t>
  </si>
  <si>
    <t>NOSE CONE FOR MEMU DMC 3 PHASE /
BHEL COACHES AS PER DRG NO : 
EM10266 ALT NIL  WITH OUT ITEM NO 
3 &amp; 5 TO 7</t>
  </si>
  <si>
    <t xml:space="preserve">11 SET </t>
  </si>
  <si>
    <t>21240835100954/
PL NO : 31547084</t>
  </si>
  <si>
    <t xml:space="preserve">INNER FRAME FOR BODY SIDE WINDOW ASSEMBLY FOR ICF DRG NO : 
EMU/4C/ASR-5-4-405 ALT 'a' </t>
  </si>
  <si>
    <t xml:space="preserve">258 NOS </t>
  </si>
  <si>
    <t>07251654100702/
PL NO : 33617958</t>
  </si>
  <si>
    <t xml:space="preserve">SUPPLY OF ALUMINIUM INNER 
FRAME FOR TO DRG NO : 
LWCB/PP -5-4-006 , COL-I ALT -a  FOR 
LHB PANTRY AMRIT BHARAT COACHES </t>
  </si>
  <si>
    <t xml:space="preserve">45 NOS </t>
  </si>
  <si>
    <t xml:space="preserve">20 NOS </t>
  </si>
  <si>
    <t>02241915100404/
PL NO :31154359</t>
  </si>
  <si>
    <t xml:space="preserve">ONE COACH SET OF SS ENDWALL FOR 
3 PHASE AC EMU TRAILOR C COACH 
DRG NO : EMU/C/3PH-1-5-001/COL.I ALTf-1 NO 
EMU/C/3PH-1-5-002 /COLI ALTc-1 NO </t>
  </si>
  <si>
    <t>6 SET +
2 SET</t>
  </si>
  <si>
    <t>02242125100439/
PL NO : 33519950</t>
  </si>
  <si>
    <t xml:space="preserve">253 SET </t>
  </si>
  <si>
    <t xml:space="preserve">244 SET </t>
  </si>
  <si>
    <t>07250012100819/
PL NO : 33549916</t>
  </si>
  <si>
    <t xml:space="preserve">3197 NOS </t>
  </si>
  <si>
    <t xml:space="preserve">1357 NOS </t>
  </si>
  <si>
    <t xml:space="preserve">1840 NOS </t>
  </si>
  <si>
    <t>02242343100500/
PL NO : 33511299</t>
  </si>
  <si>
    <t xml:space="preserve">SUPPLY OF BODY SHELL ITEMS AND 
PARTITION FRAMES FOR LWSCZ SHELLS 
ASSEMBLY </t>
  </si>
  <si>
    <t xml:space="preserve">71 SET </t>
  </si>
  <si>
    <t>07243074100853/
PL NO : 33599051</t>
  </si>
  <si>
    <t xml:space="preserve">
SET OF AIR GRILLS FOR LWACCW COACHES 
DRG NO : LWSCWAC/EOG-4-4-021,ALT-d
COL-I =2 NOS , COL-II-2 NOS &amp; COL-III-2 NOS 
</t>
  </si>
  <si>
    <t xml:space="preserve">195 SET </t>
  </si>
  <si>
    <t>79 SET</t>
  </si>
  <si>
    <t xml:space="preserve">116 SET </t>
  </si>
  <si>
    <t>02241916100513/
PL NO : 31154335</t>
  </si>
  <si>
    <t xml:space="preserve">ONE COACH SET OF STAINLESS STEEL
ENDWALL FOR 3 PHASE AC EMU MOTOR 
COACHES TO DRG NO : 
EMU/M/3PH-1-5-001 ,COL-I ALT'f"-1 NO 
ICF/MRVC/M/BT-5-002 COL-I ALT"h"-1 NO </t>
  </si>
  <si>
    <t xml:space="preserve">14 SET </t>
  </si>
  <si>
    <t>07243104101095/
PL NO : 33576014</t>
  </si>
  <si>
    <t xml:space="preserve">286 NOS </t>
  </si>
  <si>
    <t xml:space="preserve">64 NOS </t>
  </si>
  <si>
    <t>02251022100629/
PL NO : 36140028</t>
  </si>
  <si>
    <t xml:space="preserve">ONE COACH SET OF LIGHT RAIL &amp; 
WAIST RAIL FOR KOLKATTA 
METRO COACHES </t>
  </si>
  <si>
    <t>07251333101182/
PL NO : 33517605</t>
  </si>
  <si>
    <t xml:space="preserve">175 SET </t>
  </si>
  <si>
    <t xml:space="preserve">135 SET </t>
  </si>
  <si>
    <t>02241921100678/
PL NO : 30922185</t>
  </si>
  <si>
    <t xml:space="preserve">SUPPLY OF INSTALLATION OF 
NOSE CONE FOR MEMU/DMC 3 PHASE 
COACHES TO DRG NO : 
MEMU/DMC/3PH-1-0-060 ALT -a COL-I </t>
  </si>
  <si>
    <t>02242358100690/
PL NO : 33646740</t>
  </si>
  <si>
    <t xml:space="preserve">DOOR CUT OUT FOR LWSCZ29 WINDOW 
COACHES TO DRG NO : 
81414013 ALT 'a' -1 NO 
81414015 ALT 'a'-1 NO </t>
  </si>
  <si>
    <t xml:space="preserve">188 PAIRS </t>
  </si>
  <si>
    <t xml:space="preserve">49 PAIRS </t>
  </si>
  <si>
    <t xml:space="preserve">139 PAIRS </t>
  </si>
  <si>
    <t>02242391100684/
PL NO : 33549849</t>
  </si>
  <si>
    <t xml:space="preserve">ONE COACH SET OF ROOF , SIDEWALL AND 
ENDWALL FOR LWCB PP SHELLS </t>
  </si>
  <si>
    <t>02240169100703/
PL NO : 33542168</t>
  </si>
  <si>
    <t xml:space="preserve">ONE COACH SET OF SS RMPU 
TROUGH ASSEMBLY FOR 
LHB AC SHELLS  
TO DRG NO : 59316033 COL-I, ALT-d </t>
  </si>
  <si>
    <t xml:space="preserve">246 SET </t>
  </si>
  <si>
    <t xml:space="preserve">70 SET </t>
  </si>
  <si>
    <t xml:space="preserve">176 SET </t>
  </si>
  <si>
    <t>02251255100750 /
PL NO : 33589902</t>
  </si>
  <si>
    <t xml:space="preserve">ONE COACH SET OF ROOF ,2 MM SIDEWALL
AND ENDWALL FOR LSLRD COACHES </t>
  </si>
  <si>
    <t>02251129100772/
PL NO : 33559636</t>
  </si>
  <si>
    <t xml:space="preserve">ONE COACH SET OF ROOF ASSEMBLY FOR 
AMRIT BHARAT LWS .0 SHELLS   </t>
  </si>
  <si>
    <t xml:space="preserve">79 SET </t>
  </si>
  <si>
    <t xml:space="preserve">73 SET </t>
  </si>
  <si>
    <t>07251284101348/
PL NO : 33540640</t>
  </si>
  <si>
    <t xml:space="preserve">ALUMINIUM INNER FRAME FOR LHB EOG 
COACHES 
TO DRG NO : LSCN/EOG-5-4-016 ALT a </t>
  </si>
  <si>
    <t xml:space="preserve">278 NOS </t>
  </si>
  <si>
    <t xml:space="preserve">49 NOS </t>
  </si>
  <si>
    <t xml:space="preserve">229 NOS </t>
  </si>
  <si>
    <t>02242087100831/
PL NO : 33552034</t>
  </si>
  <si>
    <t xml:space="preserve">ONE COACH SET OF ROOF ASSEMBLY 
FOR LSCN /BW2 </t>
  </si>
  <si>
    <t xml:space="preserve">54 SET </t>
  </si>
  <si>
    <t xml:space="preserve">45 SET </t>
  </si>
  <si>
    <t>07251988101448/
PL NO : 31547357</t>
  </si>
  <si>
    <t>ALUMINIUM INNER FRAME FOR WINDOW 
TO DRG NO : ICF/MRVC/C/SS-5-4-004 ,ALT-C ITEM -1</t>
  </si>
  <si>
    <t xml:space="preserve">101 NOS </t>
  </si>
  <si>
    <t xml:space="preserve">60  NOS </t>
  </si>
  <si>
    <t>02251176100864/
PL NO : 31141092</t>
  </si>
  <si>
    <t xml:space="preserve">ONE COACH SET OF STAINLESS STEEL ROOF 
AND SIDEWALL FOR  3 PHASE EMU 
C2 COACHES WITH OUT FORCED 
AIR CIRCULATION </t>
  </si>
  <si>
    <t xml:space="preserve">30 SET </t>
  </si>
  <si>
    <t>21240836102489/
PL NO :31547072</t>
  </si>
  <si>
    <t xml:space="preserve">BODY SIDE WINDOW ASSEMBLY WITH 
LIFT UP TYPE GLASS SHUTTER 
AS PER DRG NO : 
EMU/4C/ASR-5-4-402 ALT e </t>
  </si>
  <si>
    <t xml:space="preserve">123 NOS </t>
  </si>
  <si>
    <t>07251361101904/
PL NO : 33549760</t>
  </si>
  <si>
    <t xml:space="preserve">SUPPLY OF SET OF SS CEILING PANEL FOR 
GENERATOR ROOM IN LWLRRM COACHES 
TO DRG NO : 
1 11012.0.021.410.045 ANX -1-2 NOS 
1 11012.0.21.410.046 ANX -1-2 NOS </t>
  </si>
  <si>
    <t xml:space="preserve">53 SET </t>
  </si>
  <si>
    <t>02251427101304/
PL NO : 33647999</t>
  </si>
  <si>
    <t xml:space="preserve">ONE COACH SET OF CARLINE ASSEMBLY 
FOR LWSCZ 9 WINDOW COACHES 
DRG NO : 81414009 ALT a , COL-I-2 NOS </t>
  </si>
  <si>
    <t>02250067101326/
PL NO : 30150334</t>
  </si>
  <si>
    <t xml:space="preserve">ONE COACH SET OF DETAILS FOR FRAME 
WORK FOR TRAIN SET MC COACHES </t>
  </si>
  <si>
    <t>07251266102184/
PL NO : 33643556</t>
  </si>
  <si>
    <t xml:space="preserve">SUPPLY AND INSTALATION OF COVER FOR 
HOUSING OF LED DESTINATION BOARD 
WITH ADHESIVE TO DRG NO : 
874-6-4-010 , COL-I , ALT -a FOR 
AMRIT BHARAT COACHES </t>
  </si>
  <si>
    <t xml:space="preserve">605 NOS </t>
  </si>
  <si>
    <t>07251659102189/
PL NO : 33710223</t>
  </si>
  <si>
    <t>SUPPLY OF ONE COACH SET OF PILLAR 
COVER FOR LWSCN AMRIT BHARAT COACHES 
TO DRG NO :753-4-4-001 ALT'NIL ' 
ITEM NO :35,36,37</t>
  </si>
  <si>
    <t xml:space="preserve">307 SET </t>
  </si>
  <si>
    <t>06250055102199/
PL NO :33560523</t>
  </si>
  <si>
    <t>02251287101420/
PL NO:33698480</t>
  </si>
  <si>
    <t xml:space="preserve">ONE COACH SET OF ROOF ASSEMBLY 
FOR LSCZ COACHES </t>
  </si>
  <si>
    <t>08251481102309/
PL NO : 33709208</t>
  </si>
  <si>
    <t>ONE SET OF SPEAKER BRACKETS FOR 
LWFAC COACHES 
1.DRG NO : 2 10113.0.39.095.003-2 NOS 
2.LA4</t>
  </si>
  <si>
    <t>07250209102353/
PL NO : 31547448</t>
  </si>
  <si>
    <t>BODY SIDE WINDOW ARRAGNEMENT WITH 
FIXED LOUVRE SHUTTER TO DRG NO :
ICF/MRVC/C/BT5-4-003 COL.I , ALT-b</t>
  </si>
  <si>
    <t>340 NOS</t>
  </si>
  <si>
    <t xml:space="preserve">210 NOS </t>
  </si>
  <si>
    <t>02251285101475/
PL NO :33514951</t>
  </si>
  <si>
    <t>ONE COACH SET OF LWFAC ROOF ASSEMBLY</t>
  </si>
  <si>
    <t>12241320101851/
PL NO :33560936</t>
  </si>
  <si>
    <t>SET OF WINDOW INNER FRAME FOR LHB
SCN AMRIT BHARAT COACHES 
DRG : MPLWCLSCNABX  VER 03</t>
  </si>
  <si>
    <t>12241320101851/
PL NO :33560948</t>
  </si>
  <si>
    <t>SET OF WINDOW INNER FRAME FOR LHB
GS AMRIT BHARAT COACHES 
DRG : MPLWCLSDDABX VER 03</t>
  </si>
  <si>
    <t>12241320101851/
PL NO :33560950</t>
  </si>
  <si>
    <t>SET OF WINDOW INNER FRAME FOR LHB
SLRD  AMRIT BHARAT COACHES 
DRG : MPLWCLSLRABX VER 05</t>
  </si>
  <si>
    <t>12251165101858/
PL NO :31980983</t>
  </si>
  <si>
    <t xml:space="preserve">BODY SIDE WINDOW ARRANGEMENT WITH 
FIXTURE LOUVRE SHUTTER AS PER 
DRG NO : ICF/MRVC/C/BT-5-4-002 COL-I </t>
  </si>
  <si>
    <t xml:space="preserve">1412 NOS </t>
  </si>
  <si>
    <t>02251187101547/
PL NO :31517080</t>
  </si>
  <si>
    <t xml:space="preserve">SUPPLY AND INSTALLATION OF BODY 
SIDE ENTRANCE DOOR LH (825/D/W) 
TO DRG NO : 58151003 , ALT 'd" COL-I -2 NOS </t>
  </si>
  <si>
    <t xml:space="preserve">298 PAIRS </t>
  </si>
  <si>
    <t>LN256295102179/
315300340010</t>
  </si>
  <si>
    <t xml:space="preserve">EMERGENCY OPENABLE WINDOW FOR 
MEMU/US COACHES .TO DRG NO : 
MEMU/DMC/3PH/US5-7-006 , COL-I ALT -NIL </t>
  </si>
  <si>
    <t xml:space="preserve">7 NOS </t>
  </si>
  <si>
    <t xml:space="preserve">ONE COACH SET OF SIDEWALL AND ROOF 
FOR 3 PH MEMU/TC COACHES  
1.SIDEWALL DRG NO : 747-1-4-001 ALT-NIL COLI-1 NO 
2. ROOF -741-1-6-005 ALTNIL COLI-1 NO </t>
  </si>
  <si>
    <t xml:space="preserve">ONE COACH SET OF LACCN ROOF 
ASSEMBLY .
1.ROOF COMPLETE DRG NO : 64516001 COL-I ALTc-1 NO
2.MODIFIED FINAL ROOF ELEMENT RH  DEG NO :
64516018 COL-I ALT b -2 NOS  
3. MODIFIED FINAL ROOF ELEMENT LH DRG NO : 
64516019 , COL-I ALT b -2 NOS </t>
  </si>
  <si>
    <t xml:space="preserve">ONE SET OF IC DOORS FOR LWFAC COACHES OF 
1. MOUNTING ARRANGEMENT OF COMPARTMENT 
DOOR ( NPP SIDE ) MI006625 ALT a-1 NO AND
2.MOUNTING ARRANGEMENT OF 
COMPARTMENT DOOR ( PP SIDE)MI006624, ALT-NIL-1 NO </t>
  </si>
  <si>
    <t xml:space="preserve">SET OF ELECTRICAL CONTROL 
CUBICLE DOOR 
MEMU/3PH/US COACHES </t>
  </si>
  <si>
    <t xml:space="preserve">NOSE CONE FOR 
MEMU/DMC 3-PHASE COACHES </t>
  </si>
  <si>
    <t xml:space="preserve">ONE COACH SET OF ROOF , 3 MM 
SIDEWALL AND ENDWALL FOR 
LWSCZAC &amp; LWFCZAC COACHES </t>
  </si>
  <si>
    <t xml:space="preserve">ONE COACH SET OF VERTICAL 
LOUVRE ARRANGEMENT FOR 
RADIATOR ROOM </t>
  </si>
  <si>
    <t xml:space="preserve"> 
Value</t>
  </si>
  <si>
    <t>PURCHASE ORDER AS ON 12-08-25</t>
  </si>
</sst>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&quot;₹&quot;\ #,##0.00;[Red]&quot;₹&quot;\ #,##0.00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5">
    <xf numFmtId="0" fontId="0" fillId="0" borderId="0" xfId="0"/>
    <xf numFmtId="2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2" fontId="2" fillId="0" borderId="1" xfId="0" applyNumberFormat="1" applyFont="1" applyFill="1" applyBorder="1" applyAlignment="1">
      <alignment horizontal="center" vertical="center"/>
    </xf>
    <xf numFmtId="0" fontId="2" fillId="0" borderId="1" xfId="0" quotePrefix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165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/>
    <xf numFmtId="0" fontId="2" fillId="0" borderId="1" xfId="0" applyFont="1" applyFill="1" applyBorder="1"/>
    <xf numFmtId="0" fontId="2" fillId="0" borderId="1" xfId="0" applyFont="1" applyFill="1" applyBorder="1" applyAlignment="1">
      <alignment wrapText="1"/>
    </xf>
    <xf numFmtId="0" fontId="2" fillId="0" borderId="0" xfId="0" applyFont="1" applyFill="1" applyAlignment="1">
      <alignment wrapText="1"/>
    </xf>
    <xf numFmtId="2" fontId="2" fillId="0" borderId="0" xfId="0" applyNumberFormat="1" applyFont="1" applyFill="1"/>
    <xf numFmtId="0" fontId="2" fillId="0" borderId="1" xfId="0" applyFont="1" applyFill="1" applyBorder="1" applyAlignment="1">
      <alignment horizontal="center" vertical="center"/>
    </xf>
  </cellXfs>
  <cellStyles count="2">
    <cellStyle name="Comma 2" xfId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2"/>
  <sheetViews>
    <sheetView tabSelected="1" topLeftCell="A70" zoomScale="70" zoomScaleNormal="70" workbookViewId="0">
      <selection activeCell="I91" sqref="I91"/>
    </sheetView>
  </sheetViews>
  <sheetFormatPr defaultRowHeight="14.25"/>
  <cols>
    <col min="1" max="1" width="6" style="9" bestFit="1" customWidth="1"/>
    <col min="2" max="2" width="28.28515625" style="9" bestFit="1" customWidth="1"/>
    <col min="3" max="3" width="119.140625" style="12" bestFit="1" customWidth="1"/>
    <col min="4" max="4" width="19.140625" style="9" bestFit="1" customWidth="1"/>
    <col min="5" max="5" width="15.28515625" style="9" bestFit="1" customWidth="1"/>
    <col min="6" max="6" width="14.85546875" style="9" bestFit="1" customWidth="1"/>
    <col min="7" max="7" width="16" style="9" bestFit="1" customWidth="1"/>
    <col min="8" max="8" width="16.42578125" style="9" bestFit="1" customWidth="1"/>
    <col min="9" max="9" width="21.7109375" style="9" bestFit="1" customWidth="1"/>
    <col min="10" max="16384" width="9.140625" style="9"/>
  </cols>
  <sheetData>
    <row r="1" spans="1:9" ht="24.75" customHeight="1">
      <c r="A1" s="14" t="s">
        <v>319</v>
      </c>
      <c r="B1" s="14"/>
      <c r="C1" s="14"/>
      <c r="D1" s="14"/>
      <c r="E1" s="14"/>
      <c r="F1" s="14"/>
      <c r="G1" s="14"/>
      <c r="H1" s="14"/>
      <c r="I1" s="14"/>
    </row>
    <row r="2" spans="1:9" ht="42.75">
      <c r="A2" s="5" t="s">
        <v>0</v>
      </c>
      <c r="B2" s="2" t="s">
        <v>1</v>
      </c>
      <c r="C2" s="2" t="s">
        <v>2</v>
      </c>
      <c r="D2" s="5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318</v>
      </c>
    </row>
    <row r="3" spans="1:9" ht="28.5">
      <c r="A3" s="5">
        <v>1</v>
      </c>
      <c r="B3" s="2" t="s">
        <v>8</v>
      </c>
      <c r="C3" s="7" t="s">
        <v>314</v>
      </c>
      <c r="D3" s="5" t="s">
        <v>9</v>
      </c>
      <c r="E3" s="5" t="s">
        <v>10</v>
      </c>
      <c r="F3" s="5" t="s">
        <v>11</v>
      </c>
      <c r="G3" s="3">
        <v>42757.14</v>
      </c>
      <c r="H3" s="3">
        <v>100</v>
      </c>
      <c r="I3" s="6">
        <f>8*(G3+H3)</f>
        <v>342857.12</v>
      </c>
    </row>
    <row r="4" spans="1:9">
      <c r="A4" s="5">
        <f>A3+1</f>
        <v>2</v>
      </c>
      <c r="B4" s="5" t="s">
        <v>12</v>
      </c>
      <c r="C4" s="7" t="s">
        <v>315</v>
      </c>
      <c r="D4" s="5" t="s">
        <v>13</v>
      </c>
      <c r="E4" s="5">
        <v>0</v>
      </c>
      <c r="F4" s="5" t="s">
        <v>14</v>
      </c>
      <c r="G4" s="3">
        <v>855000</v>
      </c>
      <c r="H4" s="3">
        <v>10000</v>
      </c>
      <c r="I4" s="6">
        <f>4*(G4+H4)</f>
        <v>3460000</v>
      </c>
    </row>
    <row r="5" spans="1:9" ht="28.5">
      <c r="A5" s="8">
        <f t="shared" ref="A5:A68" si="0">A4+1</f>
        <v>3</v>
      </c>
      <c r="B5" s="4" t="s">
        <v>16</v>
      </c>
      <c r="C5" s="7" t="s">
        <v>316</v>
      </c>
      <c r="D5" s="5" t="s">
        <v>17</v>
      </c>
      <c r="E5" s="5">
        <v>0</v>
      </c>
      <c r="F5" s="5" t="s">
        <v>17</v>
      </c>
      <c r="G5" s="3">
        <v>1912365.2</v>
      </c>
      <c r="H5" s="3">
        <v>40000</v>
      </c>
      <c r="I5" s="6">
        <f>3*(G5+H5)</f>
        <v>5857095.5999999996</v>
      </c>
    </row>
    <row r="6" spans="1:9" ht="28.5">
      <c r="A6" s="8">
        <f t="shared" si="0"/>
        <v>4</v>
      </c>
      <c r="B6" s="4" t="s">
        <v>18</v>
      </c>
      <c r="C6" s="7" t="s">
        <v>317</v>
      </c>
      <c r="D6" s="5" t="s">
        <v>19</v>
      </c>
      <c r="E6" s="5">
        <v>0</v>
      </c>
      <c r="F6" s="5" t="s">
        <v>19</v>
      </c>
      <c r="G6" s="3">
        <v>30760</v>
      </c>
      <c r="H6" s="3">
        <v>50</v>
      </c>
      <c r="I6" s="6">
        <f>23*(G6+H6)</f>
        <v>708630</v>
      </c>
    </row>
    <row r="7" spans="1:9" ht="28.5">
      <c r="A7" s="8">
        <f t="shared" si="0"/>
        <v>5</v>
      </c>
      <c r="B7" s="4" t="s">
        <v>20</v>
      </c>
      <c r="C7" s="7" t="s">
        <v>21</v>
      </c>
      <c r="D7" s="2" t="s">
        <v>22</v>
      </c>
      <c r="E7" s="2">
        <v>0</v>
      </c>
      <c r="F7" s="2">
        <v>16</v>
      </c>
      <c r="G7" s="3">
        <v>68150.850000000006</v>
      </c>
      <c r="H7" s="3">
        <v>100</v>
      </c>
      <c r="I7" s="6">
        <f>16*(G7+H7)</f>
        <v>1092013.6000000001</v>
      </c>
    </row>
    <row r="8" spans="1:9" ht="28.5">
      <c r="A8" s="8">
        <f t="shared" si="0"/>
        <v>6</v>
      </c>
      <c r="B8" s="4" t="s">
        <v>24</v>
      </c>
      <c r="C8" s="7" t="s">
        <v>25</v>
      </c>
      <c r="D8" s="2" t="s">
        <v>26</v>
      </c>
      <c r="E8" s="5" t="s">
        <v>27</v>
      </c>
      <c r="F8" s="2" t="s">
        <v>28</v>
      </c>
      <c r="G8" s="3">
        <v>917555.09</v>
      </c>
      <c r="H8" s="3">
        <v>5000</v>
      </c>
      <c r="I8" s="6">
        <f>3*(G8+H8)</f>
        <v>2767665.27</v>
      </c>
    </row>
    <row r="9" spans="1:9" ht="28.5">
      <c r="A9" s="8">
        <f t="shared" si="0"/>
        <v>7</v>
      </c>
      <c r="B9" s="4" t="s">
        <v>30</v>
      </c>
      <c r="C9" s="7" t="s">
        <v>31</v>
      </c>
      <c r="D9" s="5" t="s">
        <v>32</v>
      </c>
      <c r="E9" s="5" t="s">
        <v>33</v>
      </c>
      <c r="F9" s="5" t="s">
        <v>34</v>
      </c>
      <c r="G9" s="3">
        <v>18973.73</v>
      </c>
      <c r="H9" s="3">
        <v>50</v>
      </c>
      <c r="I9" s="6">
        <f>25*(G9+H9)</f>
        <v>475593.25</v>
      </c>
    </row>
    <row r="10" spans="1:9" ht="28.5">
      <c r="A10" s="8">
        <f t="shared" si="0"/>
        <v>8</v>
      </c>
      <c r="B10" s="4" t="s">
        <v>35</v>
      </c>
      <c r="C10" s="7" t="s">
        <v>36</v>
      </c>
      <c r="D10" s="5" t="s">
        <v>37</v>
      </c>
      <c r="E10" s="5" t="s">
        <v>38</v>
      </c>
      <c r="F10" s="5" t="s">
        <v>27</v>
      </c>
      <c r="G10" s="3">
        <v>2137206.06</v>
      </c>
      <c r="H10" s="3">
        <v>15000</v>
      </c>
      <c r="I10" s="6">
        <f>7*(G10+H10)</f>
        <v>15065442.42</v>
      </c>
    </row>
    <row r="11" spans="1:9" ht="28.5">
      <c r="A11" s="8">
        <f t="shared" si="0"/>
        <v>9</v>
      </c>
      <c r="B11" s="4" t="s">
        <v>39</v>
      </c>
      <c r="C11" s="7" t="s">
        <v>40</v>
      </c>
      <c r="D11" s="5" t="s">
        <v>41</v>
      </c>
      <c r="E11" s="5">
        <v>0</v>
      </c>
      <c r="F11" s="5" t="s">
        <v>41</v>
      </c>
      <c r="G11" s="3">
        <v>14500.85</v>
      </c>
      <c r="H11" s="3">
        <v>100</v>
      </c>
      <c r="I11" s="6">
        <f>159*(G11+H11)</f>
        <v>2321535.15</v>
      </c>
    </row>
    <row r="12" spans="1:9" ht="28.5">
      <c r="A12" s="8">
        <f t="shared" si="0"/>
        <v>10</v>
      </c>
      <c r="B12" s="4" t="s">
        <v>43</v>
      </c>
      <c r="C12" s="7" t="s">
        <v>44</v>
      </c>
      <c r="D12" s="5" t="s">
        <v>9</v>
      </c>
      <c r="E12" s="5">
        <v>0</v>
      </c>
      <c r="F12" s="5" t="s">
        <v>9</v>
      </c>
      <c r="G12" s="3">
        <v>194838.2</v>
      </c>
      <c r="H12" s="3">
        <v>500</v>
      </c>
      <c r="I12" s="6">
        <f>24*(G12+H12)</f>
        <v>4688116.8000000007</v>
      </c>
    </row>
    <row r="13" spans="1:9" ht="28.5">
      <c r="A13" s="8">
        <f t="shared" si="0"/>
        <v>11</v>
      </c>
      <c r="B13" s="4" t="s">
        <v>46</v>
      </c>
      <c r="C13" s="7" t="s">
        <v>47</v>
      </c>
      <c r="D13" s="5" t="s">
        <v>48</v>
      </c>
      <c r="E13" s="5" t="s">
        <v>49</v>
      </c>
      <c r="F13" s="5" t="s">
        <v>50</v>
      </c>
      <c r="G13" s="3">
        <v>41261.019999999997</v>
      </c>
      <c r="H13" s="3">
        <v>100</v>
      </c>
      <c r="I13" s="6">
        <f>18*(G13+H13)</f>
        <v>744498.36</v>
      </c>
    </row>
    <row r="14" spans="1:9" ht="28.5">
      <c r="A14" s="8">
        <f t="shared" si="0"/>
        <v>12</v>
      </c>
      <c r="B14" s="4" t="s">
        <v>51</v>
      </c>
      <c r="C14" s="7" t="s">
        <v>52</v>
      </c>
      <c r="D14" s="5" t="s">
        <v>14</v>
      </c>
      <c r="E14" s="5">
        <v>0</v>
      </c>
      <c r="F14" s="5" t="s">
        <v>14</v>
      </c>
      <c r="G14" s="3">
        <v>104605.94</v>
      </c>
      <c r="H14" s="3">
        <v>100</v>
      </c>
      <c r="I14" s="6">
        <f>4*(G14+H14)</f>
        <v>418823.76</v>
      </c>
    </row>
    <row r="15" spans="1:9" ht="28.5">
      <c r="A15" s="8">
        <f t="shared" si="0"/>
        <v>13</v>
      </c>
      <c r="B15" s="4" t="s">
        <v>56</v>
      </c>
      <c r="C15" s="7" t="s">
        <v>57</v>
      </c>
      <c r="D15" s="2" t="s">
        <v>58</v>
      </c>
      <c r="E15" s="2" t="s">
        <v>37</v>
      </c>
      <c r="F15" s="2" t="s">
        <v>59</v>
      </c>
      <c r="G15" s="1">
        <v>128518.65</v>
      </c>
      <c r="H15" s="1">
        <v>200</v>
      </c>
      <c r="I15" s="6">
        <f>6*(G15+H15)</f>
        <v>772311.89999999991</v>
      </c>
    </row>
    <row r="16" spans="1:9" ht="28.5">
      <c r="A16" s="8">
        <f t="shared" si="0"/>
        <v>14</v>
      </c>
      <c r="B16" s="4" t="s">
        <v>70</v>
      </c>
      <c r="C16" s="7" t="s">
        <v>71</v>
      </c>
      <c r="D16" s="2" t="s">
        <v>72</v>
      </c>
      <c r="E16" s="2" t="s">
        <v>67</v>
      </c>
      <c r="F16" s="2" t="s">
        <v>67</v>
      </c>
      <c r="G16" s="1">
        <v>474601.18</v>
      </c>
      <c r="H16" s="1">
        <v>1500</v>
      </c>
      <c r="I16" s="6">
        <f>8*(G16+H16)</f>
        <v>3808809.44</v>
      </c>
    </row>
    <row r="17" spans="1:9" ht="28.5">
      <c r="A17" s="8">
        <f t="shared" si="0"/>
        <v>15</v>
      </c>
      <c r="B17" s="4" t="s">
        <v>73</v>
      </c>
      <c r="C17" s="7" t="s">
        <v>65</v>
      </c>
      <c r="D17" s="2" t="s">
        <v>74</v>
      </c>
      <c r="E17" s="2" t="s">
        <v>75</v>
      </c>
      <c r="F17" s="2" t="s">
        <v>76</v>
      </c>
      <c r="G17" s="1">
        <v>45600</v>
      </c>
      <c r="H17" s="1">
        <v>100</v>
      </c>
      <c r="I17" s="6">
        <f>118*(G17+H17)</f>
        <v>5392600</v>
      </c>
    </row>
    <row r="18" spans="1:9" ht="28.5">
      <c r="A18" s="8">
        <f t="shared" si="0"/>
        <v>16</v>
      </c>
      <c r="B18" s="4" t="s">
        <v>78</v>
      </c>
      <c r="C18" s="7" t="s">
        <v>79</v>
      </c>
      <c r="D18" s="2" t="s">
        <v>80</v>
      </c>
      <c r="E18" s="2" t="s">
        <v>81</v>
      </c>
      <c r="F18" s="2" t="s">
        <v>82</v>
      </c>
      <c r="G18" s="1">
        <v>282360.84999999998</v>
      </c>
      <c r="H18" s="1">
        <v>1500</v>
      </c>
      <c r="I18" s="6">
        <f>64*(G18+H18)</f>
        <v>18167094.399999999</v>
      </c>
    </row>
    <row r="19" spans="1:9" ht="28.5">
      <c r="A19" s="8">
        <f t="shared" si="0"/>
        <v>17</v>
      </c>
      <c r="B19" s="4" t="s">
        <v>90</v>
      </c>
      <c r="C19" s="7" t="s">
        <v>91</v>
      </c>
      <c r="D19" s="2" t="s">
        <v>92</v>
      </c>
      <c r="E19" s="2">
        <v>0</v>
      </c>
      <c r="F19" s="2" t="s">
        <v>92</v>
      </c>
      <c r="G19" s="1">
        <v>1409</v>
      </c>
      <c r="H19" s="1">
        <v>25</v>
      </c>
      <c r="I19" s="6">
        <f>120*(G19+H19)</f>
        <v>172080</v>
      </c>
    </row>
    <row r="20" spans="1:9" ht="28.5">
      <c r="A20" s="8">
        <f t="shared" si="0"/>
        <v>18</v>
      </c>
      <c r="B20" s="4" t="s">
        <v>93</v>
      </c>
      <c r="C20" s="7" t="s">
        <v>42</v>
      </c>
      <c r="D20" s="2" t="s">
        <v>94</v>
      </c>
      <c r="E20" s="2" t="s">
        <v>95</v>
      </c>
      <c r="F20" s="2" t="s">
        <v>60</v>
      </c>
      <c r="G20" s="1">
        <v>1048686.45</v>
      </c>
      <c r="H20" s="1">
        <v>7500</v>
      </c>
      <c r="I20" s="6">
        <f>4*(G20+H20)</f>
        <v>4224745.8</v>
      </c>
    </row>
    <row r="21" spans="1:9" ht="28.5">
      <c r="A21" s="8">
        <f t="shared" si="0"/>
        <v>19</v>
      </c>
      <c r="B21" s="4" t="s">
        <v>99</v>
      </c>
      <c r="C21" s="7" t="s">
        <v>100</v>
      </c>
      <c r="D21" s="2" t="s">
        <v>101</v>
      </c>
      <c r="E21" s="2" t="s">
        <v>14</v>
      </c>
      <c r="F21" s="2" t="s">
        <v>102</v>
      </c>
      <c r="G21" s="1">
        <v>587216.11</v>
      </c>
      <c r="H21" s="1">
        <v>2500</v>
      </c>
      <c r="I21" s="6">
        <f>29*(G21+H21)</f>
        <v>17101767.190000001</v>
      </c>
    </row>
    <row r="22" spans="1:9" ht="28.5">
      <c r="A22" s="8">
        <f t="shared" si="0"/>
        <v>20</v>
      </c>
      <c r="B22" s="4" t="s">
        <v>106</v>
      </c>
      <c r="C22" s="7" t="s">
        <v>107</v>
      </c>
      <c r="D22" s="2" t="s">
        <v>108</v>
      </c>
      <c r="E22" s="2" t="s">
        <v>23</v>
      </c>
      <c r="F22" s="2" t="s">
        <v>58</v>
      </c>
      <c r="G22" s="1">
        <v>337089.84</v>
      </c>
      <c r="H22" s="1">
        <v>1500</v>
      </c>
      <c r="I22" s="6">
        <f>15*(G22+H22)</f>
        <v>5078847.6000000006</v>
      </c>
    </row>
    <row r="23" spans="1:9" ht="28.5">
      <c r="A23" s="8">
        <f t="shared" si="0"/>
        <v>21</v>
      </c>
      <c r="B23" s="4" t="s">
        <v>109</v>
      </c>
      <c r="C23" s="7" t="s">
        <v>110</v>
      </c>
      <c r="D23" s="2" t="s">
        <v>111</v>
      </c>
      <c r="E23" s="2" t="s">
        <v>112</v>
      </c>
      <c r="F23" s="2" t="s">
        <v>77</v>
      </c>
      <c r="G23" s="1">
        <v>856819.31</v>
      </c>
      <c r="H23" s="1">
        <v>5000</v>
      </c>
      <c r="I23" s="6">
        <f>12*(G23+H23)</f>
        <v>10341831.720000001</v>
      </c>
    </row>
    <row r="24" spans="1:9" ht="28.5">
      <c r="A24" s="8">
        <f t="shared" si="0"/>
        <v>22</v>
      </c>
      <c r="B24" s="4" t="s">
        <v>114</v>
      </c>
      <c r="C24" s="7" t="s">
        <v>115</v>
      </c>
      <c r="D24" s="2" t="s">
        <v>116</v>
      </c>
      <c r="E24" s="2" t="s">
        <v>117</v>
      </c>
      <c r="F24" s="2" t="s">
        <v>84</v>
      </c>
      <c r="G24" s="1">
        <v>324131.36</v>
      </c>
      <c r="H24" s="1">
        <v>1500</v>
      </c>
      <c r="I24" s="6">
        <f>28*(G24+H24)</f>
        <v>9117678.0800000001</v>
      </c>
    </row>
    <row r="25" spans="1:9" ht="28.5">
      <c r="A25" s="8">
        <f t="shared" si="0"/>
        <v>23</v>
      </c>
      <c r="B25" s="4" t="s">
        <v>118</v>
      </c>
      <c r="C25" s="7" t="s">
        <v>97</v>
      </c>
      <c r="D25" s="2" t="s">
        <v>119</v>
      </c>
      <c r="E25" s="2" t="s">
        <v>96</v>
      </c>
      <c r="F25" s="2" t="s">
        <v>29</v>
      </c>
      <c r="G25" s="1">
        <v>541327.01</v>
      </c>
      <c r="H25" s="1">
        <v>15000</v>
      </c>
      <c r="I25" s="6">
        <f>21*(G25+H25)</f>
        <v>11682867.210000001</v>
      </c>
    </row>
    <row r="26" spans="1:9" ht="28.5">
      <c r="A26" s="8">
        <f t="shared" si="0"/>
        <v>24</v>
      </c>
      <c r="B26" s="4" t="s">
        <v>120</v>
      </c>
      <c r="C26" s="7" t="s">
        <v>121</v>
      </c>
      <c r="D26" s="2" t="s">
        <v>104</v>
      </c>
      <c r="E26" s="2" t="s">
        <v>67</v>
      </c>
      <c r="F26" s="2" t="s">
        <v>61</v>
      </c>
      <c r="G26" s="1">
        <v>1520804.36</v>
      </c>
      <c r="H26" s="1">
        <v>20000</v>
      </c>
      <c r="I26" s="6">
        <f>24*(G26+H26)</f>
        <v>36979304.640000001</v>
      </c>
    </row>
    <row r="27" spans="1:9" ht="28.5">
      <c r="A27" s="8">
        <f t="shared" si="0"/>
        <v>25</v>
      </c>
      <c r="B27" s="4" t="s">
        <v>123</v>
      </c>
      <c r="C27" s="7" t="s">
        <v>124</v>
      </c>
      <c r="D27" s="2" t="s">
        <v>50</v>
      </c>
      <c r="E27" s="2" t="s">
        <v>17</v>
      </c>
      <c r="F27" s="2" t="s">
        <v>58</v>
      </c>
      <c r="G27" s="1">
        <v>1809733</v>
      </c>
      <c r="H27" s="1">
        <v>20000</v>
      </c>
      <c r="I27" s="6">
        <f>15*(G27+H27)</f>
        <v>27445995</v>
      </c>
    </row>
    <row r="28" spans="1:9" ht="28.5">
      <c r="A28" s="8">
        <f t="shared" si="0"/>
        <v>26</v>
      </c>
      <c r="B28" s="4" t="s">
        <v>125</v>
      </c>
      <c r="C28" s="7" t="s">
        <v>126</v>
      </c>
      <c r="D28" s="2" t="s">
        <v>127</v>
      </c>
      <c r="E28" s="2" t="s">
        <v>128</v>
      </c>
      <c r="F28" s="2" t="s">
        <v>129</v>
      </c>
      <c r="G28" s="1">
        <v>923220.34</v>
      </c>
      <c r="H28" s="1">
        <v>20000</v>
      </c>
      <c r="I28" s="6">
        <f>18*(G28+H28)</f>
        <v>16977966.120000001</v>
      </c>
    </row>
    <row r="29" spans="1:9" ht="28.5">
      <c r="A29" s="8">
        <f t="shared" si="0"/>
        <v>27</v>
      </c>
      <c r="B29" s="4" t="s">
        <v>131</v>
      </c>
      <c r="C29" s="7" t="s">
        <v>132</v>
      </c>
      <c r="D29" s="2" t="s">
        <v>133</v>
      </c>
      <c r="E29" s="2" t="s">
        <v>134</v>
      </c>
      <c r="F29" s="2" t="s">
        <v>135</v>
      </c>
      <c r="G29" s="1">
        <v>88710.59</v>
      </c>
      <c r="H29" s="1">
        <v>100</v>
      </c>
      <c r="I29" s="6">
        <f>71*(G29+H29)</f>
        <v>6305551.8899999997</v>
      </c>
    </row>
    <row r="30" spans="1:9" ht="28.5">
      <c r="A30" s="8">
        <f t="shared" si="0"/>
        <v>28</v>
      </c>
      <c r="B30" s="4" t="s">
        <v>136</v>
      </c>
      <c r="C30" s="7" t="s">
        <v>137</v>
      </c>
      <c r="D30" s="2" t="s">
        <v>53</v>
      </c>
      <c r="E30" s="2" t="s">
        <v>69</v>
      </c>
      <c r="F30" s="2" t="s">
        <v>58</v>
      </c>
      <c r="G30" s="1">
        <v>1337000</v>
      </c>
      <c r="H30" s="1">
        <v>15000</v>
      </c>
      <c r="I30" s="6">
        <f>15*(G30+H30)</f>
        <v>20280000</v>
      </c>
    </row>
    <row r="31" spans="1:9" ht="28.5">
      <c r="A31" s="8">
        <f t="shared" si="0"/>
        <v>29</v>
      </c>
      <c r="B31" s="2" t="s">
        <v>138</v>
      </c>
      <c r="C31" s="7" t="s">
        <v>139</v>
      </c>
      <c r="D31" s="2" t="s">
        <v>140</v>
      </c>
      <c r="E31" s="2" t="s">
        <v>113</v>
      </c>
      <c r="F31" s="2" t="s">
        <v>141</v>
      </c>
      <c r="G31" s="1">
        <v>11195</v>
      </c>
      <c r="H31" s="1">
        <v>0</v>
      </c>
      <c r="I31" s="6">
        <f>197*(G31+H31)</f>
        <v>2205415</v>
      </c>
    </row>
    <row r="32" spans="1:9" ht="28.5">
      <c r="A32" s="8">
        <f t="shared" si="0"/>
        <v>30</v>
      </c>
      <c r="B32" s="2" t="s">
        <v>142</v>
      </c>
      <c r="C32" s="7" t="s">
        <v>143</v>
      </c>
      <c r="D32" s="2" t="s">
        <v>103</v>
      </c>
      <c r="E32" s="2" t="s">
        <v>103</v>
      </c>
      <c r="F32" s="2">
        <v>0</v>
      </c>
      <c r="G32" s="1">
        <v>141872.89000000001</v>
      </c>
      <c r="H32" s="1">
        <v>500</v>
      </c>
      <c r="I32" s="6">
        <f>26*(G32+H32)</f>
        <v>3701695.1400000006</v>
      </c>
    </row>
    <row r="33" spans="1:9" ht="28.5">
      <c r="A33" s="8">
        <f t="shared" si="0"/>
        <v>31</v>
      </c>
      <c r="B33" s="2" t="s">
        <v>144</v>
      </c>
      <c r="C33" s="7" t="s">
        <v>145</v>
      </c>
      <c r="D33" s="2" t="s">
        <v>146</v>
      </c>
      <c r="E33" s="2" t="s">
        <v>112</v>
      </c>
      <c r="F33" s="2">
        <v>0</v>
      </c>
      <c r="G33" s="1">
        <v>147930</v>
      </c>
      <c r="H33" s="1">
        <v>0</v>
      </c>
      <c r="I33" s="6">
        <f>19*(G33+H33)</f>
        <v>2810670</v>
      </c>
    </row>
    <row r="34" spans="1:9" ht="28.5">
      <c r="A34" s="8">
        <f t="shared" si="0"/>
        <v>32</v>
      </c>
      <c r="B34" s="4" t="s">
        <v>148</v>
      </c>
      <c r="C34" s="7" t="s">
        <v>149</v>
      </c>
      <c r="D34" s="2" t="s">
        <v>50</v>
      </c>
      <c r="E34" s="2" t="s">
        <v>59</v>
      </c>
      <c r="F34" s="2" t="s">
        <v>77</v>
      </c>
      <c r="G34" s="1">
        <v>463962.72</v>
      </c>
      <c r="H34" s="1">
        <v>10000</v>
      </c>
      <c r="I34" s="6">
        <f>12*(G34+H34)</f>
        <v>5687552.6399999997</v>
      </c>
    </row>
    <row r="35" spans="1:9" ht="28.5">
      <c r="A35" s="8">
        <f t="shared" si="0"/>
        <v>33</v>
      </c>
      <c r="B35" s="4" t="s">
        <v>150</v>
      </c>
      <c r="C35" s="7" t="s">
        <v>151</v>
      </c>
      <c r="D35" s="2" t="s">
        <v>19</v>
      </c>
      <c r="E35" s="2" t="s">
        <v>38</v>
      </c>
      <c r="F35" s="2" t="s">
        <v>29</v>
      </c>
      <c r="G35" s="1">
        <v>734961.3</v>
      </c>
      <c r="H35" s="1">
        <v>5000</v>
      </c>
      <c r="I35" s="6">
        <f>21*(G35+H35)</f>
        <v>15539187.300000001</v>
      </c>
    </row>
    <row r="36" spans="1:9" ht="28.5">
      <c r="A36" s="8">
        <f t="shared" si="0"/>
        <v>34</v>
      </c>
      <c r="B36" s="2" t="s">
        <v>152</v>
      </c>
      <c r="C36" s="7" t="s">
        <v>153</v>
      </c>
      <c r="D36" s="2" t="s">
        <v>154</v>
      </c>
      <c r="E36" s="2" t="s">
        <v>154</v>
      </c>
      <c r="F36" s="2">
        <v>0</v>
      </c>
      <c r="G36" s="1">
        <v>1220</v>
      </c>
      <c r="H36" s="1">
        <v>0</v>
      </c>
      <c r="I36" s="6">
        <f>312*(G36+H36)</f>
        <v>380640</v>
      </c>
    </row>
    <row r="37" spans="1:9" ht="28.5">
      <c r="A37" s="8">
        <f t="shared" si="0"/>
        <v>35</v>
      </c>
      <c r="B37" s="4" t="s">
        <v>155</v>
      </c>
      <c r="C37" s="7" t="s">
        <v>156</v>
      </c>
      <c r="D37" s="2" t="s">
        <v>67</v>
      </c>
      <c r="E37" s="2" t="s">
        <v>157</v>
      </c>
      <c r="F37" s="2" t="s">
        <v>27</v>
      </c>
      <c r="G37" s="1">
        <v>812784.9</v>
      </c>
      <c r="H37" s="1">
        <v>7500</v>
      </c>
      <c r="I37" s="6">
        <f>7*(G37+H37)</f>
        <v>5741994.2999999998</v>
      </c>
    </row>
    <row r="38" spans="1:9" ht="28.5">
      <c r="A38" s="8">
        <f t="shared" si="0"/>
        <v>36</v>
      </c>
      <c r="B38" s="4" t="s">
        <v>158</v>
      </c>
      <c r="C38" s="7" t="s">
        <v>159</v>
      </c>
      <c r="D38" s="2" t="s">
        <v>160</v>
      </c>
      <c r="E38" s="2" t="s">
        <v>64</v>
      </c>
      <c r="F38" s="2" t="s">
        <v>161</v>
      </c>
      <c r="G38" s="1">
        <v>9346</v>
      </c>
      <c r="H38" s="1">
        <v>25</v>
      </c>
      <c r="I38" s="6">
        <f>46*(G38+H38)</f>
        <v>431066</v>
      </c>
    </row>
    <row r="39" spans="1:9" ht="28.5">
      <c r="A39" s="8">
        <f t="shared" si="0"/>
        <v>37</v>
      </c>
      <c r="B39" s="4" t="s">
        <v>162</v>
      </c>
      <c r="C39" s="7" t="s">
        <v>87</v>
      </c>
      <c r="D39" s="2" t="s">
        <v>163</v>
      </c>
      <c r="E39" s="2" t="s">
        <v>164</v>
      </c>
      <c r="F39" s="2" t="s">
        <v>165</v>
      </c>
      <c r="G39" s="1">
        <v>26126.28</v>
      </c>
      <c r="H39" s="1">
        <v>50</v>
      </c>
      <c r="I39" s="6">
        <f>732*(G39+H39)</f>
        <v>19161036.960000001</v>
      </c>
    </row>
    <row r="40" spans="1:9" ht="28.5">
      <c r="A40" s="8">
        <f t="shared" si="0"/>
        <v>38</v>
      </c>
      <c r="B40" s="4" t="s">
        <v>166</v>
      </c>
      <c r="C40" s="7" t="s">
        <v>167</v>
      </c>
      <c r="D40" s="2" t="s">
        <v>23</v>
      </c>
      <c r="E40" s="2" t="s">
        <v>61</v>
      </c>
      <c r="F40" s="2" t="s">
        <v>61</v>
      </c>
      <c r="G40" s="1">
        <v>109711.87</v>
      </c>
      <c r="H40" s="1">
        <v>200</v>
      </c>
      <c r="I40" s="6">
        <f>24*(G40+H40)</f>
        <v>2637884.88</v>
      </c>
    </row>
    <row r="41" spans="1:9" ht="28.5">
      <c r="A41" s="8">
        <f t="shared" si="0"/>
        <v>39</v>
      </c>
      <c r="B41" s="4" t="s">
        <v>168</v>
      </c>
      <c r="C41" s="7" t="s">
        <v>169</v>
      </c>
      <c r="D41" s="2" t="s">
        <v>15</v>
      </c>
      <c r="E41" s="2">
        <v>0</v>
      </c>
      <c r="F41" s="2" t="s">
        <v>15</v>
      </c>
      <c r="G41" s="1">
        <v>332616.11</v>
      </c>
      <c r="H41" s="1">
        <v>1500</v>
      </c>
      <c r="I41" s="6">
        <f>34*(G41+H41)</f>
        <v>11359947.74</v>
      </c>
    </row>
    <row r="42" spans="1:9" ht="28.5">
      <c r="A42" s="8">
        <f t="shared" si="0"/>
        <v>40</v>
      </c>
      <c r="B42" s="4" t="s">
        <v>170</v>
      </c>
      <c r="C42" s="7" t="s">
        <v>130</v>
      </c>
      <c r="D42" s="2" t="s">
        <v>38</v>
      </c>
      <c r="E42" s="2">
        <v>0</v>
      </c>
      <c r="F42" s="2" t="s">
        <v>38</v>
      </c>
      <c r="G42" s="1">
        <v>1152711.8700000001</v>
      </c>
      <c r="H42" s="1">
        <v>10000</v>
      </c>
      <c r="I42" s="6">
        <f>2*(G42+H42)</f>
        <v>2325423.7400000002</v>
      </c>
    </row>
    <row r="43" spans="1:9" ht="28.5">
      <c r="A43" s="8">
        <f t="shared" si="0"/>
        <v>41</v>
      </c>
      <c r="B43" s="4" t="s">
        <v>171</v>
      </c>
      <c r="C43" s="7" t="s">
        <v>172</v>
      </c>
      <c r="D43" s="2" t="s">
        <v>62</v>
      </c>
      <c r="E43" s="2">
        <v>0</v>
      </c>
      <c r="F43" s="2" t="s">
        <v>62</v>
      </c>
      <c r="G43" s="1">
        <v>50347</v>
      </c>
      <c r="H43" s="1">
        <v>200</v>
      </c>
      <c r="I43" s="6">
        <f>12*(G43+H43)</f>
        <v>606564</v>
      </c>
    </row>
    <row r="44" spans="1:9" ht="28.5">
      <c r="A44" s="8">
        <f t="shared" si="0"/>
        <v>42</v>
      </c>
      <c r="B44" s="2" t="s">
        <v>173</v>
      </c>
      <c r="C44" s="7" t="s">
        <v>143</v>
      </c>
      <c r="D44" s="2" t="s">
        <v>103</v>
      </c>
      <c r="E44" s="2" t="s">
        <v>103</v>
      </c>
      <c r="F44" s="2">
        <v>0</v>
      </c>
      <c r="G44" s="1">
        <v>141889.84</v>
      </c>
      <c r="H44" s="1">
        <v>500</v>
      </c>
      <c r="I44" s="6">
        <f>11*(G44+H44)</f>
        <v>1566288.24</v>
      </c>
    </row>
    <row r="45" spans="1:9" ht="28.5">
      <c r="A45" s="8">
        <f t="shared" si="0"/>
        <v>43</v>
      </c>
      <c r="B45" s="2" t="s">
        <v>173</v>
      </c>
      <c r="C45" s="7" t="s">
        <v>145</v>
      </c>
      <c r="D45" s="2" t="s">
        <v>55</v>
      </c>
      <c r="E45" s="2" t="s">
        <v>55</v>
      </c>
      <c r="F45" s="2">
        <v>0</v>
      </c>
      <c r="G45" s="1">
        <v>146889.84</v>
      </c>
      <c r="H45" s="1">
        <v>500</v>
      </c>
      <c r="I45" s="6">
        <f>17*(G45+H45)</f>
        <v>2505627.2799999998</v>
      </c>
    </row>
    <row r="46" spans="1:9" ht="28.5">
      <c r="A46" s="8">
        <f t="shared" si="0"/>
        <v>44</v>
      </c>
      <c r="B46" s="2" t="s">
        <v>173</v>
      </c>
      <c r="C46" s="7" t="s">
        <v>147</v>
      </c>
      <c r="D46" s="2" t="s">
        <v>63</v>
      </c>
      <c r="E46" s="2" t="s">
        <v>112</v>
      </c>
      <c r="F46" s="2">
        <v>0</v>
      </c>
      <c r="G46" s="1">
        <v>109129.67</v>
      </c>
      <c r="H46" s="1">
        <v>500</v>
      </c>
      <c r="I46" s="6">
        <f>19*(G46+H46)</f>
        <v>2082963.73</v>
      </c>
    </row>
    <row r="47" spans="1:9" ht="28.5">
      <c r="A47" s="8">
        <f t="shared" si="0"/>
        <v>45</v>
      </c>
      <c r="B47" s="4" t="s">
        <v>174</v>
      </c>
      <c r="C47" s="7" t="s">
        <v>175</v>
      </c>
      <c r="D47" s="2" t="s">
        <v>176</v>
      </c>
      <c r="E47" s="2" t="s">
        <v>177</v>
      </c>
      <c r="F47" s="2" t="s">
        <v>178</v>
      </c>
      <c r="G47" s="1">
        <v>51150</v>
      </c>
      <c r="H47" s="1">
        <v>50</v>
      </c>
      <c r="I47" s="6">
        <f>52*(G47+H47)</f>
        <v>2662400</v>
      </c>
    </row>
    <row r="48" spans="1:9" ht="28.5">
      <c r="A48" s="8">
        <f t="shared" si="0"/>
        <v>46</v>
      </c>
      <c r="B48" s="4" t="s">
        <v>180</v>
      </c>
      <c r="C48" s="7" t="s">
        <v>181</v>
      </c>
      <c r="D48" s="2" t="s">
        <v>50</v>
      </c>
      <c r="E48" s="2" t="s">
        <v>83</v>
      </c>
      <c r="F48" s="2" t="s">
        <v>67</v>
      </c>
      <c r="G48" s="1">
        <v>140200</v>
      </c>
      <c r="H48" s="1">
        <v>200</v>
      </c>
      <c r="I48" s="6">
        <f>8*(G48+H48)</f>
        <v>1123200</v>
      </c>
    </row>
    <row r="49" spans="1:9" ht="28.5">
      <c r="A49" s="8">
        <f t="shared" si="0"/>
        <v>47</v>
      </c>
      <c r="B49" s="4" t="s">
        <v>182</v>
      </c>
      <c r="C49" s="7" t="s">
        <v>183</v>
      </c>
      <c r="D49" s="2" t="s">
        <v>184</v>
      </c>
      <c r="E49" s="2" t="s">
        <v>185</v>
      </c>
      <c r="F49" s="2" t="s">
        <v>186</v>
      </c>
      <c r="G49" s="1">
        <v>26425.43</v>
      </c>
      <c r="H49" s="1">
        <v>50</v>
      </c>
      <c r="I49" s="6">
        <f>926*(G49+H49)</f>
        <v>24516248.18</v>
      </c>
    </row>
    <row r="50" spans="1:9" ht="28.5">
      <c r="A50" s="8">
        <f t="shared" si="0"/>
        <v>48</v>
      </c>
      <c r="B50" s="4" t="s">
        <v>187</v>
      </c>
      <c r="C50" s="7" t="s">
        <v>188</v>
      </c>
      <c r="D50" s="2" t="s">
        <v>189</v>
      </c>
      <c r="E50" s="2" t="s">
        <v>190</v>
      </c>
      <c r="F50" s="2" t="s">
        <v>191</v>
      </c>
      <c r="G50" s="1">
        <v>50884.75</v>
      </c>
      <c r="H50" s="1">
        <v>50</v>
      </c>
      <c r="I50" s="6">
        <f>1599*(G50+H50)</f>
        <v>81444665.25</v>
      </c>
    </row>
    <row r="51" spans="1:9" ht="28.5">
      <c r="A51" s="8">
        <f t="shared" si="0"/>
        <v>49</v>
      </c>
      <c r="B51" s="4" t="s">
        <v>192</v>
      </c>
      <c r="C51" s="7" t="s">
        <v>311</v>
      </c>
      <c r="D51" s="2" t="s">
        <v>108</v>
      </c>
      <c r="E51" s="2" t="s">
        <v>59</v>
      </c>
      <c r="F51" s="2" t="s">
        <v>193</v>
      </c>
      <c r="G51" s="1">
        <v>1284396</v>
      </c>
      <c r="H51" s="1">
        <v>15000</v>
      </c>
      <c r="I51" s="6">
        <f>57*(G51+H51)</f>
        <v>74065572</v>
      </c>
    </row>
    <row r="52" spans="1:9" ht="28.5">
      <c r="A52" s="8">
        <f t="shared" si="0"/>
        <v>50</v>
      </c>
      <c r="B52" s="4" t="s">
        <v>194</v>
      </c>
      <c r="C52" s="7" t="s">
        <v>195</v>
      </c>
      <c r="D52" s="2" t="s">
        <v>196</v>
      </c>
      <c r="E52" s="2">
        <v>0</v>
      </c>
      <c r="F52" s="2" t="s">
        <v>196</v>
      </c>
      <c r="G52" s="1">
        <v>630758.47</v>
      </c>
      <c r="H52" s="1">
        <v>20000</v>
      </c>
      <c r="I52" s="6">
        <f>11*(G52+H52)</f>
        <v>7158343.1699999999</v>
      </c>
    </row>
    <row r="53" spans="1:9" ht="28.5">
      <c r="A53" s="8">
        <f t="shared" si="0"/>
        <v>51</v>
      </c>
      <c r="B53" s="2" t="s">
        <v>197</v>
      </c>
      <c r="C53" s="7" t="s">
        <v>198</v>
      </c>
      <c r="D53" s="2" t="s">
        <v>199</v>
      </c>
      <c r="E53" s="2">
        <v>0</v>
      </c>
      <c r="F53" s="2" t="s">
        <v>199</v>
      </c>
      <c r="G53" s="1">
        <v>1572.46</v>
      </c>
      <c r="H53" s="1">
        <v>25</v>
      </c>
      <c r="I53" s="6">
        <f>258*(G53+H53)</f>
        <v>412144.68</v>
      </c>
    </row>
    <row r="54" spans="1:9" ht="28.5">
      <c r="A54" s="8">
        <f t="shared" si="0"/>
        <v>52</v>
      </c>
      <c r="B54" s="4" t="s">
        <v>200</v>
      </c>
      <c r="C54" s="7" t="s">
        <v>201</v>
      </c>
      <c r="D54" s="2" t="s">
        <v>202</v>
      </c>
      <c r="E54" s="2" t="s">
        <v>34</v>
      </c>
      <c r="F54" s="2" t="s">
        <v>203</v>
      </c>
      <c r="G54" s="1">
        <v>7085.17</v>
      </c>
      <c r="H54" s="1">
        <v>25</v>
      </c>
      <c r="I54" s="6">
        <f>20*(G54+H54)</f>
        <v>142203.4</v>
      </c>
    </row>
    <row r="55" spans="1:9" ht="28.5">
      <c r="A55" s="8">
        <f t="shared" si="0"/>
        <v>53</v>
      </c>
      <c r="B55" s="4" t="s">
        <v>204</v>
      </c>
      <c r="C55" s="7" t="s">
        <v>205</v>
      </c>
      <c r="D55" s="2" t="s">
        <v>206</v>
      </c>
      <c r="E55" s="2" t="s">
        <v>59</v>
      </c>
      <c r="F55" s="2" t="s">
        <v>38</v>
      </c>
      <c r="G55" s="1">
        <v>197827.12</v>
      </c>
      <c r="H55" s="1">
        <v>500</v>
      </c>
      <c r="I55" s="6">
        <f>2*(G55+H55)</f>
        <v>396654.24</v>
      </c>
    </row>
    <row r="56" spans="1:9" ht="28.5">
      <c r="A56" s="8">
        <f t="shared" si="0"/>
        <v>54</v>
      </c>
      <c r="B56" s="4" t="s">
        <v>207</v>
      </c>
      <c r="C56" s="7" t="s">
        <v>312</v>
      </c>
      <c r="D56" s="2" t="s">
        <v>208</v>
      </c>
      <c r="E56" s="2" t="s">
        <v>37</v>
      </c>
      <c r="F56" s="2" t="s">
        <v>209</v>
      </c>
      <c r="G56" s="1">
        <v>468981.36</v>
      </c>
      <c r="H56" s="1">
        <v>10000</v>
      </c>
      <c r="I56" s="6">
        <f>247*(G56+H56)</f>
        <v>118308395.92</v>
      </c>
    </row>
    <row r="57" spans="1:9" ht="28.5">
      <c r="A57" s="8">
        <f t="shared" si="0"/>
        <v>55</v>
      </c>
      <c r="B57" s="4" t="s">
        <v>210</v>
      </c>
      <c r="C57" s="7" t="s">
        <v>179</v>
      </c>
      <c r="D57" s="2" t="s">
        <v>211</v>
      </c>
      <c r="E57" s="2" t="s">
        <v>212</v>
      </c>
      <c r="F57" s="2" t="s">
        <v>213</v>
      </c>
      <c r="G57" s="1">
        <v>1072.46</v>
      </c>
      <c r="H57" s="1">
        <v>25</v>
      </c>
      <c r="I57" s="6">
        <f>1840*(G57+H57)</f>
        <v>2019326.4000000001</v>
      </c>
    </row>
    <row r="58" spans="1:9" ht="28.5">
      <c r="A58" s="8">
        <f t="shared" si="0"/>
        <v>56</v>
      </c>
      <c r="B58" s="4" t="s">
        <v>214</v>
      </c>
      <c r="C58" s="7" t="s">
        <v>215</v>
      </c>
      <c r="D58" s="2" t="s">
        <v>216</v>
      </c>
      <c r="E58" s="2" t="s">
        <v>49</v>
      </c>
      <c r="F58" s="2" t="s">
        <v>105</v>
      </c>
      <c r="G58" s="1">
        <v>112864</v>
      </c>
      <c r="H58" s="1">
        <v>500</v>
      </c>
      <c r="I58" s="6">
        <f>51*(G58+H58)</f>
        <v>5781564</v>
      </c>
    </row>
    <row r="59" spans="1:9" ht="28.5">
      <c r="A59" s="8">
        <f t="shared" si="0"/>
        <v>57</v>
      </c>
      <c r="B59" s="4" t="s">
        <v>217</v>
      </c>
      <c r="C59" s="7" t="s">
        <v>218</v>
      </c>
      <c r="D59" s="2" t="s">
        <v>219</v>
      </c>
      <c r="E59" s="2" t="s">
        <v>220</v>
      </c>
      <c r="F59" s="2" t="s">
        <v>221</v>
      </c>
      <c r="G59" s="1">
        <v>4260</v>
      </c>
      <c r="H59" s="1">
        <v>25</v>
      </c>
      <c r="I59" s="6">
        <f>116*(G59+H59)</f>
        <v>497060</v>
      </c>
    </row>
    <row r="60" spans="1:9" ht="28.5">
      <c r="A60" s="8">
        <f t="shared" si="0"/>
        <v>58</v>
      </c>
      <c r="B60" s="4" t="s">
        <v>222</v>
      </c>
      <c r="C60" s="7" t="s">
        <v>223</v>
      </c>
      <c r="D60" s="2" t="s">
        <v>29</v>
      </c>
      <c r="E60" s="2" t="s">
        <v>27</v>
      </c>
      <c r="F60" s="2" t="s">
        <v>224</v>
      </c>
      <c r="G60" s="1">
        <v>186167.8</v>
      </c>
      <c r="H60" s="1">
        <v>500</v>
      </c>
      <c r="I60" s="6">
        <f>14*(G60+H60)</f>
        <v>2613349.1999999997</v>
      </c>
    </row>
    <row r="61" spans="1:9" ht="28.5">
      <c r="A61" s="8">
        <f t="shared" si="0"/>
        <v>59</v>
      </c>
      <c r="B61" s="4" t="s">
        <v>225</v>
      </c>
      <c r="C61" s="7" t="s">
        <v>122</v>
      </c>
      <c r="D61" s="2" t="s">
        <v>226</v>
      </c>
      <c r="E61" s="2" t="s">
        <v>227</v>
      </c>
      <c r="F61" s="2" t="s">
        <v>226</v>
      </c>
      <c r="G61" s="1">
        <v>2677.55</v>
      </c>
      <c r="H61" s="1">
        <v>25</v>
      </c>
      <c r="I61" s="6">
        <f>222*(G61+H61)</f>
        <v>599966.10000000009</v>
      </c>
    </row>
    <row r="62" spans="1:9" ht="28.5">
      <c r="A62" s="8">
        <f t="shared" si="0"/>
        <v>60</v>
      </c>
      <c r="B62" s="4" t="s">
        <v>228</v>
      </c>
      <c r="C62" s="7" t="s">
        <v>229</v>
      </c>
      <c r="D62" s="2" t="s">
        <v>68</v>
      </c>
      <c r="E62" s="2" t="s">
        <v>68</v>
      </c>
      <c r="F62" s="2">
        <v>0</v>
      </c>
      <c r="G62" s="1">
        <v>42499.16</v>
      </c>
      <c r="H62" s="1">
        <v>100</v>
      </c>
      <c r="I62" s="6">
        <f>7*(G62+H62)</f>
        <v>298194.12</v>
      </c>
    </row>
    <row r="63" spans="1:9" ht="28.5">
      <c r="A63" s="8">
        <f t="shared" si="0"/>
        <v>61</v>
      </c>
      <c r="B63" s="4" t="s">
        <v>230</v>
      </c>
      <c r="C63" s="7" t="s">
        <v>86</v>
      </c>
      <c r="D63" s="2" t="s">
        <v>231</v>
      </c>
      <c r="E63" s="2" t="s">
        <v>53</v>
      </c>
      <c r="F63" s="2" t="s">
        <v>232</v>
      </c>
      <c r="G63" s="1">
        <v>132988.14000000001</v>
      </c>
      <c r="H63" s="1">
        <v>300</v>
      </c>
      <c r="I63" s="6">
        <f>135*(G63+H63)</f>
        <v>17993898.900000002</v>
      </c>
    </row>
    <row r="64" spans="1:9" ht="28.5">
      <c r="A64" s="8">
        <f t="shared" si="0"/>
        <v>62</v>
      </c>
      <c r="B64" s="4" t="s">
        <v>233</v>
      </c>
      <c r="C64" s="7" t="s">
        <v>234</v>
      </c>
      <c r="D64" s="2" t="s">
        <v>29</v>
      </c>
      <c r="E64" s="2">
        <v>0</v>
      </c>
      <c r="F64" s="2" t="s">
        <v>29</v>
      </c>
      <c r="G64" s="1">
        <v>765556.78</v>
      </c>
      <c r="H64" s="1">
        <v>7500</v>
      </c>
      <c r="I64" s="6">
        <f>21*(G64+H64)</f>
        <v>16234192.380000001</v>
      </c>
    </row>
    <row r="65" spans="1:9" ht="28.5">
      <c r="A65" s="8">
        <f t="shared" si="0"/>
        <v>63</v>
      </c>
      <c r="B65" s="4" t="s">
        <v>235</v>
      </c>
      <c r="C65" s="7" t="s">
        <v>236</v>
      </c>
      <c r="D65" s="2" t="s">
        <v>237</v>
      </c>
      <c r="E65" s="2" t="s">
        <v>238</v>
      </c>
      <c r="F65" s="2" t="s">
        <v>239</v>
      </c>
      <c r="G65" s="1">
        <v>26450</v>
      </c>
      <c r="H65" s="1">
        <v>100</v>
      </c>
      <c r="I65" s="6">
        <f>139*(G65+H65)</f>
        <v>3690450</v>
      </c>
    </row>
    <row r="66" spans="1:9" ht="28.5">
      <c r="A66" s="8">
        <f t="shared" si="0"/>
        <v>64</v>
      </c>
      <c r="B66" s="4" t="s">
        <v>240</v>
      </c>
      <c r="C66" s="7" t="s">
        <v>241</v>
      </c>
      <c r="D66" s="2" t="s">
        <v>59</v>
      </c>
      <c r="E66" s="2">
        <v>0</v>
      </c>
      <c r="F66" s="2" t="s">
        <v>59</v>
      </c>
      <c r="G66" s="1">
        <v>1479999.9</v>
      </c>
      <c r="H66" s="1">
        <v>20000</v>
      </c>
      <c r="I66" s="6">
        <f>6*(G66+H66)</f>
        <v>8999999.3999999985</v>
      </c>
    </row>
    <row r="67" spans="1:9" ht="28.5">
      <c r="A67" s="8">
        <f t="shared" si="0"/>
        <v>65</v>
      </c>
      <c r="B67" s="4" t="s">
        <v>242</v>
      </c>
      <c r="C67" s="7" t="s">
        <v>243</v>
      </c>
      <c r="D67" s="2" t="s">
        <v>244</v>
      </c>
      <c r="E67" s="2" t="s">
        <v>245</v>
      </c>
      <c r="F67" s="2" t="s">
        <v>246</v>
      </c>
      <c r="G67" s="1">
        <v>72300</v>
      </c>
      <c r="H67" s="1">
        <v>200</v>
      </c>
      <c r="I67" s="6">
        <f>176*(G67+H67)</f>
        <v>12760000</v>
      </c>
    </row>
    <row r="68" spans="1:9" ht="28.5">
      <c r="A68" s="8">
        <f t="shared" si="0"/>
        <v>66</v>
      </c>
      <c r="B68" s="4" t="s">
        <v>247</v>
      </c>
      <c r="C68" s="7" t="s">
        <v>248</v>
      </c>
      <c r="D68" s="2" t="s">
        <v>54</v>
      </c>
      <c r="E68" s="2" t="s">
        <v>49</v>
      </c>
      <c r="F68" s="2" t="s">
        <v>89</v>
      </c>
      <c r="G68" s="1">
        <v>1497794.07</v>
      </c>
      <c r="H68" s="1">
        <v>20000</v>
      </c>
      <c r="I68" s="6">
        <f>35*(G68+H68)</f>
        <v>53122792.450000003</v>
      </c>
    </row>
    <row r="69" spans="1:9" ht="28.5">
      <c r="A69" s="8">
        <f t="shared" ref="A69:A90" si="1">A68+1</f>
        <v>67</v>
      </c>
      <c r="B69" s="4" t="s">
        <v>249</v>
      </c>
      <c r="C69" s="7" t="s">
        <v>250</v>
      </c>
      <c r="D69" s="2" t="s">
        <v>251</v>
      </c>
      <c r="E69" s="2" t="s">
        <v>59</v>
      </c>
      <c r="F69" s="2" t="s">
        <v>252</v>
      </c>
      <c r="G69" s="1">
        <v>534915.26</v>
      </c>
      <c r="H69" s="1">
        <v>10000</v>
      </c>
      <c r="I69" s="6">
        <f>73*(G69+H69)</f>
        <v>39778813.980000004</v>
      </c>
    </row>
    <row r="70" spans="1:9" ht="28.5">
      <c r="A70" s="8">
        <f t="shared" si="1"/>
        <v>68</v>
      </c>
      <c r="B70" s="4" t="s">
        <v>253</v>
      </c>
      <c r="C70" s="7" t="s">
        <v>254</v>
      </c>
      <c r="D70" s="2" t="s">
        <v>255</v>
      </c>
      <c r="E70" s="2" t="s">
        <v>256</v>
      </c>
      <c r="F70" s="2" t="s">
        <v>257</v>
      </c>
      <c r="G70" s="1">
        <v>1879.39</v>
      </c>
      <c r="H70" s="1">
        <v>25</v>
      </c>
      <c r="I70" s="6">
        <f>229*(G70+H70)</f>
        <v>436105.31</v>
      </c>
    </row>
    <row r="71" spans="1:9" ht="28.5">
      <c r="A71" s="8">
        <f t="shared" si="1"/>
        <v>69</v>
      </c>
      <c r="B71" s="4" t="s">
        <v>258</v>
      </c>
      <c r="C71" s="7" t="s">
        <v>259</v>
      </c>
      <c r="D71" s="2" t="s">
        <v>260</v>
      </c>
      <c r="E71" s="2" t="s">
        <v>37</v>
      </c>
      <c r="F71" s="2" t="s">
        <v>261</v>
      </c>
      <c r="G71" s="1">
        <v>497276.28</v>
      </c>
      <c r="H71" s="1">
        <v>10000</v>
      </c>
      <c r="I71" s="6">
        <f>45*(G71+H71)</f>
        <v>22827432.600000001</v>
      </c>
    </row>
    <row r="72" spans="1:9" ht="28.5">
      <c r="A72" s="8">
        <f t="shared" si="1"/>
        <v>70</v>
      </c>
      <c r="B72" s="4" t="s">
        <v>262</v>
      </c>
      <c r="C72" s="7" t="s">
        <v>263</v>
      </c>
      <c r="D72" s="2" t="s">
        <v>133</v>
      </c>
      <c r="E72" s="2" t="s">
        <v>264</v>
      </c>
      <c r="F72" s="2" t="s">
        <v>265</v>
      </c>
      <c r="G72" s="1">
        <v>1469.07</v>
      </c>
      <c r="H72" s="1">
        <v>25</v>
      </c>
      <c r="I72" s="6">
        <f>60*(G72+H72)</f>
        <v>89644.2</v>
      </c>
    </row>
    <row r="73" spans="1:9" ht="28.5">
      <c r="A73" s="8">
        <f t="shared" si="1"/>
        <v>71</v>
      </c>
      <c r="B73" s="4" t="s">
        <v>266</v>
      </c>
      <c r="C73" s="7" t="s">
        <v>267</v>
      </c>
      <c r="D73" s="2" t="s">
        <v>49</v>
      </c>
      <c r="E73" s="2" t="s">
        <v>14</v>
      </c>
      <c r="F73" s="2" t="s">
        <v>72</v>
      </c>
      <c r="G73" s="1">
        <v>1480423.73</v>
      </c>
      <c r="H73" s="1">
        <v>20000</v>
      </c>
      <c r="I73" s="6">
        <f>16*(G73+H73)</f>
        <v>24006779.68</v>
      </c>
    </row>
    <row r="74" spans="1:9" ht="28.5">
      <c r="A74" s="8">
        <f t="shared" si="1"/>
        <v>72</v>
      </c>
      <c r="B74" s="2" t="s">
        <v>269</v>
      </c>
      <c r="C74" s="7" t="s">
        <v>270</v>
      </c>
      <c r="D74" s="2" t="s">
        <v>271</v>
      </c>
      <c r="E74" s="2">
        <v>0</v>
      </c>
      <c r="F74" s="2" t="s">
        <v>271</v>
      </c>
      <c r="G74" s="1">
        <v>5728.39</v>
      </c>
      <c r="H74" s="1">
        <v>25</v>
      </c>
      <c r="I74" s="6">
        <f>123*(G74+H74)</f>
        <v>707666.97000000009</v>
      </c>
    </row>
    <row r="75" spans="1:9" ht="28.5">
      <c r="A75" s="8">
        <f t="shared" si="1"/>
        <v>73</v>
      </c>
      <c r="B75" s="4" t="s">
        <v>272</v>
      </c>
      <c r="C75" s="7" t="s">
        <v>273</v>
      </c>
      <c r="D75" s="2" t="s">
        <v>274</v>
      </c>
      <c r="E75" s="2">
        <v>0</v>
      </c>
      <c r="F75" s="2" t="s">
        <v>274</v>
      </c>
      <c r="G75" s="1">
        <v>18220</v>
      </c>
      <c r="H75" s="1">
        <v>50</v>
      </c>
      <c r="I75" s="6">
        <f>53*(G75+H75)</f>
        <v>968310</v>
      </c>
    </row>
    <row r="76" spans="1:9" ht="28.5">
      <c r="A76" s="8">
        <f t="shared" si="1"/>
        <v>74</v>
      </c>
      <c r="B76" s="4" t="s">
        <v>275</v>
      </c>
      <c r="C76" s="7" t="s">
        <v>276</v>
      </c>
      <c r="D76" s="2" t="s">
        <v>66</v>
      </c>
      <c r="E76" s="2" t="s">
        <v>49</v>
      </c>
      <c r="F76" s="2" t="s">
        <v>37</v>
      </c>
      <c r="G76" s="1">
        <v>106589.84</v>
      </c>
      <c r="H76" s="1">
        <v>1500</v>
      </c>
      <c r="I76" s="6">
        <f>9*(G76+H76)</f>
        <v>972808.55999999994</v>
      </c>
    </row>
    <row r="77" spans="1:9" ht="28.5">
      <c r="A77" s="8">
        <f t="shared" si="1"/>
        <v>75</v>
      </c>
      <c r="B77" s="4" t="s">
        <v>277</v>
      </c>
      <c r="C77" s="7" t="s">
        <v>278</v>
      </c>
      <c r="D77" s="2" t="s">
        <v>58</v>
      </c>
      <c r="E77" s="2" t="s">
        <v>37</v>
      </c>
      <c r="F77" s="2" t="s">
        <v>59</v>
      </c>
      <c r="G77" s="1">
        <v>497415.26</v>
      </c>
      <c r="H77" s="1">
        <v>1500</v>
      </c>
      <c r="I77" s="6">
        <f>6*(G77+H77)</f>
        <v>2993491.56</v>
      </c>
    </row>
    <row r="78" spans="1:9" ht="28.5">
      <c r="A78" s="8">
        <f t="shared" si="1"/>
        <v>76</v>
      </c>
      <c r="B78" s="4" t="s">
        <v>279</v>
      </c>
      <c r="C78" s="7" t="s">
        <v>280</v>
      </c>
      <c r="D78" s="2" t="s">
        <v>281</v>
      </c>
      <c r="E78" s="2">
        <v>0</v>
      </c>
      <c r="F78" s="2" t="s">
        <v>281</v>
      </c>
      <c r="G78" s="1">
        <v>2909</v>
      </c>
      <c r="H78" s="1">
        <v>25</v>
      </c>
      <c r="I78" s="6">
        <f>605*(G78+H78)</f>
        <v>1775070</v>
      </c>
    </row>
    <row r="79" spans="1:9" ht="28.5">
      <c r="A79" s="8">
        <f t="shared" si="1"/>
        <v>77</v>
      </c>
      <c r="B79" s="4" t="s">
        <v>282</v>
      </c>
      <c r="C79" s="7" t="s">
        <v>283</v>
      </c>
      <c r="D79" s="2" t="s">
        <v>284</v>
      </c>
      <c r="E79" s="2" t="s">
        <v>49</v>
      </c>
      <c r="F79" s="2" t="s">
        <v>98</v>
      </c>
      <c r="G79" s="1">
        <v>4833.4799999999996</v>
      </c>
      <c r="H79" s="1">
        <v>25</v>
      </c>
      <c r="I79" s="6">
        <f>287*(G79+H79)</f>
        <v>1394383.7599999998</v>
      </c>
    </row>
    <row r="80" spans="1:9" ht="28.5">
      <c r="A80" s="8">
        <f t="shared" si="1"/>
        <v>78</v>
      </c>
      <c r="B80" s="4" t="s">
        <v>285</v>
      </c>
      <c r="C80" s="7" t="s">
        <v>313</v>
      </c>
      <c r="D80" s="2" t="s">
        <v>19</v>
      </c>
      <c r="E80" s="2">
        <v>0</v>
      </c>
      <c r="F80" s="2" t="s">
        <v>19</v>
      </c>
      <c r="G80" s="1">
        <v>63889.84</v>
      </c>
      <c r="H80" s="1">
        <v>50</v>
      </c>
      <c r="I80" s="6">
        <f>23*(G80+H80)</f>
        <v>1470616.3199999998</v>
      </c>
    </row>
    <row r="81" spans="1:9" ht="28.5">
      <c r="A81" s="8">
        <f t="shared" si="1"/>
        <v>79</v>
      </c>
      <c r="B81" s="4" t="s">
        <v>286</v>
      </c>
      <c r="C81" s="7" t="s">
        <v>287</v>
      </c>
      <c r="D81" s="2" t="s">
        <v>77</v>
      </c>
      <c r="E81" s="2">
        <v>0</v>
      </c>
      <c r="F81" s="2" t="s">
        <v>77</v>
      </c>
      <c r="G81" s="1">
        <v>549631.36</v>
      </c>
      <c r="H81" s="1">
        <v>10000</v>
      </c>
      <c r="I81" s="6">
        <f>12*(G81+H81)</f>
        <v>6715576.3200000003</v>
      </c>
    </row>
    <row r="82" spans="1:9" ht="28.5">
      <c r="A82" s="8">
        <f t="shared" si="1"/>
        <v>80</v>
      </c>
      <c r="B82" s="4" t="s">
        <v>288</v>
      </c>
      <c r="C82" s="7" t="s">
        <v>289</v>
      </c>
      <c r="D82" s="2" t="s">
        <v>88</v>
      </c>
      <c r="E82" s="2" t="s">
        <v>49</v>
      </c>
      <c r="F82" s="2" t="s">
        <v>53</v>
      </c>
      <c r="G82" s="1">
        <v>3327.46</v>
      </c>
      <c r="H82" s="1">
        <v>20</v>
      </c>
      <c r="I82" s="6">
        <f>40*(G82+H82)</f>
        <v>133898.4</v>
      </c>
    </row>
    <row r="83" spans="1:9" ht="28.5">
      <c r="A83" s="8">
        <f t="shared" si="1"/>
        <v>81</v>
      </c>
      <c r="B83" s="4" t="s">
        <v>290</v>
      </c>
      <c r="C83" s="7" t="s">
        <v>291</v>
      </c>
      <c r="D83" s="2" t="s">
        <v>292</v>
      </c>
      <c r="E83" s="2" t="s">
        <v>293</v>
      </c>
      <c r="F83" s="2" t="s">
        <v>85</v>
      </c>
      <c r="G83" s="1">
        <v>10846.62</v>
      </c>
      <c r="H83" s="1">
        <v>50</v>
      </c>
      <c r="I83" s="6">
        <f>130*(G83+H83)</f>
        <v>1416560.6</v>
      </c>
    </row>
    <row r="84" spans="1:9" ht="28.5">
      <c r="A84" s="8">
        <f t="shared" si="1"/>
        <v>82</v>
      </c>
      <c r="B84" s="4" t="s">
        <v>294</v>
      </c>
      <c r="C84" s="7" t="s">
        <v>295</v>
      </c>
      <c r="D84" s="2" t="s">
        <v>69</v>
      </c>
      <c r="E84" s="2">
        <v>0</v>
      </c>
      <c r="F84" s="2" t="s">
        <v>69</v>
      </c>
      <c r="G84" s="1">
        <v>483998.37</v>
      </c>
      <c r="H84" s="1">
        <v>10000</v>
      </c>
      <c r="I84" s="6">
        <f>25*(G84+H84)</f>
        <v>12349959.25</v>
      </c>
    </row>
    <row r="85" spans="1:9" ht="28.5">
      <c r="A85" s="8">
        <f t="shared" si="1"/>
        <v>83</v>
      </c>
      <c r="B85" s="2" t="s">
        <v>296</v>
      </c>
      <c r="C85" s="7" t="s">
        <v>297</v>
      </c>
      <c r="D85" s="2" t="s">
        <v>49</v>
      </c>
      <c r="E85" s="2">
        <v>0</v>
      </c>
      <c r="F85" s="2" t="s">
        <v>49</v>
      </c>
      <c r="G85" s="1">
        <v>103099</v>
      </c>
      <c r="H85" s="1">
        <v>500</v>
      </c>
      <c r="I85" s="6">
        <f>20*(G85+H85)</f>
        <v>2071980</v>
      </c>
    </row>
    <row r="86" spans="1:9" ht="28.5">
      <c r="A86" s="8">
        <f t="shared" si="1"/>
        <v>84</v>
      </c>
      <c r="B86" s="2" t="s">
        <v>298</v>
      </c>
      <c r="C86" s="7" t="s">
        <v>299</v>
      </c>
      <c r="D86" s="2" t="s">
        <v>268</v>
      </c>
      <c r="E86" s="2">
        <v>0</v>
      </c>
      <c r="F86" s="2" t="s">
        <v>268</v>
      </c>
      <c r="G86" s="1">
        <v>94279</v>
      </c>
      <c r="H86" s="1">
        <v>500</v>
      </c>
      <c r="I86" s="6">
        <f>30*(G86+H86)</f>
        <v>2843370</v>
      </c>
    </row>
    <row r="87" spans="1:9" ht="28.5">
      <c r="A87" s="8">
        <f t="shared" si="1"/>
        <v>85</v>
      </c>
      <c r="B87" s="2" t="s">
        <v>300</v>
      </c>
      <c r="C87" s="7" t="s">
        <v>301</v>
      </c>
      <c r="D87" s="2" t="s">
        <v>45</v>
      </c>
      <c r="E87" s="2">
        <v>0</v>
      </c>
      <c r="F87" s="2" t="s">
        <v>45</v>
      </c>
      <c r="G87" s="1">
        <v>71959</v>
      </c>
      <c r="H87" s="1">
        <v>500</v>
      </c>
      <c r="I87" s="6">
        <f>5*(G87+H87)</f>
        <v>362295</v>
      </c>
    </row>
    <row r="88" spans="1:9" ht="28.5">
      <c r="A88" s="8">
        <f t="shared" si="1"/>
        <v>86</v>
      </c>
      <c r="B88" s="2" t="s">
        <v>302</v>
      </c>
      <c r="C88" s="7" t="s">
        <v>303</v>
      </c>
      <c r="D88" s="2" t="s">
        <v>304</v>
      </c>
      <c r="E88" s="2">
        <v>0</v>
      </c>
      <c r="F88" s="2" t="s">
        <v>304</v>
      </c>
      <c r="G88" s="1">
        <v>11067.8</v>
      </c>
      <c r="H88" s="1">
        <v>100</v>
      </c>
      <c r="I88" s="6">
        <f>1412*(G88+H88)</f>
        <v>15768933.6</v>
      </c>
    </row>
    <row r="89" spans="1:9" ht="28.5">
      <c r="A89" s="8">
        <f t="shared" si="1"/>
        <v>87</v>
      </c>
      <c r="B89" s="4" t="s">
        <v>305</v>
      </c>
      <c r="C89" s="7" t="s">
        <v>306</v>
      </c>
      <c r="D89" s="2" t="s">
        <v>307</v>
      </c>
      <c r="E89" s="2">
        <v>0</v>
      </c>
      <c r="F89" s="2" t="s">
        <v>307</v>
      </c>
      <c r="G89" s="1">
        <v>50699</v>
      </c>
      <c r="H89" s="1">
        <v>200</v>
      </c>
      <c r="I89" s="6">
        <f>298*(G89+H89)</f>
        <v>15167902</v>
      </c>
    </row>
    <row r="90" spans="1:9" ht="28.5">
      <c r="A90" s="8">
        <f t="shared" si="1"/>
        <v>88</v>
      </c>
      <c r="B90" s="2" t="s">
        <v>308</v>
      </c>
      <c r="C90" s="7" t="s">
        <v>309</v>
      </c>
      <c r="D90" s="2" t="s">
        <v>310</v>
      </c>
      <c r="E90" s="2">
        <v>0</v>
      </c>
      <c r="F90" s="2" t="s">
        <v>310</v>
      </c>
      <c r="G90" s="1">
        <v>34393.230000000003</v>
      </c>
      <c r="H90" s="1">
        <v>200</v>
      </c>
      <c r="I90" s="6">
        <f>7*(G90+H90)</f>
        <v>242152.61000000002</v>
      </c>
    </row>
    <row r="91" spans="1:9">
      <c r="A91" s="10"/>
      <c r="B91" s="10"/>
      <c r="C91" s="11"/>
      <c r="D91" s="10"/>
      <c r="E91" s="10"/>
      <c r="F91" s="10"/>
      <c r="G91" s="1"/>
      <c r="H91" s="10"/>
      <c r="I91" s="6">
        <f>SUM(I3:I90)</f>
        <v>899870049.78000009</v>
      </c>
    </row>
    <row r="92" spans="1:9">
      <c r="I92" s="13"/>
    </row>
  </sheetData>
  <mergeCells count="1">
    <mergeCell ref="A1:I1"/>
  </mergeCells>
  <pageMargins left="0.23622047244094491" right="0.19685039370078741" top="0.15748031496062992" bottom="0.15748031496062992" header="0.15748031496062992" footer="0.15748031496062992"/>
  <pageSetup scale="2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2025-08-12T12:40:43Z</dcterms:modified>
</cp:coreProperties>
</file>