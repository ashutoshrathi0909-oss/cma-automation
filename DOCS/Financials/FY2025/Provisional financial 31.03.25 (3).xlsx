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P&amp;L" sheetId="2" r:id="rId1"/>
    <sheet name="B&amp;S" sheetId="3" r:id="rId2"/>
    <sheet name="Notes" sheetId="4" r:id="rId3"/>
    <sheet name="FA" sheetId="5" r:id="rId4"/>
  </sheets>
  <calcPr calcId="124519"/>
</workbook>
</file>

<file path=xl/calcChain.xml><?xml version="1.0" encoding="utf-8"?>
<calcChain xmlns="http://schemas.openxmlformats.org/spreadsheetml/2006/main">
  <c r="C105" i="4"/>
  <c r="C70"/>
  <c r="C62"/>
  <c r="C235"/>
  <c r="E8" i="5" l="1"/>
  <c r="E11"/>
  <c r="D8"/>
  <c r="D9"/>
  <c r="C142" i="4"/>
  <c r="C133"/>
  <c r="C123"/>
  <c r="C76"/>
  <c r="C52"/>
  <c r="C35"/>
  <c r="C33"/>
  <c r="C233" l="1"/>
  <c r="C228"/>
  <c r="C238"/>
  <c r="C231"/>
  <c r="C227"/>
  <c r="C226"/>
  <c r="C191"/>
  <c r="C165"/>
  <c r="C166"/>
  <c r="J16" i="5"/>
  <c r="J15"/>
  <c r="J8"/>
  <c r="C38" i="4" l="1"/>
  <c r="C170" l="1"/>
  <c r="C240"/>
  <c r="J17" i="5" l="1"/>
  <c r="J14"/>
  <c r="J13"/>
  <c r="J12"/>
  <c r="J11"/>
  <c r="J10"/>
  <c r="J9"/>
  <c r="J7"/>
  <c r="I15"/>
  <c r="F15"/>
  <c r="K15" l="1"/>
  <c r="C84" i="4"/>
  <c r="C23" l="1"/>
  <c r="E12" i="3" s="1"/>
  <c r="C9" i="4"/>
  <c r="E18" i="2" l="1"/>
  <c r="F17" i="5"/>
  <c r="F16"/>
  <c r="F14"/>
  <c r="F13"/>
  <c r="F12"/>
  <c r="F11"/>
  <c r="F10"/>
  <c r="F9"/>
  <c r="F8"/>
  <c r="F7"/>
  <c r="C64" i="4" l="1"/>
  <c r="E19" i="3" s="1"/>
  <c r="I17" i="5"/>
  <c r="K17" s="1"/>
  <c r="I16"/>
  <c r="K16" s="1"/>
  <c r="I14"/>
  <c r="K14" s="1"/>
  <c r="I13"/>
  <c r="K13" s="1"/>
  <c r="I12"/>
  <c r="K12" s="1"/>
  <c r="I11"/>
  <c r="K11" s="1"/>
  <c r="I10"/>
  <c r="K10" s="1"/>
  <c r="I9"/>
  <c r="K9" s="1"/>
  <c r="I8"/>
  <c r="K8" s="1"/>
  <c r="I7"/>
  <c r="K7" s="1"/>
  <c r="J18"/>
  <c r="H18"/>
  <c r="G18"/>
  <c r="F18"/>
  <c r="E18"/>
  <c r="D18"/>
  <c r="C114" i="4"/>
  <c r="E34" i="3" s="1"/>
  <c r="C100" i="4"/>
  <c r="C57"/>
  <c r="E18" i="3" s="1"/>
  <c r="E15"/>
  <c r="C184" i="4"/>
  <c r="C179"/>
  <c r="E32" i="3" l="1"/>
  <c r="I18" i="5"/>
  <c r="K18"/>
  <c r="E27" i="3" s="1"/>
  <c r="E35"/>
  <c r="E20"/>
  <c r="C186" i="4"/>
  <c r="E14" i="2" s="1"/>
  <c r="C215" i="4"/>
  <c r="E16" i="2" s="1"/>
  <c r="C196" i="4"/>
  <c r="E15" i="2" s="1"/>
  <c r="C158" i="4"/>
  <c r="E9" i="2" s="1"/>
  <c r="C150" i="4"/>
  <c r="E8" i="2" s="1"/>
  <c r="C107" i="4"/>
  <c r="E33" i="3" s="1"/>
  <c r="C45" i="4"/>
  <c r="E29" i="3" s="1"/>
  <c r="C11" i="4"/>
  <c r="E10" i="3" s="1"/>
  <c r="C6" i="4"/>
  <c r="E10" i="2" l="1"/>
  <c r="E13" l="1"/>
  <c r="E19" s="1"/>
  <c r="E21" s="1"/>
  <c r="E37" i="3"/>
  <c r="E23" i="2" l="1"/>
  <c r="C89" i="4" s="1"/>
  <c r="E25" i="2" l="1"/>
  <c r="C17" i="4" s="1"/>
  <c r="C19" s="1"/>
  <c r="E11" i="3" s="1"/>
  <c r="C91" i="4"/>
  <c r="E21" i="3" l="1"/>
  <c r="E23" s="1"/>
  <c r="E45" s="1"/>
</calcChain>
</file>

<file path=xl/sharedStrings.xml><?xml version="1.0" encoding="utf-8"?>
<sst xmlns="http://schemas.openxmlformats.org/spreadsheetml/2006/main" count="292" uniqueCount="215">
  <si>
    <t>Total</t>
  </si>
  <si>
    <t>Amount</t>
  </si>
  <si>
    <t>Dynamic Air Engineering India Pvt Ltd</t>
  </si>
  <si>
    <t>No 4, Boopathy Nagar, Industrial Estate</t>
  </si>
  <si>
    <t>Particulars</t>
  </si>
  <si>
    <t>Note No.</t>
  </si>
  <si>
    <t>Revenue from operations</t>
  </si>
  <si>
    <t>Other Income</t>
  </si>
  <si>
    <t>Total Revenue (I + II)</t>
  </si>
  <si>
    <t>Expenses</t>
  </si>
  <si>
    <t>I.</t>
  </si>
  <si>
    <t>II.</t>
  </si>
  <si>
    <t>III.</t>
  </si>
  <si>
    <t>IV.</t>
  </si>
  <si>
    <t>Purchases and Direct Costs</t>
  </si>
  <si>
    <t>Change in Inventories</t>
  </si>
  <si>
    <t>Employee Benefit Expenses</t>
  </si>
  <si>
    <t>Finance Costs</t>
  </si>
  <si>
    <t xml:space="preserve">Depreciation </t>
  </si>
  <si>
    <t>Other Expenses</t>
  </si>
  <si>
    <t>V.</t>
  </si>
  <si>
    <t xml:space="preserve">Total Expenses </t>
  </si>
  <si>
    <t>Profit Before Tax (III - IV)</t>
  </si>
  <si>
    <t>Equity And Liabilities</t>
  </si>
  <si>
    <t>Shareholders' Fund</t>
  </si>
  <si>
    <t>a) Share Capital</t>
  </si>
  <si>
    <t>b) Reserves &amp; Surplus</t>
  </si>
  <si>
    <t>Non- Current Liabilities</t>
  </si>
  <si>
    <t>Current Liabilities</t>
  </si>
  <si>
    <t xml:space="preserve"> a) Long term borrowings</t>
  </si>
  <si>
    <t xml:space="preserve"> a) Short term borrowings</t>
  </si>
  <si>
    <t xml:space="preserve"> b) Trade payables</t>
  </si>
  <si>
    <t>c) Other current liabilities</t>
  </si>
  <si>
    <t>d) Short term provisions</t>
  </si>
  <si>
    <t>Assets</t>
  </si>
  <si>
    <t>Non Current Assets</t>
  </si>
  <si>
    <t>a) Fixed Assets</t>
  </si>
  <si>
    <t>i) Tangible assets</t>
  </si>
  <si>
    <t>b) Deferred tax assets / (liabilities)</t>
  </si>
  <si>
    <t>Current Assets</t>
  </si>
  <si>
    <t>a) Inventories</t>
  </si>
  <si>
    <t>b) Trade receivables</t>
  </si>
  <si>
    <t>c) Cash &amp; cash equivalents</t>
  </si>
  <si>
    <t>d) Short term loans &amp; advances</t>
  </si>
  <si>
    <t>Note:1 Share Capital</t>
  </si>
  <si>
    <t>Authorised</t>
  </si>
  <si>
    <t xml:space="preserve">65,00,000 Equity Shares of Rs 10 each </t>
  </si>
  <si>
    <t>Issued, Subscribed &amp; Paid up</t>
  </si>
  <si>
    <t>Note:2 Reserves &amp; Surplus</t>
  </si>
  <si>
    <t>Opening balance</t>
  </si>
  <si>
    <t>(+) Net Profit/ (Net Loss) for the period</t>
  </si>
  <si>
    <t>Note:3 Long Term Borrowings</t>
  </si>
  <si>
    <t>Secured Loans</t>
  </si>
  <si>
    <t>Note: 5 Short Term Borrowings</t>
  </si>
  <si>
    <t>Note: 6 Trade Payables</t>
  </si>
  <si>
    <t>Trade Payables</t>
  </si>
  <si>
    <t>Note: 7 Other Current Liabilities</t>
  </si>
  <si>
    <t>Outstanding Expenses</t>
  </si>
  <si>
    <t>Salary &amp; Wages payable</t>
  </si>
  <si>
    <t>Other Expenses Payable</t>
  </si>
  <si>
    <t>Statutory Dues</t>
  </si>
  <si>
    <t>TDS payable</t>
  </si>
  <si>
    <t>GST payable</t>
  </si>
  <si>
    <t>ESI &amp; PF payable</t>
  </si>
  <si>
    <t>Related party transactions</t>
  </si>
  <si>
    <t>Note: 8 Short term provisions</t>
  </si>
  <si>
    <t>Provision for taxation</t>
  </si>
  <si>
    <t>Note: 9 Inventories</t>
  </si>
  <si>
    <t>Closing stock of raw materials</t>
  </si>
  <si>
    <t>Closing stock of work in progress</t>
  </si>
  <si>
    <t>Closing stock of finished goods</t>
  </si>
  <si>
    <t>Note: 10 Trade Receivables</t>
  </si>
  <si>
    <t>Note: 11 Cash &amp; Cash Equivalents</t>
  </si>
  <si>
    <t>Cash on hand</t>
  </si>
  <si>
    <t>Note: 12 Short term loans and advances</t>
  </si>
  <si>
    <t>Deposits</t>
  </si>
  <si>
    <t>Deposits - Telephone and Electricity</t>
  </si>
  <si>
    <t>Other Advances</t>
  </si>
  <si>
    <t>Note: 13 Revenue from operations</t>
  </si>
  <si>
    <t>Sales</t>
  </si>
  <si>
    <t>Note: 14 Other Income</t>
  </si>
  <si>
    <t>Note: 15 Cost of materials consumed</t>
  </si>
  <si>
    <t>Purchases &amp; Direct Expenses</t>
  </si>
  <si>
    <t>Carriage Inwards</t>
  </si>
  <si>
    <t>Electricity &amp; power</t>
  </si>
  <si>
    <t>Wages &amp; other expenses</t>
  </si>
  <si>
    <t xml:space="preserve">Note: 16 Changes in Inventories </t>
  </si>
  <si>
    <t>Raw Materials</t>
  </si>
  <si>
    <t>Work In Process</t>
  </si>
  <si>
    <t>Finished goods</t>
  </si>
  <si>
    <t>Opeing stock :</t>
  </si>
  <si>
    <t xml:space="preserve">Note: 17 Employee Benefit Expense </t>
  </si>
  <si>
    <t>Salaries and incentives</t>
  </si>
  <si>
    <t>Staff Welfare</t>
  </si>
  <si>
    <t>Director Remuneration</t>
  </si>
  <si>
    <t>Contribution to PF  &amp; ESI</t>
  </si>
  <si>
    <t xml:space="preserve">Note: 18 Finance Cost </t>
  </si>
  <si>
    <t xml:space="preserve">Note: 19 Other Expense </t>
  </si>
  <si>
    <t>Printing &amp; Stationery</t>
  </si>
  <si>
    <t>Communication Expenses</t>
  </si>
  <si>
    <t>Insurance</t>
  </si>
  <si>
    <t>Repairs &amp; maintenance expenses</t>
  </si>
  <si>
    <t>Professional charges</t>
  </si>
  <si>
    <t>Rates &amp; taxes</t>
  </si>
  <si>
    <t>Bank Charges</t>
  </si>
  <si>
    <t>Interest on FD</t>
  </si>
  <si>
    <t>Other direct expenses</t>
  </si>
  <si>
    <t>Closing stock :</t>
  </si>
  <si>
    <t>Vehicle Expenses</t>
  </si>
  <si>
    <t>Carriage Outward</t>
  </si>
  <si>
    <t>Office Expenses</t>
  </si>
  <si>
    <t>Other sundry expenses</t>
  </si>
  <si>
    <t>VI.</t>
  </si>
  <si>
    <t>Current tax</t>
  </si>
  <si>
    <t>VII.</t>
  </si>
  <si>
    <t>Profit/(Loss) for the period (V - VI)</t>
  </si>
  <si>
    <t>TDS Receivable</t>
  </si>
  <si>
    <t xml:space="preserve">Trade receivables </t>
  </si>
  <si>
    <t>Fixed Assets</t>
  </si>
  <si>
    <t>Additions</t>
  </si>
  <si>
    <t>Gross Block</t>
  </si>
  <si>
    <t>Accumulated Depreciation</t>
  </si>
  <si>
    <t>Net Block</t>
  </si>
  <si>
    <t>Tangible Assets</t>
  </si>
  <si>
    <t>Land</t>
  </si>
  <si>
    <t>Factory Building</t>
  </si>
  <si>
    <t>Comptuers</t>
  </si>
  <si>
    <t>Air Conditioners</t>
  </si>
  <si>
    <t>Plant &amp; Machineries</t>
  </si>
  <si>
    <t>Invertor</t>
  </si>
  <si>
    <t>Telephone Instruments</t>
  </si>
  <si>
    <t>Vehicles</t>
  </si>
  <si>
    <t>Furiniture &amp; Fixtures</t>
  </si>
  <si>
    <t>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</si>
  <si>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</si>
  <si>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</si>
  <si>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</si>
  <si>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</si>
  <si>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</si>
  <si>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</si>
  <si>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</si>
  <si>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</si>
  <si>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</si>
  <si>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</si>
  <si>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 : 20 Non Current Assets - Fixed Assets</t>
  </si>
  <si>
    <t>Note: 4 Deferred Tax (Liability) / Asset</t>
  </si>
  <si>
    <t>Keelkattalai, Chennai - 600 117</t>
  </si>
  <si>
    <t>Contract / Security Expenses</t>
  </si>
  <si>
    <t>Salary Advance</t>
  </si>
  <si>
    <t>For Dynamic Air Engineering India Pvt Ltd</t>
  </si>
  <si>
    <t>Managing Director</t>
  </si>
  <si>
    <t xml:space="preserve">28,50,000 Equity Shares of Rs 10 each </t>
  </si>
  <si>
    <t xml:space="preserve">Share Premium </t>
  </si>
  <si>
    <t>c) Share Premium</t>
  </si>
  <si>
    <t>Advance Tax</t>
  </si>
  <si>
    <t xml:space="preserve">Packing &amp; Freight </t>
  </si>
  <si>
    <t>Interest paid - OCC</t>
  </si>
  <si>
    <t>Interest paid - NSIC</t>
  </si>
  <si>
    <t>Travelling &amp; Conveyance Expenses</t>
  </si>
  <si>
    <t>Generator Expenses</t>
  </si>
  <si>
    <t>Crane Hire Expenses</t>
  </si>
  <si>
    <t>Annual Maintenance Expenses</t>
  </si>
  <si>
    <t>Interest on delayed payment of Taxes</t>
  </si>
  <si>
    <t>Mr Karthikeyan</t>
  </si>
  <si>
    <t>Mrs Girija Karthikeyan</t>
  </si>
  <si>
    <t xml:space="preserve">Deferred Tax </t>
  </si>
  <si>
    <t>Provision for Gratuity</t>
  </si>
  <si>
    <t xml:space="preserve">Praxair Deposit </t>
  </si>
  <si>
    <t>GST Cash balance</t>
  </si>
  <si>
    <t>TCS Receivable</t>
  </si>
  <si>
    <t>k</t>
  </si>
  <si>
    <t>Electrical Installations</t>
  </si>
  <si>
    <t>Office Equipments</t>
  </si>
  <si>
    <t>Depreciation for the year</t>
  </si>
  <si>
    <t>Other Advance</t>
  </si>
  <si>
    <t>Audit Fee</t>
  </si>
  <si>
    <t>Interest paid - TL -I HDFC</t>
  </si>
  <si>
    <t>Interest paid - TL -II HDFC</t>
  </si>
  <si>
    <t>Interest paid - GECL -I HDFC</t>
  </si>
  <si>
    <t>Interest paid - GECL -II HDFC</t>
  </si>
  <si>
    <t>Interest paid - SIDBI</t>
  </si>
  <si>
    <t>Interest paid - Sundaram Finance</t>
  </si>
  <si>
    <t>Loan processing charges</t>
  </si>
  <si>
    <t>HDFC Bank - CC Account</t>
  </si>
  <si>
    <t>HDFC TL - I</t>
  </si>
  <si>
    <t>HDFC TL - II</t>
  </si>
  <si>
    <t>HDFC TL GECL - IV</t>
  </si>
  <si>
    <t>SIDBI Machinery Loan</t>
  </si>
  <si>
    <t>Sundaram Machinery Loan</t>
  </si>
  <si>
    <t xml:space="preserve">FD -  HDFC BG Margin </t>
  </si>
  <si>
    <t>FD - SIDBI</t>
  </si>
  <si>
    <t>Interest receivable from HDFC</t>
  </si>
  <si>
    <t>Interest receivable from SIDBI</t>
  </si>
  <si>
    <t>Rent/ Lease Deposit</t>
  </si>
  <si>
    <t>Balance as at 31'March 2024</t>
  </si>
  <si>
    <t>Interest paid - Sundaram Fin (vehicle loan)</t>
  </si>
  <si>
    <t>Interest paid - Aditya Birla</t>
  </si>
  <si>
    <t>Interest paid - Tata Fin</t>
  </si>
  <si>
    <t>Sundaram Vehicle Loan</t>
  </si>
  <si>
    <t>Adithya Birla Finance - Channel Finance</t>
  </si>
  <si>
    <t>Tata Capital Services - Channel Finance</t>
  </si>
  <si>
    <t>NSIC</t>
  </si>
  <si>
    <t>Provisional Statement of Profit and Loss for the period ended 31st March 2025</t>
  </si>
  <si>
    <t>Provisional Balance Sheet for the period ended 31st March 2025</t>
  </si>
  <si>
    <t>As at 31.03.25</t>
  </si>
  <si>
    <t>Balance as at 31'March 2025</t>
  </si>
  <si>
    <t>Rent paid</t>
  </si>
  <si>
    <t>Interest paid - Mintwalk</t>
  </si>
  <si>
    <t>GST Interest &amp; ITC paid</t>
  </si>
  <si>
    <t>GST Credit balance</t>
  </si>
  <si>
    <t>ICF Security Deposit &amp; EMD</t>
  </si>
  <si>
    <t>Other deposits</t>
  </si>
  <si>
    <t>Interest receivable from EB</t>
  </si>
  <si>
    <t>Contractor/ Jobwork advance</t>
  </si>
  <si>
    <t>GST ITC not availed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</si>
</sst>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9" fontId="2" fillId="0" borderId="11" xfId="0" applyNumberFormat="1" applyFont="1" applyBorder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9" fontId="1" fillId="0" borderId="12" xfId="0" applyNumberFormat="1" applyFont="1" applyBorder="1" applyAlignment="1">
      <alignment vertical="center"/>
    </xf>
    <xf numFmtId="39" fontId="2" fillId="0" borderId="3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39" fontId="1" fillId="0" borderId="13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39" fontId="2" fillId="0" borderId="6" xfId="0" applyNumberFormat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8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2" fillId="0" borderId="0" xfId="0" applyNumberFormat="1" applyFont="1"/>
    <xf numFmtId="39" fontId="2" fillId="0" borderId="3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9" fontId="2" fillId="0" borderId="8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9" fontId="1" fillId="0" borderId="0" xfId="0" applyNumberFormat="1" applyFont="1" applyBorder="1" applyAlignment="1">
      <alignment vertical="center"/>
    </xf>
    <xf numFmtId="39" fontId="1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39" fontId="2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39" fontId="2" fillId="0" borderId="0" xfId="0" applyNumberFormat="1" applyFont="1" applyFill="1" applyBorder="1" applyAlignment="1">
      <alignment vertical="center"/>
    </xf>
    <xf numFmtId="39" fontId="1" fillId="0" borderId="0" xfId="0" applyNumberFormat="1" applyFont="1" applyAlignment="1">
      <alignment vertical="center"/>
    </xf>
    <xf numFmtId="39" fontId="1" fillId="0" borderId="0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I33"/>
  <sheetViews>
    <sheetView topLeftCell="A4" workbookViewId="0">
      <selection activeCell="E23" sqref="E23"/>
    </sheetView>
  </sheetViews>
  <sheetFormatPr defaultRowHeight="18" customHeight="1"/>
  <cols>
    <col min="1" max="2" width="9.140625" style="3"/>
    <col min="3" max="3" width="41.85546875" style="3" customWidth="1"/>
    <col min="4" max="4" width="10.85546875" style="3" customWidth="1"/>
    <col min="5" max="5" width="24.140625" style="3" customWidth="1"/>
    <col min="6" max="7" width="9.140625" style="3"/>
    <col min="8" max="8" width="14.7109375" style="3" bestFit="1" customWidth="1"/>
    <col min="9" max="9" width="16.28515625" style="3" bestFit="1" customWidth="1"/>
    <col min="10" max="16384" width="9.140625" style="3"/>
  </cols>
  <sheetData>
    <row r="2" spans="2:9" ht="18" customHeight="1">
      <c r="B2" s="74" t="s">
        <v>2</v>
      </c>
      <c r="C2" s="74"/>
      <c r="D2" s="74"/>
      <c r="E2" s="74"/>
    </row>
    <row r="3" spans="2:9" ht="18" customHeight="1">
      <c r="B3" s="74" t="s">
        <v>3</v>
      </c>
      <c r="C3" s="74"/>
      <c r="D3" s="74"/>
      <c r="E3" s="74"/>
    </row>
    <row r="4" spans="2:9" ht="18" customHeight="1">
      <c r="B4" s="74" t="s">
        <v>146</v>
      </c>
      <c r="C4" s="74"/>
      <c r="D4" s="74"/>
      <c r="E4" s="74"/>
    </row>
    <row r="5" spans="2:9" ht="18" customHeight="1">
      <c r="B5" s="75" t="s">
        <v>202</v>
      </c>
      <c r="C5" s="75"/>
      <c r="D5" s="75"/>
      <c r="E5" s="75"/>
    </row>
    <row r="6" spans="2:9" s="2" customFormat="1" ht="18" customHeight="1">
      <c r="B6" s="1"/>
      <c r="C6" s="1" t="s">
        <v>4</v>
      </c>
      <c r="D6" s="1" t="s">
        <v>5</v>
      </c>
      <c r="E6" s="1" t="s">
        <v>1</v>
      </c>
    </row>
    <row r="7" spans="2:9" ht="18" customHeight="1">
      <c r="B7" s="6"/>
      <c r="C7" s="9"/>
      <c r="D7" s="17"/>
      <c r="E7" s="10"/>
    </row>
    <row r="8" spans="2:9" ht="18" customHeight="1">
      <c r="B8" s="7" t="s">
        <v>10</v>
      </c>
      <c r="C8" s="11" t="s">
        <v>6</v>
      </c>
      <c r="D8" s="7">
        <v>13</v>
      </c>
      <c r="E8" s="29">
        <f>+Notes!C150</f>
        <v>775792460.40999997</v>
      </c>
    </row>
    <row r="9" spans="2:9" ht="18" customHeight="1">
      <c r="B9" s="7" t="s">
        <v>11</v>
      </c>
      <c r="C9" s="11" t="s">
        <v>7</v>
      </c>
      <c r="D9" s="7">
        <v>14</v>
      </c>
      <c r="E9" s="29">
        <f>+Notes!C158</f>
        <v>757107</v>
      </c>
    </row>
    <row r="10" spans="2:9" ht="18" customHeight="1" thickBot="1">
      <c r="B10" s="7" t="s">
        <v>12</v>
      </c>
      <c r="C10" s="13" t="s">
        <v>8</v>
      </c>
      <c r="D10" s="7"/>
      <c r="E10" s="37">
        <f>SUM(E8:E9)</f>
        <v>776549567.40999997</v>
      </c>
      <c r="I10" s="25"/>
    </row>
    <row r="11" spans="2:9" ht="18" customHeight="1" thickTop="1">
      <c r="B11" s="7"/>
      <c r="C11" s="13"/>
      <c r="D11" s="7"/>
      <c r="E11" s="12"/>
    </row>
    <row r="12" spans="2:9" ht="18" customHeight="1">
      <c r="B12" s="7" t="s">
        <v>13</v>
      </c>
      <c r="C12" s="14" t="s">
        <v>9</v>
      </c>
      <c r="D12" s="7"/>
      <c r="E12" s="12"/>
    </row>
    <row r="13" spans="2:9" ht="18" customHeight="1">
      <c r="B13" s="7"/>
      <c r="C13" s="11" t="s">
        <v>14</v>
      </c>
      <c r="D13" s="7">
        <v>15</v>
      </c>
      <c r="E13" s="29">
        <f>+Notes!C170</f>
        <v>676654277.77999997</v>
      </c>
      <c r="H13" s="25"/>
    </row>
    <row r="14" spans="2:9" ht="18" customHeight="1">
      <c r="B14" s="7"/>
      <c r="C14" s="11" t="s">
        <v>15</v>
      </c>
      <c r="D14" s="7">
        <v>16</v>
      </c>
      <c r="E14" s="29">
        <f>+Notes!C186</f>
        <v>-10300000</v>
      </c>
    </row>
    <row r="15" spans="2:9" ht="18" customHeight="1">
      <c r="B15" s="7"/>
      <c r="C15" s="11" t="s">
        <v>16</v>
      </c>
      <c r="D15" s="7">
        <v>17</v>
      </c>
      <c r="E15" s="29">
        <f>+Notes!C196</f>
        <v>16676696.75</v>
      </c>
    </row>
    <row r="16" spans="2:9" ht="18" customHeight="1">
      <c r="B16" s="7"/>
      <c r="C16" s="11" t="s">
        <v>17</v>
      </c>
      <c r="D16" s="7">
        <v>18</v>
      </c>
      <c r="E16" s="29">
        <f>+Notes!C215</f>
        <v>31222308.520000003</v>
      </c>
    </row>
    <row r="17" spans="2:9" ht="18" customHeight="1">
      <c r="B17" s="7"/>
      <c r="C17" s="11" t="s">
        <v>18</v>
      </c>
      <c r="D17" s="7"/>
      <c r="E17" s="29">
        <v>19812135</v>
      </c>
      <c r="H17" s="65"/>
    </row>
    <row r="18" spans="2:9" ht="18" customHeight="1">
      <c r="B18" s="7"/>
      <c r="C18" s="11" t="s">
        <v>19</v>
      </c>
      <c r="D18" s="7">
        <v>19</v>
      </c>
      <c r="E18" s="29">
        <f>+Notes!C240</f>
        <v>29603933.899999995</v>
      </c>
    </row>
    <row r="19" spans="2:9" ht="18" customHeight="1" thickBot="1">
      <c r="B19" s="7"/>
      <c r="C19" s="13" t="s">
        <v>21</v>
      </c>
      <c r="D19" s="7"/>
      <c r="E19" s="37">
        <f>SUM(E13:E18)</f>
        <v>763669351.94999993</v>
      </c>
    </row>
    <row r="20" spans="2:9" ht="18" customHeight="1" thickTop="1">
      <c r="B20" s="7"/>
      <c r="C20" s="11"/>
      <c r="D20" s="7"/>
      <c r="E20" s="12"/>
      <c r="H20" s="25"/>
    </row>
    <row r="21" spans="2:9" ht="18" customHeight="1">
      <c r="B21" s="7" t="s">
        <v>20</v>
      </c>
      <c r="C21" s="14" t="s">
        <v>22</v>
      </c>
      <c r="D21" s="7"/>
      <c r="E21" s="38">
        <f>+E10-E19</f>
        <v>12880215.460000038</v>
      </c>
      <c r="H21" s="25"/>
      <c r="I21" s="25"/>
    </row>
    <row r="22" spans="2:9" ht="18" customHeight="1">
      <c r="B22" s="7"/>
      <c r="C22" s="11"/>
      <c r="D22" s="7"/>
      <c r="E22" s="12"/>
      <c r="H22" s="25"/>
    </row>
    <row r="23" spans="2:9" ht="18" customHeight="1">
      <c r="B23" s="7" t="s">
        <v>112</v>
      </c>
      <c r="C23" s="11" t="s">
        <v>113</v>
      </c>
      <c r="D23" s="7"/>
      <c r="E23" s="38">
        <f>+E21*25%</f>
        <v>3220053.8650000095</v>
      </c>
    </row>
    <row r="24" spans="2:9" ht="18" customHeight="1">
      <c r="B24" s="7"/>
      <c r="C24" s="11"/>
      <c r="D24" s="7"/>
      <c r="E24" s="29"/>
    </row>
    <row r="25" spans="2:9" ht="18" customHeight="1" thickBot="1">
      <c r="B25" s="7" t="s">
        <v>114</v>
      </c>
      <c r="C25" s="14" t="s">
        <v>115</v>
      </c>
      <c r="D25" s="7"/>
      <c r="E25" s="37">
        <f>+E21-E23</f>
        <v>9660161.5950000286</v>
      </c>
    </row>
    <row r="26" spans="2:9" ht="18" customHeight="1" thickTop="1">
      <c r="B26" s="8"/>
      <c r="C26" s="15"/>
      <c r="D26" s="19"/>
      <c r="E26" s="16"/>
    </row>
    <row r="27" spans="2:9" ht="18" customHeight="1">
      <c r="B27" s="2"/>
    </row>
    <row r="28" spans="2:9" ht="18" customHeight="1">
      <c r="B28" s="2"/>
      <c r="E28" s="54" t="s">
        <v>149</v>
      </c>
    </row>
    <row r="29" spans="2:9" ht="18" customHeight="1">
      <c r="B29" s="2"/>
    </row>
    <row r="30" spans="2:9" ht="18" customHeight="1">
      <c r="B30" s="2"/>
    </row>
    <row r="31" spans="2:9" ht="18" customHeight="1">
      <c r="B31" s="2"/>
      <c r="E31" s="54" t="s">
        <v>150</v>
      </c>
    </row>
    <row r="32" spans="2:9" ht="18" customHeight="1">
      <c r="B32" s="2"/>
    </row>
    <row r="33" spans="2:8" ht="18" customHeight="1">
      <c r="B33" s="2"/>
      <c r="H33" s="55"/>
    </row>
  </sheetData>
  <mergeCells count="4">
    <mergeCell ref="B2:E2"/>
    <mergeCell ref="B3:E3"/>
    <mergeCell ref="B4:E4"/>
    <mergeCell ref="B5:E5"/>
  </mergeCells>
  <printOptions horizontalCentered="1"/>
  <pageMargins left="0.45" right="0.2" top="1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45"/>
  <sheetViews>
    <sheetView topLeftCell="A22" workbookViewId="0">
      <selection activeCell="E45" sqref="E45"/>
    </sheetView>
  </sheetViews>
  <sheetFormatPr defaultRowHeight="18" customHeight="1"/>
  <cols>
    <col min="1" max="2" width="9.140625" style="3"/>
    <col min="3" max="3" width="41.140625" style="3" customWidth="1"/>
    <col min="4" max="4" width="10.85546875" style="3" customWidth="1"/>
    <col min="5" max="5" width="24.140625" style="3" customWidth="1"/>
    <col min="6" max="7" width="9.140625" style="3"/>
    <col min="8" max="8" width="16.28515625" style="3" bestFit="1" customWidth="1"/>
    <col min="9" max="16384" width="9.140625" style="3"/>
  </cols>
  <sheetData>
    <row r="2" spans="2:5" ht="18" customHeight="1">
      <c r="B2" s="74" t="s">
        <v>2</v>
      </c>
      <c r="C2" s="74"/>
      <c r="D2" s="74"/>
      <c r="E2" s="74"/>
    </row>
    <row r="3" spans="2:5" ht="18" customHeight="1">
      <c r="B3" s="74" t="s">
        <v>3</v>
      </c>
      <c r="C3" s="74"/>
      <c r="D3" s="74"/>
      <c r="E3" s="74"/>
    </row>
    <row r="4" spans="2:5" ht="18" customHeight="1">
      <c r="B4" s="74" t="s">
        <v>146</v>
      </c>
      <c r="C4" s="74"/>
      <c r="D4" s="74"/>
      <c r="E4" s="74"/>
    </row>
    <row r="5" spans="2:5" ht="18" customHeight="1">
      <c r="B5" s="75" t="s">
        <v>203</v>
      </c>
      <c r="C5" s="75"/>
      <c r="D5" s="75"/>
      <c r="E5" s="75"/>
    </row>
    <row r="6" spans="2:5" s="2" customFormat="1" ht="18" customHeight="1">
      <c r="B6" s="1"/>
      <c r="C6" s="1" t="s">
        <v>4</v>
      </c>
      <c r="D6" s="1" t="s">
        <v>5</v>
      </c>
      <c r="E6" s="1" t="s">
        <v>1</v>
      </c>
    </row>
    <row r="7" spans="2:5" ht="18" customHeight="1">
      <c r="B7" s="6"/>
      <c r="C7" s="10"/>
      <c r="D7" s="10"/>
      <c r="E7" s="10"/>
    </row>
    <row r="8" spans="2:5" ht="18" customHeight="1">
      <c r="B8" s="7" t="s">
        <v>10</v>
      </c>
      <c r="C8" s="22" t="s">
        <v>23</v>
      </c>
      <c r="D8" s="45"/>
      <c r="E8" s="12"/>
    </row>
    <row r="9" spans="2:5" ht="18" customHeight="1">
      <c r="B9" s="7">
        <v>1</v>
      </c>
      <c r="C9" s="12" t="s">
        <v>24</v>
      </c>
      <c r="D9" s="45"/>
      <c r="E9" s="12"/>
    </row>
    <row r="10" spans="2:5" ht="18" customHeight="1">
      <c r="B10" s="7"/>
      <c r="C10" s="23" t="s">
        <v>25</v>
      </c>
      <c r="D10" s="45">
        <v>1</v>
      </c>
      <c r="E10" s="29">
        <f>+Notes!C11</f>
        <v>28500000</v>
      </c>
    </row>
    <row r="11" spans="2:5" ht="18" customHeight="1">
      <c r="B11" s="7"/>
      <c r="C11" s="23" t="s">
        <v>26</v>
      </c>
      <c r="D11" s="76">
        <v>2</v>
      </c>
      <c r="E11" s="29">
        <f>+Notes!C19</f>
        <v>67641629.225000024</v>
      </c>
    </row>
    <row r="12" spans="2:5" ht="18" customHeight="1">
      <c r="B12" s="7"/>
      <c r="C12" s="23" t="s">
        <v>153</v>
      </c>
      <c r="D12" s="76"/>
      <c r="E12" s="29">
        <f>+Notes!C23</f>
        <v>16200000</v>
      </c>
    </row>
    <row r="13" spans="2:5" ht="18" customHeight="1">
      <c r="B13" s="7"/>
      <c r="C13" s="12"/>
      <c r="D13" s="45"/>
      <c r="E13" s="12"/>
    </row>
    <row r="14" spans="2:5" ht="18" customHeight="1">
      <c r="B14" s="7">
        <v>2</v>
      </c>
      <c r="C14" s="22" t="s">
        <v>27</v>
      </c>
      <c r="D14" s="45"/>
      <c r="E14" s="12"/>
    </row>
    <row r="15" spans="2:5" ht="18" customHeight="1">
      <c r="B15" s="7"/>
      <c r="C15" s="12" t="s">
        <v>29</v>
      </c>
      <c r="D15" s="45">
        <v>3</v>
      </c>
      <c r="E15" s="29">
        <f>+Notes!C38</f>
        <v>76951624.409999996</v>
      </c>
    </row>
    <row r="16" spans="2:5" ht="18" customHeight="1">
      <c r="B16" s="7"/>
      <c r="C16" s="12"/>
      <c r="D16" s="45"/>
      <c r="E16" s="12"/>
    </row>
    <row r="17" spans="2:8" ht="18" customHeight="1">
      <c r="B17" s="7">
        <v>3</v>
      </c>
      <c r="C17" s="22" t="s">
        <v>28</v>
      </c>
      <c r="D17" s="45"/>
      <c r="E17" s="12"/>
    </row>
    <row r="18" spans="2:8" ht="18" customHeight="1">
      <c r="B18" s="7"/>
      <c r="C18" s="12" t="s">
        <v>30</v>
      </c>
      <c r="D18" s="45">
        <v>5</v>
      </c>
      <c r="E18" s="29">
        <f>+Notes!C57</f>
        <v>173963356.24000001</v>
      </c>
    </row>
    <row r="19" spans="2:8" ht="18" customHeight="1">
      <c r="B19" s="7"/>
      <c r="C19" s="12" t="s">
        <v>31</v>
      </c>
      <c r="D19" s="45">
        <v>6</v>
      </c>
      <c r="E19" s="29">
        <f>+Notes!C64</f>
        <v>183227815.50999999</v>
      </c>
    </row>
    <row r="20" spans="2:8" ht="18" customHeight="1">
      <c r="B20" s="7"/>
      <c r="C20" s="23" t="s">
        <v>32</v>
      </c>
      <c r="D20" s="45">
        <v>7</v>
      </c>
      <c r="E20" s="29">
        <f>+Notes!C84</f>
        <v>27992054.440000001</v>
      </c>
    </row>
    <row r="21" spans="2:8" ht="18" customHeight="1">
      <c r="B21" s="7"/>
      <c r="C21" s="12" t="s">
        <v>33</v>
      </c>
      <c r="D21" s="45">
        <v>8</v>
      </c>
      <c r="E21" s="29">
        <f>+Notes!C91</f>
        <v>3220053.8650000095</v>
      </c>
      <c r="H21" s="25"/>
    </row>
    <row r="22" spans="2:8" ht="18" customHeight="1">
      <c r="B22" s="7"/>
      <c r="C22" s="12"/>
      <c r="D22" s="45"/>
      <c r="E22" s="12"/>
    </row>
    <row r="23" spans="2:8" ht="18" customHeight="1" thickBot="1">
      <c r="B23" s="7"/>
      <c r="C23" s="24" t="s">
        <v>0</v>
      </c>
      <c r="D23" s="45"/>
      <c r="E23" s="37">
        <f>SUM(E10:E21)</f>
        <v>577696533.69000006</v>
      </c>
    </row>
    <row r="24" spans="2:8" ht="18" customHeight="1" thickTop="1">
      <c r="B24" s="7"/>
      <c r="C24" s="12"/>
      <c r="D24" s="45"/>
      <c r="E24" s="12"/>
    </row>
    <row r="25" spans="2:8" ht="18" customHeight="1">
      <c r="B25" s="7" t="s">
        <v>11</v>
      </c>
      <c r="C25" s="22" t="s">
        <v>34</v>
      </c>
      <c r="D25" s="45"/>
      <c r="E25" s="12"/>
    </row>
    <row r="26" spans="2:8" ht="18" customHeight="1">
      <c r="B26" s="7"/>
      <c r="C26" s="22" t="s">
        <v>35</v>
      </c>
      <c r="D26" s="45"/>
      <c r="E26" s="12"/>
    </row>
    <row r="27" spans="2:8" ht="18" customHeight="1">
      <c r="B27" s="7">
        <v>1</v>
      </c>
      <c r="C27" s="12" t="s">
        <v>36</v>
      </c>
      <c r="D27" s="45">
        <v>20</v>
      </c>
      <c r="E27" s="29">
        <f>+FA!K18</f>
        <v>183750113.06000003</v>
      </c>
    </row>
    <row r="28" spans="2:8" ht="18" customHeight="1">
      <c r="B28" s="7"/>
      <c r="C28" s="23" t="s">
        <v>37</v>
      </c>
      <c r="D28" s="45"/>
      <c r="E28" s="29"/>
    </row>
    <row r="29" spans="2:8" ht="18" customHeight="1">
      <c r="B29" s="7"/>
      <c r="C29" s="12" t="s">
        <v>38</v>
      </c>
      <c r="D29" s="45">
        <v>4</v>
      </c>
      <c r="E29" s="29">
        <f>-Notes!C45</f>
        <v>-2669673.75</v>
      </c>
    </row>
    <row r="30" spans="2:8" ht="18" customHeight="1">
      <c r="B30" s="7"/>
      <c r="C30" s="12"/>
      <c r="D30" s="45"/>
      <c r="E30" s="12"/>
    </row>
    <row r="31" spans="2:8" ht="18" customHeight="1">
      <c r="B31" s="7">
        <v>2</v>
      </c>
      <c r="C31" s="22" t="s">
        <v>39</v>
      </c>
      <c r="D31" s="45"/>
      <c r="E31" s="12"/>
    </row>
    <row r="32" spans="2:8" ht="18" customHeight="1">
      <c r="B32" s="7"/>
      <c r="C32" s="12" t="s">
        <v>40</v>
      </c>
      <c r="D32" s="45">
        <v>9</v>
      </c>
      <c r="E32" s="29">
        <f>+Notes!C100</f>
        <v>162740000</v>
      </c>
    </row>
    <row r="33" spans="2:8" ht="18" customHeight="1">
      <c r="B33" s="7"/>
      <c r="C33" s="12" t="s">
        <v>41</v>
      </c>
      <c r="D33" s="45">
        <v>10</v>
      </c>
      <c r="E33" s="29">
        <f>+Notes!C107</f>
        <v>179229073.38999999</v>
      </c>
    </row>
    <row r="34" spans="2:8" ht="18" customHeight="1">
      <c r="B34" s="7"/>
      <c r="C34" s="12" t="s">
        <v>42</v>
      </c>
      <c r="D34" s="45">
        <v>11</v>
      </c>
      <c r="E34" s="29">
        <f>+Notes!C114</f>
        <v>14937</v>
      </c>
    </row>
    <row r="35" spans="2:8" ht="18" customHeight="1">
      <c r="B35" s="7"/>
      <c r="C35" s="12" t="s">
        <v>43</v>
      </c>
      <c r="D35" s="45">
        <v>12</v>
      </c>
      <c r="E35" s="29">
        <f>+Notes!C142</f>
        <v>54632083.990000002</v>
      </c>
      <c r="H35" s="25"/>
    </row>
    <row r="36" spans="2:8" ht="18" customHeight="1">
      <c r="B36" s="7"/>
      <c r="C36" s="12"/>
      <c r="D36" s="45"/>
      <c r="E36" s="12"/>
      <c r="H36" s="25"/>
    </row>
    <row r="37" spans="2:8" ht="18" customHeight="1" thickBot="1">
      <c r="B37" s="18"/>
      <c r="C37" s="24" t="s">
        <v>0</v>
      </c>
      <c r="D37" s="45"/>
      <c r="E37" s="37">
        <f>SUM(E27:E35)</f>
        <v>577696533.69000006</v>
      </c>
      <c r="H37" s="25"/>
    </row>
    <row r="38" spans="2:8" ht="18" customHeight="1" thickTop="1">
      <c r="B38" s="19"/>
      <c r="C38" s="16"/>
      <c r="D38" s="16"/>
      <c r="E38" s="16"/>
      <c r="H38" s="25"/>
    </row>
    <row r="40" spans="2:8" ht="18" customHeight="1">
      <c r="E40" s="54" t="s">
        <v>149</v>
      </c>
    </row>
    <row r="43" spans="2:8" ht="18" customHeight="1">
      <c r="E43" s="54" t="s">
        <v>150</v>
      </c>
    </row>
    <row r="45" spans="2:8" ht="18" customHeight="1">
      <c r="E45" s="25">
        <f>+E23-E37</f>
        <v>0</v>
      </c>
    </row>
  </sheetData>
  <mergeCells count="5">
    <mergeCell ref="B2:E2"/>
    <mergeCell ref="B3:E3"/>
    <mergeCell ref="B4:E4"/>
    <mergeCell ref="B5:E5"/>
    <mergeCell ref="D11:D12"/>
  </mergeCells>
  <printOptions horizontalCentered="1"/>
  <pageMargins left="0.45" right="0.2" top="0.75" bottom="0.5" header="0.3" footer="0.3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244"/>
  <sheetViews>
    <sheetView tabSelected="1" topLeftCell="A114" workbookViewId="0">
      <selection activeCell="C131" activeCellId="2" sqref="C129 C130 C131"/>
    </sheetView>
  </sheetViews>
  <sheetFormatPr defaultRowHeight="15.95" customHeight="1"/>
  <cols>
    <col min="1" max="1" width="9.140625" style="3"/>
    <col min="2" max="2" width="46.28515625" style="3" customWidth="1"/>
    <col min="3" max="5" width="21.7109375" style="3" customWidth="1"/>
    <col min="6" max="6" width="10.140625" style="3" bestFit="1" customWidth="1"/>
    <col min="7" max="16384" width="9.140625" style="3"/>
  </cols>
  <sheetData>
    <row r="2" spans="2:5" ht="15.95" customHeight="1">
      <c r="B2" s="4" t="s">
        <v>44</v>
      </c>
    </row>
    <row r="3" spans="2:5" s="2" customFormat="1" ht="15.95" customHeight="1">
      <c r="B3" s="1" t="s">
        <v>4</v>
      </c>
      <c r="C3" s="72" t="s">
        <v>204</v>
      </c>
      <c r="D3" s="58"/>
      <c r="E3" s="58"/>
    </row>
    <row r="4" spans="2:5" s="2" customFormat="1" ht="15.95" customHeight="1">
      <c r="B4" s="30"/>
      <c r="C4" s="26"/>
      <c r="D4" s="58"/>
      <c r="E4" s="58"/>
    </row>
    <row r="5" spans="2:5" ht="15.95" customHeight="1">
      <c r="B5" s="31" t="s">
        <v>45</v>
      </c>
      <c r="C5" s="12"/>
      <c r="D5" s="64"/>
      <c r="E5" s="64"/>
    </row>
    <row r="6" spans="2:5" ht="15.95" customHeight="1" thickBot="1">
      <c r="B6" s="32" t="s">
        <v>46</v>
      </c>
      <c r="C6" s="28">
        <f>6500000*10</f>
        <v>65000000</v>
      </c>
      <c r="D6" s="65"/>
      <c r="E6" s="65"/>
    </row>
    <row r="7" spans="2:5" ht="15.95" customHeight="1" thickTop="1">
      <c r="B7" s="18"/>
      <c r="C7" s="29"/>
      <c r="D7" s="65"/>
      <c r="E7" s="65"/>
    </row>
    <row r="8" spans="2:5" ht="15.95" customHeight="1">
      <c r="B8" s="31" t="s">
        <v>47</v>
      </c>
      <c r="C8" s="29"/>
      <c r="D8" s="65"/>
      <c r="E8" s="65"/>
    </row>
    <row r="9" spans="2:5" ht="15.95" customHeight="1">
      <c r="B9" s="32" t="s">
        <v>151</v>
      </c>
      <c r="C9" s="29">
        <f>2850000*10</f>
        <v>28500000</v>
      </c>
      <c r="D9" s="65"/>
      <c r="E9" s="65"/>
    </row>
    <row r="10" spans="2:5" ht="15.95" customHeight="1">
      <c r="B10" s="18"/>
      <c r="C10" s="29"/>
      <c r="D10" s="65"/>
      <c r="E10" s="65"/>
    </row>
    <row r="11" spans="2:5" ht="15.95" customHeight="1">
      <c r="B11" s="1" t="s">
        <v>0</v>
      </c>
      <c r="C11" s="33">
        <f>+C9</f>
        <v>28500000</v>
      </c>
      <c r="D11" s="59"/>
      <c r="E11" s="59"/>
    </row>
    <row r="12" spans="2:5" ht="15.95" customHeight="1">
      <c r="C12" s="25"/>
      <c r="D12" s="25"/>
      <c r="E12" s="25"/>
    </row>
    <row r="13" spans="2:5" ht="15.95" customHeight="1">
      <c r="B13" s="4" t="s">
        <v>48</v>
      </c>
    </row>
    <row r="14" spans="2:5" ht="15.95" customHeight="1">
      <c r="B14" s="1" t="s">
        <v>4</v>
      </c>
      <c r="C14" s="72" t="s">
        <v>204</v>
      </c>
      <c r="D14" s="58"/>
      <c r="E14" s="58"/>
    </row>
    <row r="15" spans="2:5" ht="15.95" customHeight="1">
      <c r="B15" s="30"/>
      <c r="C15" s="26"/>
      <c r="D15" s="58"/>
      <c r="E15" s="58"/>
    </row>
    <row r="16" spans="2:5" ht="15.95" customHeight="1">
      <c r="B16" s="20" t="s">
        <v>49</v>
      </c>
      <c r="C16" s="29">
        <v>57981467.630000003</v>
      </c>
      <c r="D16" s="65"/>
      <c r="E16" s="65"/>
    </row>
    <row r="17" spans="2:5" ht="15.95" customHeight="1">
      <c r="B17" s="27" t="s">
        <v>50</v>
      </c>
      <c r="C17" s="34">
        <f>+'P&amp;L'!E25</f>
        <v>9660161.5950000286</v>
      </c>
      <c r="D17" s="65"/>
      <c r="E17" s="65"/>
    </row>
    <row r="18" spans="2:5" ht="15.95" customHeight="1">
      <c r="B18" s="18"/>
      <c r="C18" s="29"/>
      <c r="D18" s="65"/>
      <c r="E18" s="65"/>
    </row>
    <row r="19" spans="2:5" ht="15.95" customHeight="1">
      <c r="B19" s="1" t="s">
        <v>0</v>
      </c>
      <c r="C19" s="33">
        <f>+C16+C17</f>
        <v>67641629.225000024</v>
      </c>
      <c r="D19" s="59"/>
      <c r="E19" s="59"/>
    </row>
    <row r="20" spans="2:5" ht="15.95" customHeight="1">
      <c r="B20" s="30"/>
      <c r="C20" s="60"/>
      <c r="D20" s="59"/>
      <c r="E20" s="59"/>
    </row>
    <row r="21" spans="2:5" ht="15.95" customHeight="1">
      <c r="B21" s="61" t="s">
        <v>152</v>
      </c>
      <c r="C21" s="38">
        <v>16200000</v>
      </c>
      <c r="D21" s="59"/>
      <c r="E21" s="59"/>
    </row>
    <row r="22" spans="2:5" ht="15.95" customHeight="1">
      <c r="B22" s="50"/>
      <c r="C22" s="38"/>
      <c r="D22" s="59"/>
      <c r="E22" s="59"/>
    </row>
    <row r="23" spans="2:5" ht="15.95" customHeight="1">
      <c r="B23" s="57" t="s">
        <v>0</v>
      </c>
      <c r="C23" s="33">
        <f>SUM(C21:C21)</f>
        <v>16200000</v>
      </c>
      <c r="D23" s="59"/>
      <c r="E23" s="59"/>
    </row>
    <row r="24" spans="2:5" ht="15.95" customHeight="1">
      <c r="B24" s="58"/>
      <c r="C24" s="59"/>
      <c r="D24" s="59"/>
      <c r="E24" s="59"/>
    </row>
    <row r="26" spans="2:5" ht="15.95" customHeight="1">
      <c r="B26" s="4" t="s">
        <v>51</v>
      </c>
    </row>
    <row r="27" spans="2:5" ht="15.95" customHeight="1">
      <c r="B27" s="1" t="s">
        <v>4</v>
      </c>
      <c r="C27" s="72" t="s">
        <v>204</v>
      </c>
      <c r="D27" s="58"/>
      <c r="E27" s="58"/>
    </row>
    <row r="28" spans="2:5" ht="15.95" customHeight="1">
      <c r="B28" s="30"/>
      <c r="C28" s="26"/>
      <c r="D28" s="58"/>
      <c r="E28" s="58"/>
    </row>
    <row r="29" spans="2:5" ht="15.95" customHeight="1">
      <c r="B29" s="20" t="s">
        <v>52</v>
      </c>
      <c r="C29" s="29"/>
      <c r="D29" s="65"/>
      <c r="E29" s="65"/>
    </row>
    <row r="30" spans="2:5" ht="15.95" customHeight="1">
      <c r="B30" s="35" t="s">
        <v>184</v>
      </c>
      <c r="C30" s="34">
        <v>10665344.560000001</v>
      </c>
      <c r="D30" s="65"/>
      <c r="E30" s="65"/>
    </row>
    <row r="31" spans="2:5" ht="15.95" customHeight="1">
      <c r="B31" s="35" t="s">
        <v>185</v>
      </c>
      <c r="C31" s="34">
        <v>38330036.640000001</v>
      </c>
      <c r="D31" s="65"/>
      <c r="E31" s="65"/>
    </row>
    <row r="32" spans="2:5" ht="15.95" customHeight="1">
      <c r="B32" s="35" t="s">
        <v>186</v>
      </c>
      <c r="C32" s="34">
        <v>11393234.210000001</v>
      </c>
      <c r="D32" s="65"/>
      <c r="E32" s="65"/>
    </row>
    <row r="33" spans="2:5" ht="15.95" customHeight="1">
      <c r="B33" s="35" t="s">
        <v>198</v>
      </c>
      <c r="C33" s="34">
        <f>495885+1722589</f>
        <v>2218474</v>
      </c>
      <c r="D33" s="65"/>
      <c r="E33" s="65"/>
    </row>
    <row r="34" spans="2:5" ht="15.95" customHeight="1">
      <c r="B34" s="35" t="s">
        <v>187</v>
      </c>
      <c r="C34" s="34">
        <v>-5798</v>
      </c>
      <c r="D34" s="65"/>
      <c r="E34" s="65"/>
    </row>
    <row r="35" spans="2:5" ht="15.95" customHeight="1">
      <c r="B35" s="71" t="s">
        <v>188</v>
      </c>
      <c r="C35" s="29">
        <f>8127897+6222436</f>
        <v>14350333</v>
      </c>
      <c r="E35" s="65"/>
    </row>
    <row r="36" spans="2:5" ht="15.95" customHeight="1">
      <c r="B36" s="71"/>
      <c r="C36" s="29"/>
      <c r="E36" s="65"/>
    </row>
    <row r="37" spans="2:5" ht="15.95" customHeight="1">
      <c r="B37" s="18"/>
      <c r="C37" s="29"/>
      <c r="D37" s="65"/>
      <c r="E37" s="65"/>
    </row>
    <row r="38" spans="2:5" ht="15.95" customHeight="1">
      <c r="B38" s="1" t="s">
        <v>0</v>
      </c>
      <c r="C38" s="33">
        <f>SUM(C30:C35)</f>
        <v>76951624.409999996</v>
      </c>
      <c r="D38" s="59"/>
      <c r="E38" s="59"/>
    </row>
    <row r="40" spans="2:5" ht="15.95" customHeight="1">
      <c r="B40" s="4" t="s">
        <v>145</v>
      </c>
    </row>
    <row r="41" spans="2:5" ht="15.95" customHeight="1">
      <c r="B41" s="1" t="s">
        <v>4</v>
      </c>
      <c r="C41" s="72" t="s">
        <v>204</v>
      </c>
      <c r="D41" s="58"/>
      <c r="E41" s="58"/>
    </row>
    <row r="42" spans="2:5" ht="15.95" customHeight="1">
      <c r="B42" s="17"/>
      <c r="C42" s="10"/>
      <c r="D42" s="64"/>
      <c r="E42" s="64"/>
    </row>
    <row r="43" spans="2:5" ht="15.95" customHeight="1">
      <c r="B43" s="18" t="s">
        <v>165</v>
      </c>
      <c r="C43" s="29">
        <v>2669673.75</v>
      </c>
      <c r="D43" s="65"/>
      <c r="E43" s="65"/>
    </row>
    <row r="44" spans="2:5" ht="15.95" customHeight="1">
      <c r="B44" s="19"/>
      <c r="C44" s="29"/>
      <c r="D44" s="65"/>
      <c r="E44" s="65"/>
    </row>
    <row r="45" spans="2:5" ht="15.95" customHeight="1">
      <c r="B45" s="1" t="s">
        <v>0</v>
      </c>
      <c r="C45" s="33">
        <f>SUM(C43:C43)</f>
        <v>2669673.75</v>
      </c>
      <c r="D45" s="59"/>
      <c r="E45" s="59"/>
    </row>
    <row r="46" spans="2:5" ht="15.95" customHeight="1">
      <c r="C46" s="25"/>
      <c r="D46" s="25"/>
      <c r="E46" s="25"/>
    </row>
    <row r="47" spans="2:5" ht="15.95" customHeight="1">
      <c r="B47" s="4" t="s">
        <v>53</v>
      </c>
      <c r="C47" s="25"/>
      <c r="D47" s="25"/>
      <c r="E47" s="25"/>
    </row>
    <row r="48" spans="2:5" ht="15.95" customHeight="1">
      <c r="B48" s="1" t="s">
        <v>4</v>
      </c>
      <c r="C48" s="72" t="s">
        <v>204</v>
      </c>
      <c r="D48" s="58"/>
      <c r="E48" s="58"/>
    </row>
    <row r="49" spans="2:5" ht="15.95" customHeight="1">
      <c r="B49" s="17"/>
      <c r="C49" s="10"/>
      <c r="D49" s="64"/>
      <c r="E49" s="64"/>
    </row>
    <row r="50" spans="2:5" ht="15.95" customHeight="1">
      <c r="B50" s="18" t="s">
        <v>183</v>
      </c>
      <c r="C50" s="29">
        <v>116179198.73999999</v>
      </c>
      <c r="D50" s="65"/>
      <c r="E50" s="65"/>
    </row>
    <row r="51" spans="2:5" ht="15.95" customHeight="1">
      <c r="B51" s="18"/>
      <c r="C51" s="29"/>
      <c r="D51" s="65"/>
      <c r="E51" s="65"/>
    </row>
    <row r="52" spans="2:5" ht="15.95" customHeight="1">
      <c r="B52" s="18" t="s">
        <v>199</v>
      </c>
      <c r="C52" s="29">
        <f>14599194+85702+504980</f>
        <v>15189876</v>
      </c>
      <c r="D52" s="65"/>
      <c r="E52" s="65"/>
    </row>
    <row r="53" spans="2:5" ht="15.95" customHeight="1">
      <c r="B53" s="18" t="s">
        <v>200</v>
      </c>
      <c r="C53" s="29">
        <v>13094094</v>
      </c>
      <c r="D53" s="65"/>
      <c r="E53" s="65"/>
    </row>
    <row r="54" spans="2:5" ht="15.95" customHeight="1">
      <c r="B54" s="18" t="s">
        <v>201</v>
      </c>
      <c r="C54" s="29">
        <v>29500187.5</v>
      </c>
      <c r="D54" s="65"/>
      <c r="E54" s="65"/>
    </row>
    <row r="55" spans="2:5" ht="15.95" customHeight="1">
      <c r="B55" s="18"/>
      <c r="C55" s="29"/>
      <c r="D55" s="65"/>
      <c r="E55" s="65"/>
    </row>
    <row r="56" spans="2:5" ht="15.95" customHeight="1">
      <c r="B56" s="18"/>
      <c r="C56" s="39"/>
      <c r="D56" s="66"/>
      <c r="E56" s="66"/>
    </row>
    <row r="57" spans="2:5" ht="15.95" customHeight="1">
      <c r="B57" s="1" t="s">
        <v>0</v>
      </c>
      <c r="C57" s="33">
        <f>SUM(C50:C56)</f>
        <v>173963356.24000001</v>
      </c>
      <c r="D57" s="59"/>
      <c r="E57" s="59"/>
    </row>
    <row r="59" spans="2:5" ht="15.95" customHeight="1">
      <c r="B59" s="4" t="s">
        <v>54</v>
      </c>
    </row>
    <row r="60" spans="2:5" ht="15.95" customHeight="1">
      <c r="B60" s="1" t="s">
        <v>4</v>
      </c>
      <c r="C60" s="72" t="s">
        <v>204</v>
      </c>
      <c r="D60" s="58"/>
      <c r="E60" s="58"/>
    </row>
    <row r="61" spans="2:5" ht="15.95" customHeight="1">
      <c r="B61" s="17"/>
      <c r="C61" s="10"/>
      <c r="D61" s="64"/>
      <c r="E61" s="64"/>
    </row>
    <row r="62" spans="2:5" ht="15.95" customHeight="1">
      <c r="B62" s="18" t="s">
        <v>55</v>
      </c>
      <c r="C62" s="29">
        <f>188552937.56-5325122.05</f>
        <v>183227815.50999999</v>
      </c>
      <c r="D62" s="65"/>
      <c r="E62" s="65"/>
    </row>
    <row r="63" spans="2:5" ht="15.95" customHeight="1">
      <c r="B63" s="18"/>
      <c r="C63" s="29"/>
      <c r="D63" s="65"/>
      <c r="E63" s="59"/>
    </row>
    <row r="64" spans="2:5" ht="15.95" customHeight="1">
      <c r="B64" s="1" t="s">
        <v>0</v>
      </c>
      <c r="C64" s="33">
        <f>SUM(C62:C63)</f>
        <v>183227815.50999999</v>
      </c>
      <c r="D64" s="59"/>
      <c r="E64" s="59"/>
    </row>
    <row r="65" spans="2:5" ht="15.95" customHeight="1">
      <c r="E65" s="69"/>
    </row>
    <row r="66" spans="2:5" ht="15.95" customHeight="1">
      <c r="B66" s="4" t="s">
        <v>56</v>
      </c>
      <c r="E66" s="59"/>
    </row>
    <row r="67" spans="2:5" ht="15.95" customHeight="1">
      <c r="B67" s="1" t="s">
        <v>4</v>
      </c>
      <c r="C67" s="72" t="s">
        <v>204</v>
      </c>
      <c r="D67" s="58"/>
      <c r="E67" s="59"/>
    </row>
    <row r="68" spans="2:5" ht="15.95" customHeight="1">
      <c r="B68" s="17"/>
      <c r="C68" s="10"/>
      <c r="D68" s="64"/>
      <c r="E68" s="59"/>
    </row>
    <row r="69" spans="2:5" ht="15.95" customHeight="1">
      <c r="B69" s="18" t="s">
        <v>57</v>
      </c>
      <c r="C69" s="29"/>
      <c r="D69" s="65"/>
      <c r="E69" s="65"/>
    </row>
    <row r="70" spans="2:5" ht="15.95" customHeight="1">
      <c r="B70" s="21" t="s">
        <v>58</v>
      </c>
      <c r="C70" s="29">
        <f>3622788+183737</f>
        <v>3806525</v>
      </c>
      <c r="D70" s="65"/>
      <c r="E70" s="65"/>
    </row>
    <row r="71" spans="2:5" ht="15.95" customHeight="1">
      <c r="B71" s="21" t="s">
        <v>59</v>
      </c>
      <c r="C71" s="29">
        <v>1325283</v>
      </c>
      <c r="D71" s="65"/>
      <c r="E71" s="65"/>
    </row>
    <row r="72" spans="2:5" ht="15.95" customHeight="1">
      <c r="B72" s="21"/>
      <c r="C72" s="29"/>
      <c r="D72" s="65"/>
      <c r="E72" s="65"/>
    </row>
    <row r="73" spans="2:5" ht="15.95" customHeight="1">
      <c r="B73" s="18" t="s">
        <v>60</v>
      </c>
      <c r="C73" s="29"/>
      <c r="D73" s="65"/>
      <c r="E73" s="65"/>
    </row>
    <row r="74" spans="2:5" ht="15.95" customHeight="1">
      <c r="B74" s="21" t="s">
        <v>61</v>
      </c>
      <c r="C74" s="29">
        <v>1877803</v>
      </c>
      <c r="D74" s="65"/>
      <c r="E74" s="65"/>
    </row>
    <row r="75" spans="2:5" ht="15.95" customHeight="1">
      <c r="B75" s="21" t="s">
        <v>62</v>
      </c>
      <c r="C75" s="29">
        <v>16910846.440000001</v>
      </c>
      <c r="D75" s="65"/>
      <c r="E75" s="65"/>
    </row>
    <row r="76" spans="2:5" ht="15.95" customHeight="1">
      <c r="B76" s="21" t="s">
        <v>63</v>
      </c>
      <c r="C76" s="29">
        <f>410+1773+12842+13913</f>
        <v>28938</v>
      </c>
      <c r="D76" s="65"/>
      <c r="E76" s="65"/>
    </row>
    <row r="77" spans="2:5" ht="15.95" customHeight="1">
      <c r="B77" s="18"/>
      <c r="C77" s="29"/>
      <c r="D77" s="65"/>
      <c r="E77" s="65"/>
    </row>
    <row r="78" spans="2:5" ht="15.95" customHeight="1">
      <c r="B78" s="18" t="s">
        <v>166</v>
      </c>
      <c r="C78" s="29">
        <v>470944</v>
      </c>
      <c r="D78" s="65"/>
      <c r="E78" s="65"/>
    </row>
    <row r="79" spans="2:5" ht="15.95" customHeight="1">
      <c r="B79" s="18"/>
      <c r="C79" s="29"/>
      <c r="D79" s="65"/>
      <c r="E79" s="65"/>
    </row>
    <row r="80" spans="2:5" ht="15.95" customHeight="1">
      <c r="B80" s="18" t="s">
        <v>64</v>
      </c>
      <c r="C80" s="29"/>
      <c r="D80" s="65"/>
      <c r="E80" s="65"/>
    </row>
    <row r="81" spans="2:5" ht="15.95" customHeight="1">
      <c r="B81" s="21" t="s">
        <v>163</v>
      </c>
      <c r="C81" s="29">
        <v>3399215</v>
      </c>
      <c r="D81" s="65"/>
      <c r="E81" s="65"/>
    </row>
    <row r="82" spans="2:5" ht="15.95" customHeight="1">
      <c r="B82" s="21" t="s">
        <v>164</v>
      </c>
      <c r="C82" s="29">
        <v>172500</v>
      </c>
      <c r="D82" s="65"/>
      <c r="E82" s="65"/>
    </row>
    <row r="83" spans="2:5" ht="15.95" customHeight="1">
      <c r="B83" s="18"/>
      <c r="C83" s="29"/>
      <c r="D83" s="65"/>
      <c r="E83" s="65"/>
    </row>
    <row r="84" spans="2:5" ht="15.95" customHeight="1">
      <c r="B84" s="1" t="s">
        <v>0</v>
      </c>
      <c r="C84" s="33">
        <f>SUM(C70:C82)</f>
        <v>27992054.440000001</v>
      </c>
      <c r="D84" s="59"/>
      <c r="E84" s="59"/>
    </row>
    <row r="86" spans="2:5" ht="15.95" customHeight="1">
      <c r="B86" s="4" t="s">
        <v>65</v>
      </c>
    </row>
    <row r="87" spans="2:5" ht="15.95" customHeight="1">
      <c r="B87" s="1" t="s">
        <v>4</v>
      </c>
      <c r="C87" s="72" t="s">
        <v>204</v>
      </c>
      <c r="D87" s="58"/>
      <c r="E87" s="58"/>
    </row>
    <row r="88" spans="2:5" ht="15.95" customHeight="1">
      <c r="B88" s="17"/>
      <c r="C88" s="10"/>
      <c r="D88" s="64"/>
      <c r="E88" s="64"/>
    </row>
    <row r="89" spans="2:5" ht="15.95" customHeight="1">
      <c r="B89" s="18" t="s">
        <v>66</v>
      </c>
      <c r="C89" s="29">
        <f>'P&amp;L'!E23</f>
        <v>3220053.8650000095</v>
      </c>
      <c r="D89" s="65"/>
      <c r="E89" s="65"/>
    </row>
    <row r="90" spans="2:5" ht="15.95" customHeight="1">
      <c r="B90" s="18"/>
      <c r="C90" s="12"/>
      <c r="D90" s="64"/>
      <c r="E90" s="64"/>
    </row>
    <row r="91" spans="2:5" ht="15.95" customHeight="1">
      <c r="B91" s="1" t="s">
        <v>0</v>
      </c>
      <c r="C91" s="33">
        <f>SUM(C89:C90)</f>
        <v>3220053.8650000095</v>
      </c>
      <c r="D91" s="59"/>
      <c r="E91" s="59"/>
    </row>
    <row r="92" spans="2:5" ht="15.95" customHeight="1">
      <c r="E92" s="25"/>
    </row>
    <row r="93" spans="2:5" ht="15.95" customHeight="1">
      <c r="B93" s="4" t="s">
        <v>67</v>
      </c>
      <c r="E93" s="25"/>
    </row>
    <row r="94" spans="2:5" ht="15.95" customHeight="1">
      <c r="B94" s="1" t="s">
        <v>4</v>
      </c>
      <c r="C94" s="72" t="s">
        <v>204</v>
      </c>
      <c r="D94" s="58"/>
      <c r="E94" s="70"/>
    </row>
    <row r="95" spans="2:5" ht="15.95" customHeight="1">
      <c r="B95" s="17"/>
      <c r="C95" s="10"/>
      <c r="D95" s="64"/>
      <c r="E95" s="64"/>
    </row>
    <row r="96" spans="2:5" ht="15.95" customHeight="1">
      <c r="B96" s="18" t="s">
        <v>68</v>
      </c>
      <c r="C96" s="34">
        <v>46931500</v>
      </c>
      <c r="D96" s="65"/>
      <c r="E96" s="65"/>
    </row>
    <row r="97" spans="2:5" ht="15.95" customHeight="1">
      <c r="B97" s="18" t="s">
        <v>69</v>
      </c>
      <c r="C97" s="34">
        <v>99538500</v>
      </c>
      <c r="D97" s="65"/>
      <c r="E97" s="65"/>
    </row>
    <row r="98" spans="2:5" ht="15.95" customHeight="1">
      <c r="B98" s="18" t="s">
        <v>70</v>
      </c>
      <c r="C98" s="34">
        <v>16270000</v>
      </c>
      <c r="D98" s="65"/>
      <c r="E98" s="65"/>
    </row>
    <row r="99" spans="2:5" ht="15.95" customHeight="1">
      <c r="B99" s="18"/>
      <c r="C99" s="12"/>
      <c r="D99" s="64"/>
      <c r="E99" s="64"/>
    </row>
    <row r="100" spans="2:5" ht="15.95" customHeight="1">
      <c r="B100" s="1" t="s">
        <v>0</v>
      </c>
      <c r="C100" s="33">
        <f>SUM(C96:C99)</f>
        <v>162740000</v>
      </c>
      <c r="D100" s="59"/>
      <c r="E100" s="59"/>
    </row>
    <row r="102" spans="2:5" ht="15.95" customHeight="1">
      <c r="B102" s="4" t="s">
        <v>71</v>
      </c>
    </row>
    <row r="103" spans="2:5" ht="15.95" customHeight="1">
      <c r="B103" s="1" t="s">
        <v>4</v>
      </c>
      <c r="C103" s="72" t="s">
        <v>204</v>
      </c>
      <c r="D103" s="58"/>
      <c r="E103" s="58"/>
    </row>
    <row r="104" spans="2:5" ht="15.95" customHeight="1">
      <c r="B104" s="17"/>
      <c r="C104" s="10"/>
      <c r="D104" s="64"/>
      <c r="E104" s="64"/>
    </row>
    <row r="105" spans="2:5" ht="15.95" customHeight="1">
      <c r="B105" s="18" t="s">
        <v>117</v>
      </c>
      <c r="C105" s="29">
        <f>180229073.39-1000000</f>
        <v>179229073.38999999</v>
      </c>
      <c r="D105" s="65"/>
      <c r="E105" s="65"/>
    </row>
    <row r="106" spans="2:5" ht="15.95" customHeight="1">
      <c r="B106" s="18"/>
      <c r="C106" s="12"/>
      <c r="D106" s="64"/>
      <c r="E106" s="64"/>
    </row>
    <row r="107" spans="2:5" ht="15.95" customHeight="1">
      <c r="B107" s="1" t="s">
        <v>0</v>
      </c>
      <c r="C107" s="33">
        <f>SUM(C104:C105)</f>
        <v>179229073.38999999</v>
      </c>
      <c r="D107" s="59"/>
      <c r="E107" s="59"/>
    </row>
    <row r="109" spans="2:5" ht="15.95" customHeight="1">
      <c r="B109" s="4" t="s">
        <v>72</v>
      </c>
    </row>
    <row r="110" spans="2:5" ht="15.95" customHeight="1">
      <c r="B110" s="1" t="s">
        <v>4</v>
      </c>
      <c r="C110" s="72" t="s">
        <v>204</v>
      </c>
      <c r="D110" s="58"/>
      <c r="E110" s="58"/>
    </row>
    <row r="111" spans="2:5" ht="15.95" customHeight="1">
      <c r="B111" s="17"/>
      <c r="C111" s="40"/>
      <c r="D111" s="65"/>
      <c r="E111" s="65"/>
    </row>
    <row r="112" spans="2:5" ht="15.95" customHeight="1">
      <c r="B112" s="18" t="s">
        <v>73</v>
      </c>
      <c r="C112" s="29">
        <v>14937</v>
      </c>
      <c r="D112" s="65"/>
      <c r="E112" s="65"/>
    </row>
    <row r="113" spans="2:5" ht="15.95" customHeight="1">
      <c r="B113" s="18"/>
      <c r="C113" s="29"/>
      <c r="D113" s="65"/>
      <c r="E113" s="65"/>
    </row>
    <row r="114" spans="2:5" ht="15.95" customHeight="1">
      <c r="B114" s="1" t="s">
        <v>0</v>
      </c>
      <c r="C114" s="33">
        <f>SUM(C112:C112)</f>
        <v>14937</v>
      </c>
      <c r="D114" s="59"/>
      <c r="E114" s="59"/>
    </row>
    <row r="116" spans="2:5" ht="15.95" customHeight="1">
      <c r="B116" s="4" t="s">
        <v>74</v>
      </c>
    </row>
    <row r="117" spans="2:5" ht="15.95" customHeight="1">
      <c r="B117" s="1" t="s">
        <v>4</v>
      </c>
      <c r="C117" s="72" t="s">
        <v>204</v>
      </c>
      <c r="D117" s="58"/>
      <c r="E117" s="58"/>
    </row>
    <row r="118" spans="2:5" ht="15.95" customHeight="1">
      <c r="B118" s="17"/>
      <c r="C118" s="10"/>
      <c r="D118" s="64"/>
      <c r="E118" s="64"/>
    </row>
    <row r="119" spans="2:5" ht="15.95" customHeight="1">
      <c r="B119" s="20" t="s">
        <v>75</v>
      </c>
      <c r="C119" s="29"/>
      <c r="D119" s="65"/>
      <c r="E119" s="65"/>
    </row>
    <row r="120" spans="2:5" ht="15.95" customHeight="1">
      <c r="B120" s="21" t="s">
        <v>76</v>
      </c>
      <c r="C120" s="56">
        <v>1820377</v>
      </c>
      <c r="D120" s="65"/>
      <c r="E120" s="65"/>
    </row>
    <row r="121" spans="2:5" ht="15.95" customHeight="1">
      <c r="B121" s="21" t="s">
        <v>189</v>
      </c>
      <c r="C121" s="56">
        <v>6575218</v>
      </c>
      <c r="D121" s="65"/>
      <c r="E121" s="65"/>
    </row>
    <row r="122" spans="2:5" ht="15.95" customHeight="1">
      <c r="B122" s="21" t="s">
        <v>190</v>
      </c>
      <c r="C122" s="56">
        <v>4130000</v>
      </c>
      <c r="D122" s="65"/>
      <c r="E122" s="65"/>
    </row>
    <row r="123" spans="2:5" ht="15.95" customHeight="1">
      <c r="B123" s="21" t="s">
        <v>210</v>
      </c>
      <c r="C123" s="56">
        <f>6915276+1508620</f>
        <v>8423896</v>
      </c>
      <c r="D123" s="65"/>
      <c r="E123" s="65"/>
    </row>
    <row r="124" spans="2:5" ht="15.95" customHeight="1">
      <c r="B124" s="21" t="s">
        <v>167</v>
      </c>
      <c r="C124" s="56">
        <v>30000</v>
      </c>
      <c r="D124" s="65"/>
      <c r="E124" s="65"/>
    </row>
    <row r="125" spans="2:5" ht="15.95" customHeight="1">
      <c r="B125" s="21" t="s">
        <v>211</v>
      </c>
      <c r="C125" s="56">
        <v>9100</v>
      </c>
      <c r="D125" s="65"/>
      <c r="E125" s="65"/>
    </row>
    <row r="126" spans="2:5" ht="15.95" customHeight="1">
      <c r="B126" s="18"/>
      <c r="C126" s="29"/>
      <c r="D126" s="65"/>
      <c r="E126" s="65"/>
    </row>
    <row r="127" spans="2:5" ht="15.95" customHeight="1">
      <c r="B127" s="20" t="s">
        <v>77</v>
      </c>
      <c r="C127" s="29"/>
      <c r="D127" s="65"/>
      <c r="E127" s="65"/>
    </row>
    <row r="128" spans="2:5" ht="15.95" customHeight="1">
      <c r="B128" s="21" t="s">
        <v>193</v>
      </c>
      <c r="C128" s="56">
        <v>13397766</v>
      </c>
      <c r="D128" s="65"/>
      <c r="E128" s="65"/>
    </row>
    <row r="129" spans="2:5" ht="15.95" customHeight="1">
      <c r="B129" s="21" t="s">
        <v>154</v>
      </c>
      <c r="C129" s="56">
        <v>1000000</v>
      </c>
      <c r="D129" s="65"/>
      <c r="E129" s="65"/>
    </row>
    <row r="130" spans="2:5" ht="15.95" customHeight="1">
      <c r="B130" s="21" t="s">
        <v>116</v>
      </c>
      <c r="C130" s="29">
        <v>1364404.75</v>
      </c>
      <c r="D130" s="65"/>
      <c r="E130" s="65"/>
    </row>
    <row r="131" spans="2:5" ht="15.95" customHeight="1">
      <c r="B131" s="21" t="s">
        <v>169</v>
      </c>
      <c r="C131" s="56">
        <v>198257.99</v>
      </c>
      <c r="D131" s="65"/>
      <c r="E131" s="65"/>
    </row>
    <row r="132" spans="2:5" ht="15.95" customHeight="1">
      <c r="B132" s="21" t="s">
        <v>148</v>
      </c>
      <c r="C132" s="29">
        <v>192111</v>
      </c>
      <c r="D132" s="65"/>
      <c r="E132" s="65"/>
    </row>
    <row r="133" spans="2:5" ht="15.95" customHeight="1">
      <c r="B133" s="21" t="s">
        <v>174</v>
      </c>
      <c r="C133" s="56">
        <f>280079+929860+55361+136506+1585+143218-5046+100000</f>
        <v>1641563</v>
      </c>
      <c r="D133" s="65"/>
      <c r="E133" s="65"/>
    </row>
    <row r="134" spans="2:5" ht="15.95" customHeight="1">
      <c r="B134" s="21" t="s">
        <v>213</v>
      </c>
      <c r="C134" s="56">
        <v>2557742</v>
      </c>
      <c r="D134" s="65"/>
      <c r="E134" s="65"/>
    </row>
    <row r="135" spans="2:5" ht="15.95" customHeight="1">
      <c r="B135" s="21" t="s">
        <v>191</v>
      </c>
      <c r="C135" s="56">
        <v>677069.1</v>
      </c>
      <c r="D135" s="65"/>
      <c r="E135" s="65"/>
    </row>
    <row r="136" spans="2:5" ht="15.95" customHeight="1">
      <c r="B136" s="21" t="s">
        <v>192</v>
      </c>
      <c r="C136" s="56">
        <v>599442</v>
      </c>
      <c r="D136" s="65"/>
      <c r="E136" s="65"/>
    </row>
    <row r="137" spans="2:5" ht="15.95" customHeight="1">
      <c r="B137" s="21" t="s">
        <v>212</v>
      </c>
      <c r="C137" s="56">
        <v>14176</v>
      </c>
      <c r="D137" s="65"/>
      <c r="E137" s="65"/>
    </row>
    <row r="138" spans="2:5" ht="15.95" customHeight="1">
      <c r="B138" s="21" t="s">
        <v>214</v>
      </c>
      <c r="C138" s="56">
        <v>890733.78</v>
      </c>
      <c r="D138" s="65"/>
      <c r="E138" s="65"/>
    </row>
    <row r="139" spans="2:5" ht="15.95" customHeight="1">
      <c r="B139" s="21" t="s">
        <v>209</v>
      </c>
      <c r="C139" s="29">
        <v>9449578</v>
      </c>
      <c r="D139" s="65"/>
      <c r="E139" s="65"/>
    </row>
    <row r="140" spans="2:5" ht="15.95" customHeight="1">
      <c r="B140" s="21" t="s">
        <v>168</v>
      </c>
      <c r="C140" s="29">
        <v>1660649.37</v>
      </c>
      <c r="D140" s="65"/>
      <c r="E140" s="65"/>
    </row>
    <row r="141" spans="2:5" s="43" customFormat="1" ht="15.95" customHeight="1">
      <c r="B141" s="41"/>
      <c r="C141" s="42"/>
      <c r="D141" s="67"/>
      <c r="E141" s="67"/>
    </row>
    <row r="142" spans="2:5" ht="15.95" customHeight="1">
      <c r="B142" s="1" t="s">
        <v>0</v>
      </c>
      <c r="C142" s="33">
        <f>SUM(C119:C140)</f>
        <v>54632083.990000002</v>
      </c>
      <c r="D142" s="59"/>
      <c r="E142" s="59"/>
    </row>
    <row r="144" spans="2:5" ht="15.95" customHeight="1">
      <c r="B144" s="4" t="s">
        <v>78</v>
      </c>
    </row>
    <row r="145" spans="2:5" ht="19.5" customHeight="1">
      <c r="B145" s="1" t="s">
        <v>4</v>
      </c>
      <c r="C145" s="72" t="s">
        <v>204</v>
      </c>
      <c r="D145" s="58"/>
      <c r="E145" s="58"/>
    </row>
    <row r="146" spans="2:5" ht="15.95" customHeight="1">
      <c r="B146" s="17"/>
      <c r="C146" s="10"/>
      <c r="D146" s="64"/>
      <c r="E146" s="64"/>
    </row>
    <row r="147" spans="2:5" ht="15.95" customHeight="1">
      <c r="B147" s="18" t="s">
        <v>79</v>
      </c>
      <c r="C147" s="29">
        <v>770403308.25</v>
      </c>
      <c r="D147" s="65"/>
      <c r="E147" s="65"/>
    </row>
    <row r="148" spans="2:5" ht="15.95" customHeight="1">
      <c r="B148" s="18" t="s">
        <v>155</v>
      </c>
      <c r="C148" s="29">
        <v>5389152.1600000001</v>
      </c>
      <c r="D148" s="65"/>
      <c r="E148" s="65"/>
    </row>
    <row r="149" spans="2:5" ht="15.95" customHeight="1">
      <c r="B149" s="18"/>
      <c r="C149" s="12"/>
      <c r="D149" s="64"/>
      <c r="E149" s="64"/>
    </row>
    <row r="150" spans="2:5" ht="15.95" customHeight="1">
      <c r="B150" s="1" t="s">
        <v>0</v>
      </c>
      <c r="C150" s="33">
        <f>SUM(C147:C149)</f>
        <v>775792460.40999997</v>
      </c>
      <c r="D150" s="59"/>
      <c r="E150" s="59"/>
    </row>
    <row r="152" spans="2:5" ht="15.95" customHeight="1">
      <c r="B152" s="4" t="s">
        <v>80</v>
      </c>
    </row>
    <row r="153" spans="2:5" ht="21" customHeight="1">
      <c r="B153" s="1" t="s">
        <v>4</v>
      </c>
      <c r="C153" s="72" t="s">
        <v>204</v>
      </c>
      <c r="D153" s="58"/>
      <c r="E153" s="58"/>
    </row>
    <row r="154" spans="2:5" ht="15.95" customHeight="1">
      <c r="B154" s="17"/>
      <c r="C154" s="10"/>
      <c r="D154" s="64"/>
      <c r="E154" s="64"/>
    </row>
    <row r="155" spans="2:5" ht="15.95" customHeight="1">
      <c r="B155" s="18" t="s">
        <v>105</v>
      </c>
      <c r="C155" s="29">
        <v>670456</v>
      </c>
      <c r="D155" s="65"/>
      <c r="E155" s="65"/>
    </row>
    <row r="156" spans="2:5" ht="15.95" customHeight="1">
      <c r="B156" s="18" t="s">
        <v>7</v>
      </c>
      <c r="C156" s="29">
        <v>86651</v>
      </c>
      <c r="D156" s="65"/>
      <c r="E156" s="65"/>
    </row>
    <row r="157" spans="2:5" ht="15.95" customHeight="1">
      <c r="B157" s="18"/>
      <c r="C157" s="29"/>
      <c r="D157" s="65"/>
      <c r="E157" s="65"/>
    </row>
    <row r="158" spans="2:5" ht="15.95" customHeight="1">
      <c r="B158" s="1" t="s">
        <v>0</v>
      </c>
      <c r="C158" s="33">
        <f>SUM(C155:C157)</f>
        <v>757107</v>
      </c>
      <c r="D158" s="59"/>
      <c r="E158" s="59"/>
    </row>
    <row r="160" spans="2:5" ht="15.95" customHeight="1">
      <c r="B160" s="4" t="s">
        <v>81</v>
      </c>
    </row>
    <row r="161" spans="2:5" ht="20.25" customHeight="1">
      <c r="B161" s="1" t="s">
        <v>4</v>
      </c>
      <c r="C161" s="72" t="s">
        <v>204</v>
      </c>
      <c r="D161" s="58"/>
      <c r="E161" s="58"/>
    </row>
    <row r="162" spans="2:5" ht="15.95" customHeight="1">
      <c r="B162" s="17"/>
      <c r="C162" s="10"/>
      <c r="D162" s="64"/>
      <c r="E162" s="64"/>
    </row>
    <row r="163" spans="2:5" ht="15.95" customHeight="1">
      <c r="B163" s="18" t="s">
        <v>82</v>
      </c>
      <c r="C163" s="29">
        <v>535764974.08999997</v>
      </c>
      <c r="D163" s="65"/>
      <c r="E163" s="65"/>
    </row>
    <row r="164" spans="2:5" ht="15.95" customHeight="1">
      <c r="B164" s="18" t="s">
        <v>83</v>
      </c>
      <c r="C164" s="29">
        <v>6650587.6900000004</v>
      </c>
      <c r="D164" s="65"/>
      <c r="E164" s="65"/>
    </row>
    <row r="165" spans="2:5" ht="15.95" customHeight="1">
      <c r="B165" s="18" t="s">
        <v>206</v>
      </c>
      <c r="C165" s="29">
        <f>840000+894800</f>
        <v>1734800</v>
      </c>
      <c r="D165" s="65"/>
      <c r="E165" s="65"/>
    </row>
    <row r="166" spans="2:5" ht="15.95" customHeight="1">
      <c r="B166" s="18" t="s">
        <v>84</v>
      </c>
      <c r="C166" s="29">
        <f>7547520+1479667.4</f>
        <v>9027187.4000000004</v>
      </c>
      <c r="D166" s="65"/>
      <c r="E166" s="65"/>
    </row>
    <row r="167" spans="2:5" ht="15.95" customHeight="1">
      <c r="B167" s="18" t="s">
        <v>85</v>
      </c>
      <c r="C167" s="29">
        <v>35373455</v>
      </c>
      <c r="D167" s="65"/>
      <c r="E167" s="65"/>
    </row>
    <row r="168" spans="2:5" ht="15.95" customHeight="1">
      <c r="B168" s="18" t="s">
        <v>106</v>
      </c>
      <c r="C168" s="29">
        <v>88103273.599999994</v>
      </c>
      <c r="D168" s="65"/>
      <c r="E168" s="65"/>
    </row>
    <row r="169" spans="2:5" ht="15.95" customHeight="1">
      <c r="B169" s="18"/>
      <c r="C169" s="12"/>
      <c r="D169" s="64"/>
      <c r="E169" s="64"/>
    </row>
    <row r="170" spans="2:5" ht="15.95" customHeight="1">
      <c r="B170" s="1" t="s">
        <v>0</v>
      </c>
      <c r="C170" s="33">
        <f>SUM(C163:C168)</f>
        <v>676654277.77999997</v>
      </c>
      <c r="D170" s="59"/>
      <c r="E170" s="59"/>
    </row>
    <row r="172" spans="2:5" ht="15.95" customHeight="1">
      <c r="B172" s="4" t="s">
        <v>86</v>
      </c>
    </row>
    <row r="173" spans="2:5" ht="20.25" customHeight="1">
      <c r="B173" s="1" t="s">
        <v>4</v>
      </c>
      <c r="C173" s="72" t="s">
        <v>204</v>
      </c>
      <c r="D173" s="58"/>
      <c r="E173" s="58"/>
    </row>
    <row r="174" spans="2:5" ht="15.95" customHeight="1">
      <c r="B174" s="17"/>
      <c r="C174" s="17"/>
      <c r="D174" s="64"/>
      <c r="E174" s="64"/>
    </row>
    <row r="175" spans="2:5" ht="15.95" customHeight="1">
      <c r="B175" s="20" t="s">
        <v>90</v>
      </c>
      <c r="C175" s="34"/>
      <c r="D175" s="65"/>
      <c r="E175" s="65"/>
    </row>
    <row r="176" spans="2:5" ht="15.95" customHeight="1">
      <c r="B176" s="21" t="s">
        <v>87</v>
      </c>
      <c r="C176" s="34">
        <v>36302313</v>
      </c>
      <c r="D176" s="65"/>
      <c r="E176" s="65"/>
    </row>
    <row r="177" spans="2:5" ht="15.95" customHeight="1">
      <c r="B177" s="21" t="s">
        <v>88</v>
      </c>
      <c r="C177" s="34">
        <v>100993175</v>
      </c>
      <c r="D177" s="65"/>
      <c r="E177" s="65"/>
    </row>
    <row r="178" spans="2:5" ht="15.95" customHeight="1">
      <c r="B178" s="21" t="s">
        <v>89</v>
      </c>
      <c r="C178" s="34">
        <v>15144512</v>
      </c>
      <c r="D178" s="65"/>
      <c r="E178" s="65"/>
    </row>
    <row r="179" spans="2:5" ht="15.95" customHeight="1" thickBot="1">
      <c r="B179" s="18"/>
      <c r="C179" s="37">
        <f>SUM(C176:C178)</f>
        <v>152440000</v>
      </c>
      <c r="D179" s="59"/>
      <c r="E179" s="59"/>
    </row>
    <row r="180" spans="2:5" ht="15.95" customHeight="1" thickTop="1">
      <c r="B180" s="20" t="s">
        <v>107</v>
      </c>
      <c r="C180" s="34"/>
      <c r="D180" s="65"/>
      <c r="E180" s="65"/>
    </row>
    <row r="181" spans="2:5" ht="15.95" customHeight="1">
      <c r="B181" s="21" t="s">
        <v>87</v>
      </c>
      <c r="C181" s="34">
        <v>46931500</v>
      </c>
      <c r="D181" s="65"/>
      <c r="E181" s="65"/>
    </row>
    <row r="182" spans="2:5" ht="15.95" customHeight="1">
      <c r="B182" s="21" t="s">
        <v>88</v>
      </c>
      <c r="C182" s="34">
        <v>99538500</v>
      </c>
      <c r="D182" s="65"/>
      <c r="E182" s="65"/>
    </row>
    <row r="183" spans="2:5" ht="15.95" customHeight="1">
      <c r="B183" s="21" t="s">
        <v>89</v>
      </c>
      <c r="C183" s="34">
        <v>16270000</v>
      </c>
      <c r="D183" s="65"/>
      <c r="E183" s="65"/>
    </row>
    <row r="184" spans="2:5" ht="15.95" customHeight="1" thickBot="1">
      <c r="B184" s="21"/>
      <c r="C184" s="37">
        <f>SUM(C181:C183)</f>
        <v>162740000</v>
      </c>
      <c r="D184" s="59"/>
      <c r="E184" s="59"/>
    </row>
    <row r="185" spans="2:5" ht="15.95" customHeight="1" thickTop="1">
      <c r="B185" s="18"/>
      <c r="C185" s="18"/>
      <c r="D185" s="64"/>
      <c r="E185" s="65"/>
    </row>
    <row r="186" spans="2:5" ht="15.95" customHeight="1">
      <c r="B186" s="1" t="s">
        <v>0</v>
      </c>
      <c r="C186" s="5">
        <f>+C179-C184</f>
        <v>-10300000</v>
      </c>
      <c r="D186" s="59"/>
      <c r="E186" s="59"/>
    </row>
    <row r="188" spans="2:5" ht="15.95" customHeight="1">
      <c r="B188" s="4" t="s">
        <v>91</v>
      </c>
    </row>
    <row r="189" spans="2:5" ht="20.25" customHeight="1">
      <c r="B189" s="1" t="s">
        <v>4</v>
      </c>
      <c r="C189" s="72" t="s">
        <v>204</v>
      </c>
      <c r="D189" s="58"/>
      <c r="E189" s="58"/>
    </row>
    <row r="190" spans="2:5" ht="15.95" customHeight="1">
      <c r="B190" s="17"/>
      <c r="C190" s="10"/>
      <c r="D190" s="64"/>
      <c r="E190" s="64"/>
    </row>
    <row r="191" spans="2:5" ht="15.95" customHeight="1">
      <c r="B191" s="18" t="s">
        <v>92</v>
      </c>
      <c r="C191" s="29">
        <f>1394192+2324834+752261+5490692</f>
        <v>9961979</v>
      </c>
      <c r="D191" s="65"/>
      <c r="E191" s="65"/>
    </row>
    <row r="192" spans="2:5" ht="15.95" customHeight="1">
      <c r="B192" s="18" t="s">
        <v>93</v>
      </c>
      <c r="C192" s="29">
        <v>1732618.75</v>
      </c>
      <c r="D192" s="65"/>
      <c r="E192" s="65"/>
    </row>
    <row r="193" spans="2:5" ht="15.95" customHeight="1">
      <c r="B193" s="18" t="s">
        <v>94</v>
      </c>
      <c r="C193" s="29">
        <v>4800000</v>
      </c>
      <c r="D193" s="65"/>
      <c r="E193" s="65"/>
    </row>
    <row r="194" spans="2:5" ht="15.95" customHeight="1">
      <c r="B194" s="18" t="s">
        <v>95</v>
      </c>
      <c r="C194" s="29">
        <v>182099</v>
      </c>
      <c r="D194" s="65"/>
      <c r="E194" s="65"/>
    </row>
    <row r="195" spans="2:5" ht="15.95" customHeight="1">
      <c r="B195" s="18"/>
      <c r="C195" s="29"/>
      <c r="D195" s="65"/>
      <c r="E195" s="65"/>
    </row>
    <row r="196" spans="2:5" ht="15.95" customHeight="1">
      <c r="B196" s="1" t="s">
        <v>0</v>
      </c>
      <c r="C196" s="33">
        <f>SUM(C191:C195)</f>
        <v>16676696.75</v>
      </c>
      <c r="D196" s="59"/>
      <c r="E196" s="59"/>
    </row>
    <row r="198" spans="2:5" ht="15.95" customHeight="1">
      <c r="B198" s="4" t="s">
        <v>96</v>
      </c>
    </row>
    <row r="199" spans="2:5" ht="21" customHeight="1">
      <c r="B199" s="1" t="s">
        <v>4</v>
      </c>
      <c r="C199" s="72" t="s">
        <v>204</v>
      </c>
      <c r="D199" s="58"/>
      <c r="E199" s="58"/>
    </row>
    <row r="200" spans="2:5" ht="15.95" customHeight="1">
      <c r="B200" s="17"/>
      <c r="C200" s="10"/>
      <c r="D200" s="64"/>
      <c r="E200" s="64"/>
    </row>
    <row r="201" spans="2:5" ht="15.95" customHeight="1">
      <c r="B201" s="18" t="s">
        <v>156</v>
      </c>
      <c r="C201" s="29">
        <v>13099229</v>
      </c>
      <c r="D201" s="65"/>
      <c r="E201" s="65"/>
    </row>
    <row r="202" spans="2:5" ht="15.95" customHeight="1">
      <c r="B202" s="18" t="s">
        <v>176</v>
      </c>
      <c r="C202" s="29">
        <v>1236158.77</v>
      </c>
      <c r="D202" s="65"/>
      <c r="E202" s="65"/>
    </row>
    <row r="203" spans="2:5" ht="15.95" customHeight="1">
      <c r="B203" s="18" t="s">
        <v>177</v>
      </c>
      <c r="C203" s="29">
        <v>4442611.4000000004</v>
      </c>
      <c r="D203" s="65"/>
      <c r="E203" s="65"/>
    </row>
    <row r="204" spans="2:5" ht="15.95" customHeight="1">
      <c r="B204" s="18" t="s">
        <v>178</v>
      </c>
      <c r="C204" s="29">
        <v>378455.9</v>
      </c>
      <c r="D204" s="65"/>
      <c r="E204" s="65"/>
    </row>
    <row r="205" spans="2:5" ht="15.95" customHeight="1">
      <c r="B205" s="18" t="s">
        <v>179</v>
      </c>
      <c r="C205" s="29">
        <v>1341876.5900000001</v>
      </c>
      <c r="D205" s="65"/>
      <c r="E205" s="65"/>
    </row>
    <row r="206" spans="2:5" ht="15.95" customHeight="1">
      <c r="B206" s="18" t="s">
        <v>196</v>
      </c>
      <c r="C206" s="29">
        <v>2800775.1</v>
      </c>
      <c r="D206" s="65"/>
      <c r="E206" s="65"/>
    </row>
    <row r="207" spans="2:5" ht="15.95" customHeight="1">
      <c r="B207" s="18" t="s">
        <v>197</v>
      </c>
      <c r="C207" s="29">
        <v>1431818</v>
      </c>
      <c r="D207" s="65"/>
      <c r="E207" s="65"/>
    </row>
    <row r="208" spans="2:5" ht="15.95" customHeight="1">
      <c r="B208" s="18" t="s">
        <v>207</v>
      </c>
      <c r="C208" s="29">
        <v>553613</v>
      </c>
      <c r="D208" s="65"/>
      <c r="E208" s="65"/>
    </row>
    <row r="209" spans="2:5" ht="15.95" customHeight="1">
      <c r="B209" s="18" t="s">
        <v>157</v>
      </c>
      <c r="C209" s="29">
        <v>2965889</v>
      </c>
      <c r="D209" s="65"/>
      <c r="E209" s="65"/>
    </row>
    <row r="210" spans="2:5" ht="15.95" customHeight="1">
      <c r="B210" s="18" t="s">
        <v>181</v>
      </c>
      <c r="C210" s="29">
        <v>1288754</v>
      </c>
      <c r="D210" s="65"/>
      <c r="E210" s="65"/>
    </row>
    <row r="211" spans="2:5" ht="15.95" customHeight="1">
      <c r="B211" s="18" t="s">
        <v>180</v>
      </c>
      <c r="C211" s="29">
        <v>633578</v>
      </c>
      <c r="D211" s="65"/>
      <c r="E211" s="65"/>
    </row>
    <row r="212" spans="2:5" ht="15.95" customHeight="1">
      <c r="B212" s="18" t="s">
        <v>182</v>
      </c>
      <c r="C212" s="29">
        <v>973242.76</v>
      </c>
      <c r="D212" s="65"/>
      <c r="E212" s="65"/>
    </row>
    <row r="213" spans="2:5" ht="15.95" customHeight="1">
      <c r="B213" s="18" t="s">
        <v>195</v>
      </c>
      <c r="C213" s="29">
        <v>76307</v>
      </c>
      <c r="D213" s="65"/>
      <c r="E213" s="65"/>
    </row>
    <row r="214" spans="2:5" ht="15.95" customHeight="1">
      <c r="B214" s="18"/>
      <c r="C214" s="29"/>
      <c r="D214" s="65"/>
      <c r="E214" s="65"/>
    </row>
    <row r="215" spans="2:5" ht="15.95" customHeight="1">
      <c r="B215" s="1" t="s">
        <v>0</v>
      </c>
      <c r="C215" s="33">
        <f>SUM(C201:C213)</f>
        <v>31222308.520000003</v>
      </c>
      <c r="D215" s="59"/>
      <c r="E215" s="59"/>
    </row>
    <row r="217" spans="2:5" ht="15.95" customHeight="1">
      <c r="B217" s="4" t="s">
        <v>97</v>
      </c>
    </row>
    <row r="218" spans="2:5" ht="18" customHeight="1">
      <c r="B218" s="1" t="s">
        <v>4</v>
      </c>
      <c r="C218" s="72" t="s">
        <v>204</v>
      </c>
      <c r="D218" s="58"/>
      <c r="E218" s="58"/>
    </row>
    <row r="219" spans="2:5" ht="15.95" customHeight="1">
      <c r="B219" s="17"/>
      <c r="C219" s="10"/>
      <c r="D219" s="64"/>
      <c r="E219" s="64"/>
    </row>
    <row r="220" spans="2:5" ht="15.95" customHeight="1">
      <c r="B220" s="18" t="s">
        <v>161</v>
      </c>
      <c r="C220" s="56">
        <v>133000</v>
      </c>
      <c r="D220" s="64"/>
      <c r="E220" s="64"/>
    </row>
    <row r="221" spans="2:5" ht="15.95" customHeight="1">
      <c r="B221" s="18" t="s">
        <v>98</v>
      </c>
      <c r="C221" s="56">
        <v>399157.15</v>
      </c>
      <c r="D221" s="68"/>
      <c r="E221" s="68"/>
    </row>
    <row r="222" spans="2:5" ht="15.95" customHeight="1">
      <c r="B222" s="18" t="s">
        <v>99</v>
      </c>
      <c r="C222" s="56">
        <v>229280.68</v>
      </c>
      <c r="D222" s="68"/>
      <c r="E222" s="68"/>
    </row>
    <row r="223" spans="2:5" ht="15.95" customHeight="1">
      <c r="B223" s="18" t="s">
        <v>208</v>
      </c>
      <c r="C223" s="56">
        <v>1412005</v>
      </c>
      <c r="D223" s="68"/>
      <c r="E223" s="68"/>
    </row>
    <row r="224" spans="2:5" ht="15.95" customHeight="1">
      <c r="B224" s="18" t="s">
        <v>158</v>
      </c>
      <c r="C224" s="56">
        <v>1017314</v>
      </c>
      <c r="D224" s="68"/>
      <c r="E224" s="68"/>
    </row>
    <row r="225" spans="2:5" ht="15.95" customHeight="1">
      <c r="B225" s="18" t="s">
        <v>100</v>
      </c>
      <c r="C225" s="56">
        <v>496283</v>
      </c>
      <c r="D225" s="68"/>
      <c r="E225" s="68"/>
    </row>
    <row r="226" spans="2:5" ht="15.95" customHeight="1">
      <c r="B226" s="18" t="s">
        <v>101</v>
      </c>
      <c r="C226" s="56">
        <f>9450+648837.39+607702.35+1033549.1+5048994.71</f>
        <v>7348533.5499999998</v>
      </c>
      <c r="D226" s="68"/>
      <c r="E226" s="68"/>
    </row>
    <row r="227" spans="2:5" ht="15.95" customHeight="1">
      <c r="B227" s="18" t="s">
        <v>102</v>
      </c>
      <c r="C227" s="56">
        <f>2531357+11900</f>
        <v>2543257</v>
      </c>
      <c r="D227" s="68"/>
      <c r="E227" s="68"/>
    </row>
    <row r="228" spans="2:5" ht="15.95" customHeight="1">
      <c r="B228" s="18" t="s">
        <v>103</v>
      </c>
      <c r="C228" s="56">
        <f>476267+18732+15500</f>
        <v>510499</v>
      </c>
      <c r="D228" s="68"/>
      <c r="E228" s="68"/>
    </row>
    <row r="229" spans="2:5" ht="15.95" customHeight="1">
      <c r="B229" s="18" t="s">
        <v>162</v>
      </c>
      <c r="C229" s="56">
        <v>21024</v>
      </c>
      <c r="D229" s="68"/>
      <c r="E229" s="68"/>
    </row>
    <row r="230" spans="2:5" ht="15.95" customHeight="1">
      <c r="B230" s="18" t="s">
        <v>159</v>
      </c>
      <c r="C230" s="56">
        <v>2940766</v>
      </c>
      <c r="D230" s="68"/>
      <c r="E230" s="68"/>
    </row>
    <row r="231" spans="2:5" ht="15.95" customHeight="1">
      <c r="B231" s="18" t="s">
        <v>160</v>
      </c>
      <c r="C231" s="56">
        <f>128150+109550+96000</f>
        <v>333700</v>
      </c>
      <c r="D231" s="68"/>
      <c r="E231" s="68"/>
    </row>
    <row r="232" spans="2:5" ht="15.95" customHeight="1">
      <c r="B232" s="18" t="s">
        <v>108</v>
      </c>
      <c r="C232" s="56">
        <v>4718499.13</v>
      </c>
      <c r="D232" s="68"/>
      <c r="E232" s="68"/>
    </row>
    <row r="233" spans="2:5" ht="15.95" customHeight="1">
      <c r="B233" s="18" t="s">
        <v>104</v>
      </c>
      <c r="C233" s="56">
        <f>135804.62+367357.99+300000</f>
        <v>803162.61</v>
      </c>
      <c r="D233" s="68"/>
      <c r="E233" s="68"/>
    </row>
    <row r="234" spans="2:5" ht="15.95" customHeight="1">
      <c r="B234" s="18" t="s">
        <v>109</v>
      </c>
      <c r="C234" s="56">
        <v>4122598.4</v>
      </c>
      <c r="D234" s="68"/>
      <c r="E234" s="68"/>
    </row>
    <row r="235" spans="2:5" ht="15.95" customHeight="1">
      <c r="B235" s="18" t="s">
        <v>110</v>
      </c>
      <c r="C235" s="56">
        <f>977496+55000+15000+43131.53+428.36+128635-7004.35</f>
        <v>1212686.54</v>
      </c>
      <c r="D235" s="68"/>
      <c r="E235" s="65"/>
    </row>
    <row r="236" spans="2:5" ht="15.95" customHeight="1">
      <c r="B236" s="18" t="s">
        <v>175</v>
      </c>
      <c r="C236" s="56">
        <v>175000</v>
      </c>
      <c r="D236" s="68"/>
      <c r="E236" s="68"/>
    </row>
    <row r="237" spans="2:5" ht="15.95" customHeight="1">
      <c r="B237" s="18" t="s">
        <v>147</v>
      </c>
      <c r="C237" s="56">
        <v>834822.74</v>
      </c>
      <c r="D237" s="68"/>
      <c r="E237" s="68"/>
    </row>
    <row r="238" spans="2:5" ht="15.95" customHeight="1">
      <c r="B238" s="18" t="s">
        <v>111</v>
      </c>
      <c r="C238" s="56">
        <f>86375.1+265970</f>
        <v>352345.1</v>
      </c>
      <c r="D238" s="68"/>
      <c r="E238" s="68"/>
    </row>
    <row r="239" spans="2:5" ht="15.95" customHeight="1">
      <c r="B239" s="18"/>
      <c r="C239" s="29"/>
      <c r="D239" s="65"/>
      <c r="E239" s="65"/>
    </row>
    <row r="240" spans="2:5" ht="15.95" customHeight="1">
      <c r="B240" s="1" t="s">
        <v>0</v>
      </c>
      <c r="C240" s="33">
        <f>SUM(C220:C238)</f>
        <v>29603933.899999995</v>
      </c>
      <c r="D240" s="59"/>
      <c r="E240" s="59"/>
    </row>
    <row r="242" spans="3:5" ht="15.95" customHeight="1">
      <c r="C242" s="25"/>
      <c r="D242" s="25"/>
      <c r="E242" s="25"/>
    </row>
    <row r="243" spans="3:5" ht="15.95" customHeight="1">
      <c r="C243" s="25"/>
      <c r="D243" s="25"/>
      <c r="E243" s="25"/>
    </row>
    <row r="244" spans="3:5" ht="15.95" customHeight="1">
      <c r="C244" s="25"/>
      <c r="D244" s="25"/>
      <c r="E244" s="25"/>
    </row>
  </sheetData>
  <printOptions horizontalCentered="1"/>
  <pageMargins left="0.45" right="0.45" top="0.75" bottom="0.5" header="0.3" footer="0.3"/>
  <pageSetup paperSize="9"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3:M22"/>
  <sheetViews>
    <sheetView workbookViewId="0">
      <selection activeCell="E16" sqref="E16"/>
    </sheetView>
  </sheetViews>
  <sheetFormatPr defaultRowHeight="18" customHeight="1"/>
  <cols>
    <col min="1" max="2" width="9.140625" style="46"/>
    <col min="3" max="3" width="28" style="46" customWidth="1"/>
    <col min="4" max="4" width="17.85546875" style="46" bestFit="1" customWidth="1"/>
    <col min="5" max="6" width="18.28515625" style="46" bestFit="1" customWidth="1"/>
    <col min="7" max="10" width="17.85546875" style="46" bestFit="1" customWidth="1"/>
    <col min="11" max="11" width="18.28515625" style="46" bestFit="1" customWidth="1"/>
    <col min="12" max="12" width="9.140625" style="46"/>
    <col min="13" max="13" width="15.140625" style="46" bestFit="1" customWidth="1"/>
    <col min="14" max="16384" width="9.140625" style="46"/>
  </cols>
  <sheetData>
    <row r="3" spans="2:13" ht="18" customHeight="1">
      <c r="B3" s="4" t="s">
        <v>144</v>
      </c>
    </row>
    <row r="4" spans="2:13" s="3" customFormat="1" ht="18" customHeight="1">
      <c r="B4" s="75"/>
      <c r="C4" s="77" t="s">
        <v>118</v>
      </c>
      <c r="D4" s="75" t="s">
        <v>120</v>
      </c>
      <c r="E4" s="75"/>
      <c r="F4" s="75"/>
      <c r="G4" s="75" t="s">
        <v>121</v>
      </c>
      <c r="H4" s="75"/>
      <c r="I4" s="75"/>
      <c r="J4" s="75" t="s">
        <v>122</v>
      </c>
      <c r="K4" s="75"/>
    </row>
    <row r="5" spans="2:13" s="47" customFormat="1" ht="48.75" customHeight="1">
      <c r="B5" s="75"/>
      <c r="C5" s="77"/>
      <c r="D5" s="73" t="s">
        <v>194</v>
      </c>
      <c r="E5" s="36" t="s">
        <v>119</v>
      </c>
      <c r="F5" s="73" t="s">
        <v>205</v>
      </c>
      <c r="G5" s="73" t="s">
        <v>194</v>
      </c>
      <c r="H5" s="63" t="s">
        <v>173</v>
      </c>
      <c r="I5" s="73" t="s">
        <v>205</v>
      </c>
      <c r="J5" s="73" t="s">
        <v>194</v>
      </c>
      <c r="K5" s="73" t="s">
        <v>205</v>
      </c>
    </row>
    <row r="6" spans="2:13" s="3" customFormat="1" ht="18" customHeight="1">
      <c r="B6" s="30" t="s">
        <v>133</v>
      </c>
      <c r="C6" s="48" t="s">
        <v>123</v>
      </c>
      <c r="D6" s="17"/>
      <c r="E6" s="17"/>
      <c r="F6" s="17"/>
      <c r="G6" s="17"/>
      <c r="H6" s="51"/>
      <c r="I6" s="34"/>
      <c r="J6" s="17"/>
      <c r="K6" s="34"/>
    </row>
    <row r="7" spans="2:13" s="3" customFormat="1" ht="18" customHeight="1">
      <c r="B7" s="7" t="s">
        <v>134</v>
      </c>
      <c r="C7" s="21" t="s">
        <v>124</v>
      </c>
      <c r="D7" s="34">
        <v>24942539.25</v>
      </c>
      <c r="E7" s="34"/>
      <c r="F7" s="34">
        <f>+D7+E7</f>
        <v>24942539.25</v>
      </c>
      <c r="G7" s="34">
        <v>0</v>
      </c>
      <c r="H7" s="34"/>
      <c r="I7" s="34">
        <f>+G7+H7</f>
        <v>0</v>
      </c>
      <c r="J7" s="34">
        <f>+D7-G7</f>
        <v>24942539.25</v>
      </c>
      <c r="K7" s="34">
        <f>F7-I7</f>
        <v>24942539.25</v>
      </c>
      <c r="M7" s="25"/>
    </row>
    <row r="8" spans="2:13" s="3" customFormat="1" ht="18" customHeight="1">
      <c r="B8" s="7" t="s">
        <v>135</v>
      </c>
      <c r="C8" s="21" t="s">
        <v>125</v>
      </c>
      <c r="D8" s="34">
        <f>86789572.35+3268009.17</f>
        <v>90057581.519999996</v>
      </c>
      <c r="E8" s="34">
        <f>4066766.16-318688.92</f>
        <v>3748077.24</v>
      </c>
      <c r="F8" s="34">
        <f t="shared" ref="F8:F17" si="0">+D8+E8</f>
        <v>93805658.75999999</v>
      </c>
      <c r="G8" s="34">
        <v>38378592.5</v>
      </c>
      <c r="H8" s="34">
        <v>4445242</v>
      </c>
      <c r="I8" s="34">
        <f t="shared" ref="I8:I17" si="1">+G8+H8</f>
        <v>42823834.5</v>
      </c>
      <c r="J8" s="34">
        <f>+D8-G8</f>
        <v>51678989.019999996</v>
      </c>
      <c r="K8" s="34">
        <f t="shared" ref="K8:K17" si="2">F8-I8</f>
        <v>50981824.25999999</v>
      </c>
      <c r="M8" s="25"/>
    </row>
    <row r="9" spans="2:13" s="3" customFormat="1" ht="18" customHeight="1">
      <c r="B9" s="7" t="s">
        <v>136</v>
      </c>
      <c r="C9" s="21" t="s">
        <v>126</v>
      </c>
      <c r="D9" s="34">
        <f>2448377.84+350000</f>
        <v>2798377.84</v>
      </c>
      <c r="E9" s="34">
        <v>171497.49</v>
      </c>
      <c r="F9" s="34">
        <f t="shared" si="0"/>
        <v>2969875.33</v>
      </c>
      <c r="G9" s="34">
        <v>2563077.7999999998</v>
      </c>
      <c r="H9" s="34">
        <v>170690</v>
      </c>
      <c r="I9" s="34">
        <f t="shared" si="1"/>
        <v>2733767.8</v>
      </c>
      <c r="J9" s="34">
        <f t="shared" ref="J9:J17" si="3">+D9-G9</f>
        <v>235300.04000000004</v>
      </c>
      <c r="K9" s="34">
        <f t="shared" si="2"/>
        <v>236107.53000000026</v>
      </c>
      <c r="M9" s="25"/>
    </row>
    <row r="10" spans="2:13" s="3" customFormat="1" ht="18" customHeight="1">
      <c r="B10" s="7" t="s">
        <v>137</v>
      </c>
      <c r="C10" s="21" t="s">
        <v>127</v>
      </c>
      <c r="D10" s="34">
        <v>442718.94</v>
      </c>
      <c r="E10" s="53">
        <v>38320.949999999997</v>
      </c>
      <c r="F10" s="34">
        <f t="shared" si="0"/>
        <v>481039.89</v>
      </c>
      <c r="G10" s="34">
        <v>286377.38</v>
      </c>
      <c r="H10" s="34">
        <v>72225</v>
      </c>
      <c r="I10" s="34">
        <f t="shared" si="1"/>
        <v>358602.38</v>
      </c>
      <c r="J10" s="34">
        <f t="shared" si="3"/>
        <v>156341.56</v>
      </c>
      <c r="K10" s="34">
        <f t="shared" si="2"/>
        <v>122437.51000000001</v>
      </c>
      <c r="M10" s="25"/>
    </row>
    <row r="11" spans="2:13" s="3" customFormat="1" ht="18" customHeight="1">
      <c r="B11" s="7" t="s">
        <v>138</v>
      </c>
      <c r="C11" s="21" t="s">
        <v>128</v>
      </c>
      <c r="D11" s="34">
        <v>248439930.56</v>
      </c>
      <c r="E11" s="34">
        <f>16804408.86-8844000</f>
        <v>7960408.8599999994</v>
      </c>
      <c r="F11" s="34">
        <f t="shared" si="0"/>
        <v>256400339.42000002</v>
      </c>
      <c r="G11" s="34">
        <v>147511898.37</v>
      </c>
      <c r="H11" s="34">
        <v>13014405</v>
      </c>
      <c r="I11" s="34">
        <f t="shared" si="1"/>
        <v>160526303.37</v>
      </c>
      <c r="J11" s="34">
        <f t="shared" si="3"/>
        <v>100928032.19</v>
      </c>
      <c r="K11" s="34">
        <f t="shared" si="2"/>
        <v>95874036.050000012</v>
      </c>
      <c r="M11" s="25"/>
    </row>
    <row r="12" spans="2:13" s="3" customFormat="1" ht="18" customHeight="1">
      <c r="B12" s="7" t="s">
        <v>139</v>
      </c>
      <c r="C12" s="21" t="s">
        <v>129</v>
      </c>
      <c r="D12" s="34">
        <v>25500</v>
      </c>
      <c r="E12" s="34"/>
      <c r="F12" s="34">
        <f t="shared" si="0"/>
        <v>25500</v>
      </c>
      <c r="G12" s="34">
        <v>24224.27</v>
      </c>
      <c r="H12" s="34"/>
      <c r="I12" s="34">
        <f t="shared" si="1"/>
        <v>24224.27</v>
      </c>
      <c r="J12" s="34">
        <f t="shared" si="3"/>
        <v>1275.7299999999996</v>
      </c>
      <c r="K12" s="34">
        <f t="shared" si="2"/>
        <v>1275.7299999999996</v>
      </c>
      <c r="M12" s="25"/>
    </row>
    <row r="13" spans="2:13" s="3" customFormat="1" ht="18" customHeight="1">
      <c r="B13" s="7" t="s">
        <v>140</v>
      </c>
      <c r="C13" s="21" t="s">
        <v>130</v>
      </c>
      <c r="D13" s="34">
        <v>20948</v>
      </c>
      <c r="E13" s="34"/>
      <c r="F13" s="34">
        <f t="shared" si="0"/>
        <v>20948</v>
      </c>
      <c r="G13" s="34">
        <v>20546.349999999999</v>
      </c>
      <c r="H13" s="34"/>
      <c r="I13" s="34">
        <f t="shared" si="1"/>
        <v>20546.349999999999</v>
      </c>
      <c r="J13" s="34">
        <f t="shared" si="3"/>
        <v>401.65000000000146</v>
      </c>
      <c r="K13" s="34">
        <f t="shared" si="2"/>
        <v>401.65000000000146</v>
      </c>
      <c r="M13" s="25"/>
    </row>
    <row r="14" spans="2:13" s="3" customFormat="1" ht="18" customHeight="1">
      <c r="B14" s="7" t="s">
        <v>141</v>
      </c>
      <c r="C14" s="21" t="s">
        <v>172</v>
      </c>
      <c r="D14" s="34">
        <v>1184555.42</v>
      </c>
      <c r="E14" s="34">
        <v>265128.33</v>
      </c>
      <c r="F14" s="34">
        <f t="shared" si="0"/>
        <v>1449683.75</v>
      </c>
      <c r="G14" s="34">
        <v>959888.09</v>
      </c>
      <c r="H14" s="34">
        <v>96537</v>
      </c>
      <c r="I14" s="34">
        <f t="shared" si="1"/>
        <v>1056425.0899999999</v>
      </c>
      <c r="J14" s="34">
        <f t="shared" si="3"/>
        <v>224667.32999999996</v>
      </c>
      <c r="K14" s="34">
        <f t="shared" si="2"/>
        <v>393258.66000000015</v>
      </c>
      <c r="M14" s="25"/>
    </row>
    <row r="15" spans="2:13" s="3" customFormat="1" ht="18" customHeight="1">
      <c r="B15" s="62" t="s">
        <v>142</v>
      </c>
      <c r="C15" s="21" t="s">
        <v>171</v>
      </c>
      <c r="D15" s="34">
        <v>21030556.489999998</v>
      </c>
      <c r="E15" s="34">
        <v>583564.41</v>
      </c>
      <c r="F15" s="34">
        <f t="shared" si="0"/>
        <v>21614120.899999999</v>
      </c>
      <c r="G15" s="34">
        <v>16295941</v>
      </c>
      <c r="H15" s="34">
        <v>992619</v>
      </c>
      <c r="I15" s="34">
        <f t="shared" si="1"/>
        <v>17288560</v>
      </c>
      <c r="J15" s="34">
        <f t="shared" si="3"/>
        <v>4734615.4899999984</v>
      </c>
      <c r="K15" s="34">
        <f t="shared" si="2"/>
        <v>4325560.8999999985</v>
      </c>
      <c r="M15" s="25"/>
    </row>
    <row r="16" spans="2:13" s="3" customFormat="1" ht="18" customHeight="1">
      <c r="B16" s="62" t="s">
        <v>143</v>
      </c>
      <c r="C16" s="21" t="s">
        <v>131</v>
      </c>
      <c r="D16" s="34">
        <v>11432607.92</v>
      </c>
      <c r="E16" s="34">
        <v>3368139.49</v>
      </c>
      <c r="F16" s="34">
        <f t="shared" si="0"/>
        <v>14800747.41</v>
      </c>
      <c r="G16" s="34">
        <v>8431135.9399999995</v>
      </c>
      <c r="H16" s="34">
        <v>859193</v>
      </c>
      <c r="I16" s="34">
        <f t="shared" si="1"/>
        <v>9290328.9399999995</v>
      </c>
      <c r="J16" s="34">
        <f t="shared" si="3"/>
        <v>3001471.9800000004</v>
      </c>
      <c r="K16" s="34">
        <f t="shared" si="2"/>
        <v>5510418.4700000007</v>
      </c>
      <c r="M16" s="25"/>
    </row>
    <row r="17" spans="2:13" s="3" customFormat="1" ht="18" customHeight="1">
      <c r="B17" s="62" t="s">
        <v>170</v>
      </c>
      <c r="C17" s="21" t="s">
        <v>132</v>
      </c>
      <c r="D17" s="34">
        <v>2217344.9700000002</v>
      </c>
      <c r="E17" s="34">
        <v>875038.04</v>
      </c>
      <c r="F17" s="34">
        <f t="shared" si="0"/>
        <v>3092383.0100000002</v>
      </c>
      <c r="G17" s="34">
        <v>1568905.96</v>
      </c>
      <c r="H17" s="34">
        <v>161224</v>
      </c>
      <c r="I17" s="34">
        <f t="shared" si="1"/>
        <v>1730129.96</v>
      </c>
      <c r="J17" s="34">
        <f t="shared" si="3"/>
        <v>648439.01000000024</v>
      </c>
      <c r="K17" s="34">
        <f t="shared" si="2"/>
        <v>1362253.0500000003</v>
      </c>
      <c r="M17" s="25"/>
    </row>
    <row r="18" spans="2:13" s="3" customFormat="1" ht="18" customHeight="1">
      <c r="B18" s="49"/>
      <c r="C18" s="44" t="s">
        <v>0</v>
      </c>
      <c r="D18" s="5">
        <f>SUM(D7:D17)</f>
        <v>402592660.91000009</v>
      </c>
      <c r="E18" s="5">
        <f t="shared" ref="E18:J18" si="4">SUM(E7:E17)</f>
        <v>17010174.809999999</v>
      </c>
      <c r="F18" s="5">
        <f t="shared" si="4"/>
        <v>419602835.71999997</v>
      </c>
      <c r="G18" s="5">
        <f t="shared" si="4"/>
        <v>216040587.66000003</v>
      </c>
      <c r="H18" s="5">
        <f t="shared" si="4"/>
        <v>19812135</v>
      </c>
      <c r="I18" s="5">
        <f t="shared" si="4"/>
        <v>235852722.66000003</v>
      </c>
      <c r="J18" s="5">
        <f t="shared" si="4"/>
        <v>186552073.25</v>
      </c>
      <c r="K18" s="5">
        <f>SUM(K6:K17)</f>
        <v>183750113.06000003</v>
      </c>
      <c r="M18" s="25"/>
    </row>
    <row r="19" spans="2:13" s="3" customFormat="1" ht="18" customHeight="1">
      <c r="B19" s="2"/>
      <c r="D19" s="25"/>
      <c r="E19" s="25"/>
      <c r="F19" s="25"/>
      <c r="G19" s="25"/>
      <c r="H19" s="25"/>
      <c r="I19" s="25"/>
      <c r="J19" s="25"/>
      <c r="K19" s="25"/>
      <c r="M19" s="25"/>
    </row>
    <row r="20" spans="2:13" ht="18" customHeight="1">
      <c r="I20" s="52"/>
      <c r="J20" s="52"/>
      <c r="K20" s="52"/>
    </row>
    <row r="21" spans="2:13" ht="18" customHeight="1">
      <c r="E21" s="52"/>
      <c r="F21" s="52"/>
      <c r="J21" s="52"/>
    </row>
    <row r="22" spans="2:13" ht="18" customHeight="1">
      <c r="E22" s="52"/>
    </row>
  </sheetData>
  <mergeCells count="5">
    <mergeCell ref="D4:F4"/>
    <mergeCell ref="G4:I4"/>
    <mergeCell ref="J4:K4"/>
    <mergeCell ref="C4:C5"/>
    <mergeCell ref="B4:B5"/>
  </mergeCells>
  <printOptions horizontalCentered="1"/>
  <pageMargins left="0.2" right="0.2" top="1" bottom="0.75" header="0.3" footer="0.3"/>
  <pageSetup paperSize="9" scale="7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B&amp;S</vt:lpstr>
      <vt:lpstr>Notes</vt:lpstr>
      <vt:lpstr>FA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2025-08-11T11:25:18Z</dcterms:modified>
</cp:coreProperties>
</file>