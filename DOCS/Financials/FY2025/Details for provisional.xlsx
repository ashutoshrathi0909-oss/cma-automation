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CE12FB00-4CE4-410F-8E8C-896BB2A641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1" l="1"/>
  <c r="D69" i="1"/>
  <c r="B68" i="1"/>
  <c r="B57" i="1"/>
  <c r="B58" i="1" s="1"/>
  <c r="B59" i="1" s="1"/>
  <c r="B60" i="1" s="1"/>
  <c r="B66" i="1"/>
  <c r="B67" i="1" s="1"/>
  <c r="B50" i="1"/>
  <c r="B51" i="1" s="1"/>
  <c r="B52" i="1" s="1"/>
  <c r="B53" i="1" s="1"/>
  <c r="B54" i="1" s="1"/>
  <c r="B55" i="1" s="1"/>
  <c r="B56" i="1" s="1"/>
  <c r="C36" i="1" l="1"/>
  <c r="E27" i="1" l="1"/>
  <c r="E11" i="1"/>
  <c r="D4" i="1"/>
  <c r="E3" i="1" s="1"/>
</calcChain>
</file>

<file path=xl/sharedStrings.xml><?xml version="1.0" encoding="utf-8"?>
<sst xmlns="http://schemas.openxmlformats.org/spreadsheetml/2006/main" count="61" uniqueCount="56">
  <si>
    <t>Purchases</t>
  </si>
  <si>
    <t>Local purchase</t>
  </si>
  <si>
    <t>Import purchase</t>
  </si>
  <si>
    <t>Discount received</t>
  </si>
  <si>
    <t>Factory License Renewal Charges</t>
  </si>
  <si>
    <t>ICF Cost Recovery</t>
  </si>
  <si>
    <t>Import Clearing Charges</t>
  </si>
  <si>
    <t>Job Work Charges</t>
  </si>
  <si>
    <t>Job Work Charges (W/o TDS)</t>
  </si>
  <si>
    <t>Labour Charges</t>
  </si>
  <si>
    <t>Labour Charges (W/o TDS)</t>
  </si>
  <si>
    <t>Lab Test</t>
  </si>
  <si>
    <t>Lab Test (W/o TDS)</t>
  </si>
  <si>
    <t>Liquidity Damages-ICF</t>
  </si>
  <si>
    <t>Loading &amp; Unloading Charges (GST)</t>
  </si>
  <si>
    <t>Loading, Unloading &amp; Toll Charges</t>
  </si>
  <si>
    <t>Packing Expenses</t>
  </si>
  <si>
    <t>Other direct expenses</t>
  </si>
  <si>
    <t>Import for 24-25</t>
  </si>
  <si>
    <t>Amount</t>
  </si>
  <si>
    <t>Particulars</t>
  </si>
  <si>
    <t>Trade payables break up</t>
  </si>
  <si>
    <t>Creditors - Materials</t>
  </si>
  <si>
    <t>Creditors - Expenses</t>
  </si>
  <si>
    <t>Creditors - Job work</t>
  </si>
  <si>
    <t>Creditors - Capital expenses</t>
  </si>
  <si>
    <t>Creditors - Imports</t>
  </si>
  <si>
    <t>Trade receivables break up</t>
  </si>
  <si>
    <t>(&lt; 90 days )</t>
  </si>
  <si>
    <t>90 to 120 days</t>
  </si>
  <si>
    <t>120 to 180 days</t>
  </si>
  <si>
    <t>(&gt; 180 days )</t>
  </si>
  <si>
    <t>Job work / contractor advance</t>
  </si>
  <si>
    <t>balance carried forward from 23-24</t>
  </si>
  <si>
    <t xml:space="preserve">expenses treated as advance </t>
  </si>
  <si>
    <t>Mintwalk loan closed</t>
  </si>
  <si>
    <t>S. No.</t>
  </si>
  <si>
    <t>Month</t>
  </si>
  <si>
    <t>Apr'24</t>
  </si>
  <si>
    <t>May'24</t>
  </si>
  <si>
    <t>June'24</t>
  </si>
  <si>
    <t>July'24</t>
  </si>
  <si>
    <t>Aug'24</t>
  </si>
  <si>
    <t>Sept'24</t>
  </si>
  <si>
    <t>Oct'24</t>
  </si>
  <si>
    <t>Nov'24</t>
  </si>
  <si>
    <t>Turnover from April'24 to Mar'25</t>
  </si>
  <si>
    <t>Apr'25</t>
  </si>
  <si>
    <t>May'25</t>
  </si>
  <si>
    <t>June'25</t>
  </si>
  <si>
    <t>Dec'24</t>
  </si>
  <si>
    <t>Jan'25</t>
  </si>
  <si>
    <t>Feb'25</t>
  </si>
  <si>
    <t>Mar'25</t>
  </si>
  <si>
    <t>Turnover from April'25 to July'25</t>
  </si>
  <si>
    <t>July'25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</si>
</sst>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7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7" fontId="1" fillId="0" borderId="1" xfId="0" applyNumberFormat="1" applyFont="1" applyBorder="1"/>
    <xf numFmtId="0" fontId="1" fillId="0" borderId="1" xfId="0" applyFont="1" applyBorder="1" applyAlignment="1">
      <alignment horizontal="left" indent="1"/>
    </xf>
    <xf numFmtId="49" fontId="1" fillId="0" borderId="1" xfId="0" applyNumberFormat="1" applyFont="1" applyBorder="1" applyAlignment="1">
      <alignment horizontal="left" vertical="top" indent="1"/>
    </xf>
    <xf numFmtId="37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3" fontId="1" fillId="0" borderId="0" xfId="0" applyNumberFormat="1" applyFont="1"/>
    <xf numFmtId="3" fontId="1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37" fontId="2" fillId="0" borderId="1" xfId="0" applyNumberFormat="1" applyFont="1" applyBorder="1"/>
    <xf numFmtId="49" fontId="1" fillId="0" borderId="2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9"/>
  <sheetViews>
    <sheetView tabSelected="1" workbookViewId="0">
      <selection activeCell="H16" sqref="H16"/>
    </sheetView>
  </sheetViews>
  <sheetFormatPr defaultRowHeight="14.25" x14ac:dyDescent="0.2"/>
  <cols>
    <col min="1" max="1" width="9.140625" style="1"/>
    <col min="2" max="2" width="9.28515625" style="3" bestFit="1" customWidth="1"/>
    <col min="3" max="3" width="33.5703125" style="1" customWidth="1"/>
    <col min="4" max="4" width="16.7109375" style="2" customWidth="1"/>
    <col min="5" max="5" width="13.140625" style="2" bestFit="1" customWidth="1"/>
    <col min="6" max="6" width="17" style="1" customWidth="1"/>
    <col min="7" max="7" width="13.5703125" style="1" customWidth="1"/>
    <col min="8" max="16384" width="9.140625" style="1"/>
  </cols>
  <sheetData>
    <row r="2" spans="2:5" x14ac:dyDescent="0.2">
      <c r="B2" s="4"/>
      <c r="C2" s="4" t="s">
        <v>20</v>
      </c>
      <c r="D2" s="9" t="s">
        <v>19</v>
      </c>
      <c r="E2" s="9" t="s">
        <v>19</v>
      </c>
    </row>
    <row r="3" spans="2:5" x14ac:dyDescent="0.2">
      <c r="B3" s="4">
        <v>1</v>
      </c>
      <c r="C3" s="5" t="s">
        <v>0</v>
      </c>
      <c r="D3" s="6"/>
      <c r="E3" s="6">
        <f>SUM(D4:D6)</f>
        <v>535764974</v>
      </c>
    </row>
    <row r="4" spans="2:5" x14ac:dyDescent="0.2">
      <c r="B4" s="4"/>
      <c r="C4" s="7" t="s">
        <v>1</v>
      </c>
      <c r="D4" s="6">
        <f>533837134+698954</f>
        <v>534536088</v>
      </c>
      <c r="E4" s="6"/>
    </row>
    <row r="5" spans="2:5" x14ac:dyDescent="0.2">
      <c r="B5" s="4"/>
      <c r="C5" s="7" t="s">
        <v>2</v>
      </c>
      <c r="D5" s="6">
        <v>2684971</v>
      </c>
      <c r="E5" s="6"/>
    </row>
    <row r="6" spans="2:5" x14ac:dyDescent="0.2">
      <c r="B6" s="4"/>
      <c r="C6" s="7" t="s">
        <v>3</v>
      </c>
      <c r="D6" s="6">
        <v>-1456085</v>
      </c>
      <c r="E6" s="6"/>
    </row>
    <row r="7" spans="2:5" x14ac:dyDescent="0.2">
      <c r="B7" s="4"/>
      <c r="C7" s="5"/>
      <c r="D7" s="6"/>
      <c r="E7" s="6"/>
    </row>
    <row r="9" spans="2:5" x14ac:dyDescent="0.2">
      <c r="B9" s="4">
        <v>2</v>
      </c>
      <c r="C9" s="5" t="s">
        <v>18</v>
      </c>
      <c r="D9" s="6">
        <v>2684971</v>
      </c>
      <c r="E9" s="6"/>
    </row>
    <row r="11" spans="2:5" x14ac:dyDescent="0.2">
      <c r="B11" s="4">
        <v>3</v>
      </c>
      <c r="C11" s="5" t="s">
        <v>17</v>
      </c>
      <c r="D11" s="6"/>
      <c r="E11" s="6">
        <f>SUM(D12:D24)</f>
        <v>88103273.599999994</v>
      </c>
    </row>
    <row r="12" spans="2:5" x14ac:dyDescent="0.2">
      <c r="B12" s="4"/>
      <c r="C12" s="8" t="s">
        <v>4</v>
      </c>
      <c r="D12" s="14">
        <v>114500</v>
      </c>
      <c r="E12" s="6"/>
    </row>
    <row r="13" spans="2:5" x14ac:dyDescent="0.2">
      <c r="B13" s="4"/>
      <c r="C13" s="8" t="s">
        <v>5</v>
      </c>
      <c r="D13" s="14">
        <v>1217902.17</v>
      </c>
      <c r="E13" s="6"/>
    </row>
    <row r="14" spans="2:5" x14ac:dyDescent="0.2">
      <c r="B14" s="4"/>
      <c r="C14" s="8" t="s">
        <v>6</v>
      </c>
      <c r="D14" s="14">
        <v>225505.87</v>
      </c>
      <c r="E14" s="6"/>
    </row>
    <row r="15" spans="2:5" x14ac:dyDescent="0.2">
      <c r="B15" s="4"/>
      <c r="C15" s="8" t="s">
        <v>7</v>
      </c>
      <c r="D15" s="14">
        <v>38216560.799999997</v>
      </c>
      <c r="E15" s="6"/>
    </row>
    <row r="16" spans="2:5" x14ac:dyDescent="0.2">
      <c r="B16" s="4"/>
      <c r="C16" s="8" t="s">
        <v>8</v>
      </c>
      <c r="D16" s="14">
        <v>271359</v>
      </c>
      <c r="E16" s="6"/>
    </row>
    <row r="17" spans="2:5" x14ac:dyDescent="0.2">
      <c r="B17" s="4"/>
      <c r="C17" s="8" t="s">
        <v>9</v>
      </c>
      <c r="D17" s="14">
        <v>35743064</v>
      </c>
      <c r="E17" s="6"/>
    </row>
    <row r="18" spans="2:5" x14ac:dyDescent="0.2">
      <c r="B18" s="4"/>
      <c r="C18" s="8" t="s">
        <v>10</v>
      </c>
      <c r="D18" s="14">
        <v>538320.6</v>
      </c>
      <c r="E18" s="6"/>
    </row>
    <row r="19" spans="2:5" x14ac:dyDescent="0.2">
      <c r="B19" s="4"/>
      <c r="C19" s="8" t="s">
        <v>11</v>
      </c>
      <c r="D19" s="14">
        <v>323650</v>
      </c>
      <c r="E19" s="6"/>
    </row>
    <row r="20" spans="2:5" x14ac:dyDescent="0.2">
      <c r="B20" s="4"/>
      <c r="C20" s="8" t="s">
        <v>12</v>
      </c>
      <c r="D20" s="14">
        <v>42465</v>
      </c>
      <c r="E20" s="6"/>
    </row>
    <row r="21" spans="2:5" x14ac:dyDescent="0.2">
      <c r="B21" s="4"/>
      <c r="C21" s="8" t="s">
        <v>13</v>
      </c>
      <c r="D21" s="14">
        <v>5292595.16</v>
      </c>
      <c r="E21" s="6"/>
    </row>
    <row r="22" spans="2:5" x14ac:dyDescent="0.2">
      <c r="B22" s="4"/>
      <c r="C22" s="8" t="s">
        <v>14</v>
      </c>
      <c r="D22" s="14">
        <v>4703000</v>
      </c>
      <c r="E22" s="6"/>
    </row>
    <row r="23" spans="2:5" x14ac:dyDescent="0.2">
      <c r="B23" s="4"/>
      <c r="C23" s="8" t="s">
        <v>15</v>
      </c>
      <c r="D23" s="14">
        <v>1404598</v>
      </c>
      <c r="E23" s="6"/>
    </row>
    <row r="24" spans="2:5" x14ac:dyDescent="0.2">
      <c r="B24" s="4"/>
      <c r="C24" s="8" t="s">
        <v>16</v>
      </c>
      <c r="D24" s="14">
        <v>9753</v>
      </c>
      <c r="E24" s="6"/>
    </row>
    <row r="25" spans="2:5" x14ac:dyDescent="0.2">
      <c r="B25" s="4"/>
      <c r="C25" s="5"/>
      <c r="D25" s="6"/>
      <c r="E25" s="6"/>
    </row>
    <row r="27" spans="2:5" x14ac:dyDescent="0.2">
      <c r="B27" s="4">
        <v>4</v>
      </c>
      <c r="C27" s="5" t="s">
        <v>21</v>
      </c>
      <c r="D27" s="5"/>
      <c r="E27" s="6">
        <f>SUM(D28:D32)</f>
        <v>183227816</v>
      </c>
    </row>
    <row r="28" spans="2:5" x14ac:dyDescent="0.2">
      <c r="B28" s="4"/>
      <c r="C28" s="7" t="s">
        <v>22</v>
      </c>
      <c r="D28" s="6">
        <v>158933167</v>
      </c>
      <c r="E28" s="6"/>
    </row>
    <row r="29" spans="2:5" x14ac:dyDescent="0.2">
      <c r="B29" s="4"/>
      <c r="C29" s="7" t="s">
        <v>23</v>
      </c>
      <c r="D29" s="6">
        <v>9847600</v>
      </c>
      <c r="E29" s="6"/>
    </row>
    <row r="30" spans="2:5" x14ac:dyDescent="0.2">
      <c r="B30" s="4"/>
      <c r="C30" s="7" t="s">
        <v>24</v>
      </c>
      <c r="D30" s="6">
        <v>12990953</v>
      </c>
      <c r="E30" s="6"/>
    </row>
    <row r="31" spans="2:5" x14ac:dyDescent="0.2">
      <c r="B31" s="4"/>
      <c r="C31" s="7" t="s">
        <v>25</v>
      </c>
      <c r="D31" s="6">
        <v>1878789</v>
      </c>
      <c r="E31" s="6"/>
    </row>
    <row r="32" spans="2:5" x14ac:dyDescent="0.2">
      <c r="B32" s="4"/>
      <c r="C32" s="7" t="s">
        <v>26</v>
      </c>
      <c r="D32" s="6">
        <v>-422693</v>
      </c>
      <c r="E32" s="6"/>
    </row>
    <row r="33" spans="2:7" x14ac:dyDescent="0.2">
      <c r="B33" s="4"/>
      <c r="C33" s="5"/>
      <c r="D33" s="6"/>
      <c r="E33" s="6"/>
    </row>
    <row r="35" spans="2:7" x14ac:dyDescent="0.2">
      <c r="B35" s="4"/>
      <c r="C35" s="5" t="s">
        <v>27</v>
      </c>
      <c r="D35" s="19" t="s">
        <v>28</v>
      </c>
      <c r="E35" s="19" t="s">
        <v>29</v>
      </c>
      <c r="F35" s="19" t="s">
        <v>30</v>
      </c>
      <c r="G35" s="20" t="s">
        <v>31</v>
      </c>
    </row>
    <row r="36" spans="2:7" x14ac:dyDescent="0.2">
      <c r="B36" s="4">
        <v>5</v>
      </c>
      <c r="C36" s="11">
        <f>SUM(D36:G36)</f>
        <v>179229073.59999999</v>
      </c>
      <c r="D36" s="14">
        <v>174012488.09999999</v>
      </c>
      <c r="E36" s="14">
        <v>1455722.5</v>
      </c>
      <c r="F36" s="14">
        <v>1071143</v>
      </c>
      <c r="G36" s="14">
        <v>2689720</v>
      </c>
    </row>
    <row r="37" spans="2:7" x14ac:dyDescent="0.2">
      <c r="B37" s="4"/>
      <c r="C37" s="12"/>
      <c r="D37" s="6"/>
      <c r="E37" s="6"/>
      <c r="F37" s="5"/>
      <c r="G37" s="5"/>
    </row>
    <row r="38" spans="2:7" x14ac:dyDescent="0.2">
      <c r="G38" s="13"/>
    </row>
    <row r="39" spans="2:7" x14ac:dyDescent="0.2">
      <c r="B39" s="4">
        <v>6</v>
      </c>
      <c r="C39" s="5" t="s">
        <v>32</v>
      </c>
      <c r="D39" s="6">
        <v>2557742</v>
      </c>
    </row>
    <row r="40" spans="2:7" x14ac:dyDescent="0.2">
      <c r="B40" s="4"/>
      <c r="C40" s="5" t="s">
        <v>33</v>
      </c>
      <c r="D40" s="6"/>
    </row>
    <row r="41" spans="2:7" x14ac:dyDescent="0.2">
      <c r="B41" s="4"/>
      <c r="C41" s="5" t="s">
        <v>34</v>
      </c>
      <c r="D41" s="6"/>
    </row>
    <row r="42" spans="2:7" x14ac:dyDescent="0.2">
      <c r="B42" s="4"/>
      <c r="C42" s="5"/>
      <c r="D42" s="6"/>
    </row>
    <row r="44" spans="2:7" x14ac:dyDescent="0.2">
      <c r="B44" s="4">
        <v>12</v>
      </c>
      <c r="C44" s="5" t="s">
        <v>35</v>
      </c>
      <c r="D44" s="6"/>
    </row>
    <row r="47" spans="2:7" x14ac:dyDescent="0.2">
      <c r="B47" s="21">
        <v>15</v>
      </c>
      <c r="C47" s="23" t="s">
        <v>46</v>
      </c>
      <c r="D47" s="24"/>
    </row>
    <row r="48" spans="2:7" x14ac:dyDescent="0.2">
      <c r="B48" s="15" t="s">
        <v>36</v>
      </c>
      <c r="C48" s="15" t="s">
        <v>37</v>
      </c>
      <c r="D48" s="15" t="s">
        <v>19</v>
      </c>
    </row>
    <row r="49" spans="2:4" x14ac:dyDescent="0.2">
      <c r="B49" s="16">
        <v>1</v>
      </c>
      <c r="C49" s="16" t="s">
        <v>38</v>
      </c>
      <c r="D49" s="17">
        <v>38100442.75</v>
      </c>
    </row>
    <row r="50" spans="2:4" x14ac:dyDescent="0.2">
      <c r="B50" s="16">
        <f>+B49+1</f>
        <v>2</v>
      </c>
      <c r="C50" s="16" t="s">
        <v>39</v>
      </c>
      <c r="D50" s="17">
        <v>52296548.359999999</v>
      </c>
    </row>
    <row r="51" spans="2:4" x14ac:dyDescent="0.2">
      <c r="B51" s="16">
        <f t="shared" ref="B51:B60" si="0">+B50+1</f>
        <v>3</v>
      </c>
      <c r="C51" s="16" t="s">
        <v>40</v>
      </c>
      <c r="D51" s="17">
        <v>47909573.240000002</v>
      </c>
    </row>
    <row r="52" spans="2:4" x14ac:dyDescent="0.2">
      <c r="B52" s="16">
        <f t="shared" si="0"/>
        <v>4</v>
      </c>
      <c r="C52" s="16" t="s">
        <v>41</v>
      </c>
      <c r="D52" s="17">
        <v>49043683.329999998</v>
      </c>
    </row>
    <row r="53" spans="2:4" x14ac:dyDescent="0.2">
      <c r="B53" s="16">
        <f t="shared" si="0"/>
        <v>5</v>
      </c>
      <c r="C53" s="16" t="s">
        <v>42</v>
      </c>
      <c r="D53" s="17">
        <v>61314408.5</v>
      </c>
    </row>
    <row r="54" spans="2:4" x14ac:dyDescent="0.2">
      <c r="B54" s="16">
        <f t="shared" si="0"/>
        <v>6</v>
      </c>
      <c r="C54" s="16" t="s">
        <v>43</v>
      </c>
      <c r="D54" s="17">
        <v>59798250.75</v>
      </c>
    </row>
    <row r="55" spans="2:4" x14ac:dyDescent="0.2">
      <c r="B55" s="16">
        <f t="shared" si="0"/>
        <v>7</v>
      </c>
      <c r="C55" s="16" t="s">
        <v>44</v>
      </c>
      <c r="D55" s="17">
        <v>68303931.319999993</v>
      </c>
    </row>
    <row r="56" spans="2:4" x14ac:dyDescent="0.2">
      <c r="B56" s="16">
        <f t="shared" si="0"/>
        <v>8</v>
      </c>
      <c r="C56" s="4" t="s">
        <v>45</v>
      </c>
      <c r="D56" s="17">
        <v>66089779.939999998</v>
      </c>
    </row>
    <row r="57" spans="2:4" x14ac:dyDescent="0.2">
      <c r="B57" s="16">
        <f t="shared" si="0"/>
        <v>9</v>
      </c>
      <c r="C57" s="4" t="s">
        <v>50</v>
      </c>
      <c r="D57" s="10">
        <v>95884010</v>
      </c>
    </row>
    <row r="58" spans="2:4" x14ac:dyDescent="0.2">
      <c r="B58" s="16">
        <f t="shared" si="0"/>
        <v>10</v>
      </c>
      <c r="C58" s="4" t="s">
        <v>51</v>
      </c>
      <c r="D58" s="10">
        <v>67952086</v>
      </c>
    </row>
    <row r="59" spans="2:4" x14ac:dyDescent="0.2">
      <c r="B59" s="16">
        <f t="shared" si="0"/>
        <v>11</v>
      </c>
      <c r="C59" s="4" t="s">
        <v>52</v>
      </c>
      <c r="D59" s="10">
        <v>72960469</v>
      </c>
    </row>
    <row r="60" spans="2:4" x14ac:dyDescent="0.2">
      <c r="B60" s="16">
        <f t="shared" si="0"/>
        <v>12</v>
      </c>
      <c r="C60" s="4" t="s">
        <v>53</v>
      </c>
      <c r="D60" s="10">
        <v>96139276</v>
      </c>
    </row>
    <row r="61" spans="2:4" x14ac:dyDescent="0.2">
      <c r="B61" s="4"/>
      <c r="C61" s="5"/>
      <c r="D61" s="10">
        <f>SUM(D49:D60)</f>
        <v>775792459.19000006</v>
      </c>
    </row>
    <row r="63" spans="2:4" x14ac:dyDescent="0.2">
      <c r="B63" s="22" t="s">
        <v>54</v>
      </c>
      <c r="C63" s="22"/>
      <c r="D63" s="22"/>
    </row>
    <row r="64" spans="2:4" x14ac:dyDescent="0.2">
      <c r="B64" s="15" t="s">
        <v>36</v>
      </c>
      <c r="C64" s="15" t="s">
        <v>37</v>
      </c>
      <c r="D64" s="15" t="s">
        <v>19</v>
      </c>
    </row>
    <row r="65" spans="2:4" x14ac:dyDescent="0.2">
      <c r="B65" s="16">
        <v>1</v>
      </c>
      <c r="C65" s="16" t="s">
        <v>47</v>
      </c>
      <c r="D65" s="17">
        <v>68104512</v>
      </c>
    </row>
    <row r="66" spans="2:4" x14ac:dyDescent="0.2">
      <c r="B66" s="16">
        <f>+B65+1</f>
        <v>2</v>
      </c>
      <c r="C66" s="16" t="s">
        <v>48</v>
      </c>
      <c r="D66" s="17">
        <v>81664580</v>
      </c>
    </row>
    <row r="67" spans="2:4" x14ac:dyDescent="0.2">
      <c r="B67" s="16">
        <f t="shared" ref="B67:B68" si="1">+B66+1</f>
        <v>3</v>
      </c>
      <c r="C67" s="16" t="s">
        <v>49</v>
      </c>
      <c r="D67" s="17">
        <v>80738542</v>
      </c>
    </row>
    <row r="68" spans="2:4" x14ac:dyDescent="0.2">
      <c r="B68" s="16">
        <f t="shared" si="1"/>
        <v>4</v>
      </c>
      <c r="C68" s="4" t="s">
        <v>55</v>
      </c>
      <c r="D68" s="10">
        <v>83619515</v>
      </c>
    </row>
    <row r="69" spans="2:4" x14ac:dyDescent="0.2">
      <c r="B69" s="4"/>
      <c r="C69" s="5"/>
      <c r="D69" s="18">
        <f>SUM(D65:D68)</f>
        <v>314127149</v>
      </c>
    </row>
  </sheetData>
  <mergeCells count="2">
    <mergeCell ref="B63:D63"/>
    <mergeCell ref="C47:D47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2025-08-14T06:04:11Z</dcterms:modified>
</cp:coreProperties>
</file>