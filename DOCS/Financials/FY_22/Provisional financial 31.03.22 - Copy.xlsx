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6855" activeTab="4"/>
  </bookViews>
  <sheets>
    <sheet name="P&amp;L" sheetId="2" r:id="rId1"/>
    <sheet name="B&amp;S" sheetId="3" r:id="rId2"/>
    <sheet name="Notes" sheetId="4" r:id="rId3"/>
    <sheet name="FA" sheetId="5" r:id="rId4"/>
    <sheet name="Sheet1" sheetId="6" r:id="rId5"/>
  </sheets>
  <calcPr calcId="152511"/>
</workbook>
</file>

<file path=xl/calcChain.xml><?xml version="1.0" encoding="utf-8"?>
<calcChain xmlns="http://schemas.openxmlformats.org/spreadsheetml/2006/main">
  <c r="C227" i="4" l="1"/>
  <c r="C65" i="4"/>
  <c r="C131" i="4"/>
  <c r="C125" i="4"/>
  <c r="C127" i="4"/>
  <c r="C119" i="4"/>
  <c r="C100" i="4"/>
  <c r="C57" i="4"/>
  <c r="C71" i="4"/>
  <c r="C218" i="4"/>
  <c r="C220" i="4"/>
  <c r="C219" i="4"/>
  <c r="C230" i="4"/>
  <c r="C223" i="4"/>
  <c r="C214" i="4"/>
  <c r="C233" i="4" s="1"/>
  <c r="C221" i="4"/>
  <c r="C205" i="4"/>
  <c r="C185" i="4"/>
  <c r="C161" i="4" l="1"/>
  <c r="C159" i="4"/>
  <c r="C162" i="4"/>
  <c r="C157" i="4"/>
  <c r="C158" i="4"/>
  <c r="C38" i="4" l="1"/>
  <c r="J17" i="5"/>
  <c r="J14" i="5"/>
  <c r="J13" i="5"/>
  <c r="J12" i="5"/>
  <c r="J11" i="5"/>
  <c r="J10" i="5"/>
  <c r="J9" i="5"/>
  <c r="J8" i="5"/>
  <c r="J7" i="5"/>
  <c r="I15" i="5"/>
  <c r="K15" i="5" s="1"/>
  <c r="F15" i="5"/>
  <c r="C136" i="4"/>
  <c r="C79" i="4" l="1"/>
  <c r="C23" i="4" l="1"/>
  <c r="E12" i="3"/>
  <c r="C9" i="4"/>
  <c r="E18" i="2" l="1"/>
  <c r="F17" i="5"/>
  <c r="F16" i="5"/>
  <c r="F14" i="5"/>
  <c r="F13" i="5"/>
  <c r="F12" i="5"/>
  <c r="F11" i="5"/>
  <c r="F10" i="5"/>
  <c r="F9" i="5"/>
  <c r="F8" i="5"/>
  <c r="F7" i="5"/>
  <c r="C93" i="4"/>
  <c r="C92" i="4"/>
  <c r="C91" i="4"/>
  <c r="K7" i="5" l="1"/>
  <c r="K11" i="5"/>
  <c r="K12" i="5"/>
  <c r="K17" i="5"/>
  <c r="C59" i="4"/>
  <c r="E19" i="3" s="1"/>
  <c r="I17" i="5"/>
  <c r="I16" i="5"/>
  <c r="K16" i="5" s="1"/>
  <c r="I14" i="5"/>
  <c r="K14" i="5" s="1"/>
  <c r="I13" i="5"/>
  <c r="K13" i="5" s="1"/>
  <c r="I12" i="5"/>
  <c r="I11" i="5"/>
  <c r="I10" i="5"/>
  <c r="K10" i="5" s="1"/>
  <c r="I9" i="5"/>
  <c r="K9" i="5" s="1"/>
  <c r="I8" i="5"/>
  <c r="K8" i="5" s="1"/>
  <c r="I7" i="5"/>
  <c r="J18" i="5"/>
  <c r="H18" i="5"/>
  <c r="E17" i="2" s="1"/>
  <c r="G18" i="5"/>
  <c r="F18" i="5"/>
  <c r="E18" i="5"/>
  <c r="D18" i="5"/>
  <c r="C113" i="4"/>
  <c r="E34" i="3" s="1"/>
  <c r="C95" i="4"/>
  <c r="C52" i="4"/>
  <c r="E18" i="3" s="1"/>
  <c r="E15" i="3"/>
  <c r="C178" i="4"/>
  <c r="C173" i="4"/>
  <c r="E32" i="3" l="1"/>
  <c r="I18" i="5"/>
  <c r="K18" i="5"/>
  <c r="E27" i="3" s="1"/>
  <c r="E35" i="3"/>
  <c r="E20" i="3"/>
  <c r="C180" i="4"/>
  <c r="E14" i="2" s="1"/>
  <c r="C207" i="4"/>
  <c r="E16" i="2" s="1"/>
  <c r="C190" i="4"/>
  <c r="E15" i="2" s="1"/>
  <c r="C152" i="4"/>
  <c r="E9" i="2" s="1"/>
  <c r="C144" i="4"/>
  <c r="E8" i="2" s="1"/>
  <c r="C102" i="4"/>
  <c r="E33" i="3" s="1"/>
  <c r="C45" i="4"/>
  <c r="E29" i="3" s="1"/>
  <c r="C11" i="4"/>
  <c r="E10" i="3" s="1"/>
  <c r="C6" i="4"/>
  <c r="E10" i="2" l="1"/>
  <c r="C164" i="4"/>
  <c r="E13" i="2" l="1"/>
  <c r="E19" i="2" s="1"/>
  <c r="E21" i="2" s="1"/>
  <c r="E37" i="3"/>
  <c r="E23" i="2" l="1"/>
  <c r="E25" i="2" l="1"/>
  <c r="C17" i="4" s="1"/>
  <c r="C19" i="4" s="1"/>
  <c r="E11" i="3" s="1"/>
  <c r="C84" i="4"/>
  <c r="C86" i="4" s="1"/>
  <c r="E21" i="3" l="1"/>
  <c r="E23" i="3" s="1"/>
</calcChain>
</file>

<file path=xl/sharedStrings.xml><?xml version="1.0" encoding="utf-8"?>
<sst xmlns="http://schemas.openxmlformats.org/spreadsheetml/2006/main" count="285" uniqueCount="208">
  <si>
    <t>Total</t>
  </si>
  <si>
    <t>Amount</t>
  </si>
  <si>
    <t>Dynamic Air Engineering India Pvt Ltd</t>
  </si>
  <si>
    <t>No 4, Boopathy Nagar, Industrial Estate</t>
  </si>
  <si>
    <t>Particulars</t>
  </si>
  <si>
    <t>Note No.</t>
  </si>
  <si>
    <t>Revenue from operations</t>
  </si>
  <si>
    <t>Other Income</t>
  </si>
  <si>
    <t>Total Revenue (I + II)</t>
  </si>
  <si>
    <t>Expenses</t>
  </si>
  <si>
    <t>I.</t>
  </si>
  <si>
    <t>II.</t>
  </si>
  <si>
    <t>III.</t>
  </si>
  <si>
    <t>IV.</t>
  </si>
  <si>
    <t>Purchases and Direct Costs</t>
  </si>
  <si>
    <t>Change in Inventories</t>
  </si>
  <si>
    <t>Employee Benefit Expenses</t>
  </si>
  <si>
    <t>Finance Costs</t>
  </si>
  <si>
    <t xml:space="preserve">Depreciation </t>
  </si>
  <si>
    <t>Other Expenses</t>
  </si>
  <si>
    <t>V.</t>
  </si>
  <si>
    <t xml:space="preserve">Total Expenses </t>
  </si>
  <si>
    <t>Profit Before Tax (III - IV)</t>
  </si>
  <si>
    <t>Equity And Liabilities</t>
  </si>
  <si>
    <t>Shareholders' Fund</t>
  </si>
  <si>
    <t>a) Share Capital</t>
  </si>
  <si>
    <t>b) Reserves &amp; Surplus</t>
  </si>
  <si>
    <t>Non- Current Liabilities</t>
  </si>
  <si>
    <t>Current Liabilities</t>
  </si>
  <si>
    <t xml:space="preserve"> a) Long term borrowings</t>
  </si>
  <si>
    <t xml:space="preserve"> a) Short term borrowings</t>
  </si>
  <si>
    <t xml:space="preserve"> b) Trade payables</t>
  </si>
  <si>
    <t>c) Other current liabilities</t>
  </si>
  <si>
    <t>d) Short term provisions</t>
  </si>
  <si>
    <t>Assets</t>
  </si>
  <si>
    <t>Non Current Assets</t>
  </si>
  <si>
    <t>a) Fixed Assets</t>
  </si>
  <si>
    <t>i) Tangible assets</t>
  </si>
  <si>
    <t>b) Deferred tax assets / (liabilities)</t>
  </si>
  <si>
    <t>Current Assets</t>
  </si>
  <si>
    <t>a) Inventories</t>
  </si>
  <si>
    <t>b) Trade receivables</t>
  </si>
  <si>
    <t>c) Cash &amp; cash equivalents</t>
  </si>
  <si>
    <t>d) Short term loans &amp; advances</t>
  </si>
  <si>
    <t>Note:1 Share Capital</t>
  </si>
  <si>
    <t>Authorised</t>
  </si>
  <si>
    <t xml:space="preserve">65,00,000 Equity Shares of Rs 10 each </t>
  </si>
  <si>
    <t>Issued, Subscribed &amp; Paid up</t>
  </si>
  <si>
    <t>Note:2 Reserves &amp; Surplus</t>
  </si>
  <si>
    <t>Opening balance</t>
  </si>
  <si>
    <t>(+) Net Profit/ (Net Loss) for the period</t>
  </si>
  <si>
    <t>Note:3 Long Term Borrowings</t>
  </si>
  <si>
    <t>Secured Loans</t>
  </si>
  <si>
    <t>Note: 5 Short Term Borrowings</t>
  </si>
  <si>
    <t>Indian Bank - CC Account</t>
  </si>
  <si>
    <t>Note: 6 Trade Payables</t>
  </si>
  <si>
    <t>Trade Payables</t>
  </si>
  <si>
    <t>Note: 7 Other Current Liabilities</t>
  </si>
  <si>
    <t>Outstanding Expenses</t>
  </si>
  <si>
    <t>Salary &amp; Wages payable</t>
  </si>
  <si>
    <t>Other Expenses Payable</t>
  </si>
  <si>
    <t>Statutory Dues</t>
  </si>
  <si>
    <t>TDS payable</t>
  </si>
  <si>
    <t>GST payable</t>
  </si>
  <si>
    <t>ESI &amp; PF payable</t>
  </si>
  <si>
    <t>Related party transactions</t>
  </si>
  <si>
    <t>Note: 8 Short term provisions</t>
  </si>
  <si>
    <t>Provision for taxation</t>
  </si>
  <si>
    <t>Note: 9 Inventories</t>
  </si>
  <si>
    <t>Closing stock of raw materials</t>
  </si>
  <si>
    <t>Closing stock of work in progress</t>
  </si>
  <si>
    <t>Closing stock of finished goods</t>
  </si>
  <si>
    <t>Note: 10 Trade Receivables</t>
  </si>
  <si>
    <t>Note: 11 Cash &amp; Cash Equivalents</t>
  </si>
  <si>
    <t>Balance with banks</t>
  </si>
  <si>
    <t>Indian overseas bank</t>
  </si>
  <si>
    <t>Indian bank</t>
  </si>
  <si>
    <t>Cash on hand</t>
  </si>
  <si>
    <t>Note: 12 Short term loans and advances</t>
  </si>
  <si>
    <t>Deposits</t>
  </si>
  <si>
    <t>Deposits - Telephone and Electricity</t>
  </si>
  <si>
    <t>Other Advances</t>
  </si>
  <si>
    <t>Note: 13 Revenue from operations</t>
  </si>
  <si>
    <t>Sales</t>
  </si>
  <si>
    <t>Note: 14 Other Income</t>
  </si>
  <si>
    <t>Note: 15 Cost of materials consumed</t>
  </si>
  <si>
    <t>Purchases &amp; Direct Expenses</t>
  </si>
  <si>
    <t>Carriage Inwards</t>
  </si>
  <si>
    <t>Rent - Factory</t>
  </si>
  <si>
    <t>Electricity &amp; power</t>
  </si>
  <si>
    <t>Wages &amp; other expenses</t>
  </si>
  <si>
    <t xml:space="preserve">Note: 16 Changes in Inventories </t>
  </si>
  <si>
    <t>Raw Materials</t>
  </si>
  <si>
    <t>Work In Process</t>
  </si>
  <si>
    <t>Finished goods</t>
  </si>
  <si>
    <t>Opeing stock :</t>
  </si>
  <si>
    <t xml:space="preserve">Note: 17 Employee Benefit Expense </t>
  </si>
  <si>
    <t>Salaries and incentives</t>
  </si>
  <si>
    <t>Staff Welfare</t>
  </si>
  <si>
    <t>Director Remuneration</t>
  </si>
  <si>
    <t>Contribution to PF  &amp; ESI</t>
  </si>
  <si>
    <t xml:space="preserve">Note: 18 Finance Cost </t>
  </si>
  <si>
    <t xml:space="preserve">Note: 19 Other Expense </t>
  </si>
  <si>
    <t>Printing &amp; Stationery</t>
  </si>
  <si>
    <t>Communication Expenses</t>
  </si>
  <si>
    <t>Insurance</t>
  </si>
  <si>
    <t>Repairs &amp; maintenance expenses</t>
  </si>
  <si>
    <t>Professional charges</t>
  </si>
  <si>
    <t>Rates &amp; taxes</t>
  </si>
  <si>
    <t>Bank Charges</t>
  </si>
  <si>
    <t>Interest on FD</t>
  </si>
  <si>
    <t>Other direct expenses</t>
  </si>
  <si>
    <t>Closing stock :</t>
  </si>
  <si>
    <t>Vehicle Expenses</t>
  </si>
  <si>
    <t>Carriage Outward</t>
  </si>
  <si>
    <t>Office Expenses</t>
  </si>
  <si>
    <t>Other sundry expenses</t>
  </si>
  <si>
    <t>VI.</t>
  </si>
  <si>
    <t>Current tax</t>
  </si>
  <si>
    <t>VII.</t>
  </si>
  <si>
    <t>Profit/(Loss) for the period (V - VI)</t>
  </si>
  <si>
    <t>TDS Receivable</t>
  </si>
  <si>
    <t xml:space="preserve">Trade receivables </t>
  </si>
  <si>
    <t>Fixed Assets</t>
  </si>
  <si>
    <t>Additions</t>
  </si>
  <si>
    <t>Gross Block</t>
  </si>
  <si>
    <t>Accumulated Depreciation</t>
  </si>
  <si>
    <t>Net Block</t>
  </si>
  <si>
    <t>Tangible Assets</t>
  </si>
  <si>
    <t>Land</t>
  </si>
  <si>
    <t>Factory Building</t>
  </si>
  <si>
    <t>Comptuers</t>
  </si>
  <si>
    <t>Air Conditioners</t>
  </si>
  <si>
    <t>Plant &amp; Machineries</t>
  </si>
  <si>
    <t>Invertor</t>
  </si>
  <si>
    <t>Telephone Instruments</t>
  </si>
  <si>
    <t>Vehicles</t>
  </si>
  <si>
    <t>Furiniture &amp; Fixtures</t>
  </si>
  <si>
    <t>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</si>
  <si>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</si>
  <si>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</si>
  <si>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</si>
  <si>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</si>
  <si>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</si>
  <si>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</si>
  <si>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</si>
  <si>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</si>
  <si>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</si>
  <si>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</si>
  <si>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Note : 20 Non Current Assets - Fixed Assets</t>
  </si>
  <si>
    <t>Note: 4 Deferred Tax (Liability) / Asset</t>
  </si>
  <si>
    <t>Keelkattalai, Chennai - 600 117</t>
  </si>
  <si>
    <t>Contract / Security Expenses</t>
  </si>
  <si>
    <t>ICF Security Deposit</t>
  </si>
  <si>
    <t>Salary Advance</t>
  </si>
  <si>
    <t>For Dynamic Air Engineering India Pvt Ltd</t>
  </si>
  <si>
    <t>Managing Director</t>
  </si>
  <si>
    <t xml:space="preserve">28,50,000 Equity Shares of Rs 10 each </t>
  </si>
  <si>
    <t xml:space="preserve">Share Premium </t>
  </si>
  <si>
    <t>c) Share Premium</t>
  </si>
  <si>
    <t>Commission &amp; Brokerage</t>
  </si>
  <si>
    <t>Advance Tax</t>
  </si>
  <si>
    <t>Interest receivable from IB</t>
  </si>
  <si>
    <t xml:space="preserve">Packing &amp; Freight </t>
  </si>
  <si>
    <t>Interest paid - TL -I</t>
  </si>
  <si>
    <t>Interest paid - TL -II</t>
  </si>
  <si>
    <t>Interest paid - GECL -I</t>
  </si>
  <si>
    <t>Interest paid - GECL -II</t>
  </si>
  <si>
    <t>Interest paid - OCC</t>
  </si>
  <si>
    <t>Interest paid - NSIC</t>
  </si>
  <si>
    <t>Interest paid - HDFC</t>
  </si>
  <si>
    <t>Interest paid - Deutsche</t>
  </si>
  <si>
    <t>Interest paid - Kotak (vehicle loan)</t>
  </si>
  <si>
    <t>Travelling &amp; Conveyance Expenses</t>
  </si>
  <si>
    <t>Generator Expenses</t>
  </si>
  <si>
    <t>Crane Hire Expenses</t>
  </si>
  <si>
    <t>Annual Maintenance Expenses</t>
  </si>
  <si>
    <t>Interest on delayed payment of Taxes</t>
  </si>
  <si>
    <t>Cetification Expenses</t>
  </si>
  <si>
    <t>Indian Bank TL - I</t>
  </si>
  <si>
    <t>Indian Bank TL - II</t>
  </si>
  <si>
    <t>Indian Bank TL GECL - I</t>
  </si>
  <si>
    <t>Indian Bank TL GECL - II</t>
  </si>
  <si>
    <t>Indian Bank Vehicle Loan</t>
  </si>
  <si>
    <t>Kotak Bank Vehicle Loan</t>
  </si>
  <si>
    <t>Mr Karthikeyan</t>
  </si>
  <si>
    <t>Mrs Girija Karthikeyan</t>
  </si>
  <si>
    <t xml:space="preserve">Deferred Tax </t>
  </si>
  <si>
    <t>Provision for Gratuity</t>
  </si>
  <si>
    <t xml:space="preserve">FD -  Indian Bank BG Margin </t>
  </si>
  <si>
    <t xml:space="preserve">Praxair Deposit </t>
  </si>
  <si>
    <t>Rent Deposit</t>
  </si>
  <si>
    <t>GST Credit balance</t>
  </si>
  <si>
    <t>GST Cash balance</t>
  </si>
  <si>
    <t>TCS Receivable</t>
  </si>
  <si>
    <t>Balance as at 31'March 2021</t>
  </si>
  <si>
    <t>k</t>
  </si>
  <si>
    <t>Electrical Installations</t>
  </si>
  <si>
    <t>Office Equipments</t>
  </si>
  <si>
    <t>Depreciation for the year</t>
  </si>
  <si>
    <t>Other Advance</t>
  </si>
  <si>
    <t>Provisional Statement of Profit and Loss for the period ended 31st March 2022</t>
  </si>
  <si>
    <t>Provisional Balance Sheet for the period ended 31st March 2022</t>
  </si>
  <si>
    <t>As at 31.03.22</t>
  </si>
  <si>
    <t>Interest paid - Others</t>
  </si>
  <si>
    <t>Interest paid - Bajaj Capital</t>
  </si>
  <si>
    <t>Audit Fee</t>
  </si>
  <si>
    <t>Balance as at 31'March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</si>
</sst>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9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left" vertical="center" indent="1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39" fontId="2" fillId="0" borderId="0" xfId="0" applyNumberFormat="1" applyFont="1" applyAlignment="1">
      <alignment vertical="center"/>
    </xf>
    <xf numFmtId="39" fontId="2" fillId="0" borderId="8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39" fontId="2" fillId="0" borderId="3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39" fontId="1" fillId="0" borderId="13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9" fontId="2" fillId="0" borderId="2" xfId="0" applyNumberFormat="1" applyFont="1" applyBorder="1" applyAlignment="1">
      <alignment vertical="center"/>
    </xf>
    <xf numFmtId="39" fontId="2" fillId="0" borderId="0" xfId="0" applyNumberFormat="1" applyFont="1"/>
    <xf numFmtId="39" fontId="2" fillId="0" borderId="3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9" fontId="2" fillId="0" borderId="8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9" fontId="2" fillId="0" borderId="0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0" xfId="1" applyFont="1" applyFill="1" applyBorder="1" applyAlignment="1">
      <alignment vertical="center"/>
    </xf>
    <xf numFmtId="39" fontId="1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3" fontId="2" fillId="0" borderId="3" xfId="0" applyNumberFormat="1" applyFont="1" applyFill="1" applyBorder="1" applyAlignment="1">
      <alignment vertical="center"/>
    </xf>
    <xf numFmtId="39" fontId="2" fillId="0" borderId="11" xfId="0" applyNumberFormat="1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39" fontId="1" fillId="0" borderId="12" xfId="0" applyNumberFormat="1" applyFont="1" applyFill="1" applyBorder="1" applyAlignment="1">
      <alignment vertical="center"/>
    </xf>
    <xf numFmtId="39" fontId="2" fillId="0" borderId="0" xfId="0" applyNumberFormat="1" applyFont="1" applyFill="1" applyAlignment="1">
      <alignment vertical="center"/>
    </xf>
    <xf numFmtId="0" fontId="1" fillId="0" borderId="3" xfId="0" applyFont="1" applyFill="1" applyBorder="1" applyAlignment="1">
      <alignment vertical="center"/>
    </xf>
    <xf numFmtId="3" fontId="2" fillId="0" borderId="7" xfId="0" applyNumberFormat="1" applyFont="1" applyFill="1" applyBorder="1" applyAlignment="1">
      <alignment vertical="center"/>
    </xf>
    <xf numFmtId="39" fontId="1" fillId="0" borderId="6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39" fontId="1" fillId="0" borderId="8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3" fontId="2" fillId="0" borderId="7" xfId="0" applyNumberFormat="1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4" fontId="2" fillId="0" borderId="8" xfId="0" applyNumberFormat="1" applyFont="1" applyFill="1" applyBorder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39" fontId="1" fillId="0" borderId="0" xfId="0" applyNumberFormat="1" applyFont="1" applyFill="1" applyAlignment="1">
      <alignment vertical="center"/>
    </xf>
    <xf numFmtId="0" fontId="2" fillId="0" borderId="3" xfId="0" applyFont="1" applyFill="1" applyBorder="1" applyAlignment="1">
      <alignment horizontal="left" vertical="center" indent="1"/>
    </xf>
    <xf numFmtId="39" fontId="1" fillId="0" borderId="0" xfId="0" applyNumberFormat="1" applyFont="1" applyFill="1" applyBorder="1" applyAlignment="1">
      <alignment horizontal="center" vertical="center"/>
    </xf>
    <xf numFmtId="39" fontId="2" fillId="0" borderId="6" xfId="0" applyNumberFormat="1" applyFont="1" applyFill="1" applyBorder="1" applyAlignment="1">
      <alignment vertical="center"/>
    </xf>
    <xf numFmtId="164" fontId="2" fillId="0" borderId="3" xfId="1" applyFont="1" applyFill="1" applyBorder="1" applyAlignment="1">
      <alignment vertical="center"/>
    </xf>
    <xf numFmtId="164" fontId="2" fillId="0" borderId="8" xfId="1" applyFont="1" applyFill="1" applyBorder="1" applyAlignment="1">
      <alignment vertical="center"/>
    </xf>
    <xf numFmtId="164" fontId="2" fillId="0" borderId="0" xfId="1" applyFont="1" applyFill="1" applyAlignment="1">
      <alignment vertical="center"/>
    </xf>
    <xf numFmtId="39" fontId="1" fillId="0" borderId="13" xfId="0" applyNumberFormat="1" applyFont="1" applyFill="1" applyBorder="1" applyAlignment="1">
      <alignment vertical="center"/>
    </xf>
    <xf numFmtId="39" fontId="1" fillId="0" borderId="1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3"/>
  <sheetViews>
    <sheetView zoomScale="90" zoomScaleNormal="90" workbookViewId="0">
      <selection activeCell="F9" sqref="F9:I33"/>
    </sheetView>
  </sheetViews>
  <sheetFormatPr defaultRowHeight="18" customHeight="1" x14ac:dyDescent="0.25"/>
  <cols>
    <col min="1" max="2" width="9.140625" style="3"/>
    <col min="3" max="3" width="41.85546875" style="3" customWidth="1"/>
    <col min="4" max="4" width="10.85546875" style="3" customWidth="1"/>
    <col min="5" max="5" width="24.140625" style="3" customWidth="1"/>
    <col min="6" max="7" width="9.140625" style="3"/>
    <col min="8" max="8" width="14.7109375" style="3" bestFit="1" customWidth="1"/>
    <col min="9" max="9" width="16.28515625" style="3" bestFit="1" customWidth="1"/>
    <col min="10" max="16384" width="9.140625" style="3"/>
  </cols>
  <sheetData>
    <row r="2" spans="2:9" ht="18" customHeight="1" x14ac:dyDescent="0.25">
      <c r="B2" s="50" t="s">
        <v>2</v>
      </c>
      <c r="C2" s="50"/>
      <c r="D2" s="50"/>
      <c r="E2" s="50"/>
    </row>
    <row r="3" spans="2:9" ht="18" customHeight="1" x14ac:dyDescent="0.25">
      <c r="B3" s="50" t="s">
        <v>3</v>
      </c>
      <c r="C3" s="50"/>
      <c r="D3" s="50"/>
      <c r="E3" s="50"/>
    </row>
    <row r="4" spans="2:9" ht="18" customHeight="1" x14ac:dyDescent="0.25">
      <c r="B4" s="50" t="s">
        <v>151</v>
      </c>
      <c r="C4" s="50"/>
      <c r="D4" s="50"/>
      <c r="E4" s="50"/>
    </row>
    <row r="5" spans="2:9" ht="18" customHeight="1" x14ac:dyDescent="0.25">
      <c r="B5" s="51" t="s">
        <v>201</v>
      </c>
      <c r="C5" s="51"/>
      <c r="D5" s="51"/>
      <c r="E5" s="51"/>
    </row>
    <row r="6" spans="2:9" s="2" customFormat="1" ht="18" customHeight="1" x14ac:dyDescent="0.25">
      <c r="B6" s="1"/>
      <c r="C6" s="1" t="s">
        <v>4</v>
      </c>
      <c r="D6" s="1" t="s">
        <v>5</v>
      </c>
      <c r="E6" s="1" t="s">
        <v>1</v>
      </c>
    </row>
    <row r="7" spans="2:9" ht="18" customHeight="1" x14ac:dyDescent="0.25">
      <c r="B7" s="6"/>
      <c r="C7" s="9"/>
      <c r="D7" s="17"/>
      <c r="E7" s="10"/>
    </row>
    <row r="8" spans="2:9" ht="18" customHeight="1" x14ac:dyDescent="0.25">
      <c r="B8" s="7" t="s">
        <v>10</v>
      </c>
      <c r="C8" s="11" t="s">
        <v>6</v>
      </c>
      <c r="D8" s="7">
        <v>13</v>
      </c>
      <c r="E8" s="25">
        <f>+Notes!C144</f>
        <v>460793205.97000003</v>
      </c>
    </row>
    <row r="9" spans="2:9" ht="18" customHeight="1" x14ac:dyDescent="0.25">
      <c r="B9" s="7" t="s">
        <v>11</v>
      </c>
      <c r="C9" s="11" t="s">
        <v>7</v>
      </c>
      <c r="D9" s="7">
        <v>14</v>
      </c>
      <c r="E9" s="25">
        <f>+Notes!C152</f>
        <v>338074.51</v>
      </c>
    </row>
    <row r="10" spans="2:9" ht="18" customHeight="1" thickBot="1" x14ac:dyDescent="0.3">
      <c r="B10" s="7" t="s">
        <v>12</v>
      </c>
      <c r="C10" s="13" t="s">
        <v>8</v>
      </c>
      <c r="D10" s="7"/>
      <c r="E10" s="29">
        <f>SUM(E8:E9)</f>
        <v>461131280.48000002</v>
      </c>
      <c r="I10" s="24"/>
    </row>
    <row r="11" spans="2:9" ht="18" customHeight="1" thickTop="1" x14ac:dyDescent="0.25">
      <c r="B11" s="7"/>
      <c r="C11" s="13"/>
      <c r="D11" s="7"/>
      <c r="E11" s="12"/>
    </row>
    <row r="12" spans="2:9" ht="18" customHeight="1" x14ac:dyDescent="0.25">
      <c r="B12" s="7" t="s">
        <v>13</v>
      </c>
      <c r="C12" s="14" t="s">
        <v>9</v>
      </c>
      <c r="D12" s="7"/>
      <c r="E12" s="12"/>
    </row>
    <row r="13" spans="2:9" ht="18" customHeight="1" x14ac:dyDescent="0.25">
      <c r="B13" s="7"/>
      <c r="C13" s="11" t="s">
        <v>14</v>
      </c>
      <c r="D13" s="7">
        <v>15</v>
      </c>
      <c r="E13" s="25">
        <f>+Notes!C164</f>
        <v>387482367.49999994</v>
      </c>
    </row>
    <row r="14" spans="2:9" ht="18" customHeight="1" x14ac:dyDescent="0.25">
      <c r="B14" s="7"/>
      <c r="C14" s="11" t="s">
        <v>15</v>
      </c>
      <c r="D14" s="7">
        <v>16</v>
      </c>
      <c r="E14" s="25">
        <f>+Notes!C180</f>
        <v>-37605374</v>
      </c>
    </row>
    <row r="15" spans="2:9" ht="18" customHeight="1" x14ac:dyDescent="0.25">
      <c r="B15" s="7"/>
      <c r="C15" s="11" t="s">
        <v>16</v>
      </c>
      <c r="D15" s="7">
        <v>17</v>
      </c>
      <c r="E15" s="25">
        <f>+Notes!C190</f>
        <v>22687997</v>
      </c>
    </row>
    <row r="16" spans="2:9" ht="18" customHeight="1" x14ac:dyDescent="0.25">
      <c r="B16" s="7"/>
      <c r="C16" s="11" t="s">
        <v>17</v>
      </c>
      <c r="D16" s="7">
        <v>18</v>
      </c>
      <c r="E16" s="25">
        <f>+Notes!C207</f>
        <v>25055633.469999995</v>
      </c>
    </row>
    <row r="17" spans="2:8" ht="18" customHeight="1" x14ac:dyDescent="0.25">
      <c r="B17" s="7"/>
      <c r="C17" s="11" t="s">
        <v>18</v>
      </c>
      <c r="D17" s="7"/>
      <c r="E17" s="25">
        <f>+FA!H18</f>
        <v>31951276</v>
      </c>
    </row>
    <row r="18" spans="2:8" ht="18" customHeight="1" x14ac:dyDescent="0.25">
      <c r="B18" s="7"/>
      <c r="C18" s="11" t="s">
        <v>19</v>
      </c>
      <c r="D18" s="7">
        <v>19</v>
      </c>
      <c r="E18" s="25">
        <f>+Notes!C233</f>
        <v>20519236.309999999</v>
      </c>
    </row>
    <row r="19" spans="2:8" ht="18" customHeight="1" thickBot="1" x14ac:dyDescent="0.3">
      <c r="B19" s="7"/>
      <c r="C19" s="13" t="s">
        <v>21</v>
      </c>
      <c r="D19" s="7"/>
      <c r="E19" s="29">
        <f>SUM(E13:E18)</f>
        <v>450091136.27999991</v>
      </c>
    </row>
    <row r="20" spans="2:8" ht="18" customHeight="1" thickTop="1" x14ac:dyDescent="0.25">
      <c r="B20" s="7"/>
      <c r="C20" s="11"/>
      <c r="D20" s="7"/>
      <c r="E20" s="12"/>
      <c r="H20" s="24"/>
    </row>
    <row r="21" spans="2:8" ht="18" customHeight="1" x14ac:dyDescent="0.25">
      <c r="B21" s="7" t="s">
        <v>20</v>
      </c>
      <c r="C21" s="14" t="s">
        <v>22</v>
      </c>
      <c r="D21" s="7"/>
      <c r="E21" s="30">
        <f>+E10-E19</f>
        <v>11040144.200000107</v>
      </c>
      <c r="H21" s="24"/>
    </row>
    <row r="22" spans="2:8" ht="18" customHeight="1" x14ac:dyDescent="0.25">
      <c r="B22" s="7"/>
      <c r="C22" s="11"/>
      <c r="D22" s="7"/>
      <c r="E22" s="12"/>
      <c r="H22" s="24"/>
    </row>
    <row r="23" spans="2:8" ht="18" customHeight="1" x14ac:dyDescent="0.25">
      <c r="B23" s="7" t="s">
        <v>117</v>
      </c>
      <c r="C23" s="11" t="s">
        <v>118</v>
      </c>
      <c r="D23" s="7"/>
      <c r="E23" s="30">
        <f>+E21*25%</f>
        <v>2760036.0500000268</v>
      </c>
    </row>
    <row r="24" spans="2:8" ht="18" customHeight="1" x14ac:dyDescent="0.25">
      <c r="B24" s="7"/>
      <c r="C24" s="11"/>
      <c r="D24" s="7"/>
      <c r="E24" s="25"/>
    </row>
    <row r="25" spans="2:8" ht="18" customHeight="1" thickBot="1" x14ac:dyDescent="0.3">
      <c r="B25" s="7" t="s">
        <v>119</v>
      </c>
      <c r="C25" s="14" t="s">
        <v>120</v>
      </c>
      <c r="D25" s="7"/>
      <c r="E25" s="29">
        <f>+E21-E23</f>
        <v>8280108.1500000805</v>
      </c>
    </row>
    <row r="26" spans="2:8" ht="18" customHeight="1" thickTop="1" x14ac:dyDescent="0.25">
      <c r="B26" s="8"/>
      <c r="C26" s="15"/>
      <c r="D26" s="19"/>
      <c r="E26" s="16"/>
    </row>
    <row r="27" spans="2:8" ht="18" customHeight="1" x14ac:dyDescent="0.25">
      <c r="B27" s="2"/>
    </row>
    <row r="28" spans="2:8" ht="18" customHeight="1" x14ac:dyDescent="0.25">
      <c r="B28" s="2"/>
      <c r="E28" s="40" t="s">
        <v>155</v>
      </c>
    </row>
    <row r="29" spans="2:8" ht="18" customHeight="1" x14ac:dyDescent="0.25">
      <c r="B29" s="2"/>
    </row>
    <row r="30" spans="2:8" ht="18" customHeight="1" x14ac:dyDescent="0.25">
      <c r="B30" s="2"/>
    </row>
    <row r="31" spans="2:8" ht="18" customHeight="1" x14ac:dyDescent="0.25">
      <c r="B31" s="2"/>
      <c r="E31" s="40" t="s">
        <v>156</v>
      </c>
    </row>
    <row r="32" spans="2:8" ht="18" customHeight="1" x14ac:dyDescent="0.25">
      <c r="B32" s="2"/>
    </row>
    <row r="33" spans="2:8" ht="18" customHeight="1" x14ac:dyDescent="0.25">
      <c r="B33" s="2"/>
      <c r="H33" s="41"/>
    </row>
  </sheetData>
  <mergeCells count="4">
    <mergeCell ref="B2:E2"/>
    <mergeCell ref="B3:E3"/>
    <mergeCell ref="B4:E4"/>
    <mergeCell ref="B5:E5"/>
  </mergeCells>
  <printOptions horizontalCentered="1"/>
  <pageMargins left="0.45" right="0.2" top="1" bottom="0.75" header="0.3" footer="0.3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5"/>
  <sheetViews>
    <sheetView topLeftCell="A34" workbookViewId="0">
      <selection activeCell="E45" sqref="E45"/>
    </sheetView>
  </sheetViews>
  <sheetFormatPr defaultRowHeight="18" customHeight="1" x14ac:dyDescent="0.25"/>
  <cols>
    <col min="1" max="2" width="9.140625" style="3"/>
    <col min="3" max="3" width="41.140625" style="3" customWidth="1"/>
    <col min="4" max="4" width="10.85546875" style="3" customWidth="1"/>
    <col min="5" max="5" width="24.140625" style="3" customWidth="1"/>
    <col min="6" max="7" width="9.140625" style="3"/>
    <col min="8" max="8" width="16.28515625" style="3" bestFit="1" customWidth="1"/>
    <col min="9" max="16384" width="9.140625" style="3"/>
  </cols>
  <sheetData>
    <row r="2" spans="2:5" ht="18" customHeight="1" x14ac:dyDescent="0.25">
      <c r="B2" s="50" t="s">
        <v>2</v>
      </c>
      <c r="C2" s="50"/>
      <c r="D2" s="50"/>
      <c r="E2" s="50"/>
    </row>
    <row r="3" spans="2:5" ht="18" customHeight="1" x14ac:dyDescent="0.25">
      <c r="B3" s="50" t="s">
        <v>3</v>
      </c>
      <c r="C3" s="50"/>
      <c r="D3" s="50"/>
      <c r="E3" s="50"/>
    </row>
    <row r="4" spans="2:5" ht="18" customHeight="1" x14ac:dyDescent="0.25">
      <c r="B4" s="50" t="s">
        <v>151</v>
      </c>
      <c r="C4" s="50"/>
      <c r="D4" s="50"/>
      <c r="E4" s="50"/>
    </row>
    <row r="5" spans="2:5" ht="18" customHeight="1" x14ac:dyDescent="0.25">
      <c r="B5" s="51" t="s">
        <v>202</v>
      </c>
      <c r="C5" s="51"/>
      <c r="D5" s="51"/>
      <c r="E5" s="51"/>
    </row>
    <row r="6" spans="2:5" s="2" customFormat="1" ht="18" customHeight="1" x14ac:dyDescent="0.25">
      <c r="B6" s="1"/>
      <c r="C6" s="1" t="s">
        <v>4</v>
      </c>
      <c r="D6" s="1" t="s">
        <v>5</v>
      </c>
      <c r="E6" s="1" t="s">
        <v>1</v>
      </c>
    </row>
    <row r="7" spans="2:5" ht="18" customHeight="1" x14ac:dyDescent="0.25">
      <c r="B7" s="6"/>
      <c r="C7" s="10"/>
      <c r="D7" s="10"/>
      <c r="E7" s="10"/>
    </row>
    <row r="8" spans="2:5" ht="18" customHeight="1" x14ac:dyDescent="0.25">
      <c r="B8" s="7" t="s">
        <v>10</v>
      </c>
      <c r="C8" s="21" t="s">
        <v>23</v>
      </c>
      <c r="D8" s="32"/>
      <c r="E8" s="12"/>
    </row>
    <row r="9" spans="2:5" ht="18" customHeight="1" x14ac:dyDescent="0.25">
      <c r="B9" s="7">
        <v>1</v>
      </c>
      <c r="C9" s="12" t="s">
        <v>24</v>
      </c>
      <c r="D9" s="32"/>
      <c r="E9" s="12"/>
    </row>
    <row r="10" spans="2:5" ht="18" customHeight="1" x14ac:dyDescent="0.25">
      <c r="B10" s="7"/>
      <c r="C10" s="22" t="s">
        <v>25</v>
      </c>
      <c r="D10" s="32">
        <v>1</v>
      </c>
      <c r="E10" s="25">
        <f>+Notes!C11</f>
        <v>28500000</v>
      </c>
    </row>
    <row r="11" spans="2:5" ht="18" customHeight="1" x14ac:dyDescent="0.25">
      <c r="B11" s="7"/>
      <c r="C11" s="22" t="s">
        <v>26</v>
      </c>
      <c r="D11" s="52">
        <v>2</v>
      </c>
      <c r="E11" s="25">
        <f>+Notes!C19</f>
        <v>47537622.720000081</v>
      </c>
    </row>
    <row r="12" spans="2:5" ht="18" customHeight="1" x14ac:dyDescent="0.25">
      <c r="B12" s="7"/>
      <c r="C12" s="22" t="s">
        <v>159</v>
      </c>
      <c r="D12" s="52"/>
      <c r="E12" s="25">
        <f>+Notes!C23</f>
        <v>16200000</v>
      </c>
    </row>
    <row r="13" spans="2:5" ht="18" customHeight="1" x14ac:dyDescent="0.25">
      <c r="B13" s="7"/>
      <c r="C13" s="12"/>
      <c r="D13" s="32"/>
      <c r="E13" s="12"/>
    </row>
    <row r="14" spans="2:5" ht="18" customHeight="1" x14ac:dyDescent="0.25">
      <c r="B14" s="7">
        <v>2</v>
      </c>
      <c r="C14" s="21" t="s">
        <v>27</v>
      </c>
      <c r="D14" s="32"/>
      <c r="E14" s="12"/>
    </row>
    <row r="15" spans="2:5" ht="18" customHeight="1" x14ac:dyDescent="0.25">
      <c r="B15" s="7"/>
      <c r="C15" s="12" t="s">
        <v>29</v>
      </c>
      <c r="D15" s="32">
        <v>3</v>
      </c>
      <c r="E15" s="25">
        <f>+Notes!C38</f>
        <v>176909028.38</v>
      </c>
    </row>
    <row r="16" spans="2:5" ht="18" customHeight="1" x14ac:dyDescent="0.25">
      <c r="B16" s="7"/>
      <c r="C16" s="12"/>
      <c r="D16" s="32"/>
      <c r="E16" s="12"/>
    </row>
    <row r="17" spans="2:8" ht="18" customHeight="1" x14ac:dyDescent="0.25">
      <c r="B17" s="7">
        <v>3</v>
      </c>
      <c r="C17" s="21" t="s">
        <v>28</v>
      </c>
      <c r="D17" s="32"/>
      <c r="E17" s="12"/>
    </row>
    <row r="18" spans="2:8" ht="18" customHeight="1" x14ac:dyDescent="0.25">
      <c r="B18" s="7"/>
      <c r="C18" s="12" t="s">
        <v>30</v>
      </c>
      <c r="D18" s="32">
        <v>5</v>
      </c>
      <c r="E18" s="25">
        <f>+Notes!C52</f>
        <v>37687911.659999996</v>
      </c>
    </row>
    <row r="19" spans="2:8" ht="18" customHeight="1" x14ac:dyDescent="0.25">
      <c r="B19" s="7"/>
      <c r="C19" s="12" t="s">
        <v>31</v>
      </c>
      <c r="D19" s="32">
        <v>6</v>
      </c>
      <c r="E19" s="25">
        <f>+Notes!C59</f>
        <v>109311571.66</v>
      </c>
    </row>
    <row r="20" spans="2:8" ht="18" customHeight="1" x14ac:dyDescent="0.25">
      <c r="B20" s="7"/>
      <c r="C20" s="22" t="s">
        <v>32</v>
      </c>
      <c r="D20" s="32">
        <v>7</v>
      </c>
      <c r="E20" s="25">
        <f>+Notes!C79</f>
        <v>10861646.309999999</v>
      </c>
    </row>
    <row r="21" spans="2:8" ht="18" customHeight="1" x14ac:dyDescent="0.25">
      <c r="B21" s="7"/>
      <c r="C21" s="12" t="s">
        <v>33</v>
      </c>
      <c r="D21" s="32">
        <v>8</v>
      </c>
      <c r="E21" s="25">
        <f>+Notes!C86</f>
        <v>2755328.0500000268</v>
      </c>
      <c r="H21" s="24"/>
    </row>
    <row r="22" spans="2:8" ht="18" customHeight="1" x14ac:dyDescent="0.25">
      <c r="B22" s="7"/>
      <c r="C22" s="12"/>
      <c r="D22" s="32"/>
      <c r="E22" s="12"/>
    </row>
    <row r="23" spans="2:8" ht="18" customHeight="1" thickBot="1" x14ac:dyDescent="0.3">
      <c r="B23" s="7"/>
      <c r="C23" s="23" t="s">
        <v>0</v>
      </c>
      <c r="D23" s="32"/>
      <c r="E23" s="29">
        <f>SUM(E10:E21)</f>
        <v>429763108.78000009</v>
      </c>
    </row>
    <row r="24" spans="2:8" ht="18" customHeight="1" thickTop="1" x14ac:dyDescent="0.25">
      <c r="B24" s="7"/>
      <c r="C24" s="12"/>
      <c r="D24" s="32"/>
      <c r="E24" s="12"/>
    </row>
    <row r="25" spans="2:8" ht="18" customHeight="1" x14ac:dyDescent="0.25">
      <c r="B25" s="7" t="s">
        <v>11</v>
      </c>
      <c r="C25" s="21" t="s">
        <v>34</v>
      </c>
      <c r="D25" s="32"/>
      <c r="E25" s="12"/>
    </row>
    <row r="26" spans="2:8" ht="18" customHeight="1" x14ac:dyDescent="0.25">
      <c r="B26" s="7"/>
      <c r="C26" s="21" t="s">
        <v>35</v>
      </c>
      <c r="D26" s="32"/>
      <c r="E26" s="12"/>
    </row>
    <row r="27" spans="2:8" ht="18" customHeight="1" x14ac:dyDescent="0.25">
      <c r="B27" s="7">
        <v>1</v>
      </c>
      <c r="C27" s="12" t="s">
        <v>36</v>
      </c>
      <c r="D27" s="32">
        <v>20</v>
      </c>
      <c r="E27" s="25">
        <f>+FA!K18</f>
        <v>201249487.55000001</v>
      </c>
    </row>
    <row r="28" spans="2:8" ht="18" customHeight="1" x14ac:dyDescent="0.25">
      <c r="B28" s="7"/>
      <c r="C28" s="22" t="s">
        <v>37</v>
      </c>
      <c r="D28" s="32"/>
      <c r="E28" s="25"/>
    </row>
    <row r="29" spans="2:8" ht="18" customHeight="1" x14ac:dyDescent="0.25">
      <c r="B29" s="7"/>
      <c r="C29" s="12" t="s">
        <v>38</v>
      </c>
      <c r="D29" s="32">
        <v>4</v>
      </c>
      <c r="E29" s="25">
        <f>-Notes!C45</f>
        <v>-4666306.8499999996</v>
      </c>
    </row>
    <row r="30" spans="2:8" ht="18" customHeight="1" x14ac:dyDescent="0.25">
      <c r="B30" s="7"/>
      <c r="C30" s="12"/>
      <c r="D30" s="32"/>
      <c r="E30" s="12"/>
    </row>
    <row r="31" spans="2:8" ht="18" customHeight="1" x14ac:dyDescent="0.25">
      <c r="B31" s="7">
        <v>2</v>
      </c>
      <c r="C31" s="21" t="s">
        <v>39</v>
      </c>
      <c r="D31" s="32"/>
      <c r="E31" s="12"/>
    </row>
    <row r="32" spans="2:8" ht="18" customHeight="1" x14ac:dyDescent="0.25">
      <c r="B32" s="7"/>
      <c r="C32" s="12" t="s">
        <v>40</v>
      </c>
      <c r="D32" s="32">
        <v>9</v>
      </c>
      <c r="E32" s="25">
        <f>+Notes!C95</f>
        <v>94501381</v>
      </c>
    </row>
    <row r="33" spans="2:8" ht="18" customHeight="1" x14ac:dyDescent="0.25">
      <c r="B33" s="7"/>
      <c r="C33" s="12" t="s">
        <v>41</v>
      </c>
      <c r="D33" s="32">
        <v>10</v>
      </c>
      <c r="E33" s="25">
        <f>+Notes!C102</f>
        <v>94405230.519999996</v>
      </c>
    </row>
    <row r="34" spans="2:8" ht="18" customHeight="1" x14ac:dyDescent="0.25">
      <c r="B34" s="7"/>
      <c r="C34" s="12" t="s">
        <v>42</v>
      </c>
      <c r="D34" s="32">
        <v>11</v>
      </c>
      <c r="E34" s="25">
        <f>+Notes!C113</f>
        <v>528671.35</v>
      </c>
    </row>
    <row r="35" spans="2:8" ht="18" customHeight="1" x14ac:dyDescent="0.25">
      <c r="B35" s="7"/>
      <c r="C35" s="12" t="s">
        <v>43</v>
      </c>
      <c r="D35" s="32">
        <v>12</v>
      </c>
      <c r="E35" s="25">
        <f>+Notes!C136</f>
        <v>43744645.210000001</v>
      </c>
      <c r="H35" s="24"/>
    </row>
    <row r="36" spans="2:8" ht="18" customHeight="1" x14ac:dyDescent="0.25">
      <c r="B36" s="7"/>
      <c r="C36" s="12"/>
      <c r="D36" s="32"/>
      <c r="E36" s="12"/>
    </row>
    <row r="37" spans="2:8" ht="18" customHeight="1" thickBot="1" x14ac:dyDescent="0.3">
      <c r="B37" s="18"/>
      <c r="C37" s="23" t="s">
        <v>0</v>
      </c>
      <c r="D37" s="32"/>
      <c r="E37" s="29">
        <f>SUM(E27:E35)</f>
        <v>429763108.78000003</v>
      </c>
      <c r="H37" s="24"/>
    </row>
    <row r="38" spans="2:8" ht="18" customHeight="1" thickTop="1" x14ac:dyDescent="0.25">
      <c r="B38" s="19"/>
      <c r="C38" s="16"/>
      <c r="D38" s="16"/>
      <c r="E38" s="16"/>
    </row>
    <row r="40" spans="2:8" ht="18" customHeight="1" x14ac:dyDescent="0.25">
      <c r="E40" s="40" t="s">
        <v>155</v>
      </c>
    </row>
    <row r="43" spans="2:8" ht="18" customHeight="1" x14ac:dyDescent="0.25">
      <c r="E43" s="40" t="s">
        <v>156</v>
      </c>
    </row>
    <row r="45" spans="2:8" ht="18" customHeight="1" x14ac:dyDescent="0.25">
      <c r="E45" s="24"/>
    </row>
  </sheetData>
  <mergeCells count="5">
    <mergeCell ref="B2:E2"/>
    <mergeCell ref="B3:E3"/>
    <mergeCell ref="B4:E4"/>
    <mergeCell ref="B5:E5"/>
    <mergeCell ref="D11:D12"/>
  </mergeCells>
  <printOptions horizontalCentered="1"/>
  <pageMargins left="0.45" right="0.2" top="0.75" bottom="0.5" header="0.3" footer="0.3"/>
  <pageSetup paperSize="9" scale="9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37"/>
  <sheetViews>
    <sheetView topLeftCell="A79" workbookViewId="0">
      <selection activeCell="C10" sqref="C10"/>
    </sheetView>
  </sheetViews>
  <sheetFormatPr defaultRowHeight="15.95" customHeight="1" x14ac:dyDescent="0.25"/>
  <cols>
    <col min="1" max="1" width="9.140625" style="49"/>
    <col min="2" max="2" width="46.28515625" style="49" customWidth="1"/>
    <col min="3" max="5" width="21.7109375" style="49" customWidth="1"/>
    <col min="6" max="6" width="10.140625" style="49" bestFit="1" customWidth="1"/>
    <col min="7" max="16384" width="9.140625" style="49"/>
  </cols>
  <sheetData>
    <row r="2" spans="2:5" ht="15.95" customHeight="1" x14ac:dyDescent="0.25">
      <c r="B2" s="54" t="s">
        <v>44</v>
      </c>
    </row>
    <row r="3" spans="2:5" s="57" customFormat="1" ht="15.95" customHeight="1" x14ac:dyDescent="0.25">
      <c r="B3" s="55" t="s">
        <v>4</v>
      </c>
      <c r="C3" s="55" t="s">
        <v>203</v>
      </c>
      <c r="D3" s="56"/>
      <c r="E3" s="56"/>
    </row>
    <row r="4" spans="2:5" s="57" customFormat="1" ht="15.95" customHeight="1" x14ac:dyDescent="0.25">
      <c r="B4" s="58"/>
      <c r="C4" s="59"/>
      <c r="D4" s="56"/>
      <c r="E4" s="56"/>
    </row>
    <row r="5" spans="2:5" ht="15.95" customHeight="1" x14ac:dyDescent="0.25">
      <c r="B5" s="60" t="s">
        <v>45</v>
      </c>
      <c r="C5" s="61"/>
      <c r="D5" s="62"/>
      <c r="E5" s="62"/>
    </row>
    <row r="6" spans="2:5" ht="15.95" customHeight="1" thickBot="1" x14ac:dyDescent="0.3">
      <c r="B6" s="63" t="s">
        <v>46</v>
      </c>
      <c r="C6" s="64">
        <f>6500000*10</f>
        <v>65000000</v>
      </c>
      <c r="D6" s="45"/>
      <c r="E6" s="45"/>
    </row>
    <row r="7" spans="2:5" ht="15.95" customHeight="1" thickTop="1" x14ac:dyDescent="0.25">
      <c r="B7" s="65"/>
      <c r="C7" s="42"/>
      <c r="D7" s="45"/>
      <c r="E7" s="45"/>
    </row>
    <row r="8" spans="2:5" ht="15.95" customHeight="1" x14ac:dyDescent="0.25">
      <c r="B8" s="60" t="s">
        <v>47</v>
      </c>
      <c r="C8" s="42"/>
      <c r="D8" s="45"/>
      <c r="E8" s="45"/>
    </row>
    <row r="9" spans="2:5" ht="15.95" customHeight="1" x14ac:dyDescent="0.25">
      <c r="B9" s="63" t="s">
        <v>157</v>
      </c>
      <c r="C9" s="42">
        <f>2850000*10</f>
        <v>28500000</v>
      </c>
      <c r="D9" s="45"/>
      <c r="E9" s="45"/>
    </row>
    <row r="10" spans="2:5" ht="15.95" customHeight="1" x14ac:dyDescent="0.25">
      <c r="B10" s="65"/>
      <c r="C10" s="42"/>
      <c r="D10" s="45"/>
      <c r="E10" s="45"/>
    </row>
    <row r="11" spans="2:5" ht="15.95" customHeight="1" x14ac:dyDescent="0.25">
      <c r="B11" s="55" t="s">
        <v>0</v>
      </c>
      <c r="C11" s="66">
        <f>+C9</f>
        <v>28500000</v>
      </c>
      <c r="D11" s="48"/>
      <c r="E11" s="48"/>
    </row>
    <row r="12" spans="2:5" ht="15.95" customHeight="1" x14ac:dyDescent="0.25">
      <c r="C12" s="67"/>
      <c r="D12" s="67"/>
      <c r="E12" s="67"/>
    </row>
    <row r="13" spans="2:5" ht="15.95" customHeight="1" x14ac:dyDescent="0.25">
      <c r="B13" s="54" t="s">
        <v>48</v>
      </c>
    </row>
    <row r="14" spans="2:5" ht="15.95" customHeight="1" x14ac:dyDescent="0.25">
      <c r="B14" s="55" t="s">
        <v>4</v>
      </c>
      <c r="C14" s="55" t="s">
        <v>203</v>
      </c>
      <c r="D14" s="56"/>
      <c r="E14" s="56"/>
    </row>
    <row r="15" spans="2:5" ht="15.95" customHeight="1" x14ac:dyDescent="0.25">
      <c r="B15" s="58"/>
      <c r="C15" s="59"/>
      <c r="D15" s="56"/>
      <c r="E15" s="56"/>
    </row>
    <row r="16" spans="2:5" ht="15.95" customHeight="1" x14ac:dyDescent="0.25">
      <c r="B16" s="68" t="s">
        <v>49</v>
      </c>
      <c r="C16" s="42">
        <v>39257514.57</v>
      </c>
      <c r="D16" s="45"/>
      <c r="E16" s="45"/>
    </row>
    <row r="17" spans="2:5" ht="15.95" customHeight="1" x14ac:dyDescent="0.25">
      <c r="B17" s="69" t="s">
        <v>50</v>
      </c>
      <c r="C17" s="39">
        <f>+'P&amp;L'!E25</f>
        <v>8280108.1500000805</v>
      </c>
      <c r="D17" s="45"/>
      <c r="E17" s="45"/>
    </row>
    <row r="18" spans="2:5" ht="15.95" customHeight="1" x14ac:dyDescent="0.25">
      <c r="B18" s="65"/>
      <c r="C18" s="42"/>
      <c r="D18" s="45"/>
      <c r="E18" s="45"/>
    </row>
    <row r="19" spans="2:5" ht="15.95" customHeight="1" x14ac:dyDescent="0.25">
      <c r="B19" s="55" t="s">
        <v>0</v>
      </c>
      <c r="C19" s="66">
        <f>+C16+C17</f>
        <v>47537622.720000081</v>
      </c>
      <c r="D19" s="48"/>
      <c r="E19" s="48"/>
    </row>
    <row r="20" spans="2:5" ht="15.95" customHeight="1" x14ac:dyDescent="0.25">
      <c r="B20" s="58"/>
      <c r="C20" s="70"/>
      <c r="D20" s="48"/>
      <c r="E20" s="48"/>
    </row>
    <row r="21" spans="2:5" ht="15.95" customHeight="1" x14ac:dyDescent="0.25">
      <c r="B21" s="71" t="s">
        <v>158</v>
      </c>
      <c r="C21" s="72">
        <v>16200000</v>
      </c>
      <c r="D21" s="48"/>
      <c r="E21" s="48"/>
    </row>
    <row r="22" spans="2:5" ht="15.95" customHeight="1" x14ac:dyDescent="0.25">
      <c r="B22" s="73"/>
      <c r="C22" s="72"/>
      <c r="D22" s="48"/>
      <c r="E22" s="48"/>
    </row>
    <row r="23" spans="2:5" ht="15.95" customHeight="1" x14ac:dyDescent="0.25">
      <c r="B23" s="55" t="s">
        <v>0</v>
      </c>
      <c r="C23" s="66">
        <f>SUM(C21:C21)</f>
        <v>16200000</v>
      </c>
      <c r="D23" s="48"/>
      <c r="E23" s="48"/>
    </row>
    <row r="24" spans="2:5" ht="15.95" customHeight="1" x14ac:dyDescent="0.25">
      <c r="B24" s="56"/>
      <c r="C24" s="48"/>
      <c r="D24" s="48"/>
      <c r="E24" s="48"/>
    </row>
    <row r="26" spans="2:5" ht="15.95" customHeight="1" x14ac:dyDescent="0.25">
      <c r="B26" s="54" t="s">
        <v>51</v>
      </c>
    </row>
    <row r="27" spans="2:5" ht="15.95" customHeight="1" x14ac:dyDescent="0.25">
      <c r="B27" s="55" t="s">
        <v>4</v>
      </c>
      <c r="C27" s="55" t="s">
        <v>203</v>
      </c>
      <c r="D27" s="56"/>
      <c r="E27" s="56"/>
    </row>
    <row r="28" spans="2:5" ht="15.95" customHeight="1" x14ac:dyDescent="0.25">
      <c r="B28" s="58"/>
      <c r="C28" s="59"/>
      <c r="D28" s="56"/>
      <c r="E28" s="56"/>
    </row>
    <row r="29" spans="2:5" ht="15.95" customHeight="1" x14ac:dyDescent="0.25">
      <c r="B29" s="68" t="s">
        <v>52</v>
      </c>
      <c r="C29" s="42"/>
      <c r="D29" s="45"/>
      <c r="E29" s="45"/>
    </row>
    <row r="30" spans="2:5" ht="15.95" customHeight="1" x14ac:dyDescent="0.25">
      <c r="B30" s="74" t="s">
        <v>179</v>
      </c>
      <c r="C30" s="39">
        <v>27194129</v>
      </c>
      <c r="D30" s="45"/>
      <c r="E30" s="45"/>
    </row>
    <row r="31" spans="2:5" ht="15.95" customHeight="1" x14ac:dyDescent="0.25">
      <c r="B31" s="74" t="s">
        <v>180</v>
      </c>
      <c r="C31" s="39">
        <v>97806491.379999995</v>
      </c>
      <c r="D31" s="45"/>
      <c r="E31" s="45"/>
    </row>
    <row r="32" spans="2:5" ht="15.95" customHeight="1" x14ac:dyDescent="0.25">
      <c r="B32" s="74" t="s">
        <v>181</v>
      </c>
      <c r="C32" s="39">
        <v>32498903</v>
      </c>
      <c r="D32" s="45"/>
      <c r="E32" s="45"/>
    </row>
    <row r="33" spans="2:5" ht="15.95" customHeight="1" x14ac:dyDescent="0.25">
      <c r="B33" s="74" t="s">
        <v>182</v>
      </c>
      <c r="C33" s="39">
        <v>18516842</v>
      </c>
      <c r="D33" s="45"/>
      <c r="E33" s="45"/>
    </row>
    <row r="34" spans="2:5" ht="15.95" customHeight="1" x14ac:dyDescent="0.25">
      <c r="B34" s="74" t="s">
        <v>183</v>
      </c>
      <c r="C34" s="39">
        <v>683063</v>
      </c>
      <c r="D34" s="45"/>
      <c r="E34" s="45"/>
    </row>
    <row r="35" spans="2:5" ht="15.95" customHeight="1" x14ac:dyDescent="0.25">
      <c r="B35" s="74" t="s">
        <v>184</v>
      </c>
      <c r="C35" s="39">
        <v>209600</v>
      </c>
      <c r="D35" s="45"/>
      <c r="E35" s="45"/>
    </row>
    <row r="36" spans="2:5" ht="15.95" customHeight="1" x14ac:dyDescent="0.25">
      <c r="B36" s="63"/>
      <c r="C36" s="42"/>
      <c r="E36" s="45"/>
    </row>
    <row r="37" spans="2:5" ht="15.95" customHeight="1" x14ac:dyDescent="0.25">
      <c r="B37" s="65"/>
      <c r="C37" s="42"/>
      <c r="D37" s="45"/>
      <c r="E37" s="45"/>
    </row>
    <row r="38" spans="2:5" ht="15.95" customHeight="1" x14ac:dyDescent="0.25">
      <c r="B38" s="55" t="s">
        <v>0</v>
      </c>
      <c r="C38" s="66">
        <f>SUM(C30:C36)</f>
        <v>176909028.38</v>
      </c>
      <c r="D38" s="48"/>
      <c r="E38" s="48"/>
    </row>
    <row r="40" spans="2:5" ht="15.95" customHeight="1" x14ac:dyDescent="0.25">
      <c r="B40" s="54" t="s">
        <v>150</v>
      </c>
    </row>
    <row r="41" spans="2:5" ht="15.95" customHeight="1" x14ac:dyDescent="0.25">
      <c r="B41" s="55" t="s">
        <v>4</v>
      </c>
      <c r="C41" s="55" t="s">
        <v>203</v>
      </c>
      <c r="D41" s="56"/>
      <c r="E41" s="56"/>
    </row>
    <row r="42" spans="2:5" ht="15.95" customHeight="1" x14ac:dyDescent="0.25">
      <c r="B42" s="75"/>
      <c r="C42" s="76"/>
      <c r="D42" s="62"/>
      <c r="E42" s="62"/>
    </row>
    <row r="43" spans="2:5" ht="15.95" customHeight="1" x14ac:dyDescent="0.25">
      <c r="B43" s="65" t="s">
        <v>187</v>
      </c>
      <c r="C43" s="42">
        <v>4666306.8499999996</v>
      </c>
      <c r="D43" s="45"/>
      <c r="E43" s="45"/>
    </row>
    <row r="44" spans="2:5" ht="15.95" customHeight="1" x14ac:dyDescent="0.25">
      <c r="B44" s="77"/>
      <c r="C44" s="42"/>
      <c r="D44" s="45"/>
      <c r="E44" s="45"/>
    </row>
    <row r="45" spans="2:5" ht="15.95" customHeight="1" x14ac:dyDescent="0.25">
      <c r="B45" s="55" t="s">
        <v>0</v>
      </c>
      <c r="C45" s="66">
        <f>SUM(C43:C43)</f>
        <v>4666306.8499999996</v>
      </c>
      <c r="D45" s="48"/>
      <c r="E45" s="48"/>
    </row>
    <row r="46" spans="2:5" ht="15.95" customHeight="1" x14ac:dyDescent="0.25">
      <c r="C46" s="67"/>
      <c r="D46" s="67"/>
      <c r="E46" s="67"/>
    </row>
    <row r="47" spans="2:5" ht="15.95" customHeight="1" x14ac:dyDescent="0.25">
      <c r="B47" s="54" t="s">
        <v>53</v>
      </c>
      <c r="C47" s="67"/>
      <c r="D47" s="67"/>
      <c r="E47" s="67"/>
    </row>
    <row r="48" spans="2:5" ht="15.95" customHeight="1" x14ac:dyDescent="0.25">
      <c r="B48" s="55" t="s">
        <v>4</v>
      </c>
      <c r="C48" s="55" t="s">
        <v>203</v>
      </c>
      <c r="D48" s="56"/>
      <c r="E48" s="56"/>
    </row>
    <row r="49" spans="2:5" ht="15.95" customHeight="1" x14ac:dyDescent="0.25">
      <c r="B49" s="75"/>
      <c r="C49" s="76"/>
      <c r="D49" s="62"/>
      <c r="E49" s="62"/>
    </row>
    <row r="50" spans="2:5" ht="15.95" customHeight="1" x14ac:dyDescent="0.25">
      <c r="B50" s="65" t="s">
        <v>54</v>
      </c>
      <c r="C50" s="42">
        <v>37687911.659999996</v>
      </c>
      <c r="D50" s="45"/>
      <c r="E50" s="45"/>
    </row>
    <row r="51" spans="2:5" ht="15.95" customHeight="1" x14ac:dyDescent="0.25">
      <c r="B51" s="65"/>
      <c r="C51" s="78"/>
      <c r="D51" s="79"/>
      <c r="E51" s="79"/>
    </row>
    <row r="52" spans="2:5" ht="15.95" customHeight="1" x14ac:dyDescent="0.25">
      <c r="B52" s="55" t="s">
        <v>0</v>
      </c>
      <c r="C52" s="66">
        <f>SUM(C50:C51)</f>
        <v>37687911.659999996</v>
      </c>
      <c r="D52" s="48"/>
      <c r="E52" s="48"/>
    </row>
    <row r="54" spans="2:5" ht="15.95" customHeight="1" x14ac:dyDescent="0.25">
      <c r="B54" s="54" t="s">
        <v>55</v>
      </c>
    </row>
    <row r="55" spans="2:5" ht="15.95" customHeight="1" x14ac:dyDescent="0.25">
      <c r="B55" s="55" t="s">
        <v>4</v>
      </c>
      <c r="C55" s="55" t="s">
        <v>203</v>
      </c>
      <c r="D55" s="56"/>
      <c r="E55" s="56"/>
    </row>
    <row r="56" spans="2:5" ht="15.95" customHeight="1" x14ac:dyDescent="0.25">
      <c r="B56" s="75"/>
      <c r="C56" s="76"/>
      <c r="D56" s="62"/>
      <c r="E56" s="62"/>
    </row>
    <row r="57" spans="2:5" ht="15.95" customHeight="1" x14ac:dyDescent="0.25">
      <c r="B57" s="65" t="s">
        <v>56</v>
      </c>
      <c r="C57" s="42">
        <f>111260993.66-1949422</f>
        <v>109311571.66</v>
      </c>
      <c r="D57" s="45"/>
      <c r="E57" s="45"/>
    </row>
    <row r="58" spans="2:5" ht="15.95" customHeight="1" x14ac:dyDescent="0.25">
      <c r="B58" s="65"/>
      <c r="C58" s="42"/>
      <c r="D58" s="45"/>
      <c r="E58" s="48"/>
    </row>
    <row r="59" spans="2:5" ht="15.95" customHeight="1" x14ac:dyDescent="0.25">
      <c r="B59" s="55" t="s">
        <v>0</v>
      </c>
      <c r="C59" s="66">
        <f>SUM(C57:C58)</f>
        <v>109311571.66</v>
      </c>
      <c r="D59" s="48"/>
      <c r="E59" s="48"/>
    </row>
    <row r="60" spans="2:5" ht="15.95" customHeight="1" x14ac:dyDescent="0.25">
      <c r="E60" s="80"/>
    </row>
    <row r="61" spans="2:5" ht="15.95" customHeight="1" x14ac:dyDescent="0.25">
      <c r="B61" s="54" t="s">
        <v>57</v>
      </c>
      <c r="E61" s="48"/>
    </row>
    <row r="62" spans="2:5" ht="15.95" customHeight="1" x14ac:dyDescent="0.25">
      <c r="B62" s="55" t="s">
        <v>4</v>
      </c>
      <c r="C62" s="55" t="s">
        <v>203</v>
      </c>
      <c r="D62" s="56"/>
      <c r="E62" s="48"/>
    </row>
    <row r="63" spans="2:5" ht="15.95" customHeight="1" x14ac:dyDescent="0.25">
      <c r="B63" s="75"/>
      <c r="C63" s="76"/>
      <c r="D63" s="62"/>
      <c r="E63" s="48"/>
    </row>
    <row r="64" spans="2:5" ht="15.95" customHeight="1" x14ac:dyDescent="0.25">
      <c r="B64" s="65" t="s">
        <v>58</v>
      </c>
      <c r="C64" s="42"/>
      <c r="D64" s="45"/>
      <c r="E64" s="45"/>
    </row>
    <row r="65" spans="2:5" ht="15.95" customHeight="1" x14ac:dyDescent="0.25">
      <c r="B65" s="81" t="s">
        <v>59</v>
      </c>
      <c r="C65" s="42">
        <f>151490+1792127</f>
        <v>1943617</v>
      </c>
      <c r="D65" s="45"/>
      <c r="E65" s="45"/>
    </row>
    <row r="66" spans="2:5" ht="15.95" customHeight="1" x14ac:dyDescent="0.25">
      <c r="B66" s="81" t="s">
        <v>60</v>
      </c>
      <c r="C66" s="42">
        <v>1575669.86</v>
      </c>
      <c r="D66" s="45"/>
      <c r="E66" s="45"/>
    </row>
    <row r="67" spans="2:5" ht="15.95" customHeight="1" x14ac:dyDescent="0.25">
      <c r="B67" s="81"/>
      <c r="C67" s="42"/>
      <c r="D67" s="45"/>
      <c r="E67" s="45"/>
    </row>
    <row r="68" spans="2:5" ht="15.95" customHeight="1" x14ac:dyDescent="0.25">
      <c r="B68" s="65" t="s">
        <v>61</v>
      </c>
      <c r="C68" s="42"/>
      <c r="D68" s="45"/>
      <c r="E68" s="45"/>
    </row>
    <row r="69" spans="2:5" ht="15.95" customHeight="1" x14ac:dyDescent="0.25">
      <c r="B69" s="81" t="s">
        <v>62</v>
      </c>
      <c r="C69" s="42">
        <v>5482781</v>
      </c>
      <c r="D69" s="45"/>
      <c r="E69" s="45"/>
    </row>
    <row r="70" spans="2:5" ht="15.95" customHeight="1" x14ac:dyDescent="0.25">
      <c r="B70" s="81" t="s">
        <v>63</v>
      </c>
      <c r="C70" s="42">
        <v>-45851.55</v>
      </c>
      <c r="D70" s="45"/>
      <c r="E70" s="45"/>
    </row>
    <row r="71" spans="2:5" ht="15.95" customHeight="1" x14ac:dyDescent="0.25">
      <c r="B71" s="81" t="s">
        <v>64</v>
      </c>
      <c r="C71" s="42">
        <f>12148+13160+842+3624</f>
        <v>29774</v>
      </c>
      <c r="D71" s="45"/>
      <c r="E71" s="45"/>
    </row>
    <row r="72" spans="2:5" ht="15.95" customHeight="1" x14ac:dyDescent="0.25">
      <c r="B72" s="65"/>
      <c r="C72" s="42"/>
      <c r="D72" s="45"/>
      <c r="E72" s="45"/>
    </row>
    <row r="73" spans="2:5" ht="15.95" customHeight="1" x14ac:dyDescent="0.25">
      <c r="B73" s="65" t="s">
        <v>188</v>
      </c>
      <c r="C73" s="42">
        <v>742962</v>
      </c>
      <c r="D73" s="45"/>
      <c r="E73" s="45"/>
    </row>
    <row r="74" spans="2:5" ht="15.95" customHeight="1" x14ac:dyDescent="0.25">
      <c r="B74" s="65"/>
      <c r="C74" s="42"/>
      <c r="D74" s="45"/>
      <c r="E74" s="45"/>
    </row>
    <row r="75" spans="2:5" ht="15.95" customHeight="1" x14ac:dyDescent="0.25">
      <c r="B75" s="65" t="s">
        <v>65</v>
      </c>
      <c r="C75" s="42"/>
      <c r="D75" s="45"/>
      <c r="E75" s="45"/>
    </row>
    <row r="76" spans="2:5" ht="15.95" customHeight="1" x14ac:dyDescent="0.25">
      <c r="B76" s="81" t="s">
        <v>185</v>
      </c>
      <c r="C76" s="42">
        <v>520374</v>
      </c>
      <c r="D76" s="45"/>
      <c r="E76" s="45"/>
    </row>
    <row r="77" spans="2:5" ht="15.95" customHeight="1" x14ac:dyDescent="0.25">
      <c r="B77" s="81" t="s">
        <v>186</v>
      </c>
      <c r="C77" s="42">
        <v>612320</v>
      </c>
      <c r="D77" s="45"/>
      <c r="E77" s="45"/>
    </row>
    <row r="78" spans="2:5" ht="15.95" customHeight="1" x14ac:dyDescent="0.25">
      <c r="B78" s="65"/>
      <c r="C78" s="42"/>
      <c r="D78" s="45"/>
      <c r="E78" s="45"/>
    </row>
    <row r="79" spans="2:5" ht="15.95" customHeight="1" x14ac:dyDescent="0.25">
      <c r="B79" s="55" t="s">
        <v>0</v>
      </c>
      <c r="C79" s="66">
        <f>SUM(C65:C77)</f>
        <v>10861646.309999999</v>
      </c>
      <c r="D79" s="48"/>
      <c r="E79" s="48"/>
    </row>
    <row r="81" spans="2:5" ht="15.95" customHeight="1" x14ac:dyDescent="0.25">
      <c r="B81" s="54" t="s">
        <v>66</v>
      </c>
    </row>
    <row r="82" spans="2:5" ht="15.95" customHeight="1" x14ac:dyDescent="0.25">
      <c r="B82" s="55" t="s">
        <v>4</v>
      </c>
      <c r="C82" s="55" t="s">
        <v>203</v>
      </c>
      <c r="D82" s="56"/>
      <c r="E82" s="56"/>
    </row>
    <row r="83" spans="2:5" ht="15.95" customHeight="1" x14ac:dyDescent="0.25">
      <c r="B83" s="75"/>
      <c r="C83" s="76"/>
      <c r="D83" s="62"/>
      <c r="E83" s="62"/>
    </row>
    <row r="84" spans="2:5" ht="15.95" customHeight="1" x14ac:dyDescent="0.25">
      <c r="B84" s="65" t="s">
        <v>67</v>
      </c>
      <c r="C84" s="42">
        <f>-4708+'P&amp;L'!E23</f>
        <v>2755328.0500000268</v>
      </c>
      <c r="D84" s="45"/>
      <c r="E84" s="45"/>
    </row>
    <row r="85" spans="2:5" ht="15.95" customHeight="1" x14ac:dyDescent="0.25">
      <c r="B85" s="65"/>
      <c r="C85" s="61"/>
      <c r="D85" s="62"/>
      <c r="E85" s="62"/>
    </row>
    <row r="86" spans="2:5" ht="15.95" customHeight="1" x14ac:dyDescent="0.25">
      <c r="B86" s="55" t="s">
        <v>0</v>
      </c>
      <c r="C86" s="66">
        <f>SUM(C84:C85)</f>
        <v>2755328.0500000268</v>
      </c>
      <c r="D86" s="48"/>
      <c r="E86" s="48"/>
    </row>
    <row r="87" spans="2:5" ht="15.95" customHeight="1" x14ac:dyDescent="0.25">
      <c r="E87" s="67"/>
    </row>
    <row r="88" spans="2:5" ht="15.95" customHeight="1" x14ac:dyDescent="0.25">
      <c r="B88" s="54" t="s">
        <v>68</v>
      </c>
      <c r="E88" s="67"/>
    </row>
    <row r="89" spans="2:5" ht="15.95" customHeight="1" x14ac:dyDescent="0.25">
      <c r="B89" s="55" t="s">
        <v>4</v>
      </c>
      <c r="C89" s="55" t="s">
        <v>203</v>
      </c>
      <c r="D89" s="56"/>
      <c r="E89" s="82"/>
    </row>
    <row r="90" spans="2:5" ht="15.95" customHeight="1" x14ac:dyDescent="0.25">
      <c r="B90" s="75"/>
      <c r="C90" s="76"/>
      <c r="D90" s="62"/>
      <c r="E90" s="62"/>
    </row>
    <row r="91" spans="2:5" ht="15.95" customHeight="1" x14ac:dyDescent="0.25">
      <c r="B91" s="65" t="s">
        <v>69</v>
      </c>
      <c r="C91" s="39">
        <f>+C175</f>
        <v>58174193</v>
      </c>
      <c r="D91" s="45"/>
      <c r="E91" s="45"/>
    </row>
    <row r="92" spans="2:5" ht="15.95" customHeight="1" x14ac:dyDescent="0.25">
      <c r="B92" s="65" t="s">
        <v>70</v>
      </c>
      <c r="C92" s="39">
        <f>+C176</f>
        <v>25014138</v>
      </c>
      <c r="D92" s="45"/>
      <c r="E92" s="45"/>
    </row>
    <row r="93" spans="2:5" ht="15.95" customHeight="1" x14ac:dyDescent="0.25">
      <c r="B93" s="65" t="s">
        <v>71</v>
      </c>
      <c r="C93" s="39">
        <f>+C177</f>
        <v>11313050</v>
      </c>
      <c r="D93" s="45"/>
      <c r="E93" s="45"/>
    </row>
    <row r="94" spans="2:5" ht="15.95" customHeight="1" x14ac:dyDescent="0.25">
      <c r="B94" s="65"/>
      <c r="C94" s="61"/>
      <c r="D94" s="62"/>
      <c r="E94" s="62"/>
    </row>
    <row r="95" spans="2:5" ht="15.95" customHeight="1" x14ac:dyDescent="0.25">
      <c r="B95" s="55" t="s">
        <v>0</v>
      </c>
      <c r="C95" s="66">
        <f>SUM(C91:C94)</f>
        <v>94501381</v>
      </c>
      <c r="D95" s="48"/>
      <c r="E95" s="48"/>
    </row>
    <row r="97" spans="2:5" ht="15.95" customHeight="1" x14ac:dyDescent="0.25">
      <c r="B97" s="54" t="s">
        <v>72</v>
      </c>
    </row>
    <row r="98" spans="2:5" ht="15.95" customHeight="1" x14ac:dyDescent="0.25">
      <c r="B98" s="55" t="s">
        <v>4</v>
      </c>
      <c r="C98" s="55" t="s">
        <v>203</v>
      </c>
      <c r="D98" s="56"/>
      <c r="E98" s="56"/>
    </row>
    <row r="99" spans="2:5" ht="15.95" customHeight="1" x14ac:dyDescent="0.25">
      <c r="B99" s="75"/>
      <c r="C99" s="76"/>
      <c r="D99" s="62"/>
      <c r="E99" s="62"/>
    </row>
    <row r="100" spans="2:5" ht="15.95" customHeight="1" x14ac:dyDescent="0.25">
      <c r="B100" s="65" t="s">
        <v>122</v>
      </c>
      <c r="C100" s="42">
        <f>94733711.89-313481.37-15000</f>
        <v>94405230.519999996</v>
      </c>
      <c r="D100" s="45"/>
      <c r="E100" s="45"/>
    </row>
    <row r="101" spans="2:5" ht="15.95" customHeight="1" x14ac:dyDescent="0.25">
      <c r="B101" s="65"/>
      <c r="C101" s="61"/>
      <c r="D101" s="62"/>
      <c r="E101" s="62"/>
    </row>
    <row r="102" spans="2:5" ht="15.95" customHeight="1" x14ac:dyDescent="0.25">
      <c r="B102" s="55" t="s">
        <v>0</v>
      </c>
      <c r="C102" s="66">
        <f>SUM(C99:C100)</f>
        <v>94405230.519999996</v>
      </c>
      <c r="D102" s="48"/>
      <c r="E102" s="48"/>
    </row>
    <row r="104" spans="2:5" ht="15.95" customHeight="1" x14ac:dyDescent="0.25">
      <c r="B104" s="54" t="s">
        <v>73</v>
      </c>
    </row>
    <row r="105" spans="2:5" ht="15.95" customHeight="1" x14ac:dyDescent="0.25">
      <c r="B105" s="55" t="s">
        <v>4</v>
      </c>
      <c r="C105" s="55" t="s">
        <v>203</v>
      </c>
      <c r="D105" s="56"/>
      <c r="E105" s="56"/>
    </row>
    <row r="106" spans="2:5" ht="15.95" customHeight="1" x14ac:dyDescent="0.25">
      <c r="B106" s="75"/>
      <c r="C106" s="83"/>
      <c r="D106" s="45"/>
      <c r="E106" s="45"/>
    </row>
    <row r="107" spans="2:5" ht="15.95" customHeight="1" x14ac:dyDescent="0.25">
      <c r="B107" s="65" t="s">
        <v>74</v>
      </c>
      <c r="C107" s="42"/>
      <c r="D107" s="45"/>
      <c r="E107" s="45"/>
    </row>
    <row r="108" spans="2:5" ht="15.95" customHeight="1" x14ac:dyDescent="0.25">
      <c r="B108" s="81" t="s">
        <v>76</v>
      </c>
      <c r="C108" s="42">
        <v>480761.66</v>
      </c>
      <c r="D108" s="45"/>
      <c r="E108" s="45"/>
    </row>
    <row r="109" spans="2:5" ht="15.95" customHeight="1" x14ac:dyDescent="0.25">
      <c r="B109" s="81" t="s">
        <v>75</v>
      </c>
      <c r="C109" s="42">
        <v>28657.69</v>
      </c>
      <c r="D109" s="45"/>
      <c r="E109" s="45"/>
    </row>
    <row r="110" spans="2:5" ht="15.95" customHeight="1" x14ac:dyDescent="0.25">
      <c r="B110" s="65"/>
      <c r="C110" s="42"/>
      <c r="D110" s="45"/>
      <c r="E110" s="45"/>
    </row>
    <row r="111" spans="2:5" ht="15.95" customHeight="1" x14ac:dyDescent="0.25">
      <c r="B111" s="65" t="s">
        <v>77</v>
      </c>
      <c r="C111" s="42">
        <v>19252</v>
      </c>
      <c r="D111" s="45"/>
      <c r="E111" s="45"/>
    </row>
    <row r="112" spans="2:5" ht="15.95" customHeight="1" x14ac:dyDescent="0.25">
      <c r="B112" s="65"/>
      <c r="C112" s="42"/>
      <c r="D112" s="45"/>
      <c r="E112" s="45"/>
    </row>
    <row r="113" spans="2:5" ht="15.95" customHeight="1" x14ac:dyDescent="0.25">
      <c r="B113" s="55" t="s">
        <v>0</v>
      </c>
      <c r="C113" s="66">
        <f>SUM(C108:C111)</f>
        <v>528671.35</v>
      </c>
      <c r="D113" s="48"/>
      <c r="E113" s="48"/>
    </row>
    <row r="115" spans="2:5" ht="15.95" customHeight="1" x14ac:dyDescent="0.25">
      <c r="B115" s="54" t="s">
        <v>78</v>
      </c>
    </row>
    <row r="116" spans="2:5" ht="15.95" customHeight="1" x14ac:dyDescent="0.25">
      <c r="B116" s="55" t="s">
        <v>4</v>
      </c>
      <c r="C116" s="55" t="s">
        <v>203</v>
      </c>
      <c r="D116" s="56"/>
      <c r="E116" s="56"/>
    </row>
    <row r="117" spans="2:5" ht="15.95" customHeight="1" x14ac:dyDescent="0.25">
      <c r="B117" s="75"/>
      <c r="C117" s="76"/>
      <c r="D117" s="62"/>
      <c r="E117" s="62"/>
    </row>
    <row r="118" spans="2:5" ht="15.95" customHeight="1" x14ac:dyDescent="0.25">
      <c r="B118" s="68" t="s">
        <v>79</v>
      </c>
      <c r="C118" s="42"/>
      <c r="D118" s="45"/>
      <c r="E118" s="45"/>
    </row>
    <row r="119" spans="2:5" ht="15.95" customHeight="1" x14ac:dyDescent="0.25">
      <c r="B119" s="81" t="s">
        <v>80</v>
      </c>
      <c r="C119" s="42">
        <f>608340+85970+2000+1700</f>
        <v>698010</v>
      </c>
      <c r="D119" s="45"/>
      <c r="E119" s="45"/>
    </row>
    <row r="120" spans="2:5" ht="15.95" customHeight="1" x14ac:dyDescent="0.25">
      <c r="B120" s="81" t="s">
        <v>189</v>
      </c>
      <c r="C120" s="42">
        <v>7500000</v>
      </c>
      <c r="D120" s="45"/>
      <c r="E120" s="45"/>
    </row>
    <row r="121" spans="2:5" ht="15.95" customHeight="1" x14ac:dyDescent="0.25">
      <c r="B121" s="81" t="s">
        <v>153</v>
      </c>
      <c r="C121" s="42">
        <v>8961485</v>
      </c>
      <c r="D121" s="45"/>
      <c r="E121" s="45"/>
    </row>
    <row r="122" spans="2:5" ht="15.95" customHeight="1" x14ac:dyDescent="0.25">
      <c r="B122" s="81" t="s">
        <v>190</v>
      </c>
      <c r="C122" s="42">
        <v>30000</v>
      </c>
      <c r="D122" s="45"/>
      <c r="E122" s="45"/>
    </row>
    <row r="123" spans="2:5" ht="15.95" customHeight="1" x14ac:dyDescent="0.25">
      <c r="B123" s="65"/>
      <c r="C123" s="42"/>
      <c r="D123" s="45"/>
      <c r="E123" s="45"/>
    </row>
    <row r="124" spans="2:5" ht="15.95" customHeight="1" x14ac:dyDescent="0.25">
      <c r="B124" s="68" t="s">
        <v>81</v>
      </c>
      <c r="C124" s="42"/>
      <c r="D124" s="45"/>
      <c r="E124" s="45"/>
    </row>
    <row r="125" spans="2:5" ht="15.95" customHeight="1" x14ac:dyDescent="0.25">
      <c r="B125" s="81" t="s">
        <v>191</v>
      </c>
      <c r="C125" s="42">
        <f>600000+150000+16000</f>
        <v>766000</v>
      </c>
      <c r="D125" s="45"/>
      <c r="E125" s="45"/>
    </row>
    <row r="126" spans="2:5" ht="15.95" customHeight="1" x14ac:dyDescent="0.25">
      <c r="B126" s="81" t="s">
        <v>161</v>
      </c>
      <c r="C126" s="42">
        <v>3000000</v>
      </c>
      <c r="D126" s="45"/>
      <c r="E126" s="45"/>
    </row>
    <row r="127" spans="2:5" ht="15.95" customHeight="1" x14ac:dyDescent="0.25">
      <c r="B127" s="81" t="s">
        <v>121</v>
      </c>
      <c r="C127" s="42">
        <f>467970.4+4871.27</f>
        <v>472841.67000000004</v>
      </c>
      <c r="D127" s="45"/>
      <c r="E127" s="45"/>
    </row>
    <row r="128" spans="2:5" ht="15.95" customHeight="1" x14ac:dyDescent="0.25">
      <c r="B128" s="81" t="s">
        <v>194</v>
      </c>
      <c r="C128" s="42">
        <v>71889.919999999998</v>
      </c>
      <c r="D128" s="45"/>
      <c r="E128" s="45"/>
    </row>
    <row r="129" spans="2:5" ht="15.95" customHeight="1" x14ac:dyDescent="0.25">
      <c r="B129" s="81" t="s">
        <v>154</v>
      </c>
      <c r="C129" s="42">
        <v>16500</v>
      </c>
      <c r="D129" s="45"/>
      <c r="E129" s="45"/>
    </row>
    <row r="130" spans="2:5" ht="15.95" customHeight="1" x14ac:dyDescent="0.25">
      <c r="B130" s="81" t="s">
        <v>200</v>
      </c>
      <c r="C130" s="42">
        <v>9000000</v>
      </c>
      <c r="D130" s="45"/>
      <c r="E130" s="45"/>
    </row>
    <row r="131" spans="2:5" ht="15.95" customHeight="1" x14ac:dyDescent="0.25">
      <c r="B131" s="81" t="s">
        <v>162</v>
      </c>
      <c r="C131" s="42">
        <f>315517+1720</f>
        <v>317237</v>
      </c>
      <c r="D131" s="45"/>
      <c r="E131" s="45"/>
    </row>
    <row r="132" spans="2:5" ht="15.95" customHeight="1" x14ac:dyDescent="0.25">
      <c r="B132" s="81"/>
      <c r="C132" s="42"/>
      <c r="D132" s="45"/>
      <c r="E132" s="45"/>
    </row>
    <row r="133" spans="2:5" ht="15.95" customHeight="1" x14ac:dyDescent="0.25">
      <c r="B133" s="81" t="s">
        <v>192</v>
      </c>
      <c r="C133" s="42">
        <v>5042693</v>
      </c>
      <c r="D133" s="45"/>
      <c r="E133" s="45"/>
    </row>
    <row r="134" spans="2:5" ht="15.95" customHeight="1" x14ac:dyDescent="0.25">
      <c r="B134" s="81" t="s">
        <v>193</v>
      </c>
      <c r="C134" s="42">
        <v>7867988.6200000001</v>
      </c>
      <c r="D134" s="45"/>
      <c r="E134" s="45"/>
    </row>
    <row r="135" spans="2:5" s="86" customFormat="1" ht="15.95" customHeight="1" x14ac:dyDescent="0.25">
      <c r="B135" s="84"/>
      <c r="C135" s="85"/>
      <c r="D135" s="47"/>
      <c r="E135" s="47"/>
    </row>
    <row r="136" spans="2:5" ht="15.95" customHeight="1" x14ac:dyDescent="0.25">
      <c r="B136" s="55" t="s">
        <v>0</v>
      </c>
      <c r="C136" s="66">
        <f>SUM(C118:C134)</f>
        <v>43744645.210000001</v>
      </c>
      <c r="D136" s="48"/>
      <c r="E136" s="48"/>
    </row>
    <row r="138" spans="2:5" ht="15.95" customHeight="1" x14ac:dyDescent="0.25">
      <c r="B138" s="54" t="s">
        <v>82</v>
      </c>
    </row>
    <row r="139" spans="2:5" ht="19.5" customHeight="1" x14ac:dyDescent="0.25">
      <c r="B139" s="55" t="s">
        <v>4</v>
      </c>
      <c r="C139" s="55" t="s">
        <v>203</v>
      </c>
      <c r="D139" s="56"/>
      <c r="E139" s="56"/>
    </row>
    <row r="140" spans="2:5" ht="15.95" customHeight="1" x14ac:dyDescent="0.25">
      <c r="B140" s="75"/>
      <c r="C140" s="76"/>
      <c r="D140" s="62"/>
      <c r="E140" s="62"/>
    </row>
    <row r="141" spans="2:5" ht="15.95" customHeight="1" x14ac:dyDescent="0.25">
      <c r="B141" s="65" t="s">
        <v>83</v>
      </c>
      <c r="C141" s="42">
        <v>458182139.06</v>
      </c>
      <c r="D141" s="45"/>
      <c r="E141" s="45"/>
    </row>
    <row r="142" spans="2:5" ht="15.95" customHeight="1" x14ac:dyDescent="0.25">
      <c r="B142" s="65" t="s">
        <v>163</v>
      </c>
      <c r="C142" s="42">
        <v>2611066.91</v>
      </c>
      <c r="D142" s="45"/>
      <c r="E142" s="45"/>
    </row>
    <row r="143" spans="2:5" ht="15.95" customHeight="1" x14ac:dyDescent="0.25">
      <c r="B143" s="65"/>
      <c r="C143" s="61"/>
      <c r="D143" s="62"/>
      <c r="E143" s="62"/>
    </row>
    <row r="144" spans="2:5" ht="15.95" customHeight="1" x14ac:dyDescent="0.25">
      <c r="B144" s="55" t="s">
        <v>0</v>
      </c>
      <c r="C144" s="66">
        <f>SUM(C141:C143)</f>
        <v>460793205.97000003</v>
      </c>
      <c r="D144" s="48"/>
      <c r="E144" s="48"/>
    </row>
    <row r="146" spans="2:5" ht="15.95" customHeight="1" x14ac:dyDescent="0.25">
      <c r="B146" s="54" t="s">
        <v>84</v>
      </c>
    </row>
    <row r="147" spans="2:5" ht="21" customHeight="1" x14ac:dyDescent="0.25">
      <c r="B147" s="55" t="s">
        <v>4</v>
      </c>
      <c r="C147" s="55" t="s">
        <v>203</v>
      </c>
      <c r="D147" s="56"/>
      <c r="E147" s="56"/>
    </row>
    <row r="148" spans="2:5" ht="15.95" customHeight="1" x14ac:dyDescent="0.25">
      <c r="B148" s="75"/>
      <c r="C148" s="76"/>
      <c r="D148" s="62"/>
      <c r="E148" s="62"/>
    </row>
    <row r="149" spans="2:5" ht="15.95" customHeight="1" x14ac:dyDescent="0.25">
      <c r="B149" s="65" t="s">
        <v>110</v>
      </c>
      <c r="C149" s="42"/>
      <c r="D149" s="45"/>
      <c r="E149" s="45"/>
    </row>
    <row r="150" spans="2:5" ht="15.95" customHeight="1" x14ac:dyDescent="0.25">
      <c r="B150" s="65" t="s">
        <v>7</v>
      </c>
      <c r="C150" s="42">
        <v>338074.51</v>
      </c>
      <c r="D150" s="45"/>
      <c r="E150" s="45"/>
    </row>
    <row r="151" spans="2:5" ht="15.95" customHeight="1" x14ac:dyDescent="0.25">
      <c r="B151" s="65"/>
      <c r="C151" s="42"/>
      <c r="D151" s="45"/>
      <c r="E151" s="45"/>
    </row>
    <row r="152" spans="2:5" ht="15.95" customHeight="1" x14ac:dyDescent="0.25">
      <c r="B152" s="55" t="s">
        <v>0</v>
      </c>
      <c r="C152" s="66">
        <f>SUM(C149:C151)</f>
        <v>338074.51</v>
      </c>
      <c r="D152" s="48"/>
      <c r="E152" s="48"/>
    </row>
    <row r="154" spans="2:5" ht="15.95" customHeight="1" x14ac:dyDescent="0.25">
      <c r="B154" s="54" t="s">
        <v>85</v>
      </c>
    </row>
    <row r="155" spans="2:5" ht="20.25" customHeight="1" x14ac:dyDescent="0.25">
      <c r="B155" s="55" t="s">
        <v>4</v>
      </c>
      <c r="C155" s="55" t="s">
        <v>203</v>
      </c>
      <c r="D155" s="56"/>
      <c r="E155" s="56"/>
    </row>
    <row r="156" spans="2:5" ht="15.95" customHeight="1" x14ac:dyDescent="0.25">
      <c r="B156" s="75"/>
      <c r="C156" s="76"/>
      <c r="D156" s="62"/>
      <c r="E156" s="62"/>
    </row>
    <row r="157" spans="2:5" ht="15.95" customHeight="1" x14ac:dyDescent="0.25">
      <c r="B157" s="65" t="s">
        <v>86</v>
      </c>
      <c r="C157" s="42">
        <f>325220961.9+362501+18957590.65+588442.93+11931240+690149</f>
        <v>357750885.47999996</v>
      </c>
      <c r="D157" s="45"/>
      <c r="E157" s="45"/>
    </row>
    <row r="158" spans="2:5" ht="15.95" customHeight="1" x14ac:dyDescent="0.25">
      <c r="B158" s="65" t="s">
        <v>87</v>
      </c>
      <c r="C158" s="42">
        <f>2728052.93+76241</f>
        <v>2804293.93</v>
      </c>
      <c r="D158" s="45"/>
      <c r="E158" s="45"/>
    </row>
    <row r="159" spans="2:5" ht="15.95" customHeight="1" x14ac:dyDescent="0.25">
      <c r="B159" s="65" t="s">
        <v>88</v>
      </c>
      <c r="C159" s="42">
        <f>1080000+418500</f>
        <v>1498500</v>
      </c>
      <c r="D159" s="45"/>
      <c r="E159" s="45"/>
    </row>
    <row r="160" spans="2:5" ht="15.95" customHeight="1" x14ac:dyDescent="0.25">
      <c r="B160" s="65" t="s">
        <v>89</v>
      </c>
      <c r="C160" s="42">
        <v>5903482</v>
      </c>
      <c r="D160" s="45"/>
      <c r="E160" s="45"/>
    </row>
    <row r="161" spans="2:5" ht="15.95" customHeight="1" x14ac:dyDescent="0.25">
      <c r="B161" s="65" t="s">
        <v>90</v>
      </c>
      <c r="C161" s="42">
        <f>1013998+16510253</f>
        <v>17524251</v>
      </c>
      <c r="D161" s="45"/>
      <c r="E161" s="45"/>
    </row>
    <row r="162" spans="2:5" ht="15.95" customHeight="1" x14ac:dyDescent="0.25">
      <c r="B162" s="65" t="s">
        <v>111</v>
      </c>
      <c r="C162" s="42">
        <f>36000+1086090.89+48650+217760+538351+19288+54815.2</f>
        <v>2000955.0899999999</v>
      </c>
      <c r="D162" s="45"/>
      <c r="E162" s="45"/>
    </row>
    <row r="163" spans="2:5" ht="15.95" customHeight="1" x14ac:dyDescent="0.25">
      <c r="B163" s="65"/>
      <c r="C163" s="61"/>
      <c r="D163" s="62"/>
      <c r="E163" s="62"/>
    </row>
    <row r="164" spans="2:5" ht="15.95" customHeight="1" x14ac:dyDescent="0.25">
      <c r="B164" s="55" t="s">
        <v>0</v>
      </c>
      <c r="C164" s="66">
        <f>SUM(C157:C162)</f>
        <v>387482367.49999994</v>
      </c>
      <c r="D164" s="48"/>
      <c r="E164" s="48"/>
    </row>
    <row r="166" spans="2:5" ht="15.95" customHeight="1" x14ac:dyDescent="0.25">
      <c r="B166" s="54" t="s">
        <v>91</v>
      </c>
    </row>
    <row r="167" spans="2:5" ht="20.25" customHeight="1" x14ac:dyDescent="0.25">
      <c r="B167" s="55" t="s">
        <v>4</v>
      </c>
      <c r="C167" s="55" t="s">
        <v>203</v>
      </c>
      <c r="D167" s="56"/>
      <c r="E167" s="56"/>
    </row>
    <row r="168" spans="2:5" ht="15.95" customHeight="1" x14ac:dyDescent="0.25">
      <c r="B168" s="75"/>
      <c r="C168" s="75"/>
      <c r="D168" s="62"/>
      <c r="E168" s="62"/>
    </row>
    <row r="169" spans="2:5" ht="15.95" customHeight="1" x14ac:dyDescent="0.25">
      <c r="B169" s="68" t="s">
        <v>95</v>
      </c>
      <c r="C169" s="39"/>
      <c r="D169" s="45"/>
      <c r="E169" s="45"/>
    </row>
    <row r="170" spans="2:5" ht="15.95" customHeight="1" x14ac:dyDescent="0.25">
      <c r="B170" s="81" t="s">
        <v>92</v>
      </c>
      <c r="C170" s="39">
        <v>11788946</v>
      </c>
      <c r="D170" s="45"/>
      <c r="E170" s="45"/>
    </row>
    <row r="171" spans="2:5" ht="15.95" customHeight="1" x14ac:dyDescent="0.25">
      <c r="B171" s="81" t="s">
        <v>93</v>
      </c>
      <c r="C171" s="39">
        <v>9882053</v>
      </c>
      <c r="D171" s="45"/>
      <c r="E171" s="45"/>
    </row>
    <row r="172" spans="2:5" ht="15.95" customHeight="1" x14ac:dyDescent="0.25">
      <c r="B172" s="81" t="s">
        <v>94</v>
      </c>
      <c r="C172" s="39">
        <v>35225008</v>
      </c>
      <c r="D172" s="45"/>
      <c r="E172" s="45"/>
    </row>
    <row r="173" spans="2:5" ht="15.95" customHeight="1" thickBot="1" x14ac:dyDescent="0.3">
      <c r="B173" s="65"/>
      <c r="C173" s="87">
        <f>SUM(C170:C172)</f>
        <v>56896007</v>
      </c>
      <c r="D173" s="48"/>
      <c r="E173" s="48"/>
    </row>
    <row r="174" spans="2:5" ht="15.95" customHeight="1" thickTop="1" x14ac:dyDescent="0.25">
      <c r="B174" s="68" t="s">
        <v>112</v>
      </c>
      <c r="C174" s="39"/>
      <c r="D174" s="45"/>
      <c r="E174" s="45"/>
    </row>
    <row r="175" spans="2:5" ht="15.95" customHeight="1" x14ac:dyDescent="0.25">
      <c r="B175" s="81" t="s">
        <v>92</v>
      </c>
      <c r="C175" s="39">
        <v>58174193</v>
      </c>
      <c r="D175" s="45"/>
      <c r="E175" s="45"/>
    </row>
    <row r="176" spans="2:5" ht="15.95" customHeight="1" x14ac:dyDescent="0.25">
      <c r="B176" s="81" t="s">
        <v>93</v>
      </c>
      <c r="C176" s="39">
        <v>25014138</v>
      </c>
      <c r="D176" s="45"/>
      <c r="E176" s="45"/>
    </row>
    <row r="177" spans="2:5" ht="15.95" customHeight="1" x14ac:dyDescent="0.25">
      <c r="B177" s="81" t="s">
        <v>94</v>
      </c>
      <c r="C177" s="39">
        <v>11313050</v>
      </c>
      <c r="D177" s="45"/>
      <c r="E177" s="45"/>
    </row>
    <row r="178" spans="2:5" ht="15.95" customHeight="1" thickBot="1" x14ac:dyDescent="0.3">
      <c r="B178" s="81"/>
      <c r="C178" s="87">
        <f>SUM(C175:C177)</f>
        <v>94501381</v>
      </c>
      <c r="D178" s="48"/>
      <c r="E178" s="48"/>
    </row>
    <row r="179" spans="2:5" ht="15.95" customHeight="1" thickTop="1" x14ac:dyDescent="0.25">
      <c r="B179" s="65"/>
      <c r="C179" s="65"/>
      <c r="D179" s="62"/>
      <c r="E179" s="62"/>
    </row>
    <row r="180" spans="2:5" ht="15.95" customHeight="1" x14ac:dyDescent="0.25">
      <c r="B180" s="55" t="s">
        <v>0</v>
      </c>
      <c r="C180" s="88">
        <f>+C173-C178</f>
        <v>-37605374</v>
      </c>
      <c r="D180" s="48"/>
      <c r="E180" s="48"/>
    </row>
    <row r="182" spans="2:5" ht="15.95" customHeight="1" x14ac:dyDescent="0.25">
      <c r="B182" s="54" t="s">
        <v>96</v>
      </c>
    </row>
    <row r="183" spans="2:5" ht="20.25" customHeight="1" x14ac:dyDescent="0.25">
      <c r="B183" s="55" t="s">
        <v>4</v>
      </c>
      <c r="C183" s="55" t="s">
        <v>203</v>
      </c>
      <c r="D183" s="56"/>
      <c r="E183" s="56"/>
    </row>
    <row r="184" spans="2:5" ht="15.95" customHeight="1" x14ac:dyDescent="0.25">
      <c r="B184" s="75"/>
      <c r="C184" s="76"/>
      <c r="D184" s="62"/>
      <c r="E184" s="62"/>
    </row>
    <row r="185" spans="2:5" ht="15.95" customHeight="1" x14ac:dyDescent="0.25">
      <c r="B185" s="65" t="s">
        <v>97</v>
      </c>
      <c r="C185" s="42">
        <f>603520+1120827+165550+1887255</f>
        <v>3777152</v>
      </c>
      <c r="D185" s="45"/>
      <c r="E185" s="45"/>
    </row>
    <row r="186" spans="2:5" ht="15.95" customHeight="1" x14ac:dyDescent="0.25">
      <c r="B186" s="65" t="s">
        <v>98</v>
      </c>
      <c r="C186" s="42">
        <v>724787</v>
      </c>
      <c r="D186" s="45"/>
      <c r="E186" s="45"/>
    </row>
    <row r="187" spans="2:5" ht="15.95" customHeight="1" x14ac:dyDescent="0.25">
      <c r="B187" s="65" t="s">
        <v>99</v>
      </c>
      <c r="C187" s="42">
        <v>18000000</v>
      </c>
      <c r="D187" s="45"/>
      <c r="E187" s="45"/>
    </row>
    <row r="188" spans="2:5" ht="15.95" customHeight="1" x14ac:dyDescent="0.25">
      <c r="B188" s="65" t="s">
        <v>100</v>
      </c>
      <c r="C188" s="42">
        <v>186058</v>
      </c>
      <c r="D188" s="45"/>
      <c r="E188" s="45"/>
    </row>
    <row r="189" spans="2:5" ht="15.95" customHeight="1" x14ac:dyDescent="0.25">
      <c r="B189" s="65"/>
      <c r="C189" s="42"/>
      <c r="D189" s="45"/>
      <c r="E189" s="45"/>
    </row>
    <row r="190" spans="2:5" ht="15.95" customHeight="1" x14ac:dyDescent="0.25">
      <c r="B190" s="55" t="s">
        <v>0</v>
      </c>
      <c r="C190" s="66">
        <f>SUM(C185:C189)</f>
        <v>22687997</v>
      </c>
      <c r="D190" s="48"/>
      <c r="E190" s="48"/>
    </row>
    <row r="192" spans="2:5" ht="15.95" customHeight="1" x14ac:dyDescent="0.25">
      <c r="B192" s="54" t="s">
        <v>101</v>
      </c>
    </row>
    <row r="193" spans="2:5" ht="21" customHeight="1" x14ac:dyDescent="0.25">
      <c r="B193" s="55" t="s">
        <v>4</v>
      </c>
      <c r="C193" s="55" t="s">
        <v>203</v>
      </c>
      <c r="D193" s="56"/>
      <c r="E193" s="56"/>
    </row>
    <row r="194" spans="2:5" ht="15.95" customHeight="1" x14ac:dyDescent="0.25">
      <c r="B194" s="75"/>
      <c r="C194" s="76"/>
      <c r="D194" s="62"/>
      <c r="E194" s="62"/>
    </row>
    <row r="195" spans="2:5" ht="15.95" customHeight="1" x14ac:dyDescent="0.25">
      <c r="B195" s="65" t="s">
        <v>168</v>
      </c>
      <c r="C195" s="42">
        <v>2778556.94</v>
      </c>
      <c r="D195" s="45"/>
      <c r="E195" s="45"/>
    </row>
    <row r="196" spans="2:5" ht="15.95" customHeight="1" x14ac:dyDescent="0.25">
      <c r="B196" s="65" t="s">
        <v>164</v>
      </c>
      <c r="C196" s="42">
        <v>2577688.61</v>
      </c>
      <c r="D196" s="45"/>
    </row>
    <row r="197" spans="2:5" ht="15.95" customHeight="1" x14ac:dyDescent="0.25">
      <c r="B197" s="65" t="s">
        <v>165</v>
      </c>
      <c r="C197" s="42">
        <v>10351399.35</v>
      </c>
      <c r="D197" s="45"/>
      <c r="E197" s="45"/>
    </row>
    <row r="198" spans="2:5" ht="15.95" customHeight="1" x14ac:dyDescent="0.25">
      <c r="B198" s="65" t="s">
        <v>166</v>
      </c>
      <c r="C198" s="42">
        <v>2742138</v>
      </c>
      <c r="D198" s="45"/>
      <c r="E198" s="45"/>
    </row>
    <row r="199" spans="2:5" ht="15.95" customHeight="1" x14ac:dyDescent="0.25">
      <c r="B199" s="65" t="s">
        <v>167</v>
      </c>
      <c r="C199" s="42">
        <v>447145</v>
      </c>
      <c r="D199" s="45"/>
      <c r="E199" s="45"/>
    </row>
    <row r="200" spans="2:5" ht="15.95" customHeight="1" x14ac:dyDescent="0.25">
      <c r="B200" s="65" t="s">
        <v>169</v>
      </c>
      <c r="C200" s="42">
        <v>2461577</v>
      </c>
      <c r="D200" s="45"/>
      <c r="E200" s="45"/>
    </row>
    <row r="201" spans="2:5" ht="15.95" customHeight="1" x14ac:dyDescent="0.25">
      <c r="B201" s="65" t="s">
        <v>170</v>
      </c>
      <c r="C201" s="42">
        <v>112624.49</v>
      </c>
      <c r="D201" s="45"/>
      <c r="E201" s="45"/>
    </row>
    <row r="202" spans="2:5" ht="15.95" customHeight="1" x14ac:dyDescent="0.25">
      <c r="B202" s="65" t="s">
        <v>171</v>
      </c>
      <c r="C202" s="42">
        <v>8743.08</v>
      </c>
      <c r="D202" s="45"/>
      <c r="E202" s="45"/>
    </row>
    <row r="203" spans="2:5" ht="15.95" customHeight="1" x14ac:dyDescent="0.25">
      <c r="B203" s="65" t="s">
        <v>205</v>
      </c>
      <c r="C203" s="42">
        <v>34676</v>
      </c>
      <c r="D203" s="45"/>
      <c r="E203" s="45"/>
    </row>
    <row r="204" spans="2:5" ht="15.95" customHeight="1" x14ac:dyDescent="0.25">
      <c r="B204" s="65" t="s">
        <v>204</v>
      </c>
      <c r="C204" s="42">
        <v>3490000</v>
      </c>
      <c r="D204" s="45"/>
      <c r="E204" s="45"/>
    </row>
    <row r="205" spans="2:5" ht="15.95" customHeight="1" x14ac:dyDescent="0.25">
      <c r="B205" s="65" t="s">
        <v>172</v>
      </c>
      <c r="C205" s="42">
        <f>10663+40422</f>
        <v>51085</v>
      </c>
      <c r="D205" s="45"/>
      <c r="E205" s="45"/>
    </row>
    <row r="206" spans="2:5" ht="15.95" customHeight="1" x14ac:dyDescent="0.25">
      <c r="B206" s="65"/>
      <c r="C206" s="42"/>
      <c r="D206" s="45"/>
      <c r="E206" s="45"/>
    </row>
    <row r="207" spans="2:5" ht="15.95" customHeight="1" x14ac:dyDescent="0.25">
      <c r="B207" s="55" t="s">
        <v>0</v>
      </c>
      <c r="C207" s="66">
        <f>SUM(C195:C205)</f>
        <v>25055633.469999995</v>
      </c>
      <c r="D207" s="48"/>
      <c r="E207" s="48"/>
    </row>
    <row r="209" spans="2:5" ht="15.95" customHeight="1" x14ac:dyDescent="0.25">
      <c r="B209" s="54" t="s">
        <v>102</v>
      </c>
    </row>
    <row r="210" spans="2:5" ht="18" customHeight="1" x14ac:dyDescent="0.25">
      <c r="B210" s="55" t="s">
        <v>4</v>
      </c>
      <c r="C210" s="55" t="s">
        <v>203</v>
      </c>
      <c r="D210" s="56"/>
      <c r="E210" s="56"/>
    </row>
    <row r="211" spans="2:5" ht="15.95" customHeight="1" x14ac:dyDescent="0.25">
      <c r="B211" s="75"/>
      <c r="C211" s="76"/>
      <c r="D211" s="62"/>
      <c r="E211" s="62"/>
    </row>
    <row r="212" spans="2:5" ht="15.95" customHeight="1" x14ac:dyDescent="0.25">
      <c r="B212" s="65" t="s">
        <v>176</v>
      </c>
      <c r="C212" s="42">
        <v>124398.31</v>
      </c>
      <c r="D212" s="45"/>
      <c r="E212" s="62"/>
    </row>
    <row r="213" spans="2:5" ht="15.95" customHeight="1" x14ac:dyDescent="0.25">
      <c r="B213" s="65" t="s">
        <v>103</v>
      </c>
      <c r="C213" s="42">
        <v>181230.28</v>
      </c>
      <c r="D213" s="45"/>
      <c r="E213" s="45"/>
    </row>
    <row r="214" spans="2:5" ht="15.95" customHeight="1" x14ac:dyDescent="0.25">
      <c r="B214" s="65" t="s">
        <v>104</v>
      </c>
      <c r="C214" s="42">
        <f>183555.04+7829.57</f>
        <v>191384.61000000002</v>
      </c>
      <c r="D214" s="45"/>
      <c r="E214" s="45"/>
    </row>
    <row r="215" spans="2:5" ht="15.95" customHeight="1" x14ac:dyDescent="0.25">
      <c r="B215" s="65" t="s">
        <v>178</v>
      </c>
      <c r="C215" s="42">
        <v>316509.90000000002</v>
      </c>
      <c r="D215" s="45"/>
      <c r="E215" s="45"/>
    </row>
    <row r="216" spans="2:5" ht="15.95" customHeight="1" x14ac:dyDescent="0.25">
      <c r="B216" s="65" t="s">
        <v>173</v>
      </c>
      <c r="C216" s="42">
        <v>349994</v>
      </c>
      <c r="D216" s="45"/>
      <c r="E216" s="45"/>
    </row>
    <row r="217" spans="2:5" ht="15.95" customHeight="1" x14ac:dyDescent="0.25">
      <c r="B217" s="65" t="s">
        <v>105</v>
      </c>
      <c r="C217" s="42">
        <v>319333</v>
      </c>
      <c r="D217" s="45"/>
      <c r="E217" s="45"/>
    </row>
    <row r="218" spans="2:5" ht="15.95" customHeight="1" x14ac:dyDescent="0.25">
      <c r="B218" s="65" t="s">
        <v>106</v>
      </c>
      <c r="C218" s="42">
        <f>43350+636650.17+149381.61+35543.28+1547565.91</f>
        <v>2412490.9699999997</v>
      </c>
      <c r="D218" s="45"/>
      <c r="E218" s="45"/>
    </row>
    <row r="219" spans="2:5" ht="15.95" customHeight="1" x14ac:dyDescent="0.25">
      <c r="B219" s="65" t="s">
        <v>107</v>
      </c>
      <c r="C219" s="42">
        <f>650878+111000</f>
        <v>761878</v>
      </c>
      <c r="D219" s="45"/>
      <c r="E219" s="45"/>
    </row>
    <row r="220" spans="2:5" ht="15.95" customHeight="1" x14ac:dyDescent="0.25">
      <c r="B220" s="65" t="s">
        <v>108</v>
      </c>
      <c r="C220" s="42">
        <f>115046+62500+2500</f>
        <v>180046</v>
      </c>
      <c r="D220" s="45"/>
      <c r="E220" s="45"/>
    </row>
    <row r="221" spans="2:5" ht="15.95" customHeight="1" x14ac:dyDescent="0.25">
      <c r="B221" s="65" t="s">
        <v>177</v>
      </c>
      <c r="C221" s="42">
        <f>200+234228+829+265400</f>
        <v>500657</v>
      </c>
      <c r="D221" s="45"/>
      <c r="E221" s="45"/>
    </row>
    <row r="222" spans="2:5" ht="15.95" customHeight="1" x14ac:dyDescent="0.25">
      <c r="B222" s="65" t="s">
        <v>174</v>
      </c>
      <c r="C222" s="42">
        <v>819284</v>
      </c>
      <c r="D222" s="45"/>
      <c r="E222" s="45"/>
    </row>
    <row r="223" spans="2:5" ht="15.95" customHeight="1" x14ac:dyDescent="0.25">
      <c r="B223" s="65" t="s">
        <v>175</v>
      </c>
      <c r="C223" s="42">
        <f>234150+18000</f>
        <v>252150</v>
      </c>
      <c r="D223" s="45"/>
      <c r="E223" s="45"/>
    </row>
    <row r="224" spans="2:5" ht="15.95" customHeight="1" x14ac:dyDescent="0.25">
      <c r="B224" s="65" t="s">
        <v>113</v>
      </c>
      <c r="C224" s="42">
        <v>2263892.96</v>
      </c>
      <c r="D224" s="45"/>
      <c r="E224" s="45"/>
    </row>
    <row r="225" spans="2:6" ht="15.95" customHeight="1" x14ac:dyDescent="0.25">
      <c r="B225" s="65" t="s">
        <v>109</v>
      </c>
      <c r="C225" s="42">
        <v>3014849.53</v>
      </c>
      <c r="D225" s="45"/>
      <c r="E225" s="45"/>
    </row>
    <row r="226" spans="2:6" ht="15.95" customHeight="1" x14ac:dyDescent="0.25">
      <c r="B226" s="65" t="s">
        <v>114</v>
      </c>
      <c r="C226" s="42">
        <v>5461542.7800000003</v>
      </c>
      <c r="D226" s="45"/>
      <c r="E226" s="45"/>
    </row>
    <row r="227" spans="2:6" ht="15.95" customHeight="1" x14ac:dyDescent="0.25">
      <c r="B227" s="65" t="s">
        <v>115</v>
      </c>
      <c r="C227" s="42">
        <f>7500+328812.25+180128.08+4155.44+196116+1.2</f>
        <v>716712.97</v>
      </c>
      <c r="D227" s="45"/>
      <c r="F227" s="45"/>
    </row>
    <row r="228" spans="2:6" ht="15.95" customHeight="1" x14ac:dyDescent="0.25">
      <c r="B228" s="65" t="s">
        <v>206</v>
      </c>
      <c r="C228" s="42">
        <v>175000</v>
      </c>
      <c r="D228" s="45"/>
      <c r="E228" s="45"/>
    </row>
    <row r="229" spans="2:6" ht="15.95" customHeight="1" x14ac:dyDescent="0.25">
      <c r="B229" s="65" t="s">
        <v>152</v>
      </c>
      <c r="C229" s="42">
        <v>479834</v>
      </c>
      <c r="D229" s="45"/>
      <c r="E229" s="45"/>
    </row>
    <row r="230" spans="2:6" ht="15.95" customHeight="1" x14ac:dyDescent="0.25">
      <c r="B230" s="65" t="s">
        <v>116</v>
      </c>
      <c r="C230" s="42">
        <f>23732+42718+544808+932030+345150</f>
        <v>1888438</v>
      </c>
      <c r="D230" s="45"/>
      <c r="E230" s="45"/>
    </row>
    <row r="231" spans="2:6" ht="15.95" customHeight="1" x14ac:dyDescent="0.25">
      <c r="B231" s="65" t="s">
        <v>160</v>
      </c>
      <c r="C231" s="42">
        <v>109610</v>
      </c>
      <c r="D231" s="45"/>
      <c r="E231" s="45"/>
    </row>
    <row r="232" spans="2:6" ht="15.95" customHeight="1" x14ac:dyDescent="0.25">
      <c r="B232" s="65"/>
      <c r="C232" s="42"/>
      <c r="D232" s="45"/>
      <c r="E232" s="45"/>
    </row>
    <row r="233" spans="2:6" ht="15.95" customHeight="1" x14ac:dyDescent="0.25">
      <c r="B233" s="55" t="s">
        <v>0</v>
      </c>
      <c r="C233" s="66">
        <f>SUM(C212:C231)</f>
        <v>20519236.309999999</v>
      </c>
      <c r="D233" s="48"/>
      <c r="E233" s="48"/>
    </row>
    <row r="235" spans="2:6" ht="15.95" customHeight="1" x14ac:dyDescent="0.25">
      <c r="C235" s="67"/>
      <c r="D235" s="67"/>
      <c r="E235" s="67"/>
    </row>
    <row r="236" spans="2:6" ht="15.95" customHeight="1" x14ac:dyDescent="0.25">
      <c r="C236" s="67"/>
      <c r="D236" s="67"/>
      <c r="E236" s="67"/>
    </row>
    <row r="237" spans="2:6" ht="15.95" customHeight="1" x14ac:dyDescent="0.25">
      <c r="C237" s="67"/>
      <c r="D237" s="67"/>
      <c r="E237" s="67"/>
    </row>
  </sheetData>
  <printOptions horizontalCentered="1"/>
  <pageMargins left="0.45" right="0.45" top="0.75" bottom="0.5" header="0.3" footer="0.3"/>
  <pageSetup paperSize="9" scale="2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22"/>
  <sheetViews>
    <sheetView topLeftCell="I1" workbookViewId="0">
      <selection activeCell="E19" sqref="E19:L21"/>
    </sheetView>
  </sheetViews>
  <sheetFormatPr defaultRowHeight="18" customHeight="1" x14ac:dyDescent="0.2"/>
  <cols>
    <col min="1" max="2" width="9.140625" style="33"/>
    <col min="3" max="3" width="28" style="33" customWidth="1"/>
    <col min="4" max="4" width="17.85546875" style="33" bestFit="1" customWidth="1"/>
    <col min="5" max="6" width="18.28515625" style="33" bestFit="1" customWidth="1"/>
    <col min="7" max="7" width="17.85546875" style="33" bestFit="1" customWidth="1"/>
    <col min="8" max="8" width="16.42578125" style="33" bestFit="1" customWidth="1"/>
    <col min="9" max="10" width="17.85546875" style="33" bestFit="1" customWidth="1"/>
    <col min="11" max="11" width="18.28515625" style="33" bestFit="1" customWidth="1"/>
    <col min="12" max="12" width="9.140625" style="33"/>
    <col min="13" max="13" width="15.140625" style="33" bestFit="1" customWidth="1"/>
    <col min="14" max="16384" width="9.140625" style="33"/>
  </cols>
  <sheetData>
    <row r="3" spans="2:13" ht="18" customHeight="1" x14ac:dyDescent="0.2">
      <c r="B3" s="4" t="s">
        <v>149</v>
      </c>
    </row>
    <row r="4" spans="2:13" s="3" customFormat="1" ht="18" customHeight="1" x14ac:dyDescent="0.25">
      <c r="B4" s="51"/>
      <c r="C4" s="53" t="s">
        <v>123</v>
      </c>
      <c r="D4" s="51" t="s">
        <v>125</v>
      </c>
      <c r="E4" s="51"/>
      <c r="F4" s="51"/>
      <c r="G4" s="51" t="s">
        <v>126</v>
      </c>
      <c r="H4" s="51"/>
      <c r="I4" s="51"/>
      <c r="J4" s="51" t="s">
        <v>127</v>
      </c>
      <c r="K4" s="51"/>
    </row>
    <row r="5" spans="2:13" s="34" customFormat="1" ht="48.75" customHeight="1" x14ac:dyDescent="0.25">
      <c r="B5" s="51"/>
      <c r="C5" s="53"/>
      <c r="D5" s="44" t="s">
        <v>195</v>
      </c>
      <c r="E5" s="28" t="s">
        <v>124</v>
      </c>
      <c r="F5" s="46" t="s">
        <v>207</v>
      </c>
      <c r="G5" s="44" t="s">
        <v>195</v>
      </c>
      <c r="H5" s="44" t="s">
        <v>199</v>
      </c>
      <c r="I5" s="46" t="s">
        <v>207</v>
      </c>
      <c r="J5" s="44" t="s">
        <v>195</v>
      </c>
      <c r="K5" s="46" t="s">
        <v>207</v>
      </c>
    </row>
    <row r="6" spans="2:13" s="3" customFormat="1" ht="18" customHeight="1" x14ac:dyDescent="0.25">
      <c r="B6" s="26" t="s">
        <v>138</v>
      </c>
      <c r="C6" s="35" t="s">
        <v>128</v>
      </c>
      <c r="D6" s="17"/>
      <c r="E6" s="17"/>
      <c r="F6" s="17"/>
      <c r="G6" s="17"/>
      <c r="H6" s="37"/>
      <c r="I6" s="27"/>
      <c r="J6" s="17"/>
      <c r="K6" s="27"/>
    </row>
    <row r="7" spans="2:13" s="3" customFormat="1" ht="18" customHeight="1" x14ac:dyDescent="0.25">
      <c r="B7" s="7" t="s">
        <v>139</v>
      </c>
      <c r="C7" s="20" t="s">
        <v>129</v>
      </c>
      <c r="D7" s="27">
        <v>24942539.25</v>
      </c>
      <c r="E7" s="27"/>
      <c r="F7" s="27">
        <f>+D7+E7</f>
        <v>24942539.25</v>
      </c>
      <c r="G7" s="27">
        <v>0</v>
      </c>
      <c r="H7" s="27"/>
      <c r="I7" s="27">
        <f>+G7+H7</f>
        <v>0</v>
      </c>
      <c r="J7" s="27">
        <f>+D7-G7</f>
        <v>24942539.25</v>
      </c>
      <c r="K7" s="27">
        <f>F7-I7</f>
        <v>24942539.25</v>
      </c>
      <c r="M7" s="24"/>
    </row>
    <row r="8" spans="2:13" s="3" customFormat="1" ht="18" customHeight="1" x14ac:dyDescent="0.25">
      <c r="B8" s="7" t="s">
        <v>140</v>
      </c>
      <c r="C8" s="20" t="s">
        <v>130</v>
      </c>
      <c r="D8" s="27">
        <v>82773607.349999994</v>
      </c>
      <c r="E8" s="27"/>
      <c r="F8" s="27">
        <f t="shared" ref="F8:F17" si="0">+D8+E8</f>
        <v>82773607.349999994</v>
      </c>
      <c r="G8" s="27">
        <v>22264800.82</v>
      </c>
      <c r="H8" s="27">
        <v>5747552</v>
      </c>
      <c r="I8" s="27">
        <f t="shared" ref="I8:I17" si="1">+G8+H8</f>
        <v>28012352.82</v>
      </c>
      <c r="J8" s="27">
        <f t="shared" ref="J8:J17" si="2">+D8-G8</f>
        <v>60508806.529999994</v>
      </c>
      <c r="K8" s="27">
        <f t="shared" ref="K8:K17" si="3">F8-I8</f>
        <v>54761254.529999994</v>
      </c>
      <c r="M8" s="24"/>
    </row>
    <row r="9" spans="2:13" s="3" customFormat="1" ht="18" customHeight="1" x14ac:dyDescent="0.25">
      <c r="B9" s="7" t="s">
        <v>141</v>
      </c>
      <c r="C9" s="20" t="s">
        <v>131</v>
      </c>
      <c r="D9" s="27">
        <v>1400345.65</v>
      </c>
      <c r="E9" s="27">
        <v>852838.93</v>
      </c>
      <c r="F9" s="27">
        <f t="shared" si="0"/>
        <v>2253184.58</v>
      </c>
      <c r="G9" s="27">
        <v>1129403.3799999999</v>
      </c>
      <c r="H9" s="27">
        <v>154508</v>
      </c>
      <c r="I9" s="27">
        <f t="shared" si="1"/>
        <v>1283911.3799999999</v>
      </c>
      <c r="J9" s="27">
        <f t="shared" si="2"/>
        <v>270942.27</v>
      </c>
      <c r="K9" s="27">
        <f t="shared" si="3"/>
        <v>969273.20000000019</v>
      </c>
      <c r="M9" s="24"/>
    </row>
    <row r="10" spans="2:13" s="3" customFormat="1" ht="18" customHeight="1" x14ac:dyDescent="0.25">
      <c r="B10" s="7" t="s">
        <v>142</v>
      </c>
      <c r="C10" s="20" t="s">
        <v>132</v>
      </c>
      <c r="D10" s="27">
        <v>199784</v>
      </c>
      <c r="E10" s="39"/>
      <c r="F10" s="27">
        <f t="shared" si="0"/>
        <v>199784</v>
      </c>
      <c r="G10" s="27">
        <v>131838.82</v>
      </c>
      <c r="H10" s="27">
        <v>11419</v>
      </c>
      <c r="I10" s="27">
        <f t="shared" si="1"/>
        <v>143257.82</v>
      </c>
      <c r="J10" s="27">
        <f t="shared" si="2"/>
        <v>67945.179999999993</v>
      </c>
      <c r="K10" s="27">
        <f t="shared" si="3"/>
        <v>56526.179999999993</v>
      </c>
      <c r="M10" s="24"/>
    </row>
    <row r="11" spans="2:13" s="3" customFormat="1" ht="18" customHeight="1" x14ac:dyDescent="0.25">
      <c r="B11" s="7" t="s">
        <v>143</v>
      </c>
      <c r="C11" s="20" t="s">
        <v>133</v>
      </c>
      <c r="D11" s="27">
        <v>206210066.41999999</v>
      </c>
      <c r="E11" s="27">
        <v>5802500</v>
      </c>
      <c r="F11" s="27">
        <f t="shared" si="0"/>
        <v>212012566.41999999</v>
      </c>
      <c r="G11" s="27">
        <v>79634740.489999995</v>
      </c>
      <c r="H11" s="27">
        <v>22919650</v>
      </c>
      <c r="I11" s="27">
        <f t="shared" si="1"/>
        <v>102554390.48999999</v>
      </c>
      <c r="J11" s="27">
        <f t="shared" si="2"/>
        <v>126575325.92999999</v>
      </c>
      <c r="K11" s="27">
        <f t="shared" si="3"/>
        <v>109458175.92999999</v>
      </c>
      <c r="M11" s="24"/>
    </row>
    <row r="12" spans="2:13" s="3" customFormat="1" ht="18" customHeight="1" x14ac:dyDescent="0.25">
      <c r="B12" s="7" t="s">
        <v>144</v>
      </c>
      <c r="C12" s="20" t="s">
        <v>134</v>
      </c>
      <c r="D12" s="27">
        <v>25500</v>
      </c>
      <c r="E12" s="27"/>
      <c r="F12" s="27">
        <f t="shared" si="0"/>
        <v>25500</v>
      </c>
      <c r="G12" s="27">
        <v>23709.11</v>
      </c>
      <c r="H12" s="27">
        <v>170</v>
      </c>
      <c r="I12" s="27">
        <f t="shared" si="1"/>
        <v>23879.11</v>
      </c>
      <c r="J12" s="27">
        <f t="shared" si="2"/>
        <v>1790.8899999999994</v>
      </c>
      <c r="K12" s="27">
        <f t="shared" si="3"/>
        <v>1620.8899999999994</v>
      </c>
      <c r="M12" s="24"/>
    </row>
    <row r="13" spans="2:13" s="3" customFormat="1" ht="18" customHeight="1" x14ac:dyDescent="0.25">
      <c r="B13" s="7" t="s">
        <v>145</v>
      </c>
      <c r="C13" s="20" t="s">
        <v>135</v>
      </c>
      <c r="D13" s="27">
        <v>20948</v>
      </c>
      <c r="E13" s="27"/>
      <c r="F13" s="27">
        <f t="shared" si="0"/>
        <v>20948</v>
      </c>
      <c r="G13" s="27">
        <v>20546.23</v>
      </c>
      <c r="H13" s="27">
        <v>0</v>
      </c>
      <c r="I13" s="27">
        <f t="shared" si="1"/>
        <v>20546.23</v>
      </c>
      <c r="J13" s="27">
        <f t="shared" si="2"/>
        <v>401.77000000000044</v>
      </c>
      <c r="K13" s="27">
        <f t="shared" si="3"/>
        <v>401.77000000000044</v>
      </c>
      <c r="M13" s="24"/>
    </row>
    <row r="14" spans="2:13" s="3" customFormat="1" ht="18" customHeight="1" x14ac:dyDescent="0.25">
      <c r="B14" s="7" t="s">
        <v>146</v>
      </c>
      <c r="C14" s="20" t="s">
        <v>198</v>
      </c>
      <c r="D14" s="27">
        <v>768846.22</v>
      </c>
      <c r="E14" s="27">
        <v>82583.429999999993</v>
      </c>
      <c r="F14" s="27">
        <f t="shared" si="0"/>
        <v>851429.64999999991</v>
      </c>
      <c r="G14" s="27">
        <v>480041.58</v>
      </c>
      <c r="H14" s="27">
        <v>112676</v>
      </c>
      <c r="I14" s="27">
        <f t="shared" si="1"/>
        <v>592717.58000000007</v>
      </c>
      <c r="J14" s="27">
        <f t="shared" si="2"/>
        <v>288804.63999999996</v>
      </c>
      <c r="K14" s="27">
        <f t="shared" si="3"/>
        <v>258712.06999999983</v>
      </c>
      <c r="M14" s="24"/>
    </row>
    <row r="15" spans="2:13" s="3" customFormat="1" ht="18" customHeight="1" x14ac:dyDescent="0.25">
      <c r="B15" s="43" t="s">
        <v>147</v>
      </c>
      <c r="C15" s="20" t="s">
        <v>197</v>
      </c>
      <c r="D15" s="27">
        <v>19682886.989999998</v>
      </c>
      <c r="E15" s="27"/>
      <c r="F15" s="27">
        <f t="shared" si="0"/>
        <v>19682886.989999998</v>
      </c>
      <c r="G15" s="27">
        <v>10263618</v>
      </c>
      <c r="H15" s="27">
        <v>2438324</v>
      </c>
      <c r="I15" s="27">
        <f t="shared" si="1"/>
        <v>12701942</v>
      </c>
      <c r="J15" s="27">
        <v>1425991.47</v>
      </c>
      <c r="K15" s="27">
        <f t="shared" si="3"/>
        <v>6980944.9899999984</v>
      </c>
      <c r="M15" s="24"/>
    </row>
    <row r="16" spans="2:13" s="3" customFormat="1" ht="18" customHeight="1" x14ac:dyDescent="0.25">
      <c r="B16" s="43" t="s">
        <v>148</v>
      </c>
      <c r="C16" s="20" t="s">
        <v>136</v>
      </c>
      <c r="D16" s="27">
        <v>7298314.6699999999</v>
      </c>
      <c r="E16" s="27">
        <v>2135210</v>
      </c>
      <c r="F16" s="27">
        <f t="shared" si="0"/>
        <v>9433524.6699999999</v>
      </c>
      <c r="G16" s="27">
        <v>5872323.2000000002</v>
      </c>
      <c r="H16" s="27">
        <v>363931</v>
      </c>
      <c r="I16" s="27">
        <f t="shared" si="1"/>
        <v>6236254.2000000002</v>
      </c>
      <c r="J16" s="27">
        <v>9419268.9900000002</v>
      </c>
      <c r="K16" s="27">
        <f t="shared" si="3"/>
        <v>3197270.4699999997</v>
      </c>
      <c r="M16" s="24"/>
    </row>
    <row r="17" spans="2:13" s="3" customFormat="1" ht="18" customHeight="1" x14ac:dyDescent="0.25">
      <c r="B17" s="43" t="s">
        <v>196</v>
      </c>
      <c r="C17" s="20" t="s">
        <v>137</v>
      </c>
      <c r="D17" s="27">
        <v>1677356.47</v>
      </c>
      <c r="E17" s="27">
        <v>41450</v>
      </c>
      <c r="F17" s="27">
        <f t="shared" si="0"/>
        <v>1718806.47</v>
      </c>
      <c r="G17" s="27">
        <v>892992.2</v>
      </c>
      <c r="H17" s="27">
        <v>203046</v>
      </c>
      <c r="I17" s="27">
        <f t="shared" si="1"/>
        <v>1096038.2</v>
      </c>
      <c r="J17" s="27">
        <f t="shared" si="2"/>
        <v>784364.27</v>
      </c>
      <c r="K17" s="27">
        <f t="shared" si="3"/>
        <v>622768.27</v>
      </c>
      <c r="M17" s="24"/>
    </row>
    <row r="18" spans="2:13" s="3" customFormat="1" ht="18" customHeight="1" x14ac:dyDescent="0.25">
      <c r="B18" s="36"/>
      <c r="C18" s="31" t="s">
        <v>0</v>
      </c>
      <c r="D18" s="5">
        <f>SUM(D7:D17)</f>
        <v>345000195.02000004</v>
      </c>
      <c r="E18" s="5">
        <f t="shared" ref="E18:J18" si="4">SUM(E7:E17)</f>
        <v>8914582.3599999994</v>
      </c>
      <c r="F18" s="5">
        <f t="shared" si="4"/>
        <v>353914777.38</v>
      </c>
      <c r="G18" s="5">
        <f t="shared" si="4"/>
        <v>120714013.83</v>
      </c>
      <c r="H18" s="5">
        <f t="shared" si="4"/>
        <v>31951276</v>
      </c>
      <c r="I18" s="5">
        <f t="shared" si="4"/>
        <v>152665289.82999998</v>
      </c>
      <c r="J18" s="5">
        <f t="shared" si="4"/>
        <v>224286181.19</v>
      </c>
      <c r="K18" s="5">
        <f>SUM(K6:K17)</f>
        <v>201249487.55000001</v>
      </c>
      <c r="M18" s="24"/>
    </row>
    <row r="19" spans="2:13" s="3" customFormat="1" ht="18" customHeight="1" x14ac:dyDescent="0.25">
      <c r="B19" s="2"/>
      <c r="D19" s="24"/>
      <c r="E19" s="24"/>
      <c r="F19" s="24"/>
      <c r="G19" s="24"/>
      <c r="H19" s="24"/>
      <c r="I19" s="24"/>
      <c r="J19" s="24"/>
      <c r="K19" s="24"/>
      <c r="M19" s="24"/>
    </row>
    <row r="20" spans="2:13" ht="18" customHeight="1" x14ac:dyDescent="0.2">
      <c r="I20" s="38"/>
      <c r="J20" s="38"/>
      <c r="K20" s="38"/>
    </row>
    <row r="21" spans="2:13" ht="18" customHeight="1" x14ac:dyDescent="0.2">
      <c r="F21" s="38"/>
      <c r="J21" s="38"/>
    </row>
    <row r="22" spans="2:13" ht="18" customHeight="1" x14ac:dyDescent="0.2">
      <c r="E22" s="38"/>
    </row>
  </sheetData>
  <mergeCells count="5">
    <mergeCell ref="D4:F4"/>
    <mergeCell ref="G4:I4"/>
    <mergeCell ref="J4:K4"/>
    <mergeCell ref="C4:C5"/>
    <mergeCell ref="B4:B5"/>
  </mergeCells>
  <printOptions horizontalCentered="1"/>
  <pageMargins left="0.2" right="0.2" top="1" bottom="0.75" header="0.3" footer="0.3"/>
  <pageSetup paperSize="9" scale="77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</vt:lpstr>
      <vt:lpstr>B&amp;S</vt:lpstr>
      <vt:lpstr>Notes</vt:lpstr>
      <vt:lpstr>FA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2022-08-01T07:05:22Z</dcterms:modified>
</cp:coreProperties>
</file>