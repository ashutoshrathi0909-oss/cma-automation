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24226"/>
  <mc:AlternateContent xmlns:mc="http://schemas.openxmlformats.org/markup-compatibility/2006">
    <mc:Choice Requires="x15">
      <x15ac:absPath xmlns:x15ac="http://schemas.microsoft.com/office/spreadsheetml/2010/11/ac" url="C:\Users\Admin\Desktop\D Drive\LIKHITA\Dynamic Pvt Ltd\Audited Financials\FY_22\Financials\"/>
    </mc:Choice>
  </mc:AlternateContent>
  <xr:revisionPtr revIDLastSave="0" documentId="13_ncr:1_{4CFE8C9E-14D3-433B-8A91-B88F3647177D}" xr6:coauthVersionLast="47" xr6:coauthVersionMax="47" xr10:uidLastSave="{00000000-0000-0000-0000-000000000000}"/>
  <bookViews>
    <workbookView xWindow="-120" yWindow="-120" windowWidth="20730" windowHeight="11160" tabRatio="844" firstSheet="1" activeTab="1" xr2:uid="{00000000-000D-0000-FFFF-FFFF00000000}"/>
  </bookViews>
  <sheets>
    <sheet name="TB-22" sheetId="74" r:id="rId1"/>
    <sheet name="Link Sheet" sheetId="71" r:id="rId2"/>
    <sheet name="STI " sheetId="23" r:id="rId3"/>
    <sheet name="115JB " sheetId="26" r:id="rId4"/>
    <sheet name="Dep IT" sheetId="10" r:id="rId5"/>
    <sheet name="Key Ratios" sheetId="87" r:id="rId6"/>
    <sheet name="FA Additions" sheetId="76" r:id="rId7"/>
    <sheet name="BS" sheetId="1" r:id="rId8"/>
    <sheet name="PL" sheetId="2" r:id="rId9"/>
    <sheet name="BS Notes" sheetId="3" r:id="rId10"/>
    <sheet name="PL Notes" sheetId="7" r:id="rId11"/>
    <sheet name="CFS" sheetId="65" r:id="rId12"/>
    <sheet name="Dep - co" sheetId="4" r:id="rId13"/>
    <sheet name="Def Tax" sheetId="27" r:id="rId14"/>
    <sheet name="FA  Register" sheetId="82" r:id="rId15"/>
    <sheet name="Debtors Ageing" sheetId="80" r:id="rId16"/>
    <sheet name="Sheet1" sheetId="88" r:id="rId17"/>
    <sheet name="Sheet2" sheetId="89" r:id="rId18"/>
  </sheets>
  <externalReferences>
    <externalReference r:id="rId19"/>
    <externalReference r:id="rId20"/>
  </externalReferences>
  <definedNames>
    <definedName name="__123Graph_A" hidden="1">'[1]TRIAL BALANCE'!#REF!</definedName>
    <definedName name="__123Graph_B" hidden="1">'[1]TRIAL BALANCE'!#REF!</definedName>
    <definedName name="__123Graph_X" hidden="1">'[1]TRIAL BALANCE'!#REF!</definedName>
    <definedName name="_Fill" hidden="1">[2]BS!#REF!</definedName>
    <definedName name="_xlnm._FilterDatabase" localSheetId="14" hidden="1">'FA  Register'!$A$1:$DX$345</definedName>
    <definedName name="_xlnm._FilterDatabase" localSheetId="6" hidden="1">'FA Additions'!$B$8:$I$36</definedName>
    <definedName name="_xlnm._FilterDatabase" localSheetId="1" hidden="1">'Link Sheet'!$A$2:$L$630</definedName>
    <definedName name="_xlnm._FilterDatabase" localSheetId="0" hidden="1">'TB-22'!$A$8:$E$455</definedName>
    <definedName name="_Key1" localSheetId="5" hidden="1">#REF!</definedName>
    <definedName name="_Key1" hidden="1">#REF!</definedName>
    <definedName name="_Order1" hidden="1">255</definedName>
    <definedName name="_Order2" hidden="1">0</definedName>
    <definedName name="_Sort" localSheetId="5" hidden="1">#REF!</definedName>
    <definedName name="_Sort" hidden="1">#REF!</definedName>
    <definedName name="AccessDatabase" hidden="1">"W:\2000-01 Srb\March 2001\Lease Payments\outstanding lease.mdb"</definedName>
    <definedName name="as"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 localSheetId="1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2DocOpenMode" hidden="1">"AS2DocumentEdit"</definedName>
    <definedName name="asdfafasdf"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localSheetId="1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Tdeprn"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Tdeprn" localSheetId="1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Tdeprn"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Tdeprn"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_xlnm.Print_Area" localSheetId="3">'115JB '!$B$2:$E$50</definedName>
    <definedName name="_xlnm.Print_Area" localSheetId="7">BS!$A$1:$H$59</definedName>
    <definedName name="_xlnm.Print_Area" localSheetId="9">'BS Notes'!$A$1:$F$260</definedName>
    <definedName name="_xlnm.Print_Area" localSheetId="11">CFS!$A$2:$E$109</definedName>
    <definedName name="_xlnm.Print_Area" localSheetId="13">'Def Tax'!$A$1:$D$38</definedName>
    <definedName name="_xlnm.Print_Area" localSheetId="12">'Dep - co'!$A$1:$M$51</definedName>
    <definedName name="_xlnm.Print_Area" localSheetId="4">'Dep IT'!$A$2:$K$40</definedName>
    <definedName name="_xlnm.Print_Area" localSheetId="6">'FA Additions'!$B$1:$H$41</definedName>
    <definedName name="_xlnm.Print_Area" localSheetId="5">'Key Ratios'!$A$1:$D$56</definedName>
    <definedName name="_xlnm.Print_Area" localSheetId="8">PL!$A$1:$F$48</definedName>
    <definedName name="_xlnm.Print_Area" localSheetId="10">'PL Notes'!$B$1:$D$103</definedName>
    <definedName name="_xlnm.Print_Area" localSheetId="2">'STI '!$C$2:$F$64</definedName>
    <definedName name="_xlnm.Print_Titles" localSheetId="9">'BS Notes'!$1:$4</definedName>
    <definedName name="_xlnm.Print_Titles" localSheetId="11">CFS!$2:$5</definedName>
    <definedName name="_xlnm.Print_Titles" localSheetId="10">'PL Notes'!$1:$4</definedName>
    <definedName name="wrn.imprim."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2" i="89" l="1"/>
  <c r="H162" i="89" s="1"/>
  <c r="G88" i="89"/>
  <c r="Q119" i="88"/>
  <c r="Q118" i="88"/>
  <c r="Q117" i="88"/>
  <c r="Q116" i="88"/>
  <c r="Q115" i="88"/>
  <c r="Q114" i="88"/>
  <c r="Q113" i="88"/>
  <c r="Q112" i="88"/>
  <c r="Q111" i="88"/>
  <c r="Q110" i="88"/>
  <c r="G218" i="89"/>
  <c r="G217" i="89"/>
  <c r="G216" i="89"/>
  <c r="G215" i="89"/>
  <c r="G214" i="89"/>
  <c r="G213" i="89"/>
  <c r="G212" i="89"/>
  <c r="G211" i="89"/>
  <c r="G210" i="89"/>
  <c r="G209" i="89"/>
  <c r="G208" i="89"/>
  <c r="G207" i="89"/>
  <c r="G206" i="89"/>
  <c r="G205" i="89"/>
  <c r="G204" i="89"/>
  <c r="G203" i="89"/>
  <c r="G202" i="89"/>
  <c r="G201" i="89"/>
  <c r="G200" i="89"/>
  <c r="G198" i="89"/>
  <c r="G197" i="89"/>
  <c r="G196" i="89"/>
  <c r="G195" i="89"/>
  <c r="G194" i="89"/>
  <c r="G193" i="89"/>
  <c r="G192" i="89"/>
  <c r="G191" i="89"/>
  <c r="G190" i="89"/>
  <c r="G189" i="89"/>
  <c r="G188" i="89"/>
  <c r="G187" i="89"/>
  <c r="G186" i="89"/>
  <c r="G184" i="89"/>
  <c r="G183" i="89"/>
  <c r="G182" i="89"/>
  <c r="G181" i="89"/>
  <c r="G180" i="89"/>
  <c r="G179" i="89"/>
  <c r="G178" i="89"/>
  <c r="G177" i="89"/>
  <c r="G175" i="89"/>
  <c r="G172" i="89"/>
  <c r="G171" i="89"/>
  <c r="G170" i="89"/>
  <c r="G169" i="89"/>
  <c r="G167" i="89"/>
  <c r="G166" i="89"/>
  <c r="G165" i="89"/>
  <c r="G164" i="89"/>
  <c r="G163" i="89"/>
  <c r="G161" i="89"/>
  <c r="G159" i="89"/>
  <c r="G158" i="89"/>
  <c r="G157" i="89"/>
  <c r="G156" i="89"/>
  <c r="G155" i="89"/>
  <c r="G154" i="89"/>
  <c r="G153" i="89"/>
  <c r="G152" i="89"/>
  <c r="G151" i="89"/>
  <c r="G150" i="89"/>
  <c r="G149" i="89"/>
  <c r="G148" i="89"/>
  <c r="G147" i="89"/>
  <c r="G146" i="89"/>
  <c r="G145" i="89"/>
  <c r="G144" i="89"/>
  <c r="G143" i="89"/>
  <c r="G142" i="89"/>
  <c r="G141" i="89"/>
  <c r="G140" i="89"/>
  <c r="G139" i="89"/>
  <c r="G138" i="89"/>
  <c r="G137" i="89"/>
  <c r="G136" i="89"/>
  <c r="G135" i="89"/>
  <c r="G134" i="89"/>
  <c r="G133" i="89"/>
  <c r="G132" i="89"/>
  <c r="G131" i="89"/>
  <c r="G130" i="89"/>
  <c r="G129" i="89"/>
  <c r="G128" i="89"/>
  <c r="G127" i="89"/>
  <c r="G126" i="89"/>
  <c r="G125" i="89"/>
  <c r="G124" i="89"/>
  <c r="G123" i="89"/>
  <c r="G122" i="89"/>
  <c r="G121" i="89"/>
  <c r="G120" i="89"/>
  <c r="G119" i="89"/>
  <c r="G118" i="89"/>
  <c r="G117" i="89"/>
  <c r="G116" i="89"/>
  <c r="G115" i="89"/>
  <c r="G114" i="89"/>
  <c r="G113" i="89"/>
  <c r="G112" i="89"/>
  <c r="G111" i="89"/>
  <c r="G110" i="89"/>
  <c r="G109" i="89"/>
  <c r="G108" i="89"/>
  <c r="G107" i="89"/>
  <c r="G106" i="89"/>
  <c r="G105" i="89"/>
  <c r="G104" i="89"/>
  <c r="G103" i="89"/>
  <c r="G102" i="89"/>
  <c r="G101" i="89"/>
  <c r="G100" i="89"/>
  <c r="G99" i="89"/>
  <c r="G98" i="89"/>
  <c r="G97" i="89"/>
  <c r="G96" i="89"/>
  <c r="G95" i="89"/>
  <c r="G94" i="89"/>
  <c r="G93" i="89"/>
  <c r="G92" i="89"/>
  <c r="G91" i="89"/>
  <c r="G90" i="89"/>
  <c r="G89" i="89"/>
  <c r="G87" i="89"/>
  <c r="G86" i="89"/>
  <c r="G85" i="89"/>
  <c r="G84" i="89"/>
  <c r="G83" i="89"/>
  <c r="G82" i="89"/>
  <c r="G81" i="89"/>
  <c r="G80" i="89"/>
  <c r="G79" i="89"/>
  <c r="G78" i="89"/>
  <c r="G77" i="89"/>
  <c r="G76" i="89"/>
  <c r="G75" i="89"/>
  <c r="G74" i="89"/>
  <c r="G73" i="89"/>
  <c r="G72" i="89"/>
  <c r="G71" i="89"/>
  <c r="G70" i="89"/>
  <c r="G69" i="89"/>
  <c r="G68" i="89"/>
  <c r="G67" i="89"/>
  <c r="G66" i="89"/>
  <c r="G65" i="89"/>
  <c r="G64" i="89"/>
  <c r="G63" i="89"/>
  <c r="G62" i="89"/>
  <c r="G61" i="89"/>
  <c r="G60" i="89"/>
  <c r="G59" i="89"/>
  <c r="G58" i="89"/>
  <c r="G57" i="89"/>
  <c r="G56" i="89"/>
  <c r="G52" i="89"/>
  <c r="G51" i="89"/>
  <c r="G50" i="89"/>
  <c r="G49" i="89"/>
  <c r="G43" i="89"/>
  <c r="G42" i="89"/>
  <c r="G41" i="89"/>
  <c r="G40" i="89"/>
  <c r="G39" i="89"/>
  <c r="G38" i="89"/>
  <c r="G37" i="89"/>
  <c r="G36" i="89"/>
  <c r="G35" i="89"/>
  <c r="G34" i="89"/>
  <c r="G27" i="89"/>
  <c r="G26" i="89"/>
  <c r="G25" i="89"/>
  <c r="G24" i="89"/>
  <c r="G23" i="89"/>
  <c r="G22" i="89"/>
  <c r="G21" i="89"/>
  <c r="G13" i="89"/>
  <c r="G12" i="89"/>
  <c r="G11" i="89"/>
  <c r="G10" i="89"/>
  <c r="G9" i="89"/>
  <c r="G8" i="89"/>
  <c r="G5" i="89"/>
  <c r="N146" i="88"/>
  <c r="N145" i="88"/>
  <c r="N144" i="88"/>
  <c r="N143" i="88"/>
  <c r="N142" i="88"/>
  <c r="N141" i="88"/>
  <c r="N140" i="88"/>
  <c r="N139" i="88"/>
  <c r="N138" i="88"/>
  <c r="N137" i="88"/>
  <c r="N136" i="88"/>
  <c r="N135" i="88"/>
  <c r="N134" i="88"/>
  <c r="N133" i="88"/>
  <c r="N132" i="88"/>
  <c r="N131" i="88"/>
  <c r="N130" i="88"/>
  <c r="N129" i="88"/>
  <c r="N128" i="88"/>
  <c r="N127" i="88"/>
  <c r="N126" i="88"/>
  <c r="N125" i="88"/>
  <c r="N124" i="88"/>
  <c r="N123" i="88"/>
  <c r="N122" i="88"/>
  <c r="N120" i="88"/>
  <c r="N119" i="88"/>
  <c r="N118" i="88"/>
  <c r="N117" i="88"/>
  <c r="N116" i="88"/>
  <c r="N115" i="88"/>
  <c r="N114" i="88"/>
  <c r="N113" i="88"/>
  <c r="N112" i="88"/>
  <c r="N111" i="88"/>
  <c r="N109" i="88"/>
  <c r="N108" i="88"/>
  <c r="N107" i="88"/>
  <c r="N106" i="88"/>
  <c r="N105" i="88"/>
  <c r="N104" i="88"/>
  <c r="N103" i="88"/>
  <c r="N102" i="88"/>
  <c r="N101" i="88"/>
  <c r="N100" i="88"/>
  <c r="N99" i="88"/>
  <c r="N97" i="88"/>
  <c r="N96" i="88"/>
  <c r="N95" i="88"/>
  <c r="N94" i="88"/>
  <c r="N93" i="88"/>
  <c r="N92" i="88"/>
  <c r="N91" i="88"/>
  <c r="N90" i="88"/>
  <c r="N89" i="88"/>
  <c r="N88" i="88"/>
  <c r="N87" i="88"/>
  <c r="N86" i="88"/>
  <c r="N85" i="88"/>
  <c r="N84" i="88"/>
  <c r="N82" i="88"/>
  <c r="N81" i="88"/>
  <c r="N80" i="88"/>
  <c r="N79" i="88"/>
  <c r="N78" i="88"/>
  <c r="N77" i="88"/>
  <c r="N76" i="88"/>
  <c r="N75" i="88"/>
  <c r="N74" i="88"/>
  <c r="N73" i="88"/>
  <c r="N72" i="88"/>
  <c r="N70" i="88"/>
  <c r="N69" i="88"/>
  <c r="N68" i="88"/>
  <c r="N67" i="88"/>
  <c r="N66" i="88"/>
  <c r="N65" i="88"/>
  <c r="N64" i="88"/>
  <c r="N63" i="88"/>
  <c r="N61" i="88"/>
  <c r="N60" i="88"/>
  <c r="N59" i="88"/>
  <c r="N58" i="88"/>
  <c r="N57" i="88"/>
  <c r="N56" i="88"/>
  <c r="N55" i="88"/>
  <c r="N54" i="88"/>
  <c r="N53" i="88"/>
  <c r="N52" i="88"/>
  <c r="G78" i="88"/>
  <c r="G77" i="88"/>
  <c r="G76" i="88"/>
  <c r="G75" i="88"/>
  <c r="G74" i="88"/>
  <c r="G73" i="88"/>
  <c r="G72" i="88"/>
  <c r="G71" i="88"/>
  <c r="G70" i="88"/>
  <c r="G69" i="88"/>
  <c r="G68" i="88"/>
  <c r="G67" i="88"/>
  <c r="G66" i="88"/>
  <c r="G65" i="88"/>
  <c r="G64" i="88"/>
  <c r="G63" i="88"/>
  <c r="G62" i="88"/>
  <c r="G61" i="88"/>
  <c r="G60" i="88"/>
  <c r="G59" i="88"/>
  <c r="G58" i="88"/>
  <c r="G57" i="88"/>
  <c r="G56" i="88"/>
  <c r="G55" i="88"/>
  <c r="G54" i="88"/>
  <c r="G53" i="88"/>
  <c r="G52" i="88"/>
  <c r="G51" i="88"/>
  <c r="G50" i="88"/>
  <c r="I43" i="88"/>
  <c r="I42" i="88"/>
  <c r="I41" i="88"/>
  <c r="I40" i="88"/>
  <c r="I39" i="88"/>
  <c r="I38" i="88"/>
  <c r="I37" i="88"/>
  <c r="I36" i="88"/>
  <c r="I35" i="88"/>
  <c r="I34" i="88"/>
  <c r="I33" i="88"/>
  <c r="I32" i="88"/>
  <c r="I31" i="88"/>
  <c r="I30" i="88"/>
  <c r="I29" i="88"/>
  <c r="I28" i="88"/>
  <c r="I27" i="88"/>
  <c r="I26" i="88"/>
  <c r="I25" i="88"/>
  <c r="I24" i="88"/>
  <c r="I23" i="88"/>
  <c r="I22" i="88"/>
  <c r="I21" i="88"/>
  <c r="I20" i="88"/>
  <c r="I19" i="88"/>
  <c r="I18" i="88"/>
  <c r="I17" i="88"/>
  <c r="I16" i="88"/>
  <c r="I15" i="88"/>
  <c r="I14" i="88"/>
  <c r="I13" i="88"/>
  <c r="I12" i="88"/>
  <c r="I11" i="88"/>
  <c r="I10" i="88"/>
  <c r="I9" i="88"/>
  <c r="I8" i="88"/>
  <c r="D10" i="7"/>
  <c r="F53" i="23" l="1"/>
  <c r="F52" i="23"/>
  <c r="A2" i="27" l="1"/>
  <c r="F189" i="3"/>
  <c r="H36" i="1" s="1"/>
  <c r="I20" i="1" l="1"/>
  <c r="I15" i="1"/>
  <c r="M20" i="1" s="1"/>
  <c r="I10" i="1"/>
  <c r="F14" i="3"/>
  <c r="F16" i="3" s="1"/>
  <c r="F12" i="3"/>
  <c r="F26" i="3"/>
  <c r="F29" i="3" s="1"/>
  <c r="E12" i="3"/>
  <c r="E30" i="27" l="1"/>
  <c r="B5" i="76"/>
  <c r="B4" i="76"/>
  <c r="B3" i="76"/>
  <c r="A3" i="4"/>
  <c r="A5" i="65"/>
  <c r="B4" i="7" s="1"/>
  <c r="A3" i="65"/>
  <c r="A4" i="2"/>
  <c r="A4" i="3" l="1"/>
  <c r="A6" i="4"/>
  <c r="B35" i="87"/>
  <c r="F108" i="3" l="1"/>
  <c r="F54" i="3"/>
  <c r="F56" i="3" s="1"/>
  <c r="H10" i="1" s="1"/>
  <c r="F56" i="23"/>
  <c r="B465" i="71"/>
  <c r="H25" i="1"/>
  <c r="E175" i="3"/>
  <c r="D45" i="65" s="1"/>
  <c r="F15" i="2"/>
  <c r="F24" i="2"/>
  <c r="F177" i="3" s="1"/>
  <c r="F179" i="3" s="1"/>
  <c r="F26" i="2"/>
  <c r="E105" i="3"/>
  <c r="E106" i="3"/>
  <c r="D137" i="3"/>
  <c r="C137" i="3"/>
  <c r="F129" i="3"/>
  <c r="E129" i="3"/>
  <c r="D129" i="3"/>
  <c r="C129" i="3"/>
  <c r="D41" i="3"/>
  <c r="D40" i="3"/>
  <c r="C35" i="3"/>
  <c r="B41" i="3" s="1"/>
  <c r="C34" i="3"/>
  <c r="B40" i="3" s="1"/>
  <c r="F15" i="4"/>
  <c r="E21" i="4"/>
  <c r="D13" i="4"/>
  <c r="B496" i="71"/>
  <c r="B495" i="71"/>
  <c r="C500" i="71"/>
  <c r="C499" i="71"/>
  <c r="B263" i="71"/>
  <c r="B262" i="71"/>
  <c r="C467" i="71"/>
  <c r="F158" i="3"/>
  <c r="H24" i="1" s="1"/>
  <c r="C176" i="71"/>
  <c r="B176" i="71"/>
  <c r="C175" i="71"/>
  <c r="B175" i="71"/>
  <c r="E26" i="23"/>
  <c r="L24" i="2" s="1"/>
  <c r="C455" i="74"/>
  <c r="C623" i="71" s="1"/>
  <c r="B455" i="74"/>
  <c r="B623" i="71" s="1"/>
  <c r="G22" i="10"/>
  <c r="H21" i="10"/>
  <c r="H23" i="10"/>
  <c r="H25" i="10"/>
  <c r="H27" i="10"/>
  <c r="H20" i="10"/>
  <c r="I23" i="10"/>
  <c r="I25" i="10"/>
  <c r="I27" i="10"/>
  <c r="I21" i="10"/>
  <c r="I20" i="10"/>
  <c r="H100" i="65"/>
  <c r="I61" i="23"/>
  <c r="I62" i="23" s="1"/>
  <c r="C375" i="71"/>
  <c r="B375" i="71"/>
  <c r="E454" i="74"/>
  <c r="C101" i="71"/>
  <c r="B101" i="71"/>
  <c r="C100" i="71"/>
  <c r="B100" i="71"/>
  <c r="C99" i="71"/>
  <c r="B99" i="71"/>
  <c r="C98" i="71"/>
  <c r="B98" i="71"/>
  <c r="C97" i="71"/>
  <c r="B97" i="71"/>
  <c r="C96" i="71"/>
  <c r="B96" i="71"/>
  <c r="C95" i="71"/>
  <c r="B95" i="71"/>
  <c r="C94" i="71"/>
  <c r="B94" i="71"/>
  <c r="C93" i="71"/>
  <c r="B93" i="71"/>
  <c r="C92" i="71"/>
  <c r="B92" i="71"/>
  <c r="C91" i="71"/>
  <c r="B91" i="71"/>
  <c r="C90" i="71"/>
  <c r="B90" i="71"/>
  <c r="C89" i="71"/>
  <c r="B89" i="71"/>
  <c r="C88" i="71"/>
  <c r="B88" i="71"/>
  <c r="C87" i="71"/>
  <c r="B87" i="71"/>
  <c r="C86" i="71"/>
  <c r="B86" i="71"/>
  <c r="C85" i="71"/>
  <c r="B85" i="71"/>
  <c r="C84" i="71"/>
  <c r="B84" i="71"/>
  <c r="C83" i="71"/>
  <c r="B83" i="71"/>
  <c r="C82" i="71"/>
  <c r="B82" i="71"/>
  <c r="C81" i="71"/>
  <c r="B81" i="71"/>
  <c r="C80" i="71"/>
  <c r="B80" i="71"/>
  <c r="C79" i="71"/>
  <c r="B79" i="71"/>
  <c r="C78" i="71"/>
  <c r="B78" i="71"/>
  <c r="C77" i="71"/>
  <c r="B77" i="71"/>
  <c r="C76" i="71"/>
  <c r="B76" i="71"/>
  <c r="C75" i="71"/>
  <c r="B75" i="71"/>
  <c r="C74" i="71"/>
  <c r="B74" i="71"/>
  <c r="C73" i="71"/>
  <c r="B73" i="71"/>
  <c r="C72" i="71"/>
  <c r="B72" i="71"/>
  <c r="C71" i="71"/>
  <c r="B71" i="71"/>
  <c r="C34" i="71"/>
  <c r="E102" i="3" s="1"/>
  <c r="B34" i="71"/>
  <c r="C70" i="71"/>
  <c r="B70" i="71"/>
  <c r="C69" i="71"/>
  <c r="B69" i="71"/>
  <c r="C68" i="71"/>
  <c r="B68" i="71"/>
  <c r="C67" i="71"/>
  <c r="B67" i="71"/>
  <c r="C66" i="71"/>
  <c r="B66" i="71"/>
  <c r="C65" i="71"/>
  <c r="B65" i="71"/>
  <c r="C64" i="71"/>
  <c r="B64" i="71"/>
  <c r="C63" i="71"/>
  <c r="B63" i="71"/>
  <c r="C62" i="71"/>
  <c r="B62" i="71"/>
  <c r="C61" i="71"/>
  <c r="B61" i="71"/>
  <c r="C60" i="71"/>
  <c r="B60" i="71"/>
  <c r="C59" i="71"/>
  <c r="B59" i="71"/>
  <c r="C58" i="71"/>
  <c r="B58" i="71"/>
  <c r="C57" i="71"/>
  <c r="B57" i="71"/>
  <c r="C56" i="71"/>
  <c r="B56" i="71"/>
  <c r="C55" i="71"/>
  <c r="B55" i="71"/>
  <c r="C54" i="71"/>
  <c r="B54" i="71"/>
  <c r="C53" i="71"/>
  <c r="B53" i="71"/>
  <c r="C52" i="71"/>
  <c r="B52" i="71"/>
  <c r="C51" i="71"/>
  <c r="B51" i="71"/>
  <c r="C50" i="71"/>
  <c r="B50" i="71"/>
  <c r="C49" i="71"/>
  <c r="B49" i="71"/>
  <c r="C48" i="71"/>
  <c r="B48" i="71"/>
  <c r="C47" i="71"/>
  <c r="B47" i="71"/>
  <c r="C46" i="71"/>
  <c r="B46" i="71"/>
  <c r="C45" i="71"/>
  <c r="B45" i="71"/>
  <c r="C44" i="71"/>
  <c r="B44" i="71"/>
  <c r="C160" i="71"/>
  <c r="B160" i="71"/>
  <c r="C155" i="71"/>
  <c r="B155" i="71"/>
  <c r="C141" i="71"/>
  <c r="B141" i="71"/>
  <c r="C136" i="71"/>
  <c r="B136" i="71"/>
  <c r="C135" i="71"/>
  <c r="B135" i="71"/>
  <c r="C134" i="71"/>
  <c r="B134" i="71"/>
  <c r="C130" i="71"/>
  <c r="B130" i="71"/>
  <c r="C110" i="71"/>
  <c r="B110" i="71"/>
  <c r="C105" i="71"/>
  <c r="B105" i="71"/>
  <c r="C154" i="71"/>
  <c r="B154" i="71"/>
  <c r="C103" i="71"/>
  <c r="B103" i="71"/>
  <c r="K43" i="1"/>
  <c r="BT100" i="82"/>
  <c r="BT99" i="82"/>
  <c r="BT98" i="82"/>
  <c r="BT97" i="82"/>
  <c r="O22" i="4"/>
  <c r="O23" i="4"/>
  <c r="BQ95" i="82"/>
  <c r="BQ134" i="82"/>
  <c r="BQ138" i="82"/>
  <c r="BQ158" i="82"/>
  <c r="BQ301" i="82"/>
  <c r="BQ330" i="82"/>
  <c r="BR298" i="82"/>
  <c r="BR297" i="82"/>
  <c r="BR296" i="82"/>
  <c r="BR295" i="82"/>
  <c r="BR294" i="82"/>
  <c r="BR293" i="82"/>
  <c r="BR292" i="82"/>
  <c r="BR291" i="82"/>
  <c r="BR156" i="82"/>
  <c r="BR155" i="82"/>
  <c r="BR154" i="82"/>
  <c r="BR131" i="82"/>
  <c r="BR130" i="82"/>
  <c r="BR111" i="82"/>
  <c r="BR105" i="82"/>
  <c r="BR103" i="82"/>
  <c r="BR93" i="82"/>
  <c r="BR92" i="82"/>
  <c r="BR91" i="82"/>
  <c r="BR90" i="82"/>
  <c r="BR89" i="82"/>
  <c r="BR88" i="82"/>
  <c r="BQ59" i="82"/>
  <c r="AJ299" i="82"/>
  <c r="AJ298" i="82"/>
  <c r="AJ297" i="82"/>
  <c r="AJ296" i="82"/>
  <c r="AJ295" i="82"/>
  <c r="AJ294" i="82"/>
  <c r="AJ293" i="82"/>
  <c r="AJ292" i="82"/>
  <c r="D26" i="4"/>
  <c r="C41" i="71"/>
  <c r="B41" i="71"/>
  <c r="C415" i="71"/>
  <c r="B415" i="71"/>
  <c r="E453" i="74"/>
  <c r="BT118" i="82"/>
  <c r="BT120" i="82"/>
  <c r="BT122" i="82"/>
  <c r="BT117" i="82"/>
  <c r="BT115" i="82"/>
  <c r="BT104" i="82"/>
  <c r="N16" i="4" s="1"/>
  <c r="BT113" i="82"/>
  <c r="BT112" i="82"/>
  <c r="G18" i="76"/>
  <c r="I16" i="10"/>
  <c r="I13" i="10"/>
  <c r="E33" i="10"/>
  <c r="G33" i="10"/>
  <c r="J33" i="10"/>
  <c r="D33" i="10"/>
  <c r="G29" i="10"/>
  <c r="L24" i="4"/>
  <c r="H26" i="4"/>
  <c r="J26" i="4"/>
  <c r="G12" i="76"/>
  <c r="F12" i="76"/>
  <c r="E24" i="4" s="1"/>
  <c r="G24" i="4" s="1"/>
  <c r="F18" i="76"/>
  <c r="E13" i="4" s="1"/>
  <c r="AK299" i="82"/>
  <c r="BS299" i="82" s="1"/>
  <c r="J295" i="82"/>
  <c r="J296" i="82"/>
  <c r="J297" i="82"/>
  <c r="J298" i="82"/>
  <c r="E297" i="82"/>
  <c r="AI158" i="82"/>
  <c r="AJ154" i="82"/>
  <c r="AJ155" i="82"/>
  <c r="AJ156" i="82"/>
  <c r="J155" i="82"/>
  <c r="J156" i="82"/>
  <c r="J154" i="82"/>
  <c r="J131" i="82"/>
  <c r="BS131" i="82" s="1"/>
  <c r="BT131" i="82" s="1"/>
  <c r="J130" i="82"/>
  <c r="AK130" i="82"/>
  <c r="AK131" i="82"/>
  <c r="E36" i="3"/>
  <c r="F207" i="3"/>
  <c r="H40" i="1" s="1"/>
  <c r="C31" i="87" s="1"/>
  <c r="F42" i="3"/>
  <c r="F111" i="3"/>
  <c r="H20" i="1" s="1"/>
  <c r="D618" i="71"/>
  <c r="D615" i="71"/>
  <c r="D614" i="71"/>
  <c r="D612" i="71"/>
  <c r="D611" i="71"/>
  <c r="D609" i="71"/>
  <c r="D608" i="71"/>
  <c r="D607" i="71"/>
  <c r="D606" i="71"/>
  <c r="D604" i="71"/>
  <c r="D600" i="71"/>
  <c r="D599" i="71"/>
  <c r="D576" i="71"/>
  <c r="D573" i="71"/>
  <c r="D571" i="71"/>
  <c r="D564" i="71"/>
  <c r="D561" i="71"/>
  <c r="D558" i="71"/>
  <c r="D555" i="71"/>
  <c r="D551" i="71"/>
  <c r="D547" i="71"/>
  <c r="D546" i="71"/>
  <c r="D545" i="71"/>
  <c r="D544" i="71"/>
  <c r="D543" i="71"/>
  <c r="D541" i="71"/>
  <c r="D540" i="71"/>
  <c r="D537" i="71"/>
  <c r="D526" i="71"/>
  <c r="D524" i="71"/>
  <c r="D522" i="71"/>
  <c r="D519" i="71"/>
  <c r="D518" i="71"/>
  <c r="D517" i="71"/>
  <c r="D515" i="71"/>
  <c r="D511" i="71"/>
  <c r="D509" i="71"/>
  <c r="D507" i="71"/>
  <c r="D503" i="71"/>
  <c r="D502" i="71"/>
  <c r="D501" i="71"/>
  <c r="D498" i="71"/>
  <c r="D497" i="71"/>
  <c r="D494" i="71"/>
  <c r="D493" i="71"/>
  <c r="D492" i="71"/>
  <c r="D491" i="71"/>
  <c r="D470" i="71"/>
  <c r="D469" i="71"/>
  <c r="D455" i="71"/>
  <c r="D454" i="71"/>
  <c r="D453" i="71"/>
  <c r="D446" i="71"/>
  <c r="D445" i="71"/>
  <c r="D444" i="71"/>
  <c r="D442" i="71"/>
  <c r="D439" i="71"/>
  <c r="D436" i="71"/>
  <c r="D431" i="71"/>
  <c r="D430" i="71"/>
  <c r="D429" i="71"/>
  <c r="D400" i="71"/>
  <c r="D397" i="71"/>
  <c r="D393" i="71"/>
  <c r="D392" i="71"/>
  <c r="D391" i="71"/>
  <c r="D387" i="71"/>
  <c r="D380" i="71"/>
  <c r="D366" i="71"/>
  <c r="D365" i="71"/>
  <c r="D363" i="71"/>
  <c r="D362" i="71"/>
  <c r="D361" i="71"/>
  <c r="D358" i="71"/>
  <c r="D357" i="71"/>
  <c r="D354" i="71"/>
  <c r="D351" i="71"/>
  <c r="D350" i="71"/>
  <c r="D349" i="71"/>
  <c r="D348" i="71"/>
  <c r="D266" i="71"/>
  <c r="D265" i="71"/>
  <c r="D264" i="71"/>
  <c r="D259" i="71"/>
  <c r="D258" i="71"/>
  <c r="D257" i="71"/>
  <c r="D256" i="71"/>
  <c r="D253" i="71"/>
  <c r="D252" i="71"/>
  <c r="D219" i="71"/>
  <c r="D218" i="71"/>
  <c r="D217" i="71"/>
  <c r="D207" i="71"/>
  <c r="D201" i="71"/>
  <c r="D200" i="71"/>
  <c r="D194" i="71"/>
  <c r="D193" i="71"/>
  <c r="D185" i="71"/>
  <c r="D184" i="71"/>
  <c r="D178" i="71"/>
  <c r="D173" i="71"/>
  <c r="D170" i="71"/>
  <c r="D169" i="71"/>
  <c r="D102" i="71"/>
  <c r="D39" i="71"/>
  <c r="D37" i="71"/>
  <c r="D36" i="71"/>
  <c r="D35" i="71"/>
  <c r="D32" i="71"/>
  <c r="D31" i="71"/>
  <c r="D29" i="71"/>
  <c r="D28" i="71"/>
  <c r="D26" i="71"/>
  <c r="D25" i="71"/>
  <c r="D23" i="71"/>
  <c r="D22" i="71"/>
  <c r="D17" i="71"/>
  <c r="D16" i="71"/>
  <c r="D13" i="71"/>
  <c r="D12" i="71"/>
  <c r="D11" i="71"/>
  <c r="D9" i="71"/>
  <c r="D7" i="71"/>
  <c r="D6" i="71"/>
  <c r="C166" i="71"/>
  <c r="B166" i="71"/>
  <c r="C188" i="71"/>
  <c r="B188" i="71"/>
  <c r="C158" i="71"/>
  <c r="B158" i="71"/>
  <c r="C421" i="71"/>
  <c r="B421" i="71"/>
  <c r="C151" i="71"/>
  <c r="B151" i="71"/>
  <c r="C418" i="71"/>
  <c r="B418" i="71"/>
  <c r="C150" i="71"/>
  <c r="B150" i="71"/>
  <c r="C142" i="71"/>
  <c r="B142" i="71"/>
  <c r="C140" i="71"/>
  <c r="B140" i="71"/>
  <c r="C133" i="71"/>
  <c r="B133" i="71"/>
  <c r="C125" i="71"/>
  <c r="B125" i="71"/>
  <c r="C539" i="71"/>
  <c r="B539" i="71"/>
  <c r="C355" i="71"/>
  <c r="B355" i="71"/>
  <c r="C117" i="71"/>
  <c r="B117" i="71"/>
  <c r="A295" i="82"/>
  <c r="A296" i="82" s="1"/>
  <c r="A297" i="82" s="1"/>
  <c r="A298" i="82" s="1"/>
  <c r="A299" i="82" s="1"/>
  <c r="F28" i="76"/>
  <c r="E15" i="4" s="1"/>
  <c r="G45" i="76"/>
  <c r="E298" i="82"/>
  <c r="AK298" i="82"/>
  <c r="E296" i="82"/>
  <c r="AK296" i="82" s="1"/>
  <c r="BS296" i="82" s="1"/>
  <c r="BT296" i="82" s="1"/>
  <c r="E295" i="82"/>
  <c r="H27" i="76"/>
  <c r="H26" i="76"/>
  <c r="H25" i="76"/>
  <c r="H24" i="76"/>
  <c r="H23" i="76"/>
  <c r="H14" i="76"/>
  <c r="H11" i="76"/>
  <c r="H12" i="76" s="1"/>
  <c r="F32" i="10" s="1"/>
  <c r="B450" i="71"/>
  <c r="C450" i="71"/>
  <c r="C312" i="71"/>
  <c r="B312" i="71"/>
  <c r="C241" i="71"/>
  <c r="B241" i="71"/>
  <c r="C426" i="71"/>
  <c r="B426" i="71"/>
  <c r="C191" i="71"/>
  <c r="B191" i="71"/>
  <c r="C181" i="71"/>
  <c r="B181" i="71"/>
  <c r="C534" i="71"/>
  <c r="B534" i="71"/>
  <c r="C401" i="71"/>
  <c r="B401" i="71"/>
  <c r="C255" i="71"/>
  <c r="B255" i="71"/>
  <c r="C254" i="71"/>
  <c r="B254" i="71"/>
  <c r="C180" i="71"/>
  <c r="B180" i="71"/>
  <c r="C311" i="71"/>
  <c r="B311" i="71"/>
  <c r="C593" i="71"/>
  <c r="B593" i="71"/>
  <c r="C310" i="71"/>
  <c r="B310" i="71"/>
  <c r="C309" i="71"/>
  <c r="B309" i="71"/>
  <c r="C308" i="71"/>
  <c r="B308" i="71"/>
  <c r="C402" i="71"/>
  <c r="B402" i="71"/>
  <c r="G21" i="4"/>
  <c r="C163" i="71"/>
  <c r="B163" i="71"/>
  <c r="E196" i="3"/>
  <c r="C47" i="7" s="1"/>
  <c r="C451" i="71"/>
  <c r="B451" i="71"/>
  <c r="B91" i="82"/>
  <c r="B90" i="82"/>
  <c r="B89" i="82"/>
  <c r="B88" i="82"/>
  <c r="B93" i="82"/>
  <c r="G91" i="82"/>
  <c r="J91" i="82" s="1"/>
  <c r="G90" i="82"/>
  <c r="J90" i="82" s="1"/>
  <c r="G89" i="82"/>
  <c r="J89" i="82" s="1"/>
  <c r="G88" i="82"/>
  <c r="J88" i="82" s="1"/>
  <c r="G93" i="82"/>
  <c r="H93" i="82" s="1"/>
  <c r="E91" i="82"/>
  <c r="AK91" i="82" s="1"/>
  <c r="E90" i="82"/>
  <c r="AK90" i="82" s="1"/>
  <c r="E89" i="82"/>
  <c r="E88" i="82"/>
  <c r="AK88" i="82" s="1"/>
  <c r="E93" i="82"/>
  <c r="AK93" i="82" s="1"/>
  <c r="F301" i="82"/>
  <c r="I301" i="82"/>
  <c r="AI301" i="82"/>
  <c r="BM301" i="82"/>
  <c r="CU301" i="82"/>
  <c r="CW301" i="82"/>
  <c r="CY301" i="82"/>
  <c r="DA301" i="82"/>
  <c r="DC301" i="82"/>
  <c r="DE301" i="82"/>
  <c r="DG301" i="82"/>
  <c r="DI301" i="82"/>
  <c r="DK301" i="82"/>
  <c r="DM301" i="82"/>
  <c r="DO301" i="82"/>
  <c r="DQ301" i="82"/>
  <c r="DS301" i="82"/>
  <c r="DU301" i="82"/>
  <c r="F158" i="82"/>
  <c r="E156" i="82"/>
  <c r="AK156" i="82" s="1"/>
  <c r="E155" i="82"/>
  <c r="AK155" i="82" s="1"/>
  <c r="BS155" i="82" s="1"/>
  <c r="BT155" i="82" s="1"/>
  <c r="E154" i="82"/>
  <c r="AK154" i="82" s="1"/>
  <c r="BS154" i="82" s="1"/>
  <c r="BT154" i="82" s="1"/>
  <c r="E294" i="82"/>
  <c r="E293" i="82"/>
  <c r="AK293" i="82" s="1"/>
  <c r="E292" i="82"/>
  <c r="AK292" i="82" s="1"/>
  <c r="G294" i="82"/>
  <c r="G293" i="82"/>
  <c r="H293" i="82" s="1"/>
  <c r="G292" i="82"/>
  <c r="J292" i="82" s="1"/>
  <c r="BS292" i="82" s="1"/>
  <c r="BT292" i="82" s="1"/>
  <c r="F330" i="82"/>
  <c r="I330" i="82"/>
  <c r="M330" i="82"/>
  <c r="N330" i="82"/>
  <c r="O330" i="82"/>
  <c r="P330" i="82"/>
  <c r="Q330" i="82"/>
  <c r="R330" i="82"/>
  <c r="S330" i="82"/>
  <c r="T330" i="82"/>
  <c r="U330" i="82"/>
  <c r="V330" i="82"/>
  <c r="W330" i="82"/>
  <c r="X330" i="82"/>
  <c r="Y330" i="82"/>
  <c r="Z330" i="82"/>
  <c r="AA330" i="82"/>
  <c r="AB330" i="82"/>
  <c r="AC330" i="82"/>
  <c r="AD330" i="82"/>
  <c r="AE330" i="82"/>
  <c r="AF330" i="82"/>
  <c r="AG330" i="82"/>
  <c r="AH330" i="82"/>
  <c r="AI330" i="82"/>
  <c r="AJ330" i="82"/>
  <c r="AL330" i="82"/>
  <c r="AM330" i="82"/>
  <c r="AN330" i="82"/>
  <c r="AO330" i="82"/>
  <c r="AP330" i="82"/>
  <c r="AQ330" i="82"/>
  <c r="AR330" i="82"/>
  <c r="AS330" i="82"/>
  <c r="AT330" i="82"/>
  <c r="AU330" i="82"/>
  <c r="AV330" i="82"/>
  <c r="AW330" i="82"/>
  <c r="AX330" i="82"/>
  <c r="AY330" i="82"/>
  <c r="AZ330" i="82"/>
  <c r="BA330" i="82"/>
  <c r="BB330" i="82"/>
  <c r="BC330" i="82"/>
  <c r="BD330" i="82"/>
  <c r="BE330" i="82"/>
  <c r="BM330" i="82"/>
  <c r="CK330" i="82"/>
  <c r="CM330" i="82"/>
  <c r="CO330" i="82"/>
  <c r="CQ330" i="82"/>
  <c r="CS330" i="82"/>
  <c r="CU330" i="82"/>
  <c r="CW330" i="82"/>
  <c r="CY330" i="82"/>
  <c r="DA330" i="82"/>
  <c r="DC330" i="82"/>
  <c r="DE330" i="82"/>
  <c r="DG330" i="82"/>
  <c r="DI330" i="82"/>
  <c r="DK330" i="82"/>
  <c r="DM330" i="82"/>
  <c r="DO330" i="82"/>
  <c r="DQ330" i="82"/>
  <c r="DS330" i="82"/>
  <c r="DU330" i="82"/>
  <c r="G328" i="82"/>
  <c r="H328" i="82" s="1"/>
  <c r="E328" i="82"/>
  <c r="E330" i="82" s="1"/>
  <c r="B328" i="82"/>
  <c r="E17" i="10"/>
  <c r="E18" i="10" s="1"/>
  <c r="I16" i="76"/>
  <c r="I17" i="76"/>
  <c r="I22" i="76"/>
  <c r="I21" i="76"/>
  <c r="I30" i="76"/>
  <c r="I34" i="76"/>
  <c r="F40" i="76"/>
  <c r="F35" i="76"/>
  <c r="E18" i="4" s="1"/>
  <c r="G18" i="4" s="1"/>
  <c r="H17" i="76"/>
  <c r="H16" i="76"/>
  <c r="H22" i="76"/>
  <c r="H34" i="76"/>
  <c r="H15" i="76"/>
  <c r="H30" i="76"/>
  <c r="F17" i="10" s="1"/>
  <c r="F18" i="10" s="1"/>
  <c r="H21" i="76"/>
  <c r="I39" i="76"/>
  <c r="H39" i="76" s="1"/>
  <c r="F26" i="10" s="1"/>
  <c r="H26" i="10" s="1"/>
  <c r="I38" i="76"/>
  <c r="H38" i="76" s="1"/>
  <c r="I37" i="76"/>
  <c r="H37" i="76" s="1"/>
  <c r="G20" i="76"/>
  <c r="E22" i="10" s="1"/>
  <c r="C613" i="71"/>
  <c r="B613" i="71"/>
  <c r="C619" i="71"/>
  <c r="B619" i="71"/>
  <c r="C617" i="71"/>
  <c r="B617" i="71"/>
  <c r="C616" i="71"/>
  <c r="B616" i="71"/>
  <c r="C610" i="71"/>
  <c r="B610" i="71"/>
  <c r="C605" i="71"/>
  <c r="B605" i="71"/>
  <c r="C93" i="7" s="1"/>
  <c r="C602" i="71"/>
  <c r="B602" i="71"/>
  <c r="C603" i="71"/>
  <c r="B603" i="71"/>
  <c r="C601" i="71"/>
  <c r="D601" i="71" s="1"/>
  <c r="E27" i="23" s="1"/>
  <c r="B601" i="71"/>
  <c r="C598" i="71"/>
  <c r="B598" i="71"/>
  <c r="C597" i="71"/>
  <c r="B597" i="71"/>
  <c r="D597" i="71" s="1"/>
  <c r="C596" i="71"/>
  <c r="B596" i="71"/>
  <c r="C595" i="71"/>
  <c r="B595" i="71"/>
  <c r="C594" i="71"/>
  <c r="B594" i="71"/>
  <c r="C592" i="71"/>
  <c r="B592" i="71"/>
  <c r="C591" i="71"/>
  <c r="B591" i="71"/>
  <c r="C590" i="71"/>
  <c r="B590" i="71"/>
  <c r="C589" i="71"/>
  <c r="B589" i="71"/>
  <c r="C588" i="71"/>
  <c r="B588" i="71"/>
  <c r="C587" i="71"/>
  <c r="B587" i="71"/>
  <c r="C586" i="71"/>
  <c r="B586" i="71"/>
  <c r="D586" i="71" s="1"/>
  <c r="C585" i="71"/>
  <c r="B585" i="71"/>
  <c r="C584" i="71"/>
  <c r="B584" i="71"/>
  <c r="C583" i="71"/>
  <c r="B583" i="71"/>
  <c r="C582" i="71"/>
  <c r="B582" i="71"/>
  <c r="C581" i="71"/>
  <c r="B581" i="71"/>
  <c r="D581" i="71"/>
  <c r="C580" i="71"/>
  <c r="B580" i="71"/>
  <c r="D580" i="71" s="1"/>
  <c r="C579" i="71"/>
  <c r="B579" i="71"/>
  <c r="D579" i="71" s="1"/>
  <c r="C578" i="71"/>
  <c r="B578" i="71"/>
  <c r="D578" i="71" s="1"/>
  <c r="C577" i="71"/>
  <c r="B577" i="71"/>
  <c r="C575" i="71"/>
  <c r="B575" i="71"/>
  <c r="C574" i="71"/>
  <c r="B574" i="71"/>
  <c r="C572" i="71"/>
  <c r="B572" i="71"/>
  <c r="C570" i="71"/>
  <c r="B570" i="71"/>
  <c r="C569" i="71"/>
  <c r="B569" i="71"/>
  <c r="C568" i="71"/>
  <c r="B568" i="71"/>
  <c r="C567" i="71"/>
  <c r="B567" i="71"/>
  <c r="C566" i="71"/>
  <c r="B566" i="71"/>
  <c r="C565" i="71"/>
  <c r="B565" i="71"/>
  <c r="C563" i="71"/>
  <c r="B563" i="71"/>
  <c r="C562" i="71"/>
  <c r="B562" i="71"/>
  <c r="D562" i="71" s="1"/>
  <c r="C560" i="71"/>
  <c r="B560" i="71"/>
  <c r="C559" i="71"/>
  <c r="B559" i="71"/>
  <c r="C557" i="71"/>
  <c r="B557" i="71"/>
  <c r="C556" i="71"/>
  <c r="B556" i="71"/>
  <c r="C554" i="71"/>
  <c r="D554" i="71" s="1"/>
  <c r="B554" i="71"/>
  <c r="C553" i="71"/>
  <c r="B553" i="71"/>
  <c r="C552" i="71"/>
  <c r="B552" i="71"/>
  <c r="C550" i="71"/>
  <c r="B550" i="71"/>
  <c r="D550" i="71" s="1"/>
  <c r="C81" i="7" s="1"/>
  <c r="C549" i="71"/>
  <c r="D549" i="71" s="1"/>
  <c r="B549" i="71"/>
  <c r="C548" i="71"/>
  <c r="B548" i="71"/>
  <c r="D548" i="71" s="1"/>
  <c r="C80" i="7" s="1"/>
  <c r="C542" i="71"/>
  <c r="B542" i="71"/>
  <c r="C538" i="71"/>
  <c r="B538" i="71"/>
  <c r="C530" i="71"/>
  <c r="B530" i="71"/>
  <c r="C531" i="71"/>
  <c r="B531" i="71"/>
  <c r="C529" i="71"/>
  <c r="B529" i="71"/>
  <c r="D529" i="71"/>
  <c r="C536" i="71"/>
  <c r="B536" i="71"/>
  <c r="C535" i="71"/>
  <c r="B535" i="71"/>
  <c r="D535" i="71" s="1"/>
  <c r="C533" i="71"/>
  <c r="B533" i="71"/>
  <c r="C532" i="71"/>
  <c r="B532" i="71"/>
  <c r="C528" i="71"/>
  <c r="D528" i="71" s="1"/>
  <c r="B528" i="71"/>
  <c r="C527" i="71"/>
  <c r="B527" i="71"/>
  <c r="D527" i="71" s="1"/>
  <c r="C525" i="71"/>
  <c r="B525" i="71"/>
  <c r="C523" i="71"/>
  <c r="B523" i="71"/>
  <c r="D523" i="71"/>
  <c r="C521" i="71"/>
  <c r="B521" i="71"/>
  <c r="C520" i="71"/>
  <c r="B520" i="71"/>
  <c r="D520" i="71" s="1"/>
  <c r="C516" i="71"/>
  <c r="B516" i="71"/>
  <c r="C514" i="71"/>
  <c r="B514" i="71"/>
  <c r="D514" i="71" s="1"/>
  <c r="C513" i="71"/>
  <c r="B513" i="71"/>
  <c r="C512" i="71"/>
  <c r="B512" i="71"/>
  <c r="C510" i="71"/>
  <c r="B510" i="71"/>
  <c r="C508" i="71"/>
  <c r="B508" i="71"/>
  <c r="C506" i="71"/>
  <c r="B506" i="71"/>
  <c r="C505" i="71"/>
  <c r="B505" i="71"/>
  <c r="C504" i="71"/>
  <c r="B504" i="71"/>
  <c r="E197" i="3"/>
  <c r="C48" i="7" s="1"/>
  <c r="B500" i="71"/>
  <c r="D500" i="71" s="1"/>
  <c r="B499" i="71"/>
  <c r="D499" i="71" s="1"/>
  <c r="C496" i="71"/>
  <c r="C495" i="71"/>
  <c r="C490" i="71"/>
  <c r="B490" i="71"/>
  <c r="C489" i="71"/>
  <c r="B489" i="71"/>
  <c r="C488" i="71"/>
  <c r="B488" i="71"/>
  <c r="C487" i="71"/>
  <c r="B487" i="71"/>
  <c r="C486" i="71"/>
  <c r="B486" i="71"/>
  <c r="C485" i="71"/>
  <c r="B485" i="71"/>
  <c r="C484" i="71"/>
  <c r="B484" i="71"/>
  <c r="C483" i="71"/>
  <c r="B483" i="71"/>
  <c r="C482" i="71"/>
  <c r="B482" i="71"/>
  <c r="C481" i="71"/>
  <c r="B481" i="71"/>
  <c r="C480" i="71"/>
  <c r="B480" i="71"/>
  <c r="C479" i="71"/>
  <c r="B479" i="71"/>
  <c r="C477" i="71"/>
  <c r="B477" i="71"/>
  <c r="C476" i="71"/>
  <c r="B476" i="71"/>
  <c r="C474" i="71"/>
  <c r="B474" i="71"/>
  <c r="C473" i="71"/>
  <c r="B473" i="71"/>
  <c r="C472" i="71"/>
  <c r="B472" i="71"/>
  <c r="C471" i="71"/>
  <c r="B471" i="71"/>
  <c r="D471" i="71" s="1"/>
  <c r="C468" i="71"/>
  <c r="B261" i="71" s="1"/>
  <c r="C466" i="71"/>
  <c r="B466" i="71"/>
  <c r="C465" i="71"/>
  <c r="C464" i="71"/>
  <c r="D464" i="71" s="1"/>
  <c r="B464" i="71"/>
  <c r="C463" i="71"/>
  <c r="B463" i="71"/>
  <c r="D463" i="71" s="1"/>
  <c r="C462" i="71"/>
  <c r="B462" i="71"/>
  <c r="D462" i="71" s="1"/>
  <c r="C461" i="71"/>
  <c r="D461" i="71" s="1"/>
  <c r="B461" i="71"/>
  <c r="C460" i="71"/>
  <c r="B460" i="71"/>
  <c r="C459" i="71"/>
  <c r="D459" i="71" s="1"/>
  <c r="B459" i="71"/>
  <c r="C458" i="71"/>
  <c r="B458" i="71"/>
  <c r="C457" i="71"/>
  <c r="B457" i="71"/>
  <c r="C456" i="71"/>
  <c r="B456" i="71"/>
  <c r="C452" i="71"/>
  <c r="D452" i="71" s="1"/>
  <c r="B452" i="71"/>
  <c r="B449" i="71"/>
  <c r="C448" i="71"/>
  <c r="B448" i="71"/>
  <c r="C447" i="71"/>
  <c r="B447" i="71"/>
  <c r="C443" i="71"/>
  <c r="C13" i="7" s="1"/>
  <c r="B443" i="71"/>
  <c r="C441" i="71"/>
  <c r="B441" i="71"/>
  <c r="C440" i="71"/>
  <c r="B440" i="71"/>
  <c r="C438" i="71"/>
  <c r="B438" i="71"/>
  <c r="C437" i="71"/>
  <c r="B437" i="71"/>
  <c r="C435" i="71"/>
  <c r="B435" i="71"/>
  <c r="C434" i="71"/>
  <c r="B434" i="71"/>
  <c r="C433" i="71"/>
  <c r="B433" i="71"/>
  <c r="C432" i="71"/>
  <c r="B432" i="71"/>
  <c r="C407" i="71"/>
  <c r="B407" i="71"/>
  <c r="C410" i="71"/>
  <c r="B410" i="71"/>
  <c r="C409" i="71"/>
  <c r="B409" i="71"/>
  <c r="C420" i="71"/>
  <c r="B420" i="71"/>
  <c r="D420" i="71" s="1"/>
  <c r="C396" i="71"/>
  <c r="B396" i="71"/>
  <c r="C395" i="71"/>
  <c r="B395" i="71"/>
  <c r="C394" i="71"/>
  <c r="B394" i="71"/>
  <c r="C390" i="71"/>
  <c r="B390" i="71"/>
  <c r="C389" i="71"/>
  <c r="B389" i="71"/>
  <c r="C388" i="71"/>
  <c r="B388" i="71"/>
  <c r="C386" i="71"/>
  <c r="B386" i="71"/>
  <c r="C385" i="71"/>
  <c r="B385" i="71"/>
  <c r="C384" i="71"/>
  <c r="B384" i="71"/>
  <c r="C383" i="71"/>
  <c r="B383" i="71"/>
  <c r="C382" i="71"/>
  <c r="B382" i="71"/>
  <c r="C378" i="71"/>
  <c r="B378" i="71"/>
  <c r="C377" i="71"/>
  <c r="B377" i="71"/>
  <c r="C374" i="71"/>
  <c r="B374" i="71"/>
  <c r="C373" i="71"/>
  <c r="B373" i="71"/>
  <c r="C372" i="71"/>
  <c r="B372" i="71"/>
  <c r="C371" i="71"/>
  <c r="D371" i="71" s="1"/>
  <c r="B371" i="71"/>
  <c r="C370" i="71"/>
  <c r="B370" i="71"/>
  <c r="C369" i="71"/>
  <c r="B369" i="71"/>
  <c r="C368" i="71"/>
  <c r="B368" i="71"/>
  <c r="C367" i="71"/>
  <c r="B367" i="71"/>
  <c r="C364" i="71"/>
  <c r="B364" i="71"/>
  <c r="E245" i="3" s="1"/>
  <c r="C360" i="71"/>
  <c r="B360" i="71"/>
  <c r="C359" i="71"/>
  <c r="B359" i="71"/>
  <c r="E236" i="3" s="1"/>
  <c r="D88" i="65" s="1"/>
  <c r="C356" i="71"/>
  <c r="B356" i="71"/>
  <c r="C353" i="71"/>
  <c r="D353" i="71" s="1"/>
  <c r="E232" i="3" s="1"/>
  <c r="B353" i="71"/>
  <c r="C352" i="71"/>
  <c r="B352" i="71"/>
  <c r="D352" i="71" s="1"/>
  <c r="E233" i="3" s="1"/>
  <c r="C212" i="71"/>
  <c r="B212" i="71"/>
  <c r="C347" i="71"/>
  <c r="B347" i="71"/>
  <c r="D347" i="71" s="1"/>
  <c r="C211" i="71"/>
  <c r="B211" i="71"/>
  <c r="C346" i="71"/>
  <c r="B346" i="71"/>
  <c r="C345" i="71"/>
  <c r="B345" i="71"/>
  <c r="C344" i="71"/>
  <c r="B344" i="71"/>
  <c r="C210" i="71"/>
  <c r="B210" i="71"/>
  <c r="C343" i="71"/>
  <c r="B343" i="71"/>
  <c r="C342" i="71"/>
  <c r="B342" i="71"/>
  <c r="D342" i="71" s="1"/>
  <c r="C341" i="71"/>
  <c r="B341" i="71"/>
  <c r="C340" i="71"/>
  <c r="B340" i="71"/>
  <c r="D340" i="71" s="1"/>
  <c r="C339" i="71"/>
  <c r="B339" i="71"/>
  <c r="C338" i="71"/>
  <c r="B338" i="71"/>
  <c r="C337" i="71"/>
  <c r="B337" i="71"/>
  <c r="C336" i="71"/>
  <c r="B336" i="71"/>
  <c r="D336" i="71" s="1"/>
  <c r="C335" i="71"/>
  <c r="B335" i="71"/>
  <c r="D335" i="71" s="1"/>
  <c r="C334" i="71"/>
  <c r="B334" i="71"/>
  <c r="D334" i="71" s="1"/>
  <c r="C333" i="71"/>
  <c r="B333" i="71"/>
  <c r="C332" i="71"/>
  <c r="B332" i="71"/>
  <c r="C331" i="71"/>
  <c r="B331" i="71"/>
  <c r="C330" i="71"/>
  <c r="B330" i="71"/>
  <c r="C329" i="71"/>
  <c r="B329" i="71"/>
  <c r="C328" i="71"/>
  <c r="B328" i="71"/>
  <c r="C327" i="71"/>
  <c r="B327" i="71"/>
  <c r="C326" i="71"/>
  <c r="B326" i="71"/>
  <c r="D326" i="71" s="1"/>
  <c r="C325" i="71"/>
  <c r="B325" i="71"/>
  <c r="C324" i="71"/>
  <c r="B324" i="71"/>
  <c r="D324" i="71" s="1"/>
  <c r="C323" i="71"/>
  <c r="B323" i="71"/>
  <c r="D323" i="71" s="1"/>
  <c r="C322" i="71"/>
  <c r="B322" i="71"/>
  <c r="D322" i="71" s="1"/>
  <c r="C321" i="71"/>
  <c r="B321" i="71"/>
  <c r="C320" i="71"/>
  <c r="B320" i="71"/>
  <c r="C319" i="71"/>
  <c r="B319" i="71"/>
  <c r="D319" i="71" s="1"/>
  <c r="C318" i="71"/>
  <c r="B318" i="71"/>
  <c r="C209" i="71"/>
  <c r="B209" i="71"/>
  <c r="C317" i="71"/>
  <c r="B317" i="71"/>
  <c r="C316" i="71"/>
  <c r="B316" i="71"/>
  <c r="D316" i="71" s="1"/>
  <c r="C315" i="71"/>
  <c r="B315" i="71"/>
  <c r="C314" i="71"/>
  <c r="B314" i="71"/>
  <c r="D314" i="71" s="1"/>
  <c r="C313" i="71"/>
  <c r="B313" i="71"/>
  <c r="C307" i="71"/>
  <c r="B307" i="71"/>
  <c r="C306" i="71"/>
  <c r="B306" i="71"/>
  <c r="C305" i="71"/>
  <c r="B305" i="71"/>
  <c r="C304" i="71"/>
  <c r="B304" i="71"/>
  <c r="D304" i="71" s="1"/>
  <c r="C303" i="71"/>
  <c r="D303" i="71" s="1"/>
  <c r="B303" i="71"/>
  <c r="C302" i="71"/>
  <c r="B302" i="71"/>
  <c r="C301" i="71"/>
  <c r="B301" i="71"/>
  <c r="C300" i="71"/>
  <c r="B300" i="71"/>
  <c r="C299" i="71"/>
  <c r="B299" i="71"/>
  <c r="C298" i="71"/>
  <c r="B298" i="71"/>
  <c r="C297" i="71"/>
  <c r="B297" i="71"/>
  <c r="C296" i="71"/>
  <c r="B296" i="71"/>
  <c r="D296" i="71" s="1"/>
  <c r="C295" i="71"/>
  <c r="B295" i="71"/>
  <c r="C294" i="71"/>
  <c r="B294" i="71"/>
  <c r="D294" i="71" s="1"/>
  <c r="C293" i="71"/>
  <c r="B293" i="71"/>
  <c r="C292" i="71"/>
  <c r="B292" i="71"/>
  <c r="C291" i="71"/>
  <c r="B291" i="71"/>
  <c r="C290" i="71"/>
  <c r="B290" i="71"/>
  <c r="D290" i="71" s="1"/>
  <c r="C289" i="71"/>
  <c r="B289" i="71"/>
  <c r="C288" i="71"/>
  <c r="B288" i="71"/>
  <c r="C287" i="71"/>
  <c r="B287" i="71"/>
  <c r="C286" i="71"/>
  <c r="B286" i="71"/>
  <c r="C285" i="71"/>
  <c r="B285" i="71"/>
  <c r="C284" i="71"/>
  <c r="B284" i="71"/>
  <c r="C283" i="71"/>
  <c r="B283" i="71"/>
  <c r="C282" i="71"/>
  <c r="B282" i="71"/>
  <c r="C281" i="71"/>
  <c r="B281" i="71"/>
  <c r="C280" i="71"/>
  <c r="B280" i="71"/>
  <c r="D280" i="71" s="1"/>
  <c r="C279" i="71"/>
  <c r="B279" i="71"/>
  <c r="C278" i="71"/>
  <c r="B278" i="71"/>
  <c r="D278" i="71" s="1"/>
  <c r="C277" i="71"/>
  <c r="B277" i="71"/>
  <c r="C276" i="71"/>
  <c r="B276" i="71"/>
  <c r="C208" i="71"/>
  <c r="B208" i="71"/>
  <c r="C275" i="71"/>
  <c r="B275" i="71"/>
  <c r="D275" i="71" s="1"/>
  <c r="C274" i="71"/>
  <c r="B274" i="71"/>
  <c r="C273" i="71"/>
  <c r="B273" i="71"/>
  <c r="D273" i="71" s="1"/>
  <c r="C272" i="71"/>
  <c r="B272" i="71"/>
  <c r="C271" i="71"/>
  <c r="B271" i="71"/>
  <c r="C270" i="71"/>
  <c r="B270" i="71"/>
  <c r="C269" i="71"/>
  <c r="B269" i="71"/>
  <c r="D269" i="71" s="1"/>
  <c r="C268" i="71"/>
  <c r="B268" i="71"/>
  <c r="C267" i="71"/>
  <c r="B267" i="71"/>
  <c r="C263" i="71"/>
  <c r="D263" i="71" s="1"/>
  <c r="C262" i="71"/>
  <c r="D262" i="71" s="1"/>
  <c r="C261" i="71"/>
  <c r="C260" i="71"/>
  <c r="C238" i="71"/>
  <c r="B238" i="71"/>
  <c r="C237" i="71"/>
  <c r="B237" i="71"/>
  <c r="D237" i="71" s="1"/>
  <c r="C236" i="71"/>
  <c r="B236" i="71"/>
  <c r="C235" i="71"/>
  <c r="B235" i="71"/>
  <c r="C234" i="71"/>
  <c r="B234" i="71"/>
  <c r="C251" i="71"/>
  <c r="B251" i="71"/>
  <c r="D251" i="71" s="1"/>
  <c r="C250" i="71"/>
  <c r="B250" i="71"/>
  <c r="C249" i="71"/>
  <c r="B249" i="71"/>
  <c r="D249" i="71" s="1"/>
  <c r="C248" i="71"/>
  <c r="B248" i="71"/>
  <c r="D248" i="71" s="1"/>
  <c r="C247" i="71"/>
  <c r="B247" i="71"/>
  <c r="D247" i="71" s="1"/>
  <c r="C246" i="71"/>
  <c r="B246" i="71"/>
  <c r="D246" i="71" s="1"/>
  <c r="C245" i="71"/>
  <c r="B245" i="71"/>
  <c r="C244" i="71"/>
  <c r="B244" i="71"/>
  <c r="D244" i="71" s="1"/>
  <c r="C243" i="71"/>
  <c r="B243" i="71"/>
  <c r="C242" i="71"/>
  <c r="B242" i="71"/>
  <c r="C240" i="71"/>
  <c r="B240" i="71"/>
  <c r="C239" i="71"/>
  <c r="B239" i="71"/>
  <c r="C233" i="71"/>
  <c r="B233" i="71"/>
  <c r="C232" i="71"/>
  <c r="B232" i="71"/>
  <c r="C231" i="71"/>
  <c r="B231" i="71"/>
  <c r="C230" i="71"/>
  <c r="B230" i="71"/>
  <c r="C229" i="71"/>
  <c r="B229" i="71"/>
  <c r="C228" i="71"/>
  <c r="B228" i="71"/>
  <c r="D228" i="71" s="1"/>
  <c r="C227" i="71"/>
  <c r="B227" i="71"/>
  <c r="C226" i="71"/>
  <c r="B226" i="71"/>
  <c r="C225" i="71"/>
  <c r="B225" i="71"/>
  <c r="C224" i="71"/>
  <c r="B224" i="71"/>
  <c r="C223" i="71"/>
  <c r="B223" i="71"/>
  <c r="D223" i="71" s="1"/>
  <c r="C222" i="71"/>
  <c r="D222" i="71" s="1"/>
  <c r="B222" i="71"/>
  <c r="C221" i="71"/>
  <c r="B221" i="71"/>
  <c r="C220" i="71"/>
  <c r="B220" i="71"/>
  <c r="C216" i="71"/>
  <c r="B216" i="71"/>
  <c r="C213" i="71"/>
  <c r="B213" i="71"/>
  <c r="C205" i="71"/>
  <c r="B205" i="71"/>
  <c r="D205" i="71" s="1"/>
  <c r="C204" i="71"/>
  <c r="B204" i="71"/>
  <c r="D204" i="71" s="1"/>
  <c r="C203" i="71"/>
  <c r="B203" i="71"/>
  <c r="C202" i="71"/>
  <c r="B202" i="71"/>
  <c r="C381" i="71"/>
  <c r="B381" i="71"/>
  <c r="C199" i="71"/>
  <c r="B199" i="71"/>
  <c r="C198" i="71"/>
  <c r="D198" i="71" s="1"/>
  <c r="B198" i="71"/>
  <c r="C197" i="71"/>
  <c r="B197" i="71"/>
  <c r="C196" i="71"/>
  <c r="B196" i="71"/>
  <c r="D196" i="71" s="1"/>
  <c r="C195" i="71"/>
  <c r="B195" i="71"/>
  <c r="C379" i="71"/>
  <c r="B379" i="71"/>
  <c r="C192" i="71"/>
  <c r="B192" i="71"/>
  <c r="C190" i="71"/>
  <c r="B190" i="71"/>
  <c r="D190" i="71" s="1"/>
  <c r="C189" i="71"/>
  <c r="B189" i="71"/>
  <c r="C187" i="71"/>
  <c r="B187" i="71"/>
  <c r="C186" i="71"/>
  <c r="B186" i="71"/>
  <c r="C183" i="71"/>
  <c r="B183" i="71"/>
  <c r="C182" i="71"/>
  <c r="B182" i="71"/>
  <c r="C179" i="71"/>
  <c r="B179" i="71"/>
  <c r="C177" i="71"/>
  <c r="B177" i="71"/>
  <c r="C174" i="71"/>
  <c r="B174" i="71"/>
  <c r="C172" i="71"/>
  <c r="B172" i="71"/>
  <c r="D172" i="71" s="1"/>
  <c r="C171" i="71"/>
  <c r="B171" i="71"/>
  <c r="C167" i="71"/>
  <c r="D167" i="71"/>
  <c r="B167" i="71"/>
  <c r="C425" i="71"/>
  <c r="B425" i="71"/>
  <c r="C428" i="71"/>
  <c r="B428" i="71"/>
  <c r="C165" i="71"/>
  <c r="D165" i="71" s="1"/>
  <c r="B165" i="71"/>
  <c r="C427" i="71"/>
  <c r="B427" i="71"/>
  <c r="D427" i="71" s="1"/>
  <c r="C164" i="71"/>
  <c r="B164" i="71"/>
  <c r="C162" i="71"/>
  <c r="B162" i="71"/>
  <c r="D162" i="71" s="1"/>
  <c r="C424" i="71"/>
  <c r="B424" i="71"/>
  <c r="C161" i="71"/>
  <c r="B161" i="71"/>
  <c r="C159" i="71"/>
  <c r="B159" i="71"/>
  <c r="C157" i="71"/>
  <c r="B157" i="71"/>
  <c r="C156" i="71"/>
  <c r="B156" i="71"/>
  <c r="C423" i="71"/>
  <c r="B423" i="71"/>
  <c r="D423" i="71" s="1"/>
  <c r="C153" i="71"/>
  <c r="B153" i="71"/>
  <c r="D153" i="71" s="1"/>
  <c r="C422" i="71"/>
  <c r="B422" i="71"/>
  <c r="C149" i="71"/>
  <c r="B149" i="71"/>
  <c r="C417" i="71"/>
  <c r="B417" i="71"/>
  <c r="C148" i="71"/>
  <c r="B148" i="71"/>
  <c r="C419" i="71"/>
  <c r="B419" i="71"/>
  <c r="C152" i="71"/>
  <c r="B152" i="71"/>
  <c r="C147" i="71"/>
  <c r="B147" i="71"/>
  <c r="C146" i="71"/>
  <c r="B146" i="71"/>
  <c r="C145" i="71"/>
  <c r="B145" i="71"/>
  <c r="C144" i="71"/>
  <c r="B144" i="71"/>
  <c r="C416" i="71"/>
  <c r="B416" i="71"/>
  <c r="C42" i="71"/>
  <c r="B42" i="71"/>
  <c r="D42" i="71" s="1"/>
  <c r="C143" i="71"/>
  <c r="B143" i="71"/>
  <c r="C139" i="71"/>
  <c r="B139" i="71"/>
  <c r="C138" i="71"/>
  <c r="B138" i="71"/>
  <c r="C137" i="71"/>
  <c r="B137" i="71"/>
  <c r="C414" i="71"/>
  <c r="B414" i="71"/>
  <c r="C413" i="71"/>
  <c r="B413" i="71"/>
  <c r="C132" i="71"/>
  <c r="B132" i="71"/>
  <c r="C131" i="71"/>
  <c r="B131" i="71"/>
  <c r="C129" i="71"/>
  <c r="B129" i="71"/>
  <c r="C128" i="71"/>
  <c r="B128" i="71"/>
  <c r="C127" i="71"/>
  <c r="B127" i="71"/>
  <c r="C412" i="71"/>
  <c r="B412" i="71"/>
  <c r="C126" i="71"/>
  <c r="B126" i="71"/>
  <c r="C124" i="71"/>
  <c r="B124" i="71"/>
  <c r="C123" i="71"/>
  <c r="B123" i="71"/>
  <c r="C411" i="71"/>
  <c r="B411" i="71"/>
  <c r="C408" i="71"/>
  <c r="D408" i="71" s="1"/>
  <c r="B408" i="71"/>
  <c r="C122" i="71"/>
  <c r="B122" i="71"/>
  <c r="C118" i="71"/>
  <c r="B118" i="71"/>
  <c r="C121" i="71"/>
  <c r="B121" i="71"/>
  <c r="C120" i="71"/>
  <c r="B120" i="71"/>
  <c r="C119" i="71"/>
  <c r="B119" i="71"/>
  <c r="C116" i="71"/>
  <c r="B116" i="71"/>
  <c r="D116" i="71"/>
  <c r="C115" i="71"/>
  <c r="B115" i="71"/>
  <c r="C114" i="71"/>
  <c r="B114" i="71"/>
  <c r="C113" i="71"/>
  <c r="B113" i="71"/>
  <c r="C112" i="71"/>
  <c r="B112" i="71"/>
  <c r="C111" i="71"/>
  <c r="B111" i="71"/>
  <c r="C109" i="71"/>
  <c r="B109" i="71"/>
  <c r="C108" i="71"/>
  <c r="B108" i="71"/>
  <c r="C107" i="71"/>
  <c r="B107" i="71"/>
  <c r="D107" i="71" s="1"/>
  <c r="C406" i="71"/>
  <c r="B406" i="71"/>
  <c r="C399" i="71"/>
  <c r="B399" i="71"/>
  <c r="C405" i="71"/>
  <c r="B405" i="71"/>
  <c r="C404" i="71"/>
  <c r="B404" i="71"/>
  <c r="D404" i="71" s="1"/>
  <c r="C106" i="71"/>
  <c r="B106" i="71"/>
  <c r="C398" i="71"/>
  <c r="B398" i="71"/>
  <c r="D398" i="71" s="1"/>
  <c r="C104" i="71"/>
  <c r="B104" i="71"/>
  <c r="C403" i="71"/>
  <c r="B403" i="71"/>
  <c r="D403" i="71"/>
  <c r="C40" i="71"/>
  <c r="B40" i="71"/>
  <c r="C38" i="71"/>
  <c r="E118" i="3"/>
  <c r="B38" i="71"/>
  <c r="C33" i="71"/>
  <c r="B33" i="71"/>
  <c r="C30" i="71"/>
  <c r="E92" i="3" s="1"/>
  <c r="G17" i="1" s="1"/>
  <c r="C21" i="27" s="1"/>
  <c r="B30" i="71"/>
  <c r="C27" i="71"/>
  <c r="B27" i="71"/>
  <c r="C24" i="71"/>
  <c r="B24" i="71"/>
  <c r="C21" i="71"/>
  <c r="B21" i="71"/>
  <c r="D21" i="71" s="1"/>
  <c r="C20" i="71"/>
  <c r="D20" i="71" s="1"/>
  <c r="B20" i="71"/>
  <c r="C19" i="71"/>
  <c r="B19" i="71"/>
  <c r="C18" i="71"/>
  <c r="B18" i="71"/>
  <c r="C15" i="71"/>
  <c r="B15" i="71"/>
  <c r="D15" i="71" s="1"/>
  <c r="C14" i="71"/>
  <c r="B14" i="71"/>
  <c r="C10" i="71"/>
  <c r="B10" i="71"/>
  <c r="C8" i="71"/>
  <c r="E48" i="3" s="1"/>
  <c r="B8" i="71"/>
  <c r="E387" i="74"/>
  <c r="E388" i="74"/>
  <c r="E389" i="74"/>
  <c r="E390" i="74"/>
  <c r="E391" i="74"/>
  <c r="E392" i="74"/>
  <c r="E393" i="74"/>
  <c r="E394" i="74"/>
  <c r="E395" i="74"/>
  <c r="E396" i="74"/>
  <c r="E397" i="74"/>
  <c r="E398" i="74"/>
  <c r="E399" i="74"/>
  <c r="E400" i="74"/>
  <c r="E401" i="74"/>
  <c r="E402" i="74"/>
  <c r="E403" i="74"/>
  <c r="E404" i="74"/>
  <c r="E405" i="74"/>
  <c r="E406" i="74"/>
  <c r="E407" i="74"/>
  <c r="E408" i="74"/>
  <c r="E409" i="74"/>
  <c r="E410" i="74"/>
  <c r="E411" i="74"/>
  <c r="E412" i="74"/>
  <c r="E413" i="74"/>
  <c r="E414" i="74"/>
  <c r="E415" i="74"/>
  <c r="E416" i="74"/>
  <c r="E417" i="74"/>
  <c r="E418" i="74"/>
  <c r="E419" i="74"/>
  <c r="E420" i="74"/>
  <c r="E421" i="74"/>
  <c r="E422" i="74"/>
  <c r="E423" i="74"/>
  <c r="E424" i="74"/>
  <c r="E425" i="74"/>
  <c r="E426" i="74"/>
  <c r="E427" i="74"/>
  <c r="E428" i="74"/>
  <c r="E429" i="74"/>
  <c r="E430" i="74"/>
  <c r="E431" i="74"/>
  <c r="E432" i="74"/>
  <c r="E433" i="74"/>
  <c r="E434" i="74"/>
  <c r="E435" i="74"/>
  <c r="E436" i="74"/>
  <c r="E437" i="74"/>
  <c r="E438" i="74"/>
  <c r="E439" i="74"/>
  <c r="E440" i="74"/>
  <c r="E441" i="74"/>
  <c r="E442" i="74"/>
  <c r="E443" i="74"/>
  <c r="E444" i="74"/>
  <c r="E445" i="74"/>
  <c r="E446" i="74"/>
  <c r="E447" i="74"/>
  <c r="E448" i="74"/>
  <c r="E449" i="74"/>
  <c r="E450" i="74"/>
  <c r="E451" i="74"/>
  <c r="E452" i="74"/>
  <c r="A48" i="2"/>
  <c r="E25" i="23"/>
  <c r="L26" i="2" s="1"/>
  <c r="BT132" i="82"/>
  <c r="I90" i="23"/>
  <c r="J90" i="23" s="1"/>
  <c r="I91" i="23"/>
  <c r="I92" i="23"/>
  <c r="J92" i="23" s="1"/>
  <c r="I93" i="23"/>
  <c r="J93" i="23"/>
  <c r="I94" i="23"/>
  <c r="I95" i="23"/>
  <c r="J95" i="23" s="1"/>
  <c r="I96" i="23"/>
  <c r="J96" i="23" s="1"/>
  <c r="I89" i="23"/>
  <c r="J89" i="23" s="1"/>
  <c r="H91" i="23"/>
  <c r="H92" i="23"/>
  <c r="H93" i="23"/>
  <c r="H94" i="23"/>
  <c r="H95" i="23"/>
  <c r="H96" i="23"/>
  <c r="H90" i="23"/>
  <c r="H89" i="23"/>
  <c r="F97" i="23"/>
  <c r="G97" i="23"/>
  <c r="E97" i="23"/>
  <c r="J80" i="23"/>
  <c r="J81" i="23"/>
  <c r="J71" i="23"/>
  <c r="H71" i="23"/>
  <c r="H72" i="23"/>
  <c r="H73" i="23"/>
  <c r="H74" i="23"/>
  <c r="H75" i="23"/>
  <c r="H76" i="23"/>
  <c r="H77" i="23"/>
  <c r="H78" i="23"/>
  <c r="H79" i="23"/>
  <c r="H80" i="23"/>
  <c r="H70" i="23"/>
  <c r="F82" i="23"/>
  <c r="G82" i="23"/>
  <c r="E82" i="23"/>
  <c r="I76" i="23"/>
  <c r="J76" i="23" s="1"/>
  <c r="I77" i="23"/>
  <c r="J77" i="23" s="1"/>
  <c r="I78" i="23"/>
  <c r="J78" i="23"/>
  <c r="I79" i="23"/>
  <c r="J79" i="23" s="1"/>
  <c r="E24" i="23"/>
  <c r="L29" i="2" s="1"/>
  <c r="D37" i="10"/>
  <c r="D29" i="10"/>
  <c r="E84" i="80"/>
  <c r="C86" i="80" s="1"/>
  <c r="C88" i="80" s="1"/>
  <c r="D84" i="80"/>
  <c r="C84" i="80"/>
  <c r="BN132" i="82"/>
  <c r="BN129" i="82"/>
  <c r="BN103" i="82"/>
  <c r="BN60" i="82"/>
  <c r="CE291" i="82"/>
  <c r="CF291" i="82" s="1"/>
  <c r="AJ291" i="82"/>
  <c r="CT291" i="82"/>
  <c r="DW291" i="82"/>
  <c r="F5" i="80"/>
  <c r="F4" i="80"/>
  <c r="DW87" i="82"/>
  <c r="DW86" i="82"/>
  <c r="DW85" i="82"/>
  <c r="AK87" i="82"/>
  <c r="AK86" i="82"/>
  <c r="AK85" i="82"/>
  <c r="AJ87" i="82"/>
  <c r="AJ86" i="82"/>
  <c r="AJ85" i="82"/>
  <c r="J87" i="82"/>
  <c r="K87" i="82" s="1"/>
  <c r="J86" i="82"/>
  <c r="J85" i="82"/>
  <c r="H87" i="82"/>
  <c r="H86" i="82"/>
  <c r="H85" i="82"/>
  <c r="DW129" i="82"/>
  <c r="DW128" i="82"/>
  <c r="DW127" i="82"/>
  <c r="J129" i="82"/>
  <c r="J128" i="82"/>
  <c r="K128" i="82" s="1"/>
  <c r="AK129" i="82"/>
  <c r="H129" i="82"/>
  <c r="BL340" i="82"/>
  <c r="BL333" i="82"/>
  <c r="BJ340" i="82"/>
  <c r="BJ333" i="82" s="1"/>
  <c r="AK327" i="82"/>
  <c r="J327" i="82"/>
  <c r="DW327" i="82"/>
  <c r="DW326" i="82"/>
  <c r="CJ326" i="82"/>
  <c r="CL326" i="82" s="1"/>
  <c r="CN326" i="82"/>
  <c r="CP326" i="82" s="1"/>
  <c r="CR326" i="82" s="1"/>
  <c r="CT326" i="82" s="1"/>
  <c r="CV326" i="82" s="1"/>
  <c r="CX326" i="82" s="1"/>
  <c r="CZ326" i="82" s="1"/>
  <c r="DB326" i="82" s="1"/>
  <c r="DD326" i="82" s="1"/>
  <c r="DF326" i="82" s="1"/>
  <c r="DH326" i="82" s="1"/>
  <c r="DJ326" i="82" s="1"/>
  <c r="DL326" i="82" s="1"/>
  <c r="DN326" i="82" s="1"/>
  <c r="DP326" i="82" s="1"/>
  <c r="DR326" i="82" s="1"/>
  <c r="DT326" i="82" s="1"/>
  <c r="DV326" i="82" s="1"/>
  <c r="J326" i="82"/>
  <c r="K326" i="82" s="1"/>
  <c r="H326" i="82"/>
  <c r="AK326" i="82"/>
  <c r="DW325" i="82"/>
  <c r="AK325" i="82"/>
  <c r="J325" i="82"/>
  <c r="K325" i="82" s="1"/>
  <c r="H325" i="82"/>
  <c r="DW324" i="82"/>
  <c r="AK324" i="82"/>
  <c r="J324" i="82"/>
  <c r="H324" i="82"/>
  <c r="DW323" i="82"/>
  <c r="AK323" i="82"/>
  <c r="J323" i="82"/>
  <c r="K323" i="82" s="1"/>
  <c r="H323" i="82"/>
  <c r="DW322" i="82"/>
  <c r="AK322" i="82"/>
  <c r="J322" i="82"/>
  <c r="K322" i="82"/>
  <c r="H322" i="82"/>
  <c r="DW321" i="82"/>
  <c r="AK321" i="82"/>
  <c r="J321" i="82"/>
  <c r="K321" i="82" s="1"/>
  <c r="H321" i="82"/>
  <c r="DW320" i="82"/>
  <c r="AK320" i="82"/>
  <c r="J320" i="82"/>
  <c r="H320" i="82"/>
  <c r="DW319" i="82"/>
  <c r="AK319" i="82"/>
  <c r="J319" i="82"/>
  <c r="K319" i="82" s="1"/>
  <c r="H319" i="82"/>
  <c r="DW318" i="82"/>
  <c r="AK318" i="82"/>
  <c r="J318" i="82"/>
  <c r="K318" i="82" s="1"/>
  <c r="H318" i="82"/>
  <c r="DW317" i="82"/>
  <c r="AK317" i="82"/>
  <c r="J317" i="82"/>
  <c r="H317" i="82"/>
  <c r="DW316" i="82"/>
  <c r="AK316" i="82"/>
  <c r="BI316" i="82" s="1"/>
  <c r="BJ316" i="82" s="1"/>
  <c r="J316" i="82"/>
  <c r="H316" i="82"/>
  <c r="DW315" i="82"/>
  <c r="AK315" i="82"/>
  <c r="J315" i="82"/>
  <c r="K315" i="82"/>
  <c r="H315" i="82"/>
  <c r="DW314" i="82"/>
  <c r="AK314" i="82"/>
  <c r="J314" i="82"/>
  <c r="K314" i="82" s="1"/>
  <c r="H314" i="82"/>
  <c r="DW313" i="82"/>
  <c r="AK313" i="82"/>
  <c r="J313" i="82"/>
  <c r="H313" i="82"/>
  <c r="DW312" i="82"/>
  <c r="AK312" i="82"/>
  <c r="J312" i="82"/>
  <c r="K312" i="82" s="1"/>
  <c r="H312" i="82"/>
  <c r="DW311" i="82"/>
  <c r="AK311" i="82"/>
  <c r="J311" i="82"/>
  <c r="H311" i="82"/>
  <c r="DW310" i="82"/>
  <c r="AK310" i="82"/>
  <c r="J310" i="82"/>
  <c r="K310" i="82" s="1"/>
  <c r="H310" i="82"/>
  <c r="DW309" i="82"/>
  <c r="AK309" i="82"/>
  <c r="J309" i="82"/>
  <c r="K309" i="82" s="1"/>
  <c r="H309" i="82"/>
  <c r="DW308" i="82"/>
  <c r="AK308" i="82"/>
  <c r="J308" i="82"/>
  <c r="H308" i="82"/>
  <c r="DW307" i="82"/>
  <c r="BF307" i="82"/>
  <c r="BG307" i="82" s="1"/>
  <c r="BH307" i="82" s="1"/>
  <c r="DW306" i="82"/>
  <c r="BF306" i="82"/>
  <c r="BG306" i="82" s="1"/>
  <c r="BH306" i="82"/>
  <c r="BI306" i="82" s="1"/>
  <c r="BJ306" i="82" s="1"/>
  <c r="DW305" i="82"/>
  <c r="BF305" i="82"/>
  <c r="DW304" i="82"/>
  <c r="BF304" i="82"/>
  <c r="BG304" i="82" s="1"/>
  <c r="BH304" i="82" s="1"/>
  <c r="DW303" i="82"/>
  <c r="BF303" i="82"/>
  <c r="DW290" i="82"/>
  <c r="CT290" i="82"/>
  <c r="CV290" i="82" s="1"/>
  <c r="CX290" i="82" s="1"/>
  <c r="CZ290" i="82" s="1"/>
  <c r="DB290" i="82" s="1"/>
  <c r="DD290" i="82" s="1"/>
  <c r="DF290" i="82" s="1"/>
  <c r="DH290" i="82" s="1"/>
  <c r="DJ290" i="82" s="1"/>
  <c r="DL290" i="82" s="1"/>
  <c r="DN290" i="82" s="1"/>
  <c r="DP290" i="82" s="1"/>
  <c r="DR290" i="82" s="1"/>
  <c r="DT290" i="82" s="1"/>
  <c r="DV290" i="82" s="1"/>
  <c r="DX290" i="82" s="1"/>
  <c r="AK290" i="82"/>
  <c r="AJ290" i="82"/>
  <c r="J290" i="82"/>
  <c r="H290" i="82"/>
  <c r="DW289" i="82"/>
  <c r="CT289" i="82"/>
  <c r="CV289" i="82" s="1"/>
  <c r="CX289" i="82" s="1"/>
  <c r="CZ289" i="82" s="1"/>
  <c r="DB289" i="82" s="1"/>
  <c r="DD289" i="82" s="1"/>
  <c r="DF289" i="82" s="1"/>
  <c r="DH289" i="82" s="1"/>
  <c r="DJ289" i="82" s="1"/>
  <c r="DL289" i="82" s="1"/>
  <c r="DN289" i="82" s="1"/>
  <c r="DP289" i="82" s="1"/>
  <c r="DR289" i="82" s="1"/>
  <c r="DT289" i="82" s="1"/>
  <c r="DV289" i="82" s="1"/>
  <c r="AK289" i="82"/>
  <c r="AJ289" i="82"/>
  <c r="J289" i="82"/>
  <c r="H289" i="82"/>
  <c r="DW288" i="82"/>
  <c r="CT288" i="82"/>
  <c r="CV288" i="82" s="1"/>
  <c r="CX288" i="82" s="1"/>
  <c r="CZ288" i="82" s="1"/>
  <c r="DB288" i="82" s="1"/>
  <c r="DD288" i="82" s="1"/>
  <c r="DF288" i="82" s="1"/>
  <c r="DH288" i="82" s="1"/>
  <c r="DJ288" i="82" s="1"/>
  <c r="DL288" i="82" s="1"/>
  <c r="DN288" i="82" s="1"/>
  <c r="DP288" i="82" s="1"/>
  <c r="DR288" i="82" s="1"/>
  <c r="DT288" i="82" s="1"/>
  <c r="DV288" i="82" s="1"/>
  <c r="AK288" i="82"/>
  <c r="AJ288" i="82"/>
  <c r="J288" i="82"/>
  <c r="H288" i="82"/>
  <c r="AJ287" i="82"/>
  <c r="J287" i="82"/>
  <c r="K287" i="82"/>
  <c r="H287" i="82"/>
  <c r="E287" i="82"/>
  <c r="DW286" i="82"/>
  <c r="CT286" i="82"/>
  <c r="CV286" i="82" s="1"/>
  <c r="CX286" i="82" s="1"/>
  <c r="CZ286" i="82" s="1"/>
  <c r="DB286" i="82" s="1"/>
  <c r="DD286" i="82" s="1"/>
  <c r="DF286" i="82" s="1"/>
  <c r="DH286" i="82" s="1"/>
  <c r="DJ286" i="82" s="1"/>
  <c r="DL286" i="82" s="1"/>
  <c r="DN286" i="82" s="1"/>
  <c r="DP286" i="82" s="1"/>
  <c r="DR286" i="82" s="1"/>
  <c r="DT286" i="82" s="1"/>
  <c r="DV286" i="82" s="1"/>
  <c r="DX286" i="82" s="1"/>
  <c r="AK286" i="82"/>
  <c r="AJ286" i="82"/>
  <c r="J286" i="82"/>
  <c r="H286" i="82"/>
  <c r="DW285" i="82"/>
  <c r="CT285" i="82"/>
  <c r="CV285" i="82" s="1"/>
  <c r="CX285" i="82" s="1"/>
  <c r="CZ285" i="82" s="1"/>
  <c r="DB285" i="82" s="1"/>
  <c r="DD285" i="82" s="1"/>
  <c r="DF285" i="82" s="1"/>
  <c r="DH285" i="82" s="1"/>
  <c r="DJ285" i="82" s="1"/>
  <c r="DL285" i="82" s="1"/>
  <c r="DN285" i="82" s="1"/>
  <c r="DP285" i="82" s="1"/>
  <c r="DR285" i="82" s="1"/>
  <c r="DT285" i="82" s="1"/>
  <c r="DV285" i="82" s="1"/>
  <c r="AK285" i="82"/>
  <c r="AJ285" i="82"/>
  <c r="J285" i="82"/>
  <c r="K285" i="82" s="1"/>
  <c r="H285" i="82"/>
  <c r="AJ284" i="82"/>
  <c r="J284" i="82"/>
  <c r="K284" i="82" s="1"/>
  <c r="H284" i="82"/>
  <c r="DW283" i="82"/>
  <c r="CT283" i="82"/>
  <c r="CV283" i="82" s="1"/>
  <c r="CX283" i="82" s="1"/>
  <c r="CZ283" i="82" s="1"/>
  <c r="DB283" i="82" s="1"/>
  <c r="DD283" i="82" s="1"/>
  <c r="DF283" i="82" s="1"/>
  <c r="DH283" i="82" s="1"/>
  <c r="DJ283" i="82" s="1"/>
  <c r="DL283" i="82" s="1"/>
  <c r="DN283" i="82" s="1"/>
  <c r="DP283" i="82" s="1"/>
  <c r="DR283" i="82" s="1"/>
  <c r="DT283" i="82" s="1"/>
  <c r="DV283" i="82" s="1"/>
  <c r="AK283" i="82"/>
  <c r="AJ283" i="82"/>
  <c r="J283" i="82"/>
  <c r="K283" i="82" s="1"/>
  <c r="H283" i="82"/>
  <c r="CT282" i="82"/>
  <c r="CV282" i="82" s="1"/>
  <c r="CX282" i="82" s="1"/>
  <c r="CZ282" i="82" s="1"/>
  <c r="DB282" i="82" s="1"/>
  <c r="DD282" i="82" s="1"/>
  <c r="DF282" i="82" s="1"/>
  <c r="DH282" i="82" s="1"/>
  <c r="DJ282" i="82" s="1"/>
  <c r="DL282" i="82" s="1"/>
  <c r="DN282" i="82" s="1"/>
  <c r="DP282" i="82" s="1"/>
  <c r="DR282" i="82" s="1"/>
  <c r="DT282" i="82" s="1"/>
  <c r="DV282" i="82" s="1"/>
  <c r="AK282" i="82"/>
  <c r="AJ282" i="82"/>
  <c r="H282" i="82"/>
  <c r="J282" i="82"/>
  <c r="DW282" i="82"/>
  <c r="DW281" i="82"/>
  <c r="AJ281" i="82"/>
  <c r="AJ280" i="82"/>
  <c r="J280" i="82"/>
  <c r="H280" i="82"/>
  <c r="CT279" i="82"/>
  <c r="CV279" i="82"/>
  <c r="CX279" i="82" s="1"/>
  <c r="CZ279" i="82" s="1"/>
  <c r="AK279" i="82"/>
  <c r="AJ279" i="82"/>
  <c r="J279" i="82"/>
  <c r="H279" i="82"/>
  <c r="DW278" i="82"/>
  <c r="AJ278" i="82"/>
  <c r="J278" i="82"/>
  <c r="K278" i="82" s="1"/>
  <c r="H278" i="82"/>
  <c r="CT278" i="82"/>
  <c r="CV278" i="82" s="1"/>
  <c r="CX278" i="82" s="1"/>
  <c r="CZ278" i="82" s="1"/>
  <c r="DB278" i="82" s="1"/>
  <c r="DD278" i="82" s="1"/>
  <c r="DF278" i="82" s="1"/>
  <c r="DH278" i="82" s="1"/>
  <c r="DJ278" i="82" s="1"/>
  <c r="DL278" i="82" s="1"/>
  <c r="DN278" i="82" s="1"/>
  <c r="DP278" i="82" s="1"/>
  <c r="DR278" i="82" s="1"/>
  <c r="DT278" i="82" s="1"/>
  <c r="DV278" i="82" s="1"/>
  <c r="DX278" i="82" s="1"/>
  <c r="AJ277" i="82"/>
  <c r="H277" i="82"/>
  <c r="J277" i="82"/>
  <c r="DW276" i="82"/>
  <c r="AJ276" i="82"/>
  <c r="J276" i="82"/>
  <c r="H276" i="82"/>
  <c r="CT275" i="82"/>
  <c r="CV275" i="82" s="1"/>
  <c r="CX275" i="82" s="1"/>
  <c r="CZ275" i="82" s="1"/>
  <c r="DB275" i="82" s="1"/>
  <c r="DD275" i="82" s="1"/>
  <c r="DF275" i="82" s="1"/>
  <c r="DH275" i="82" s="1"/>
  <c r="DJ275" i="82" s="1"/>
  <c r="DL275" i="82" s="1"/>
  <c r="DN275" i="82" s="1"/>
  <c r="DP275" i="82" s="1"/>
  <c r="DR275" i="82" s="1"/>
  <c r="DT275" i="82" s="1"/>
  <c r="DV275" i="82" s="1"/>
  <c r="DX275" i="82" s="1"/>
  <c r="AK275" i="82"/>
  <c r="AJ275" i="82"/>
  <c r="J275" i="82"/>
  <c r="K275" i="82" s="1"/>
  <c r="H275" i="82"/>
  <c r="DW275" i="82"/>
  <c r="DW274" i="82"/>
  <c r="CT274" i="82"/>
  <c r="CV274" i="82" s="1"/>
  <c r="CX274" i="82" s="1"/>
  <c r="CZ274" i="82" s="1"/>
  <c r="DB274" i="82" s="1"/>
  <c r="DD274" i="82" s="1"/>
  <c r="DF274" i="82" s="1"/>
  <c r="DH274" i="82" s="1"/>
  <c r="DJ274" i="82" s="1"/>
  <c r="DL274" i="82" s="1"/>
  <c r="DN274" i="82" s="1"/>
  <c r="DP274" i="82" s="1"/>
  <c r="DR274" i="82" s="1"/>
  <c r="DT274" i="82" s="1"/>
  <c r="DV274" i="82" s="1"/>
  <c r="DX274" i="82" s="1"/>
  <c r="AK274" i="82"/>
  <c r="AJ274" i="82"/>
  <c r="H274" i="82"/>
  <c r="J274" i="82"/>
  <c r="AJ273" i="82"/>
  <c r="H273" i="82"/>
  <c r="DW273" i="82"/>
  <c r="AJ272" i="82"/>
  <c r="H272" i="82"/>
  <c r="J272" i="82"/>
  <c r="K272" i="82" s="1"/>
  <c r="DW271" i="82"/>
  <c r="AJ271" i="82"/>
  <c r="H271" i="82"/>
  <c r="CT271" i="82"/>
  <c r="CV271" i="82" s="1"/>
  <c r="CX271" i="82" s="1"/>
  <c r="CZ271" i="82" s="1"/>
  <c r="DB271" i="82" s="1"/>
  <c r="DD271" i="82" s="1"/>
  <c r="DF271" i="82" s="1"/>
  <c r="DH271" i="82" s="1"/>
  <c r="DJ271" i="82" s="1"/>
  <c r="DL271" i="82" s="1"/>
  <c r="DN271" i="82" s="1"/>
  <c r="DP271" i="82" s="1"/>
  <c r="DR271" i="82" s="1"/>
  <c r="DT271" i="82" s="1"/>
  <c r="DV271" i="82" s="1"/>
  <c r="CT270" i="82"/>
  <c r="CV270" i="82" s="1"/>
  <c r="CX270" i="82" s="1"/>
  <c r="CZ270" i="82" s="1"/>
  <c r="DB270" i="82" s="1"/>
  <c r="DD270" i="82" s="1"/>
  <c r="DF270" i="82" s="1"/>
  <c r="DH270" i="82" s="1"/>
  <c r="DJ270" i="82" s="1"/>
  <c r="DL270" i="82" s="1"/>
  <c r="DN270" i="82" s="1"/>
  <c r="DP270" i="82" s="1"/>
  <c r="DR270" i="82" s="1"/>
  <c r="DT270" i="82" s="1"/>
  <c r="DV270" i="82" s="1"/>
  <c r="AK270" i="82"/>
  <c r="AJ270" i="82"/>
  <c r="H270" i="82"/>
  <c r="J270" i="82"/>
  <c r="BK270" i="82" s="1"/>
  <c r="BL270" i="82" s="1"/>
  <c r="BO270" i="82" s="1"/>
  <c r="BP270" i="82" s="1"/>
  <c r="DW269" i="82"/>
  <c r="AJ269" i="82"/>
  <c r="H269" i="82"/>
  <c r="AJ268" i="82"/>
  <c r="H268" i="82"/>
  <c r="J268" i="82"/>
  <c r="K268" i="82" s="1"/>
  <c r="DW267" i="82"/>
  <c r="AJ267" i="82"/>
  <c r="H267" i="82"/>
  <c r="CT267" i="82"/>
  <c r="CV267" i="82" s="1"/>
  <c r="CX267" i="82" s="1"/>
  <c r="CZ267" i="82" s="1"/>
  <c r="DB267" i="82" s="1"/>
  <c r="DD267" i="82" s="1"/>
  <c r="DF267" i="82" s="1"/>
  <c r="DH267" i="82" s="1"/>
  <c r="DJ267" i="82" s="1"/>
  <c r="DL267" i="82" s="1"/>
  <c r="DN267" i="82" s="1"/>
  <c r="DP267" i="82" s="1"/>
  <c r="DR267" i="82" s="1"/>
  <c r="DT267" i="82" s="1"/>
  <c r="DV267" i="82" s="1"/>
  <c r="DX267" i="82" s="1"/>
  <c r="CT266" i="82"/>
  <c r="CV266" i="82"/>
  <c r="CX266" i="82" s="1"/>
  <c r="CZ266" i="82" s="1"/>
  <c r="DB266" i="82" s="1"/>
  <c r="DD266" i="82" s="1"/>
  <c r="DF266" i="82" s="1"/>
  <c r="DH266" i="82" s="1"/>
  <c r="DJ266" i="82" s="1"/>
  <c r="DL266" i="82" s="1"/>
  <c r="DN266" i="82" s="1"/>
  <c r="DP266" i="82" s="1"/>
  <c r="DR266" i="82" s="1"/>
  <c r="DT266" i="82" s="1"/>
  <c r="DV266" i="82" s="1"/>
  <c r="AK266" i="82"/>
  <c r="AJ266" i="82"/>
  <c r="H266" i="82"/>
  <c r="J266" i="82"/>
  <c r="BK266" i="82" s="1"/>
  <c r="BL266" i="82" s="1"/>
  <c r="DW265" i="82"/>
  <c r="AJ265" i="82"/>
  <c r="DW264" i="82"/>
  <c r="AK264" i="82"/>
  <c r="AJ264" i="82"/>
  <c r="J264" i="82"/>
  <c r="K264" i="82" s="1"/>
  <c r="H264" i="82"/>
  <c r="DW263" i="82"/>
  <c r="AK263" i="82"/>
  <c r="AJ263" i="82"/>
  <c r="J263" i="82"/>
  <c r="H263" i="82"/>
  <c r="DW262" i="82"/>
  <c r="AK262" i="82"/>
  <c r="AJ262" i="82"/>
  <c r="J262" i="82"/>
  <c r="K262" i="82" s="1"/>
  <c r="H262" i="82"/>
  <c r="DW261" i="82"/>
  <c r="AK261" i="82"/>
  <c r="AJ261" i="82"/>
  <c r="J261" i="82"/>
  <c r="H261" i="82"/>
  <c r="DW260" i="82"/>
  <c r="AK260" i="82"/>
  <c r="BI260" i="82" s="1"/>
  <c r="BJ260" i="82" s="1"/>
  <c r="AJ260" i="82"/>
  <c r="J260" i="82"/>
  <c r="H260" i="82"/>
  <c r="DW259" i="82"/>
  <c r="AK259" i="82"/>
  <c r="AJ259" i="82"/>
  <c r="J259" i="82"/>
  <c r="H259" i="82"/>
  <c r="DW258" i="82"/>
  <c r="AK258" i="82"/>
  <c r="AJ258" i="82"/>
  <c r="J258" i="82"/>
  <c r="H258" i="82"/>
  <c r="DW257" i="82"/>
  <c r="AK257" i="82"/>
  <c r="AJ257" i="82"/>
  <c r="J257" i="82"/>
  <c r="K257" i="82" s="1"/>
  <c r="H257" i="82"/>
  <c r="DW256" i="82"/>
  <c r="AK256" i="82"/>
  <c r="AJ256" i="82"/>
  <c r="J256" i="82"/>
  <c r="K256" i="82"/>
  <c r="H256" i="82"/>
  <c r="DW255" i="82"/>
  <c r="AK255" i="82"/>
  <c r="AJ255" i="82"/>
  <c r="J255" i="82"/>
  <c r="H255" i="82"/>
  <c r="DW254" i="82"/>
  <c r="AK254" i="82"/>
  <c r="AJ254" i="82"/>
  <c r="J254" i="82"/>
  <c r="H254" i="82"/>
  <c r="DW253" i="82"/>
  <c r="AK253" i="82"/>
  <c r="AJ253" i="82"/>
  <c r="J253" i="82"/>
  <c r="K253" i="82"/>
  <c r="H253" i="82"/>
  <c r="DW252" i="82"/>
  <c r="AK252" i="82"/>
  <c r="AJ252" i="82"/>
  <c r="J252" i="82"/>
  <c r="K252" i="82" s="1"/>
  <c r="H252" i="82"/>
  <c r="DW251" i="82"/>
  <c r="AK251" i="82"/>
  <c r="AJ251" i="82"/>
  <c r="J251" i="82"/>
  <c r="K251" i="82" s="1"/>
  <c r="H251" i="82"/>
  <c r="DW250" i="82"/>
  <c r="AK250" i="82"/>
  <c r="AJ250" i="82"/>
  <c r="J250" i="82"/>
  <c r="H250" i="82"/>
  <c r="DW249" i="82"/>
  <c r="AK249" i="82"/>
  <c r="BI249" i="82"/>
  <c r="BJ249" i="82" s="1"/>
  <c r="AJ249" i="82"/>
  <c r="J249" i="82"/>
  <c r="H249" i="82"/>
  <c r="DW248" i="82"/>
  <c r="AK248" i="82"/>
  <c r="AJ248" i="82"/>
  <c r="J248" i="82"/>
  <c r="K248" i="82" s="1"/>
  <c r="H248" i="82"/>
  <c r="DW247" i="82"/>
  <c r="AK247" i="82"/>
  <c r="AJ247" i="82"/>
  <c r="J247" i="82"/>
  <c r="K247" i="82" s="1"/>
  <c r="H247" i="82"/>
  <c r="DW246" i="82"/>
  <c r="AK246" i="82"/>
  <c r="AJ246" i="82"/>
  <c r="J246" i="82"/>
  <c r="K246" i="82" s="1"/>
  <c r="H246" i="82"/>
  <c r="DW245" i="82"/>
  <c r="AK245" i="82"/>
  <c r="BI245" i="82" s="1"/>
  <c r="AJ245" i="82"/>
  <c r="J245" i="82"/>
  <c r="K245" i="82" s="1"/>
  <c r="H245" i="82"/>
  <c r="DW244" i="82"/>
  <c r="AK244" i="82"/>
  <c r="AJ244" i="82"/>
  <c r="J244" i="82"/>
  <c r="BI244" i="82" s="1"/>
  <c r="BJ244" i="82" s="1"/>
  <c r="BK244" i="82" s="1"/>
  <c r="H244" i="82"/>
  <c r="DW243" i="82"/>
  <c r="AK243" i="82"/>
  <c r="AJ243" i="82"/>
  <c r="J243" i="82"/>
  <c r="K243" i="82" s="1"/>
  <c r="H243" i="82"/>
  <c r="DW242" i="82"/>
  <c r="AK242" i="82"/>
  <c r="AJ242" i="82"/>
  <c r="J242" i="82"/>
  <c r="H242" i="82"/>
  <c r="DW241" i="82"/>
  <c r="AK241" i="82"/>
  <c r="AJ241" i="82"/>
  <c r="J241" i="82"/>
  <c r="K241" i="82" s="1"/>
  <c r="H241" i="82"/>
  <c r="DW240" i="82"/>
  <c r="AK240" i="82"/>
  <c r="AJ240" i="82"/>
  <c r="J240" i="82"/>
  <c r="K240" i="82" s="1"/>
  <c r="H240" i="82"/>
  <c r="DW239" i="82"/>
  <c r="AK239" i="82"/>
  <c r="AJ239" i="82"/>
  <c r="J239" i="82"/>
  <c r="H239" i="82"/>
  <c r="DW238" i="82"/>
  <c r="AK238" i="82"/>
  <c r="AJ238" i="82"/>
  <c r="J238" i="82"/>
  <c r="H238" i="82"/>
  <c r="DW237" i="82"/>
  <c r="AK237" i="82"/>
  <c r="BI237" i="82" s="1"/>
  <c r="AJ237" i="82"/>
  <c r="J237" i="82"/>
  <c r="K237" i="82" s="1"/>
  <c r="H237" i="82"/>
  <c r="DW236" i="82"/>
  <c r="AK236" i="82"/>
  <c r="AJ236" i="82"/>
  <c r="J236" i="82"/>
  <c r="K236" i="82" s="1"/>
  <c r="H236" i="82"/>
  <c r="DW235" i="82"/>
  <c r="AK235" i="82"/>
  <c r="AJ235" i="82"/>
  <c r="J235" i="82"/>
  <c r="K235" i="82" s="1"/>
  <c r="H235" i="82"/>
  <c r="DW234" i="82"/>
  <c r="AK234" i="82"/>
  <c r="AJ234" i="82"/>
  <c r="J234" i="82"/>
  <c r="H234" i="82"/>
  <c r="DW233" i="82"/>
  <c r="AK233" i="82"/>
  <c r="AJ233" i="82"/>
  <c r="J233" i="82"/>
  <c r="K233" i="82" s="1"/>
  <c r="H233" i="82"/>
  <c r="DW232" i="82"/>
  <c r="AK232" i="82"/>
  <c r="AJ232" i="82"/>
  <c r="J232" i="82"/>
  <c r="H232" i="82"/>
  <c r="DW231" i="82"/>
  <c r="AK231" i="82"/>
  <c r="AJ231" i="82"/>
  <c r="J231" i="82"/>
  <c r="K231" i="82" s="1"/>
  <c r="H231" i="82"/>
  <c r="DW230" i="82"/>
  <c r="AK230" i="82"/>
  <c r="AJ230" i="82"/>
  <c r="J230" i="82"/>
  <c r="K230" i="82" s="1"/>
  <c r="H230" i="82"/>
  <c r="DW229" i="82"/>
  <c r="AK229" i="82"/>
  <c r="BI229" i="82" s="1"/>
  <c r="BJ229" i="82" s="1"/>
  <c r="AJ229" i="82"/>
  <c r="J229" i="82"/>
  <c r="H229" i="82"/>
  <c r="DW228" i="82"/>
  <c r="AK228" i="82"/>
  <c r="AJ228" i="82"/>
  <c r="J228" i="82"/>
  <c r="H228" i="82"/>
  <c r="DW227" i="82"/>
  <c r="AK227" i="82"/>
  <c r="AJ227" i="82"/>
  <c r="J227" i="82"/>
  <c r="K227" i="82" s="1"/>
  <c r="H227" i="82"/>
  <c r="DW226" i="82"/>
  <c r="AK226" i="82"/>
  <c r="AJ226" i="82"/>
  <c r="J226" i="82"/>
  <c r="H226" i="82"/>
  <c r="DW225" i="82"/>
  <c r="AK225" i="82"/>
  <c r="AJ225" i="82"/>
  <c r="J225" i="82"/>
  <c r="K225" i="82" s="1"/>
  <c r="H225" i="82"/>
  <c r="DW224" i="82"/>
  <c r="AK224" i="82"/>
  <c r="AJ224" i="82"/>
  <c r="J224" i="82"/>
  <c r="H224" i="82"/>
  <c r="DW223" i="82"/>
  <c r="AK223" i="82"/>
  <c r="AJ223" i="82"/>
  <c r="J223" i="82"/>
  <c r="K223" i="82" s="1"/>
  <c r="H223" i="82"/>
  <c r="DW222" i="82"/>
  <c r="AK222" i="82"/>
  <c r="AJ222" i="82"/>
  <c r="J222" i="82"/>
  <c r="H222" i="82"/>
  <c r="DW221" i="82"/>
  <c r="AK221" i="82"/>
  <c r="AJ221" i="82"/>
  <c r="J221" i="82"/>
  <c r="BI221" i="82" s="1"/>
  <c r="H221" i="82"/>
  <c r="DW220" i="82"/>
  <c r="AK220" i="82"/>
  <c r="AJ220" i="82"/>
  <c r="J220" i="82"/>
  <c r="K220" i="82"/>
  <c r="H220" i="82"/>
  <c r="DW219" i="82"/>
  <c r="AK219" i="82"/>
  <c r="AJ219" i="82"/>
  <c r="J219" i="82"/>
  <c r="H219" i="82"/>
  <c r="DW218" i="82"/>
  <c r="AK218" i="82"/>
  <c r="AJ218" i="82"/>
  <c r="J218" i="82"/>
  <c r="H218" i="82"/>
  <c r="DW217" i="82"/>
  <c r="AK217" i="82"/>
  <c r="AJ217" i="82"/>
  <c r="J217" i="82"/>
  <c r="H217" i="82"/>
  <c r="DW216" i="82"/>
  <c r="AK216" i="82"/>
  <c r="BI216" i="82" s="1"/>
  <c r="BJ216" i="82" s="1"/>
  <c r="BK216" i="82" s="1"/>
  <c r="AJ216" i="82"/>
  <c r="J216" i="82"/>
  <c r="H216" i="82"/>
  <c r="DW215" i="82"/>
  <c r="AK215" i="82"/>
  <c r="AJ215" i="82"/>
  <c r="J215" i="82"/>
  <c r="K215" i="82" s="1"/>
  <c r="H215" i="82"/>
  <c r="DW214" i="82"/>
  <c r="AK214" i="82"/>
  <c r="AJ214" i="82"/>
  <c r="J214" i="82"/>
  <c r="K214" i="82" s="1"/>
  <c r="H214" i="82"/>
  <c r="DW213" i="82"/>
  <c r="AK213" i="82"/>
  <c r="AJ213" i="82"/>
  <c r="J213" i="82"/>
  <c r="K213" i="82" s="1"/>
  <c r="H213" i="82"/>
  <c r="DW212" i="82"/>
  <c r="AK212" i="82"/>
  <c r="AJ212" i="82"/>
  <c r="J212" i="82"/>
  <c r="H212" i="82"/>
  <c r="DW211" i="82"/>
  <c r="AK211" i="82"/>
  <c r="AJ211" i="82"/>
  <c r="J211" i="82"/>
  <c r="K211" i="82" s="1"/>
  <c r="H211" i="82"/>
  <c r="DW210" i="82"/>
  <c r="AK210" i="82"/>
  <c r="AJ210" i="82"/>
  <c r="J210" i="82"/>
  <c r="K210" i="82" s="1"/>
  <c r="H210" i="82"/>
  <c r="DW209" i="82"/>
  <c r="AK209" i="82"/>
  <c r="AJ209" i="82"/>
  <c r="J209" i="82"/>
  <c r="K209" i="82" s="1"/>
  <c r="H209" i="82"/>
  <c r="DW208" i="82"/>
  <c r="AK208" i="82"/>
  <c r="AJ208" i="82"/>
  <c r="J208" i="82"/>
  <c r="H208" i="82"/>
  <c r="DW207" i="82"/>
  <c r="AK207" i="82"/>
  <c r="AJ207" i="82"/>
  <c r="J207" i="82"/>
  <c r="H207" i="82"/>
  <c r="DW206" i="82"/>
  <c r="AK206" i="82"/>
  <c r="AJ206" i="82"/>
  <c r="J206" i="82"/>
  <c r="H206" i="82"/>
  <c r="DW205" i="82"/>
  <c r="AK205" i="82"/>
  <c r="AJ205" i="82"/>
  <c r="J205" i="82"/>
  <c r="H205" i="82"/>
  <c r="DW204" i="82"/>
  <c r="AK204" i="82"/>
  <c r="AJ204" i="82"/>
  <c r="J204" i="82"/>
  <c r="H204" i="82"/>
  <c r="DW203" i="82"/>
  <c r="AK203" i="82"/>
  <c r="AJ203" i="82"/>
  <c r="J203" i="82"/>
  <c r="BI203" i="82" s="1"/>
  <c r="BJ203" i="82" s="1"/>
  <c r="H203" i="82"/>
  <c r="DW202" i="82"/>
  <c r="AK202" i="82"/>
  <c r="AJ202" i="82"/>
  <c r="J202" i="82"/>
  <c r="H202" i="82"/>
  <c r="DW201" i="82"/>
  <c r="BF201" i="82"/>
  <c r="BC201" i="82"/>
  <c r="AJ201" i="82"/>
  <c r="DW200" i="82"/>
  <c r="BF200" i="82"/>
  <c r="L200" i="82" s="1"/>
  <c r="BC200" i="82"/>
  <c r="AJ200" i="82"/>
  <c r="DW199" i="82"/>
  <c r="BF199" i="82"/>
  <c r="BD199" i="82"/>
  <c r="BC199" i="82"/>
  <c r="AZ199" i="82"/>
  <c r="AY199" i="82"/>
  <c r="AW199" i="82"/>
  <c r="AJ199" i="82"/>
  <c r="DW198" i="82"/>
  <c r="BF198" i="82"/>
  <c r="BD198" i="82"/>
  <c r="BC198" i="82"/>
  <c r="AZ198" i="82"/>
  <c r="AW198" i="82"/>
  <c r="AJ198" i="82"/>
  <c r="AL198" i="82" s="1"/>
  <c r="DW197" i="82"/>
  <c r="BF197" i="82"/>
  <c r="BD197" i="82"/>
  <c r="BC197" i="82"/>
  <c r="AZ197" i="82"/>
  <c r="AW197" i="82"/>
  <c r="AJ197" i="82"/>
  <c r="AL197" i="82" s="1"/>
  <c r="DW196" i="82"/>
  <c r="BF196" i="82"/>
  <c r="BD196" i="82"/>
  <c r="BC196" i="82"/>
  <c r="BE196" i="82" s="1"/>
  <c r="AZ196" i="82"/>
  <c r="AW196" i="82"/>
  <c r="AJ196" i="82"/>
  <c r="DW195" i="82"/>
  <c r="BF195" i="82"/>
  <c r="BD195" i="82"/>
  <c r="BC195" i="82"/>
  <c r="AZ195" i="82"/>
  <c r="AW195" i="82"/>
  <c r="AJ195" i="82"/>
  <c r="DW194" i="82"/>
  <c r="BF194" i="82"/>
  <c r="BD194" i="82"/>
  <c r="BC194" i="82"/>
  <c r="AZ194" i="82"/>
  <c r="AW194" i="82"/>
  <c r="AM194" i="82"/>
  <c r="AN194" i="82" s="1"/>
  <c r="AT194" i="82" s="1"/>
  <c r="AJ194" i="82"/>
  <c r="AG194" i="82"/>
  <c r="DW193" i="82"/>
  <c r="BF193" i="82"/>
  <c r="BD193" i="82"/>
  <c r="BC193" i="82"/>
  <c r="BE193" i="82" s="1"/>
  <c r="AZ193" i="82"/>
  <c r="AW193" i="82"/>
  <c r="AM193" i="82"/>
  <c r="AN193" i="82"/>
  <c r="AT193" i="82" s="1"/>
  <c r="AJ193" i="82"/>
  <c r="AG193" i="82"/>
  <c r="DW192" i="82"/>
  <c r="BF192" i="82"/>
  <c r="BD192" i="82"/>
  <c r="BC192" i="82"/>
  <c r="AZ192" i="82"/>
  <c r="AW192" i="82"/>
  <c r="AM192" i="82"/>
  <c r="AN192" i="82" s="1"/>
  <c r="AT192" i="82" s="1"/>
  <c r="AJ192" i="82"/>
  <c r="AG192" i="82"/>
  <c r="DW191" i="82"/>
  <c r="BF191" i="82"/>
  <c r="BD191" i="82"/>
  <c r="BC191" i="82"/>
  <c r="AZ191" i="82"/>
  <c r="AW191" i="82"/>
  <c r="AM191" i="82"/>
  <c r="AN191" i="82" s="1"/>
  <c r="AT191" i="82" s="1"/>
  <c r="AJ191" i="82"/>
  <c r="AL191" i="82" s="1"/>
  <c r="AG191" i="82"/>
  <c r="DW190" i="82"/>
  <c r="BF190" i="82"/>
  <c r="BD190" i="82"/>
  <c r="BE190" i="82" s="1"/>
  <c r="BC190" i="82"/>
  <c r="AZ190" i="82"/>
  <c r="AW190" i="82"/>
  <c r="AM190" i="82"/>
  <c r="AN190" i="82" s="1"/>
  <c r="AH190" i="82"/>
  <c r="AJ190" i="82" s="1"/>
  <c r="AB190" i="82"/>
  <c r="AC190" i="82" s="1"/>
  <c r="AE190" i="82" s="1"/>
  <c r="AF190" i="82" s="1"/>
  <c r="AK190" i="82" s="1"/>
  <c r="DW189" i="82"/>
  <c r="BF189" i="82"/>
  <c r="BD189" i="82"/>
  <c r="BC189" i="82"/>
  <c r="AZ189" i="82"/>
  <c r="AW189" i="82"/>
  <c r="AM189" i="82"/>
  <c r="AH189" i="82"/>
  <c r="AJ189" i="82" s="1"/>
  <c r="AL189" i="82" s="1"/>
  <c r="AB189" i="82"/>
  <c r="AC189" i="82"/>
  <c r="AD189" i="82" s="1"/>
  <c r="DW188" i="82"/>
  <c r="BF188" i="82"/>
  <c r="BD188" i="82"/>
  <c r="BC188" i="82"/>
  <c r="BE188" i="82" s="1"/>
  <c r="AZ188" i="82"/>
  <c r="AW188" i="82"/>
  <c r="AM188" i="82"/>
  <c r="AH188" i="82"/>
  <c r="AJ188" i="82" s="1"/>
  <c r="AB188" i="82"/>
  <c r="AC188" i="82"/>
  <c r="DW187" i="82"/>
  <c r="BF187" i="82"/>
  <c r="BD187" i="82"/>
  <c r="BC187" i="82"/>
  <c r="AZ187" i="82"/>
  <c r="AW187" i="82"/>
  <c r="AM187" i="82"/>
  <c r="AH187" i="82"/>
  <c r="AJ187" i="82" s="1"/>
  <c r="AL187" i="82" s="1"/>
  <c r="AB187" i="82"/>
  <c r="AC187" i="82"/>
  <c r="DW186" i="82"/>
  <c r="BF186" i="82"/>
  <c r="BD186" i="82"/>
  <c r="BC186" i="82"/>
  <c r="BE186" i="82" s="1"/>
  <c r="AZ186" i="82"/>
  <c r="AW186" i="82"/>
  <c r="AM186" i="82"/>
  <c r="AH186" i="82"/>
  <c r="AJ186" i="82" s="1"/>
  <c r="AB186" i="82"/>
  <c r="AC186" i="82" s="1"/>
  <c r="AD186" i="82" s="1"/>
  <c r="Y186" i="82"/>
  <c r="Z186" i="82" s="1"/>
  <c r="AA186" i="82"/>
  <c r="DW185" i="82"/>
  <c r="BF185" i="82"/>
  <c r="BD185" i="82"/>
  <c r="BC185" i="82"/>
  <c r="AZ185" i="82"/>
  <c r="AW185" i="82"/>
  <c r="AM185" i="82"/>
  <c r="AH185" i="82"/>
  <c r="AJ185" i="82" s="1"/>
  <c r="AL185" i="82" s="1"/>
  <c r="AB185" i="82"/>
  <c r="Y185" i="82"/>
  <c r="Z185" i="82" s="1"/>
  <c r="AA185" i="82" s="1"/>
  <c r="DW184" i="82"/>
  <c r="BF184" i="82"/>
  <c r="BD184" i="82"/>
  <c r="BC184" i="82"/>
  <c r="AZ184" i="82"/>
  <c r="AW184" i="82"/>
  <c r="AM184" i="82"/>
  <c r="AH184" i="82"/>
  <c r="AJ184" i="82" s="1"/>
  <c r="AL184" i="82" s="1"/>
  <c r="AB184" i="82"/>
  <c r="Y184" i="82"/>
  <c r="Z184" i="82" s="1"/>
  <c r="AA184" i="82" s="1"/>
  <c r="DW183" i="82"/>
  <c r="BF183" i="82"/>
  <c r="BD183" i="82"/>
  <c r="BC183" i="82"/>
  <c r="BE183" i="82" s="1"/>
  <c r="AZ183" i="82"/>
  <c r="AW183" i="82"/>
  <c r="AM183" i="82"/>
  <c r="AH183" i="82"/>
  <c r="AJ183" i="82" s="1"/>
  <c r="AL183" i="82" s="1"/>
  <c r="AB183" i="82"/>
  <c r="Y183" i="82"/>
  <c r="Z183" i="82"/>
  <c r="AA183" i="82" s="1"/>
  <c r="BF182" i="82"/>
  <c r="BD182" i="82"/>
  <c r="BE182" i="82" s="1"/>
  <c r="BC182" i="82"/>
  <c r="AZ182" i="82"/>
  <c r="AW182" i="82"/>
  <c r="AM182" i="82"/>
  <c r="AH182" i="82"/>
  <c r="AJ182" i="82" s="1"/>
  <c r="AL182" i="82" s="1"/>
  <c r="AB182" i="82"/>
  <c r="Y182" i="82"/>
  <c r="E182" i="82"/>
  <c r="DW182" i="82" s="1"/>
  <c r="DW181" i="82"/>
  <c r="BF181" i="82"/>
  <c r="BD181" i="82"/>
  <c r="BC181" i="82"/>
  <c r="AZ181" i="82"/>
  <c r="AW181" i="82"/>
  <c r="AM181" i="82"/>
  <c r="AH181" i="82"/>
  <c r="AJ181" i="82" s="1"/>
  <c r="AL181" i="82" s="1"/>
  <c r="AB181" i="82"/>
  <c r="Y181" i="82"/>
  <c r="V181" i="82"/>
  <c r="W181" i="82" s="1"/>
  <c r="X181" i="82" s="1"/>
  <c r="DW180" i="82"/>
  <c r="BF180" i="82"/>
  <c r="BD180" i="82"/>
  <c r="BC180" i="82"/>
  <c r="AZ180" i="82"/>
  <c r="AW180" i="82"/>
  <c r="AM180" i="82"/>
  <c r="AH180" i="82"/>
  <c r="AJ180" i="82" s="1"/>
  <c r="AL180" i="82" s="1"/>
  <c r="AB180" i="82"/>
  <c r="Y180" i="82"/>
  <c r="V180" i="82"/>
  <c r="S180" i="82"/>
  <c r="T180" i="82" s="1"/>
  <c r="U180" i="82" s="1"/>
  <c r="BF179" i="82"/>
  <c r="BD179" i="82"/>
  <c r="BC179" i="82"/>
  <c r="AZ179" i="82"/>
  <c r="AW179" i="82"/>
  <c r="AM179" i="82"/>
  <c r="AH179" i="82"/>
  <c r="AJ179" i="82" s="1"/>
  <c r="AL179" i="82" s="1"/>
  <c r="AB179" i="82"/>
  <c r="Y179" i="82"/>
  <c r="V179" i="82"/>
  <c r="S179" i="82"/>
  <c r="E179" i="82"/>
  <c r="DW179" i="82" s="1"/>
  <c r="DW178" i="82"/>
  <c r="BF178" i="82"/>
  <c r="BD178" i="82"/>
  <c r="BC178" i="82"/>
  <c r="AZ178" i="82"/>
  <c r="AW178" i="82"/>
  <c r="AM178" i="82"/>
  <c r="AH178" i="82"/>
  <c r="AJ178" i="82" s="1"/>
  <c r="AL178" i="82" s="1"/>
  <c r="AB178" i="82"/>
  <c r="Y178" i="82"/>
  <c r="V178" i="82"/>
  <c r="S178" i="82"/>
  <c r="T178" i="82"/>
  <c r="U178" i="82" s="1"/>
  <c r="DW177" i="82"/>
  <c r="BF177" i="82"/>
  <c r="BD177" i="82"/>
  <c r="BC177" i="82"/>
  <c r="AZ177" i="82"/>
  <c r="AW177" i="82"/>
  <c r="AM177" i="82"/>
  <c r="AH177" i="82"/>
  <c r="AJ177" i="82" s="1"/>
  <c r="AL177" i="82" s="1"/>
  <c r="AB177" i="82"/>
  <c r="Y177" i="82"/>
  <c r="V177" i="82"/>
  <c r="S177" i="82"/>
  <c r="T177" i="82" s="1"/>
  <c r="U177" i="82" s="1"/>
  <c r="DW176" i="82"/>
  <c r="BF176" i="82"/>
  <c r="BD176" i="82"/>
  <c r="BC176" i="82"/>
  <c r="BE176" i="82" s="1"/>
  <c r="AZ176" i="82"/>
  <c r="AW176" i="82"/>
  <c r="AM176" i="82"/>
  <c r="AH176" i="82"/>
  <c r="AJ176" i="82" s="1"/>
  <c r="AL176" i="82" s="1"/>
  <c r="AB176" i="82"/>
  <c r="Y176" i="82"/>
  <c r="V176" i="82"/>
  <c r="S176" i="82"/>
  <c r="T176" i="82" s="1"/>
  <c r="U176" i="82" s="1"/>
  <c r="DW175" i="82"/>
  <c r="BF175" i="82"/>
  <c r="BD175" i="82"/>
  <c r="BC175" i="82"/>
  <c r="AZ175" i="82"/>
  <c r="AW175" i="82"/>
  <c r="AM175" i="82"/>
  <c r="AH175" i="82"/>
  <c r="AJ175" i="82"/>
  <c r="AL175" i="82" s="1"/>
  <c r="AB175" i="82"/>
  <c r="Y175" i="82"/>
  <c r="V175" i="82"/>
  <c r="S175" i="82"/>
  <c r="Q175" i="82"/>
  <c r="R175" i="82" s="1"/>
  <c r="BF174" i="82"/>
  <c r="BD174" i="82"/>
  <c r="BC174" i="82"/>
  <c r="AZ174" i="82"/>
  <c r="AW174" i="82"/>
  <c r="AM174" i="82"/>
  <c r="AH174" i="82"/>
  <c r="AJ174" i="82" s="1"/>
  <c r="AL174" i="82" s="1"/>
  <c r="AB174" i="82"/>
  <c r="Y174" i="82"/>
  <c r="V174" i="82"/>
  <c r="S174" i="82"/>
  <c r="E174" i="82"/>
  <c r="DW173" i="82"/>
  <c r="BF173" i="82"/>
  <c r="BD173" i="82"/>
  <c r="BC173" i="82"/>
  <c r="AZ173" i="82"/>
  <c r="AW173" i="82"/>
  <c r="AM173" i="82"/>
  <c r="AH173" i="82"/>
  <c r="AJ173" i="82" s="1"/>
  <c r="AL173" i="82" s="1"/>
  <c r="AB173" i="82"/>
  <c r="Y173" i="82"/>
  <c r="V173" i="82"/>
  <c r="S173" i="82"/>
  <c r="P173" i="82"/>
  <c r="Q173" i="82" s="1"/>
  <c r="R173" i="82" s="1"/>
  <c r="T173" i="82" s="1"/>
  <c r="DW172" i="82"/>
  <c r="BF172" i="82"/>
  <c r="BD172" i="82"/>
  <c r="BC172" i="82"/>
  <c r="AZ172" i="82"/>
  <c r="AW172" i="82"/>
  <c r="AM172" i="82"/>
  <c r="AH172" i="82"/>
  <c r="AJ172" i="82" s="1"/>
  <c r="AL172" i="82" s="1"/>
  <c r="AB172" i="82"/>
  <c r="Y172" i="82"/>
  <c r="V172" i="82"/>
  <c r="S172" i="82"/>
  <c r="P172" i="82"/>
  <c r="Q172" i="82" s="1"/>
  <c r="R172" i="82" s="1"/>
  <c r="T172" i="82" s="1"/>
  <c r="U172" i="82" s="1"/>
  <c r="DW171" i="82"/>
  <c r="BF171" i="82"/>
  <c r="BD171" i="82"/>
  <c r="BC171" i="82"/>
  <c r="AZ171" i="82"/>
  <c r="AW171" i="82"/>
  <c r="AM171" i="82"/>
  <c r="AH171" i="82"/>
  <c r="AJ171" i="82"/>
  <c r="AL171" i="82" s="1"/>
  <c r="AB171" i="82"/>
  <c r="Y171" i="82"/>
  <c r="V171" i="82"/>
  <c r="S171" i="82"/>
  <c r="P171" i="82"/>
  <c r="Q171" i="82" s="1"/>
  <c r="DW170" i="82"/>
  <c r="BF170" i="82"/>
  <c r="BD170" i="82"/>
  <c r="BC170" i="82"/>
  <c r="AZ170" i="82"/>
  <c r="AW170" i="82"/>
  <c r="AM170" i="82"/>
  <c r="AH170" i="82"/>
  <c r="AJ170" i="82" s="1"/>
  <c r="AL170" i="82" s="1"/>
  <c r="AB170" i="82"/>
  <c r="Y170" i="82"/>
  <c r="V170" i="82"/>
  <c r="S170" i="82"/>
  <c r="P170" i="82"/>
  <c r="Q170" i="82" s="1"/>
  <c r="R170" i="82" s="1"/>
  <c r="DW169" i="82"/>
  <c r="BF169" i="82"/>
  <c r="BD169" i="82"/>
  <c r="BC169" i="82"/>
  <c r="AZ169" i="82"/>
  <c r="AW169" i="82"/>
  <c r="AM169" i="82"/>
  <c r="AH169" i="82"/>
  <c r="AJ169" i="82" s="1"/>
  <c r="AL169" i="82" s="1"/>
  <c r="AB169" i="82"/>
  <c r="Y169" i="82"/>
  <c r="V169" i="82"/>
  <c r="S169" i="82"/>
  <c r="P169" i="82"/>
  <c r="Q169" i="82" s="1"/>
  <c r="R169" i="82" s="1"/>
  <c r="DW168" i="82"/>
  <c r="BF168" i="82"/>
  <c r="BD168" i="82"/>
  <c r="BC168" i="82"/>
  <c r="BE168" i="82" s="1"/>
  <c r="AZ168" i="82"/>
  <c r="AW168" i="82"/>
  <c r="AM168" i="82"/>
  <c r="AH168" i="82"/>
  <c r="AJ168" i="82" s="1"/>
  <c r="AL168" i="82" s="1"/>
  <c r="AB168" i="82"/>
  <c r="Y168" i="82"/>
  <c r="V168" i="82"/>
  <c r="S168" i="82"/>
  <c r="P168" i="82"/>
  <c r="Q168" i="82" s="1"/>
  <c r="R168" i="82" s="1"/>
  <c r="DW167" i="82"/>
  <c r="BF167" i="82"/>
  <c r="BD167" i="82"/>
  <c r="BC167" i="82"/>
  <c r="BE167" i="82" s="1"/>
  <c r="AZ167" i="82"/>
  <c r="AW167" i="82"/>
  <c r="AM167" i="82"/>
  <c r="AH167" i="82"/>
  <c r="AJ167" i="82" s="1"/>
  <c r="AL167" i="82" s="1"/>
  <c r="AB167" i="82"/>
  <c r="Y167" i="82"/>
  <c r="V167" i="82"/>
  <c r="S167" i="82"/>
  <c r="P167" i="82"/>
  <c r="Q167" i="82" s="1"/>
  <c r="R167" i="82" s="1"/>
  <c r="DW166" i="82"/>
  <c r="BF166" i="82"/>
  <c r="BD166" i="82"/>
  <c r="BC166" i="82"/>
  <c r="AZ166" i="82"/>
  <c r="AW166" i="82"/>
  <c r="AM166" i="82"/>
  <c r="AH166" i="82"/>
  <c r="AJ166" i="82"/>
  <c r="AL166" i="82" s="1"/>
  <c r="AB166" i="82"/>
  <c r="Y166" i="82"/>
  <c r="V166" i="82"/>
  <c r="S166" i="82"/>
  <c r="P166" i="82"/>
  <c r="Q166" i="82" s="1"/>
  <c r="R166" i="82" s="1"/>
  <c r="T166" i="82" s="1"/>
  <c r="DW165" i="82"/>
  <c r="BF165" i="82"/>
  <c r="BD165" i="82"/>
  <c r="BC165" i="82"/>
  <c r="AZ165" i="82"/>
  <c r="AW165" i="82"/>
  <c r="AM165" i="82"/>
  <c r="AH165" i="82"/>
  <c r="AB165" i="82"/>
  <c r="Y165" i="82"/>
  <c r="V165" i="82"/>
  <c r="S165" i="82"/>
  <c r="P165" i="82"/>
  <c r="Q165" i="82" s="1"/>
  <c r="R165" i="82" s="1"/>
  <c r="DW164" i="82"/>
  <c r="BF164" i="82"/>
  <c r="BD164" i="82"/>
  <c r="BC164" i="82"/>
  <c r="AZ164" i="82"/>
  <c r="AW164" i="82"/>
  <c r="AM164" i="82"/>
  <c r="AH164" i="82"/>
  <c r="AB164" i="82"/>
  <c r="Y164" i="82"/>
  <c r="V164" i="82"/>
  <c r="S164" i="82"/>
  <c r="P164" i="82"/>
  <c r="DW163" i="82"/>
  <c r="BF163" i="82"/>
  <c r="BD163" i="82"/>
  <c r="BC163" i="82"/>
  <c r="AZ163" i="82"/>
  <c r="AW163" i="82"/>
  <c r="AM163" i="82"/>
  <c r="AH163" i="82"/>
  <c r="AJ163" i="82" s="1"/>
  <c r="AB163" i="82"/>
  <c r="Y163" i="82"/>
  <c r="V163" i="82"/>
  <c r="S163" i="82"/>
  <c r="P163" i="82"/>
  <c r="Q163" i="82" s="1"/>
  <c r="R163" i="82" s="1"/>
  <c r="DW162" i="82"/>
  <c r="BF162" i="82"/>
  <c r="BD162" i="82"/>
  <c r="BC162" i="82"/>
  <c r="AZ162" i="82"/>
  <c r="AW162" i="82"/>
  <c r="AM162" i="82"/>
  <c r="AH162" i="82"/>
  <c r="AJ162" i="82" s="1"/>
  <c r="AL162" i="82" s="1"/>
  <c r="AB162" i="82"/>
  <c r="Y162" i="82"/>
  <c r="V162" i="82"/>
  <c r="S162" i="82"/>
  <c r="T162" i="82" s="1"/>
  <c r="P162" i="82"/>
  <c r="Q162" i="82" s="1"/>
  <c r="R162" i="82" s="1"/>
  <c r="DW161" i="82"/>
  <c r="BF161" i="82"/>
  <c r="BD161" i="82"/>
  <c r="BC161" i="82"/>
  <c r="AZ161" i="82"/>
  <c r="AW161" i="82"/>
  <c r="AM161" i="82"/>
  <c r="AH161" i="82"/>
  <c r="AJ161" i="82" s="1"/>
  <c r="AL161" i="82" s="1"/>
  <c r="AB161" i="82"/>
  <c r="Y161" i="82"/>
  <c r="V161" i="82"/>
  <c r="S161" i="82"/>
  <c r="P161" i="82"/>
  <c r="Q161" i="82" s="1"/>
  <c r="R161" i="82" s="1"/>
  <c r="DW160" i="82"/>
  <c r="BF160" i="82"/>
  <c r="BD160" i="82"/>
  <c r="BC160" i="82"/>
  <c r="AZ160" i="82"/>
  <c r="AW160" i="82"/>
  <c r="AM160" i="82"/>
  <c r="AH160" i="82"/>
  <c r="AB160" i="82"/>
  <c r="Y160" i="82"/>
  <c r="Y301" i="82" s="1"/>
  <c r="V160" i="82"/>
  <c r="S160" i="82"/>
  <c r="P160" i="82"/>
  <c r="M160" i="82"/>
  <c r="M301" i="82" s="1"/>
  <c r="DW159" i="82"/>
  <c r="DU158" i="82"/>
  <c r="DS158" i="82"/>
  <c r="DQ158" i="82"/>
  <c r="DO158" i="82"/>
  <c r="DM158" i="82"/>
  <c r="DK158" i="82"/>
  <c r="DI158" i="82"/>
  <c r="DG158" i="82"/>
  <c r="DE158" i="82"/>
  <c r="DC158" i="82"/>
  <c r="DA158" i="82"/>
  <c r="CY158" i="82"/>
  <c r="CW158" i="82"/>
  <c r="CU158" i="82"/>
  <c r="CS158" i="82"/>
  <c r="CQ158" i="82"/>
  <c r="CO158" i="82"/>
  <c r="CM158" i="82"/>
  <c r="CK158" i="82"/>
  <c r="CI158" i="82"/>
  <c r="P158" i="82"/>
  <c r="L158" i="82"/>
  <c r="I158" i="82"/>
  <c r="AJ153" i="82"/>
  <c r="AK153" i="82" s="1"/>
  <c r="J153" i="82"/>
  <c r="K153" i="82" s="1"/>
  <c r="DW152" i="82"/>
  <c r="AJ152" i="82"/>
  <c r="AK152" i="82" s="1"/>
  <c r="J152" i="82"/>
  <c r="K152" i="82" s="1"/>
  <c r="H152" i="82"/>
  <c r="J151" i="82"/>
  <c r="K151" i="82" s="1"/>
  <c r="H151" i="82"/>
  <c r="E151" i="82"/>
  <c r="DW151" i="82" s="1"/>
  <c r="J150" i="82"/>
  <c r="H150" i="82"/>
  <c r="E150" i="82"/>
  <c r="DW150" i="82" s="1"/>
  <c r="J149" i="82"/>
  <c r="K149" i="82" s="1"/>
  <c r="H149" i="82"/>
  <c r="E149" i="82"/>
  <c r="DW149" i="82" s="1"/>
  <c r="A149" i="82"/>
  <c r="A150" i="82" s="1"/>
  <c r="A151" i="82" s="1"/>
  <c r="DW148" i="82"/>
  <c r="BF148" i="82"/>
  <c r="BD148" i="82"/>
  <c r="BC148" i="82"/>
  <c r="AZ148" i="82"/>
  <c r="AW148" i="82"/>
  <c r="AX148" i="82" s="1"/>
  <c r="AY148" i="82" s="1"/>
  <c r="AJ148" i="82"/>
  <c r="AK148" i="82" s="1"/>
  <c r="BF147" i="82"/>
  <c r="BD147" i="82"/>
  <c r="BC147" i="82"/>
  <c r="BE147" i="82" s="1"/>
  <c r="AZ147" i="82"/>
  <c r="AW147" i="82"/>
  <c r="AM147" i="82"/>
  <c r="AJ147" i="82"/>
  <c r="AK147" i="82" s="1"/>
  <c r="E147" i="82"/>
  <c r="DW146" i="82"/>
  <c r="BF146" i="82"/>
  <c r="BD146" i="82"/>
  <c r="BC146" i="82"/>
  <c r="AZ146" i="82"/>
  <c r="AW146" i="82"/>
  <c r="AM146" i="82"/>
  <c r="AH146" i="82"/>
  <c r="AJ146" i="82"/>
  <c r="AL146" i="82" s="1"/>
  <c r="AB146" i="82"/>
  <c r="AC146" i="82" s="1"/>
  <c r="DW145" i="82"/>
  <c r="BF145" i="82"/>
  <c r="BD145" i="82"/>
  <c r="BC145" i="82"/>
  <c r="AZ145" i="82"/>
  <c r="AW145" i="82"/>
  <c r="AM145" i="82"/>
  <c r="AH145" i="82"/>
  <c r="AJ145" i="82" s="1"/>
  <c r="AB145" i="82"/>
  <c r="AC145" i="82" s="1"/>
  <c r="DW144" i="82"/>
  <c r="BF144" i="82"/>
  <c r="BD144" i="82"/>
  <c r="BC144" i="82"/>
  <c r="BE144" i="82" s="1"/>
  <c r="AZ144" i="82"/>
  <c r="AW144" i="82"/>
  <c r="AM144" i="82"/>
  <c r="AH144" i="82"/>
  <c r="AJ144" i="82" s="1"/>
  <c r="AB144" i="82"/>
  <c r="Y144" i="82"/>
  <c r="Z144" i="82" s="1"/>
  <c r="DW143" i="82"/>
  <c r="BF143" i="82"/>
  <c r="BD143" i="82"/>
  <c r="BC143" i="82"/>
  <c r="AZ143" i="82"/>
  <c r="AW143" i="82"/>
  <c r="AM143" i="82"/>
  <c r="AH143" i="82"/>
  <c r="AJ143" i="82" s="1"/>
  <c r="AB143" i="82"/>
  <c r="Y143" i="82"/>
  <c r="Z143" i="82" s="1"/>
  <c r="AA143" i="82" s="1"/>
  <c r="DW142" i="82"/>
  <c r="BF142" i="82"/>
  <c r="BD142" i="82"/>
  <c r="BC142" i="82"/>
  <c r="AZ142" i="82"/>
  <c r="AW142" i="82"/>
  <c r="AM142" i="82"/>
  <c r="AH142" i="82"/>
  <c r="AJ142" i="82" s="1"/>
  <c r="AL142" i="82" s="1"/>
  <c r="AB142" i="82"/>
  <c r="Y142" i="82"/>
  <c r="Z142" i="82" s="1"/>
  <c r="AA142" i="82" s="1"/>
  <c r="AC142" i="82" s="1"/>
  <c r="DW141" i="82"/>
  <c r="BF141" i="82"/>
  <c r="BF158" i="82" s="1"/>
  <c r="BD141" i="82"/>
  <c r="BC141" i="82"/>
  <c r="AZ141" i="82"/>
  <c r="AW141" i="82"/>
  <c r="AW158" i="82" s="1"/>
  <c r="AM141" i="82"/>
  <c r="AH141" i="82"/>
  <c r="AB141" i="82"/>
  <c r="Y141" i="82"/>
  <c r="V141" i="82"/>
  <c r="S141" i="82"/>
  <c r="Q141" i="82"/>
  <c r="R141" i="82"/>
  <c r="T141" i="82" s="1"/>
  <c r="W141" i="82" s="1"/>
  <c r="A141" i="82"/>
  <c r="A142" i="82" s="1"/>
  <c r="A143" i="82" s="1"/>
  <c r="A144" i="82" s="1"/>
  <c r="A145" i="82" s="1"/>
  <c r="A146" i="82" s="1"/>
  <c r="A147" i="82" s="1"/>
  <c r="DW140" i="82"/>
  <c r="BF140" i="82"/>
  <c r="BD140" i="82"/>
  <c r="BC140" i="82"/>
  <c r="AZ140" i="82"/>
  <c r="AZ158" i="82" s="1"/>
  <c r="AW140" i="82"/>
  <c r="AM140" i="82"/>
  <c r="AH140" i="82"/>
  <c r="AJ140" i="82" s="1"/>
  <c r="AL140" i="82" s="1"/>
  <c r="AB140" i="82"/>
  <c r="Y140" i="82"/>
  <c r="V140" i="82"/>
  <c r="S140" i="82"/>
  <c r="M140" i="82"/>
  <c r="M158" i="82" s="1"/>
  <c r="DU138" i="82"/>
  <c r="DS138" i="82"/>
  <c r="DQ138" i="82"/>
  <c r="DO138" i="82"/>
  <c r="DM138" i="82"/>
  <c r="DK138" i="82"/>
  <c r="DI138" i="82"/>
  <c r="DG138" i="82"/>
  <c r="DE138" i="82"/>
  <c r="DC138" i="82"/>
  <c r="DA138" i="82"/>
  <c r="CY138" i="82"/>
  <c r="CW138" i="82"/>
  <c r="CU138" i="82"/>
  <c r="CS138" i="82"/>
  <c r="CQ138" i="82"/>
  <c r="CO138" i="82"/>
  <c r="CM138" i="82"/>
  <c r="CK138" i="82"/>
  <c r="BH138" i="82"/>
  <c r="BG138" i="82"/>
  <c r="BF138" i="82"/>
  <c r="BE138" i="82"/>
  <c r="BD138" i="82"/>
  <c r="BC138" i="82"/>
  <c r="BB138" i="82"/>
  <c r="BA138" i="82"/>
  <c r="AZ138" i="82"/>
  <c r="AY138" i="82"/>
  <c r="AX138" i="82"/>
  <c r="AW138" i="82"/>
  <c r="AV138" i="82"/>
  <c r="AU138" i="82"/>
  <c r="AT138" i="82"/>
  <c r="AS138" i="82"/>
  <c r="AR138" i="82"/>
  <c r="AQ138" i="82"/>
  <c r="AP138" i="82"/>
  <c r="AO138" i="82"/>
  <c r="AN138" i="82"/>
  <c r="AM138" i="82"/>
  <c r="AL138" i="82"/>
  <c r="AJ138" i="82"/>
  <c r="AI138" i="82"/>
  <c r="AH138" i="82"/>
  <c r="AG138" i="82"/>
  <c r="AF138" i="82"/>
  <c r="AE138" i="82"/>
  <c r="AD138" i="82"/>
  <c r="AC138" i="82"/>
  <c r="AB138" i="82"/>
  <c r="AA138" i="82"/>
  <c r="Z138" i="82"/>
  <c r="Y138" i="82"/>
  <c r="X138" i="82"/>
  <c r="W138" i="82"/>
  <c r="V138" i="82"/>
  <c r="U138" i="82"/>
  <c r="T138" i="82"/>
  <c r="S138" i="82"/>
  <c r="R138" i="82"/>
  <c r="Q138" i="82"/>
  <c r="P138" i="82"/>
  <c r="O138" i="82"/>
  <c r="N138" i="82"/>
  <c r="M138" i="82"/>
  <c r="L138" i="82"/>
  <c r="I138" i="82"/>
  <c r="F138" i="82"/>
  <c r="J137" i="82"/>
  <c r="G138" i="82"/>
  <c r="E138" i="82"/>
  <c r="DW136" i="82"/>
  <c r="AK136" i="82"/>
  <c r="J136" i="82"/>
  <c r="H136" i="82"/>
  <c r="DW135" i="82"/>
  <c r="DU134" i="82"/>
  <c r="DW133" i="82"/>
  <c r="BZ128" i="82"/>
  <c r="AK128" i="82"/>
  <c r="H128" i="82"/>
  <c r="BZ127" i="82"/>
  <c r="AK127" i="82"/>
  <c r="J127" i="82"/>
  <c r="K127" i="82" s="1"/>
  <c r="H127" i="82"/>
  <c r="J126" i="82"/>
  <c r="K126" i="82" s="1"/>
  <c r="BZ126" i="82"/>
  <c r="CB126" i="82" s="1"/>
  <c r="CD126" i="82" s="1"/>
  <c r="CF126" i="82" s="1"/>
  <c r="CH126" i="82" s="1"/>
  <c r="CJ126" i="82" s="1"/>
  <c r="CL126" i="82" s="1"/>
  <c r="CN126" i="82" s="1"/>
  <c r="CP126" i="82" s="1"/>
  <c r="CR126" i="82" s="1"/>
  <c r="CT126" i="82" s="1"/>
  <c r="CV126" i="82" s="1"/>
  <c r="CX126" i="82" s="1"/>
  <c r="CZ126" i="82" s="1"/>
  <c r="DB126" i="82" s="1"/>
  <c r="DD126" i="82" s="1"/>
  <c r="DF126" i="82" s="1"/>
  <c r="DH126" i="82" s="1"/>
  <c r="DJ126" i="82" s="1"/>
  <c r="DL126" i="82" s="1"/>
  <c r="DN126" i="82" s="1"/>
  <c r="DP126" i="82" s="1"/>
  <c r="DR126" i="82" s="1"/>
  <c r="DT126" i="82" s="1"/>
  <c r="DW125" i="82"/>
  <c r="AK125" i="82"/>
  <c r="BI125" i="82" s="1"/>
  <c r="BJ125" i="82" s="1"/>
  <c r="BK125" i="82" s="1"/>
  <c r="J125" i="82"/>
  <c r="K125" i="82" s="1"/>
  <c r="H125" i="82"/>
  <c r="DW124" i="82"/>
  <c r="AK124" i="82"/>
  <c r="BI124" i="82" s="1"/>
  <c r="BJ124" i="82" s="1"/>
  <c r="J124" i="82"/>
  <c r="K124" i="82" s="1"/>
  <c r="H124" i="82"/>
  <c r="DW123" i="82"/>
  <c r="AK123" i="82"/>
  <c r="BI123" i="82" s="1"/>
  <c r="BJ123" i="82" s="1"/>
  <c r="J123" i="82"/>
  <c r="K123" i="82" s="1"/>
  <c r="H123" i="82"/>
  <c r="DW122" i="82"/>
  <c r="BF122" i="82"/>
  <c r="BD122" i="82"/>
  <c r="BC122" i="82"/>
  <c r="AZ122" i="82"/>
  <c r="AW122" i="82"/>
  <c r="AM122" i="82"/>
  <c r="AH122" i="82"/>
  <c r="AJ122" i="82" s="1"/>
  <c r="AB122" i="82"/>
  <c r="AC122" i="82"/>
  <c r="AD122" i="82" s="1"/>
  <c r="BF121" i="82"/>
  <c r="BD121" i="82"/>
  <c r="BE121" i="82" s="1"/>
  <c r="BC121" i="82"/>
  <c r="AZ121" i="82"/>
  <c r="AW121" i="82"/>
  <c r="AM121" i="82"/>
  <c r="AH121" i="82"/>
  <c r="AJ121" i="82" s="1"/>
  <c r="AL121" i="82" s="1"/>
  <c r="AB121" i="82"/>
  <c r="E121" i="82"/>
  <c r="DW120" i="82"/>
  <c r="BF120" i="82"/>
  <c r="BD120" i="82"/>
  <c r="BC120" i="82"/>
  <c r="AZ120" i="82"/>
  <c r="AW120" i="82"/>
  <c r="AM120" i="82"/>
  <c r="AH120" i="82"/>
  <c r="AJ120" i="82" s="1"/>
  <c r="AB120" i="82"/>
  <c r="AC120" i="82" s="1"/>
  <c r="BF119" i="82"/>
  <c r="BD119" i="82"/>
  <c r="BE119" i="82" s="1"/>
  <c r="BC119" i="82"/>
  <c r="AZ119" i="82"/>
  <c r="AW119" i="82"/>
  <c r="AM119" i="82"/>
  <c r="AH119" i="82"/>
  <c r="AJ119" i="82" s="1"/>
  <c r="AB119" i="82"/>
  <c r="E119" i="82"/>
  <c r="DW118" i="82"/>
  <c r="BF118" i="82"/>
  <c r="BD118" i="82"/>
  <c r="BE118" i="82" s="1"/>
  <c r="BC118" i="82"/>
  <c r="AZ118" i="82"/>
  <c r="AW118" i="82"/>
  <c r="AM118" i="82"/>
  <c r="AH118" i="82"/>
  <c r="AJ118" i="82" s="1"/>
  <c r="AL118" i="82" s="1"/>
  <c r="AB118" i="82"/>
  <c r="Y118" i="82"/>
  <c r="V118" i="82"/>
  <c r="W118" i="82" s="1"/>
  <c r="DW117" i="82"/>
  <c r="BF117" i="82"/>
  <c r="BD117" i="82"/>
  <c r="BC117" i="82"/>
  <c r="BE117" i="82" s="1"/>
  <c r="AZ117" i="82"/>
  <c r="AW117" i="82"/>
  <c r="AM117" i="82"/>
  <c r="AH117" i="82"/>
  <c r="AJ117" i="82" s="1"/>
  <c r="AL117" i="82"/>
  <c r="AB117" i="82"/>
  <c r="Y117" i="82"/>
  <c r="V117" i="82"/>
  <c r="S117" i="82"/>
  <c r="T117" i="82" s="1"/>
  <c r="U117" i="82" s="1"/>
  <c r="DW116" i="82"/>
  <c r="BF116" i="82"/>
  <c r="BD116" i="82"/>
  <c r="BC116" i="82"/>
  <c r="BE116" i="82" s="1"/>
  <c r="AZ116" i="82"/>
  <c r="AW116" i="82"/>
  <c r="AM116" i="82"/>
  <c r="AH116" i="82"/>
  <c r="AJ116" i="82" s="1"/>
  <c r="AL116" i="82" s="1"/>
  <c r="AB116" i="82"/>
  <c r="Y116" i="82"/>
  <c r="V116" i="82"/>
  <c r="S116" i="82"/>
  <c r="T116" i="82" s="1"/>
  <c r="DW115" i="82"/>
  <c r="BF115" i="82"/>
  <c r="BD115" i="82"/>
  <c r="BC115" i="82"/>
  <c r="AZ115" i="82"/>
  <c r="AW115" i="82"/>
  <c r="AM115" i="82"/>
  <c r="AH115" i="82"/>
  <c r="AJ115" i="82" s="1"/>
  <c r="AL115" i="82" s="1"/>
  <c r="AB115" i="82"/>
  <c r="Y115" i="82"/>
  <c r="V115" i="82"/>
  <c r="S115" i="82"/>
  <c r="P115" i="82"/>
  <c r="Q115" i="82" s="1"/>
  <c r="R115" i="82" s="1"/>
  <c r="DW114" i="82"/>
  <c r="BF114" i="82"/>
  <c r="BD114" i="82"/>
  <c r="BC114" i="82"/>
  <c r="AZ114" i="82"/>
  <c r="AW114" i="82"/>
  <c r="AM114" i="82"/>
  <c r="AH114" i="82"/>
  <c r="AJ114" i="82" s="1"/>
  <c r="AB114" i="82"/>
  <c r="Y114" i="82"/>
  <c r="V114" i="82"/>
  <c r="S114" i="82"/>
  <c r="P114" i="82"/>
  <c r="M114" i="82"/>
  <c r="N114" i="82" s="1"/>
  <c r="O114" i="82" s="1"/>
  <c r="DW113" i="82"/>
  <c r="BF113" i="82"/>
  <c r="BG113" i="82"/>
  <c r="BH113" i="82" s="1"/>
  <c r="BC113" i="82"/>
  <c r="DW112" i="82"/>
  <c r="BF112" i="82"/>
  <c r="BG112" i="82" s="1"/>
  <c r="BH112" i="82" s="1"/>
  <c r="BC112" i="82"/>
  <c r="BL111" i="82"/>
  <c r="BN111" i="82"/>
  <c r="DW110" i="82"/>
  <c r="BF110" i="82"/>
  <c r="BD110" i="82"/>
  <c r="BC110" i="82"/>
  <c r="BE110" i="82" s="1"/>
  <c r="AZ110" i="82"/>
  <c r="AW110" i="82"/>
  <c r="AM110" i="82"/>
  <c r="AH110" i="82"/>
  <c r="AJ110" i="82" s="1"/>
  <c r="AL110" i="82" s="1"/>
  <c r="AB110" i="82"/>
  <c r="Y110" i="82"/>
  <c r="V110" i="82"/>
  <c r="S110" i="82"/>
  <c r="T110" i="82" s="1"/>
  <c r="DW109" i="82"/>
  <c r="BF109" i="82"/>
  <c r="BD109" i="82"/>
  <c r="BC109" i="82"/>
  <c r="AZ109" i="82"/>
  <c r="AW109" i="82"/>
  <c r="AM109" i="82"/>
  <c r="AH109" i="82"/>
  <c r="AJ109" i="82" s="1"/>
  <c r="AL109" i="82" s="1"/>
  <c r="AB109" i="82"/>
  <c r="Y109" i="82"/>
  <c r="V109" i="82"/>
  <c r="W109" i="82" s="1"/>
  <c r="S109" i="82"/>
  <c r="T109" i="82" s="1"/>
  <c r="U109" i="82" s="1"/>
  <c r="DW108" i="82"/>
  <c r="BF108" i="82"/>
  <c r="BD108" i="82"/>
  <c r="BC108" i="82"/>
  <c r="AZ108" i="82"/>
  <c r="AW108" i="82"/>
  <c r="AM108" i="82"/>
  <c r="AH108" i="82"/>
  <c r="AJ108" i="82" s="1"/>
  <c r="AL108" i="82" s="1"/>
  <c r="AB108" i="82"/>
  <c r="Y108" i="82"/>
  <c r="V108" i="82"/>
  <c r="S108" i="82"/>
  <c r="T108" i="82" s="1"/>
  <c r="U108" i="82" s="1"/>
  <c r="DW107" i="82"/>
  <c r="BF107" i="82"/>
  <c r="BD107" i="82"/>
  <c r="BE107" i="82" s="1"/>
  <c r="BC107" i="82"/>
  <c r="AZ107" i="82"/>
  <c r="AW107" i="82"/>
  <c r="AM107" i="82"/>
  <c r="AH107" i="82"/>
  <c r="AJ107" i="82" s="1"/>
  <c r="AP107" i="82" s="1"/>
  <c r="AB107" i="82"/>
  <c r="Y107" i="82"/>
  <c r="V107" i="82"/>
  <c r="S107" i="82"/>
  <c r="P107" i="82"/>
  <c r="Q107" i="82"/>
  <c r="R107" i="82" s="1"/>
  <c r="DW106" i="82"/>
  <c r="BF106" i="82"/>
  <c r="BD106" i="82"/>
  <c r="BC106" i="82"/>
  <c r="BE106" i="82" s="1"/>
  <c r="AZ106" i="82"/>
  <c r="AW106" i="82"/>
  <c r="AM106" i="82"/>
  <c r="AH106" i="82"/>
  <c r="AJ106" i="82"/>
  <c r="AK106" i="82" s="1"/>
  <c r="AB106" i="82"/>
  <c r="Y106" i="82"/>
  <c r="V106" i="82"/>
  <c r="S106" i="82"/>
  <c r="P106" i="82"/>
  <c r="Q106" i="82" s="1"/>
  <c r="M106" i="82"/>
  <c r="N106" i="82"/>
  <c r="BL105" i="82"/>
  <c r="BN105" i="82" s="1"/>
  <c r="DW104" i="82"/>
  <c r="BF104" i="82"/>
  <c r="BD104" i="82"/>
  <c r="BC104" i="82"/>
  <c r="AZ104" i="82"/>
  <c r="AW104" i="82"/>
  <c r="AM104" i="82"/>
  <c r="AH104" i="82"/>
  <c r="AJ104" i="82" s="1"/>
  <c r="AL104" i="82" s="1"/>
  <c r="AB104" i="82"/>
  <c r="Y104" i="82"/>
  <c r="V104" i="82"/>
  <c r="S104" i="82"/>
  <c r="P104" i="82"/>
  <c r="M104" i="82"/>
  <c r="N104" i="82" s="1"/>
  <c r="J102" i="82"/>
  <c r="DW101" i="82"/>
  <c r="AK101" i="82"/>
  <c r="J101" i="82"/>
  <c r="H101" i="82"/>
  <c r="A101" i="82"/>
  <c r="DW100" i="82"/>
  <c r="BF100" i="82"/>
  <c r="BG100" i="82"/>
  <c r="BH100" i="82" s="1"/>
  <c r="BC100" i="82"/>
  <c r="DW99" i="82"/>
  <c r="BF99" i="82"/>
  <c r="BD99" i="82"/>
  <c r="BC99" i="82"/>
  <c r="BE99" i="82" s="1"/>
  <c r="AZ99" i="82"/>
  <c r="AW99" i="82"/>
  <c r="AM99" i="82"/>
  <c r="AH99" i="82"/>
  <c r="AJ99" i="82" s="1"/>
  <c r="AB99" i="82"/>
  <c r="Y99" i="82"/>
  <c r="V99" i="82"/>
  <c r="S99" i="82"/>
  <c r="T99" i="82" s="1"/>
  <c r="DW98" i="82"/>
  <c r="BF98" i="82"/>
  <c r="BD98" i="82"/>
  <c r="BE98" i="82" s="1"/>
  <c r="BC98" i="82"/>
  <c r="AZ98" i="82"/>
  <c r="AW98" i="82"/>
  <c r="AM98" i="82"/>
  <c r="AH98" i="82"/>
  <c r="AJ98" i="82" s="1"/>
  <c r="AL98" i="82"/>
  <c r="AB98" i="82"/>
  <c r="Y98" i="82"/>
  <c r="V98" i="82"/>
  <c r="S98" i="82"/>
  <c r="T98" i="82" s="1"/>
  <c r="U98" i="82" s="1"/>
  <c r="DW97" i="82"/>
  <c r="BF97" i="82"/>
  <c r="BD97" i="82"/>
  <c r="BC97" i="82"/>
  <c r="BE97" i="82" s="1"/>
  <c r="AZ97" i="82"/>
  <c r="AW97" i="82"/>
  <c r="AM97" i="82"/>
  <c r="AH97" i="82"/>
  <c r="AJ97" i="82" s="1"/>
  <c r="AL97" i="82" s="1"/>
  <c r="AB97" i="82"/>
  <c r="Y97" i="82"/>
  <c r="V97" i="82"/>
  <c r="S97" i="82"/>
  <c r="P97" i="82"/>
  <c r="M97" i="82"/>
  <c r="N97" i="82" s="1"/>
  <c r="DW96" i="82"/>
  <c r="DU95" i="82"/>
  <c r="DS95" i="82"/>
  <c r="DQ95" i="82"/>
  <c r="DO95" i="82"/>
  <c r="DM95" i="82"/>
  <c r="DK95" i="82"/>
  <c r="DI95" i="82"/>
  <c r="DG95" i="82"/>
  <c r="DE95" i="82"/>
  <c r="DC95" i="82"/>
  <c r="DA95" i="82"/>
  <c r="CY95" i="82"/>
  <c r="CW95" i="82"/>
  <c r="CU95" i="82"/>
  <c r="CS95" i="82"/>
  <c r="CQ95" i="82"/>
  <c r="CO95" i="82"/>
  <c r="CM95" i="82"/>
  <c r="CK95" i="82"/>
  <c r="CI95" i="82"/>
  <c r="CG95" i="82"/>
  <c r="CE95" i="82"/>
  <c r="CC95" i="82"/>
  <c r="CA95" i="82"/>
  <c r="BY95" i="82"/>
  <c r="DW84" i="82"/>
  <c r="AJ84" i="82"/>
  <c r="J84" i="82"/>
  <c r="H84" i="82"/>
  <c r="BV83" i="82"/>
  <c r="BX83" i="82" s="1"/>
  <c r="BZ83" i="82" s="1"/>
  <c r="CB83" i="82" s="1"/>
  <c r="CD83" i="82" s="1"/>
  <c r="CF83" i="82" s="1"/>
  <c r="CH83" i="82" s="1"/>
  <c r="CJ83" i="82" s="1"/>
  <c r="CL83" i="82" s="1"/>
  <c r="CN83" i="82" s="1"/>
  <c r="CP83" i="82" s="1"/>
  <c r="CR83" i="82" s="1"/>
  <c r="CT83" i="82" s="1"/>
  <c r="CV83" i="82" s="1"/>
  <c r="CX83" i="82" s="1"/>
  <c r="CZ83" i="82" s="1"/>
  <c r="DB83" i="82" s="1"/>
  <c r="DD83" i="82" s="1"/>
  <c r="DF83" i="82" s="1"/>
  <c r="DH83" i="82" s="1"/>
  <c r="DJ83" i="82" s="1"/>
  <c r="DL83" i="82" s="1"/>
  <c r="DN83" i="82" s="1"/>
  <c r="DP83" i="82" s="1"/>
  <c r="DR83" i="82" s="1"/>
  <c r="DT83" i="82" s="1"/>
  <c r="DV83" i="82" s="1"/>
  <c r="AK83" i="82"/>
  <c r="AJ83" i="82"/>
  <c r="H83" i="82"/>
  <c r="J83" i="82"/>
  <c r="DW82" i="82"/>
  <c r="AK82" i="82"/>
  <c r="AJ82" i="82"/>
  <c r="J82" i="82"/>
  <c r="K82" i="82" s="1"/>
  <c r="H82" i="82"/>
  <c r="DW81" i="82"/>
  <c r="AK81" i="82"/>
  <c r="AJ81" i="82"/>
  <c r="J81" i="82"/>
  <c r="K81" i="82" s="1"/>
  <c r="H81" i="82"/>
  <c r="DW80" i="82"/>
  <c r="AK80" i="82"/>
  <c r="AJ80" i="82"/>
  <c r="J80" i="82"/>
  <c r="K80" i="82" s="1"/>
  <c r="H80" i="82"/>
  <c r="DW79" i="82"/>
  <c r="AK79" i="82"/>
  <c r="AJ79" i="82"/>
  <c r="J79" i="82"/>
  <c r="H79" i="82"/>
  <c r="DW78" i="82"/>
  <c r="AK78" i="82"/>
  <c r="BI78" i="82" s="1"/>
  <c r="BJ78" i="82" s="1"/>
  <c r="BK78" i="82" s="1"/>
  <c r="AJ78" i="82"/>
  <c r="J78" i="82"/>
  <c r="K78" i="82" s="1"/>
  <c r="H78" i="82"/>
  <c r="DW77" i="82"/>
  <c r="AK77" i="82"/>
  <c r="AJ77" i="82"/>
  <c r="J77" i="82"/>
  <c r="K77" i="82" s="1"/>
  <c r="H77" i="82"/>
  <c r="DW76" i="82"/>
  <c r="AK76" i="82"/>
  <c r="AJ76" i="82"/>
  <c r="J76" i="82"/>
  <c r="H76" i="82"/>
  <c r="DW75" i="82"/>
  <c r="AK75" i="82"/>
  <c r="AJ75" i="82"/>
  <c r="J75" i="82"/>
  <c r="H75" i="82"/>
  <c r="DW74" i="82"/>
  <c r="AK74" i="82"/>
  <c r="AJ74" i="82"/>
  <c r="J74" i="82"/>
  <c r="K74" i="82" s="1"/>
  <c r="H74" i="82"/>
  <c r="DW73" i="82"/>
  <c r="AK73" i="82"/>
  <c r="AJ73" i="82"/>
  <c r="J73" i="82"/>
  <c r="H73" i="82"/>
  <c r="DW72" i="82"/>
  <c r="BF72" i="82"/>
  <c r="BG72" i="82" s="1"/>
  <c r="BC72" i="82"/>
  <c r="AJ72" i="82"/>
  <c r="DW71" i="82"/>
  <c r="BF71" i="82"/>
  <c r="L71" i="82" s="1"/>
  <c r="BC71" i="82"/>
  <c r="AJ71" i="82"/>
  <c r="DW70" i="82"/>
  <c r="BF70" i="82"/>
  <c r="BC70" i="82"/>
  <c r="AJ70" i="82"/>
  <c r="DW69" i="82"/>
  <c r="BF69" i="82"/>
  <c r="BC69" i="82"/>
  <c r="AJ69" i="82"/>
  <c r="DW68" i="82"/>
  <c r="BF68" i="82"/>
  <c r="L68" i="82" s="1"/>
  <c r="BC68" i="82"/>
  <c r="AJ68" i="82"/>
  <c r="DW67" i="82"/>
  <c r="BF67" i="82"/>
  <c r="BD67" i="82"/>
  <c r="BC67" i="82"/>
  <c r="AZ67" i="82"/>
  <c r="AW67" i="82"/>
  <c r="AM67" i="82"/>
  <c r="AH67" i="82"/>
  <c r="AJ67" i="82" s="1"/>
  <c r="AB67" i="82"/>
  <c r="AC67" i="82" s="1"/>
  <c r="AD67" i="82" s="1"/>
  <c r="DW66" i="82"/>
  <c r="BF66" i="82"/>
  <c r="BD66" i="82"/>
  <c r="BE66" i="82" s="1"/>
  <c r="BG66" i="82" s="1"/>
  <c r="BC66" i="82"/>
  <c r="AZ66" i="82"/>
  <c r="AW66" i="82"/>
  <c r="AM66" i="82"/>
  <c r="AH66" i="82"/>
  <c r="AJ66" i="82" s="1"/>
  <c r="AB66" i="82"/>
  <c r="Y66" i="82"/>
  <c r="Z66" i="82"/>
  <c r="AA66" i="82" s="1"/>
  <c r="DW65" i="82"/>
  <c r="BF65" i="82"/>
  <c r="BD65" i="82"/>
  <c r="BC65" i="82"/>
  <c r="AZ65" i="82"/>
  <c r="AW65" i="82"/>
  <c r="AM65" i="82"/>
  <c r="AH65" i="82"/>
  <c r="AJ65" i="82" s="1"/>
  <c r="AL65" i="82" s="1"/>
  <c r="AB65" i="82"/>
  <c r="Y65" i="82"/>
  <c r="Z65" i="82" s="1"/>
  <c r="AA65" i="82" s="1"/>
  <c r="AC65" i="82" s="1"/>
  <c r="AD65" i="82" s="1"/>
  <c r="DW64" i="82"/>
  <c r="BF64" i="82"/>
  <c r="BD64" i="82"/>
  <c r="BC64" i="82"/>
  <c r="AZ64" i="82"/>
  <c r="AW64" i="82"/>
  <c r="AM64" i="82"/>
  <c r="AH64" i="82"/>
  <c r="AJ64" i="82" s="1"/>
  <c r="AP64" i="82" s="1"/>
  <c r="AB64" i="82"/>
  <c r="Y64" i="82"/>
  <c r="V64" i="82"/>
  <c r="S64" i="82"/>
  <c r="T64" i="82" s="1"/>
  <c r="U64" i="82" s="1"/>
  <c r="DW63" i="82"/>
  <c r="BF63" i="82"/>
  <c r="BD63" i="82"/>
  <c r="BC63" i="82"/>
  <c r="AZ63" i="82"/>
  <c r="AW63" i="82"/>
  <c r="AM63" i="82"/>
  <c r="AH63" i="82"/>
  <c r="AJ63" i="82" s="1"/>
  <c r="AB63" i="82"/>
  <c r="Y63" i="82"/>
  <c r="V63" i="82"/>
  <c r="S63" i="82"/>
  <c r="P63" i="82"/>
  <c r="Q63" i="82" s="1"/>
  <c r="R63" i="82" s="1"/>
  <c r="DW62" i="82"/>
  <c r="BF62" i="82"/>
  <c r="BD62" i="82"/>
  <c r="BC62" i="82"/>
  <c r="AZ62" i="82"/>
  <c r="AW62" i="82"/>
  <c r="AM62" i="82"/>
  <c r="AH62" i="82"/>
  <c r="AJ62" i="82" s="1"/>
  <c r="AP62" i="82" s="1"/>
  <c r="AB62" i="82"/>
  <c r="Y62" i="82"/>
  <c r="V62" i="82"/>
  <c r="S62" i="82"/>
  <c r="P62" i="82"/>
  <c r="Q62" i="82" s="1"/>
  <c r="A62" i="82"/>
  <c r="A63" i="82" s="1"/>
  <c r="A64" i="82" s="1"/>
  <c r="A65" i="82" s="1"/>
  <c r="A66" i="82" s="1"/>
  <c r="A67" i="82" s="1"/>
  <c r="A68" i="82" s="1"/>
  <c r="A69" i="82" s="1"/>
  <c r="A70" i="82" s="1"/>
  <c r="A71" i="82" s="1"/>
  <c r="A72" i="82" s="1"/>
  <c r="A73" i="82" s="1"/>
  <c r="A74" i="82" s="1"/>
  <c r="A75" i="82" s="1"/>
  <c r="A76" i="82" s="1"/>
  <c r="A77" i="82" s="1"/>
  <c r="A78" i="82" s="1"/>
  <c r="A79" i="82" s="1"/>
  <c r="A80" i="82" s="1"/>
  <c r="A81" i="82" s="1"/>
  <c r="A82" i="82" s="1"/>
  <c r="DW61" i="82"/>
  <c r="BF61" i="82"/>
  <c r="BD61" i="82"/>
  <c r="BC61" i="82"/>
  <c r="BE61" i="82" s="1"/>
  <c r="AZ61" i="82"/>
  <c r="AW61" i="82"/>
  <c r="AM61" i="82"/>
  <c r="AH61" i="82"/>
  <c r="AJ61" i="82" s="1"/>
  <c r="AK61" i="82" s="1"/>
  <c r="AB61" i="82"/>
  <c r="Y61" i="82"/>
  <c r="V61" i="82"/>
  <c r="S61" i="82"/>
  <c r="P61" i="82"/>
  <c r="M61" i="82"/>
  <c r="N61" i="82" s="1"/>
  <c r="DW60" i="82"/>
  <c r="AI59" i="82"/>
  <c r="L59" i="82"/>
  <c r="I59" i="82"/>
  <c r="G59" i="82"/>
  <c r="F59" i="82"/>
  <c r="E59" i="82"/>
  <c r="DW58" i="82"/>
  <c r="AJ58" i="82"/>
  <c r="J58" i="82"/>
  <c r="H58" i="82"/>
  <c r="DW57" i="82"/>
  <c r="AJ57" i="82"/>
  <c r="J57" i="82"/>
  <c r="H57" i="82"/>
  <c r="H59" i="82" s="1"/>
  <c r="DW56" i="82"/>
  <c r="BF56" i="82"/>
  <c r="BD56" i="82"/>
  <c r="BC56" i="82"/>
  <c r="AZ56" i="82"/>
  <c r="AW56" i="82"/>
  <c r="AM56" i="82"/>
  <c r="AH56" i="82"/>
  <c r="AJ56" i="82" s="1"/>
  <c r="AL56" i="82" s="1"/>
  <c r="AB56" i="82"/>
  <c r="Y56" i="82"/>
  <c r="V56" i="82"/>
  <c r="DW55" i="82"/>
  <c r="BF55" i="82"/>
  <c r="BD55" i="82"/>
  <c r="BC55" i="82"/>
  <c r="BE55" i="82" s="1"/>
  <c r="AZ55" i="82"/>
  <c r="AW55" i="82"/>
  <c r="AM55" i="82"/>
  <c r="AH55" i="82"/>
  <c r="AJ55" i="82" s="1"/>
  <c r="AL55" i="82" s="1"/>
  <c r="AB55" i="82"/>
  <c r="Y55" i="82"/>
  <c r="V55" i="82"/>
  <c r="DW54" i="82"/>
  <c r="BF54" i="82"/>
  <c r="BD54" i="82"/>
  <c r="BC54" i="82"/>
  <c r="BE54" i="82" s="1"/>
  <c r="AZ54" i="82"/>
  <c r="AW54" i="82"/>
  <c r="AM54" i="82"/>
  <c r="AH54" i="82"/>
  <c r="AJ54" i="82" s="1"/>
  <c r="AL54" i="82" s="1"/>
  <c r="AB54" i="82"/>
  <c r="Y54" i="82"/>
  <c r="V54" i="82"/>
  <c r="DW53" i="82"/>
  <c r="BF53" i="82"/>
  <c r="BD53" i="82"/>
  <c r="BC53" i="82"/>
  <c r="AZ53" i="82"/>
  <c r="AW53" i="82"/>
  <c r="AM53" i="82"/>
  <c r="AH53" i="82"/>
  <c r="AJ53" i="82" s="1"/>
  <c r="AL53" i="82" s="1"/>
  <c r="AB53" i="82"/>
  <c r="Y53" i="82"/>
  <c r="V53" i="82"/>
  <c r="DW52" i="82"/>
  <c r="BF52" i="82"/>
  <c r="BD52" i="82"/>
  <c r="BC52" i="82"/>
  <c r="AZ52" i="82"/>
  <c r="AW52" i="82"/>
  <c r="AM52" i="82"/>
  <c r="AH52" i="82"/>
  <c r="AJ52" i="82" s="1"/>
  <c r="AL52" i="82" s="1"/>
  <c r="AB52" i="82"/>
  <c r="Y52" i="82"/>
  <c r="V52" i="82"/>
  <c r="DW51" i="82"/>
  <c r="BF51" i="82"/>
  <c r="BD51" i="82"/>
  <c r="BE51" i="82" s="1"/>
  <c r="BC51" i="82"/>
  <c r="AZ51" i="82"/>
  <c r="AW51" i="82"/>
  <c r="AM51" i="82"/>
  <c r="AH51" i="82"/>
  <c r="AJ51" i="82" s="1"/>
  <c r="AL51" i="82" s="1"/>
  <c r="AB51" i="82"/>
  <c r="Y51" i="82"/>
  <c r="V51" i="82"/>
  <c r="DW50" i="82"/>
  <c r="BF50" i="82"/>
  <c r="BD50" i="82"/>
  <c r="BC50" i="82"/>
  <c r="AZ50" i="82"/>
  <c r="AW50" i="82"/>
  <c r="AM50" i="82"/>
  <c r="AH50" i="82"/>
  <c r="AJ50" i="82" s="1"/>
  <c r="AL50" i="82" s="1"/>
  <c r="AB50" i="82"/>
  <c r="Y50" i="82"/>
  <c r="V50" i="82"/>
  <c r="DW49" i="82"/>
  <c r="BF49" i="82"/>
  <c r="BD49" i="82"/>
  <c r="BC49" i="82"/>
  <c r="AZ49" i="82"/>
  <c r="AW49" i="82"/>
  <c r="AM49" i="82"/>
  <c r="AH49" i="82"/>
  <c r="AJ49" i="82" s="1"/>
  <c r="AL49" i="82" s="1"/>
  <c r="AB49" i="82"/>
  <c r="Y49" i="82"/>
  <c r="V49" i="82"/>
  <c r="DW48" i="82"/>
  <c r="BF48" i="82"/>
  <c r="BD48" i="82"/>
  <c r="BC48" i="82"/>
  <c r="AZ48" i="82"/>
  <c r="AW48" i="82"/>
  <c r="AM48" i="82"/>
  <c r="AH48" i="82"/>
  <c r="AJ48" i="82"/>
  <c r="AL48" i="82" s="1"/>
  <c r="AB48" i="82"/>
  <c r="Y48" i="82"/>
  <c r="V48" i="82"/>
  <c r="DW47" i="82"/>
  <c r="BF47" i="82"/>
  <c r="BD47" i="82"/>
  <c r="BC47" i="82"/>
  <c r="AZ47" i="82"/>
  <c r="AW47" i="82"/>
  <c r="AM47" i="82"/>
  <c r="AH47" i="82"/>
  <c r="AJ47" i="82" s="1"/>
  <c r="AL47" i="82" s="1"/>
  <c r="AB47" i="82"/>
  <c r="Y47" i="82"/>
  <c r="V47" i="82"/>
  <c r="DW46" i="82"/>
  <c r="BF46" i="82"/>
  <c r="BD46" i="82"/>
  <c r="BC46" i="82"/>
  <c r="AZ46" i="82"/>
  <c r="AW46" i="82"/>
  <c r="AM46" i="82"/>
  <c r="AH46" i="82"/>
  <c r="AJ46" i="82" s="1"/>
  <c r="AL46" i="82" s="1"/>
  <c r="AB46" i="82"/>
  <c r="Y46" i="82"/>
  <c r="V46" i="82"/>
  <c r="DW45" i="82"/>
  <c r="BF45" i="82"/>
  <c r="BD45" i="82"/>
  <c r="BC45" i="82"/>
  <c r="AZ45" i="82"/>
  <c r="AW45" i="82"/>
  <c r="AM45" i="82"/>
  <c r="AH45" i="82"/>
  <c r="AJ45" i="82" s="1"/>
  <c r="AL45" i="82" s="1"/>
  <c r="AB45" i="82"/>
  <c r="Y45" i="82"/>
  <c r="V45" i="82"/>
  <c r="DW44" i="82"/>
  <c r="BF44" i="82"/>
  <c r="BD44" i="82"/>
  <c r="BC44" i="82"/>
  <c r="AZ44" i="82"/>
  <c r="AW44" i="82"/>
  <c r="AM44" i="82"/>
  <c r="AH44" i="82"/>
  <c r="AJ44" i="82" s="1"/>
  <c r="AL44" i="82" s="1"/>
  <c r="AB44" i="82"/>
  <c r="Y44" i="82"/>
  <c r="V44" i="82"/>
  <c r="U44" i="82"/>
  <c r="DW43" i="82"/>
  <c r="BF43" i="82"/>
  <c r="BD43" i="82"/>
  <c r="BC43" i="82"/>
  <c r="AZ43" i="82"/>
  <c r="AW43" i="82"/>
  <c r="AM43" i="82"/>
  <c r="AH43" i="82"/>
  <c r="AJ43" i="82" s="1"/>
  <c r="AL43" i="82" s="1"/>
  <c r="AB43" i="82"/>
  <c r="Y43" i="82"/>
  <c r="V43" i="82"/>
  <c r="U43" i="82"/>
  <c r="DW42" i="82"/>
  <c r="BF42" i="82"/>
  <c r="BD42" i="82"/>
  <c r="BC42" i="82"/>
  <c r="AZ42" i="82"/>
  <c r="AW42" i="82"/>
  <c r="AM42" i="82"/>
  <c r="AH42" i="82"/>
  <c r="AJ42" i="82" s="1"/>
  <c r="AL42" i="82" s="1"/>
  <c r="AB42" i="82"/>
  <c r="Y42" i="82"/>
  <c r="V42" i="82"/>
  <c r="U42" i="82"/>
  <c r="DW41" i="82"/>
  <c r="BF41" i="82"/>
  <c r="BD41" i="82"/>
  <c r="BC41" i="82"/>
  <c r="AZ41" i="82"/>
  <c r="AW41" i="82"/>
  <c r="AM41" i="82"/>
  <c r="AH41" i="82"/>
  <c r="AJ41" i="82"/>
  <c r="AL41" i="82" s="1"/>
  <c r="AB41" i="82"/>
  <c r="Y41" i="82"/>
  <c r="V41" i="82"/>
  <c r="U41" i="82"/>
  <c r="DW40" i="82"/>
  <c r="BF40" i="82"/>
  <c r="BD40" i="82"/>
  <c r="BC40" i="82"/>
  <c r="AZ40" i="82"/>
  <c r="AW40" i="82"/>
  <c r="AM40" i="82"/>
  <c r="AH40" i="82"/>
  <c r="AJ40" i="82" s="1"/>
  <c r="AL40" i="82" s="1"/>
  <c r="AB40" i="82"/>
  <c r="Y40" i="82"/>
  <c r="V40" i="82"/>
  <c r="U40" i="82"/>
  <c r="DW39" i="82"/>
  <c r="BF39" i="82"/>
  <c r="BD39" i="82"/>
  <c r="BC39" i="82"/>
  <c r="AZ39" i="82"/>
  <c r="AW39" i="82"/>
  <c r="AM39" i="82"/>
  <c r="AH39" i="82"/>
  <c r="AJ39" i="82" s="1"/>
  <c r="AL39" i="82" s="1"/>
  <c r="AB39" i="82"/>
  <c r="Y39" i="82"/>
  <c r="V39" i="82"/>
  <c r="U39" i="82"/>
  <c r="DW38" i="82"/>
  <c r="BF38" i="82"/>
  <c r="BD38" i="82"/>
  <c r="BC38" i="82"/>
  <c r="AZ38" i="82"/>
  <c r="AW38" i="82"/>
  <c r="AM38" i="82"/>
  <c r="AH38" i="82"/>
  <c r="AJ38" i="82" s="1"/>
  <c r="AL38" i="82" s="1"/>
  <c r="AB38" i="82"/>
  <c r="Y38" i="82"/>
  <c r="V38" i="82"/>
  <c r="U38" i="82"/>
  <c r="DW37" i="82"/>
  <c r="BF37" i="82"/>
  <c r="BD37" i="82"/>
  <c r="BC37" i="82"/>
  <c r="AZ37" i="82"/>
  <c r="AW37" i="82"/>
  <c r="AM37" i="82"/>
  <c r="AH37" i="82"/>
  <c r="AJ37" i="82" s="1"/>
  <c r="AL37" i="82" s="1"/>
  <c r="AB37" i="82"/>
  <c r="Y37" i="82"/>
  <c r="V37" i="82"/>
  <c r="U37" i="82"/>
  <c r="DW36" i="82"/>
  <c r="BF36" i="82"/>
  <c r="BD36" i="82"/>
  <c r="BC36" i="82"/>
  <c r="BE36" i="82" s="1"/>
  <c r="AZ36" i="82"/>
  <c r="AW36" i="82"/>
  <c r="AM36" i="82"/>
  <c r="AH36" i="82"/>
  <c r="AB36" i="82"/>
  <c r="Y36" i="82"/>
  <c r="V36" i="82"/>
  <c r="U36" i="82"/>
  <c r="DW35" i="82"/>
  <c r="BF35" i="82"/>
  <c r="BD35" i="82"/>
  <c r="BC35" i="82"/>
  <c r="BE35" i="82" s="1"/>
  <c r="AZ35" i="82"/>
  <c r="AW35" i="82"/>
  <c r="AM35" i="82"/>
  <c r="AH35" i="82"/>
  <c r="AJ35" i="82"/>
  <c r="AL35" i="82" s="1"/>
  <c r="AB35" i="82"/>
  <c r="Y35" i="82"/>
  <c r="V35" i="82"/>
  <c r="U35" i="82"/>
  <c r="DW34" i="82"/>
  <c r="BF34" i="82"/>
  <c r="BD34" i="82"/>
  <c r="BC34" i="82"/>
  <c r="AZ34" i="82"/>
  <c r="AW34" i="82"/>
  <c r="AM34" i="82"/>
  <c r="AH34" i="82"/>
  <c r="AJ34" i="82" s="1"/>
  <c r="AL34" i="82" s="1"/>
  <c r="AB34" i="82"/>
  <c r="Y34" i="82"/>
  <c r="V34" i="82"/>
  <c r="U34" i="82"/>
  <c r="DW33" i="82"/>
  <c r="BF33" i="82"/>
  <c r="BD33" i="82"/>
  <c r="BC33" i="82"/>
  <c r="BE33" i="82" s="1"/>
  <c r="AZ33" i="82"/>
  <c r="AW33" i="82"/>
  <c r="AM33" i="82"/>
  <c r="AH33" i="82"/>
  <c r="AJ33" i="82" s="1"/>
  <c r="AL33" i="82" s="1"/>
  <c r="AB33" i="82"/>
  <c r="Y33" i="82"/>
  <c r="V33" i="82"/>
  <c r="U33" i="82"/>
  <c r="DW32" i="82"/>
  <c r="BF32" i="82"/>
  <c r="BD32" i="82"/>
  <c r="BC32" i="82"/>
  <c r="BE32" i="82" s="1"/>
  <c r="AZ32" i="82"/>
  <c r="AW32" i="82"/>
  <c r="AM32" i="82"/>
  <c r="AH32" i="82"/>
  <c r="AJ32" i="82" s="1"/>
  <c r="AL32" i="82" s="1"/>
  <c r="AB32" i="82"/>
  <c r="Y32" i="82"/>
  <c r="V32" i="82"/>
  <c r="U32" i="82"/>
  <c r="DW31" i="82"/>
  <c r="BF31" i="82"/>
  <c r="BD31" i="82"/>
  <c r="BC31" i="82"/>
  <c r="AZ31" i="82"/>
  <c r="AW31" i="82"/>
  <c r="AM31" i="82"/>
  <c r="AH31" i="82"/>
  <c r="AJ31" i="82" s="1"/>
  <c r="AL31" i="82" s="1"/>
  <c r="AB31" i="82"/>
  <c r="Y31" i="82"/>
  <c r="V31" i="82"/>
  <c r="U31" i="82"/>
  <c r="DW30" i="82"/>
  <c r="BF30" i="82"/>
  <c r="BD30" i="82"/>
  <c r="BE30" i="82" s="1"/>
  <c r="BC30" i="82"/>
  <c r="AZ30" i="82"/>
  <c r="AW30" i="82"/>
  <c r="AM30" i="82"/>
  <c r="AH30" i="82"/>
  <c r="AJ30" i="82" s="1"/>
  <c r="AL30" i="82" s="1"/>
  <c r="AB30" i="82"/>
  <c r="Y30" i="82"/>
  <c r="V30" i="82"/>
  <c r="U30" i="82"/>
  <c r="DW29" i="82"/>
  <c r="BF29" i="82"/>
  <c r="BD29" i="82"/>
  <c r="BC29" i="82"/>
  <c r="AZ29" i="82"/>
  <c r="AW29" i="82"/>
  <c r="AM29" i="82"/>
  <c r="AH29" i="82"/>
  <c r="AJ29" i="82" s="1"/>
  <c r="AL29" i="82" s="1"/>
  <c r="AB29" i="82"/>
  <c r="Y29" i="82"/>
  <c r="V29" i="82"/>
  <c r="U29" i="82"/>
  <c r="DW28" i="82"/>
  <c r="BF28" i="82"/>
  <c r="BD28" i="82"/>
  <c r="BE28" i="82" s="1"/>
  <c r="BC28" i="82"/>
  <c r="AZ28" i="82"/>
  <c r="AW28" i="82"/>
  <c r="AM28" i="82"/>
  <c r="AH28" i="82"/>
  <c r="AJ28" i="82" s="1"/>
  <c r="AL28" i="82" s="1"/>
  <c r="AB28" i="82"/>
  <c r="Y28" i="82"/>
  <c r="V28" i="82"/>
  <c r="U28" i="82"/>
  <c r="DW27" i="82"/>
  <c r="BF27" i="82"/>
  <c r="BD27" i="82"/>
  <c r="BC27" i="82"/>
  <c r="AZ27" i="82"/>
  <c r="AW27" i="82"/>
  <c r="AM27" i="82"/>
  <c r="AH27" i="82"/>
  <c r="AJ27" i="82" s="1"/>
  <c r="AL27" i="82" s="1"/>
  <c r="AB27" i="82"/>
  <c r="Y27" i="82"/>
  <c r="V27" i="82"/>
  <c r="U27" i="82"/>
  <c r="DW26" i="82"/>
  <c r="BF26" i="82"/>
  <c r="BD26" i="82"/>
  <c r="BC26" i="82"/>
  <c r="AZ26" i="82"/>
  <c r="AW26" i="82"/>
  <c r="AM26" i="82"/>
  <c r="AH26" i="82"/>
  <c r="AJ26" i="82" s="1"/>
  <c r="AL26" i="82" s="1"/>
  <c r="AB26" i="82"/>
  <c r="Y26" i="82"/>
  <c r="V26" i="82"/>
  <c r="U26" i="82"/>
  <c r="DW25" i="82"/>
  <c r="BF25" i="82"/>
  <c r="BD25" i="82"/>
  <c r="BC25" i="82"/>
  <c r="AZ25" i="82"/>
  <c r="AW25" i="82"/>
  <c r="AM25" i="82"/>
  <c r="AH25" i="82"/>
  <c r="AJ25" i="82" s="1"/>
  <c r="AL25" i="82" s="1"/>
  <c r="AB25" i="82"/>
  <c r="Y25" i="82"/>
  <c r="V25" i="82"/>
  <c r="U25" i="82"/>
  <c r="DW24" i="82"/>
  <c r="BF24" i="82"/>
  <c r="BD24" i="82"/>
  <c r="BC24" i="82"/>
  <c r="AZ24" i="82"/>
  <c r="AW24" i="82"/>
  <c r="AM24" i="82"/>
  <c r="AH24" i="82"/>
  <c r="AJ24" i="82"/>
  <c r="AL24" i="82" s="1"/>
  <c r="AB24" i="82"/>
  <c r="Y24" i="82"/>
  <c r="V24" i="82"/>
  <c r="U24" i="82"/>
  <c r="DW23" i="82"/>
  <c r="BF23" i="82"/>
  <c r="BD23" i="82"/>
  <c r="BC23" i="82"/>
  <c r="AZ23" i="82"/>
  <c r="AW23" i="82"/>
  <c r="AM23" i="82"/>
  <c r="AH23" i="82"/>
  <c r="AJ23" i="82" s="1"/>
  <c r="AL23" i="82" s="1"/>
  <c r="AB23" i="82"/>
  <c r="Y23" i="82"/>
  <c r="V23" i="82"/>
  <c r="U23" i="82"/>
  <c r="DW22" i="82"/>
  <c r="BF22" i="82"/>
  <c r="BD22" i="82"/>
  <c r="BC22" i="82"/>
  <c r="BE22" i="82" s="1"/>
  <c r="AZ22" i="82"/>
  <c r="AW22" i="82"/>
  <c r="AM22" i="82"/>
  <c r="AH22" i="82"/>
  <c r="AJ22" i="82" s="1"/>
  <c r="AL22" i="82" s="1"/>
  <c r="AB22" i="82"/>
  <c r="Y22" i="82"/>
  <c r="V22" i="82"/>
  <c r="U22" i="82"/>
  <c r="DW21" i="82"/>
  <c r="BF21" i="82"/>
  <c r="BD21" i="82"/>
  <c r="BE21" i="82" s="1"/>
  <c r="BC21" i="82"/>
  <c r="AZ21" i="82"/>
  <c r="AW21" i="82"/>
  <c r="AM21" i="82"/>
  <c r="AH21" i="82"/>
  <c r="AJ21" i="82"/>
  <c r="AL21" i="82" s="1"/>
  <c r="AB21" i="82"/>
  <c r="Y21" i="82"/>
  <c r="V21" i="82"/>
  <c r="U21" i="82"/>
  <c r="DW20" i="82"/>
  <c r="BF20" i="82"/>
  <c r="BD20" i="82"/>
  <c r="BC20" i="82"/>
  <c r="AZ20" i="82"/>
  <c r="AW20" i="82"/>
  <c r="AM20" i="82"/>
  <c r="AH20" i="82"/>
  <c r="AJ20" i="82" s="1"/>
  <c r="AL20" i="82" s="1"/>
  <c r="AB20" i="82"/>
  <c r="Y20" i="82"/>
  <c r="V20" i="82"/>
  <c r="U20" i="82"/>
  <c r="DW19" i="82"/>
  <c r="BF19" i="82"/>
  <c r="BD19" i="82"/>
  <c r="BC19" i="82"/>
  <c r="AZ19" i="82"/>
  <c r="AW19" i="82"/>
  <c r="AM19" i="82"/>
  <c r="AH19" i="82"/>
  <c r="AJ19" i="82" s="1"/>
  <c r="AL19" i="82" s="1"/>
  <c r="AB19" i="82"/>
  <c r="Y19" i="82"/>
  <c r="V19" i="82"/>
  <c r="U19" i="82"/>
  <c r="DW18" i="82"/>
  <c r="BF18" i="82"/>
  <c r="BD18" i="82"/>
  <c r="BC18" i="82"/>
  <c r="AZ18" i="82"/>
  <c r="AW18" i="82"/>
  <c r="AM18" i="82"/>
  <c r="AH18" i="82"/>
  <c r="AJ18" i="82" s="1"/>
  <c r="AL18" i="82" s="1"/>
  <c r="AB18" i="82"/>
  <c r="Y18" i="82"/>
  <c r="V18" i="82"/>
  <c r="S18" i="82"/>
  <c r="P18" i="82"/>
  <c r="Q18" i="82" s="1"/>
  <c r="DW17" i="82"/>
  <c r="BF17" i="82"/>
  <c r="BD17" i="82"/>
  <c r="BC17" i="82"/>
  <c r="AZ17" i="82"/>
  <c r="AW17" i="82"/>
  <c r="AM17" i="82"/>
  <c r="AH17" i="82"/>
  <c r="AJ17" i="82" s="1"/>
  <c r="AL17" i="82" s="1"/>
  <c r="AB17" i="82"/>
  <c r="Y17" i="82"/>
  <c r="V17" i="82"/>
  <c r="S17" i="82"/>
  <c r="P17" i="82"/>
  <c r="Q17" i="82" s="1"/>
  <c r="R17" i="82" s="1"/>
  <c r="DW16" i="82"/>
  <c r="BF16" i="82"/>
  <c r="BD16" i="82"/>
  <c r="BC16" i="82"/>
  <c r="BE16" i="82" s="1"/>
  <c r="AZ16" i="82"/>
  <c r="AW16" i="82"/>
  <c r="AM16" i="82"/>
  <c r="AH16" i="82"/>
  <c r="AJ16" i="82" s="1"/>
  <c r="AL16" i="82" s="1"/>
  <c r="AB16" i="82"/>
  <c r="Y16" i="82"/>
  <c r="V16" i="82"/>
  <c r="S16" i="82"/>
  <c r="P16" i="82"/>
  <c r="Q16" i="82"/>
  <c r="R16" i="82" s="1"/>
  <c r="DW15" i="82"/>
  <c r="BF15" i="82"/>
  <c r="BD15" i="82"/>
  <c r="BC15" i="82"/>
  <c r="AZ15" i="82"/>
  <c r="AW15" i="82"/>
  <c r="AM15" i="82"/>
  <c r="AH15" i="82"/>
  <c r="AJ15" i="82" s="1"/>
  <c r="AL15" i="82" s="1"/>
  <c r="AB15" i="82"/>
  <c r="Y15" i="82"/>
  <c r="V15" i="82"/>
  <c r="S15" i="82"/>
  <c r="P15" i="82"/>
  <c r="Q15" i="82" s="1"/>
  <c r="R15" i="82" s="1"/>
  <c r="T15" i="82" s="1"/>
  <c r="DW14" i="82"/>
  <c r="BF14" i="82"/>
  <c r="BD14" i="82"/>
  <c r="BC14" i="82"/>
  <c r="BE14" i="82" s="1"/>
  <c r="AZ14" i="82"/>
  <c r="AW14" i="82"/>
  <c r="AM14" i="82"/>
  <c r="AH14" i="82"/>
  <c r="AJ14" i="82" s="1"/>
  <c r="AL14" i="82" s="1"/>
  <c r="AB14" i="82"/>
  <c r="Y14" i="82"/>
  <c r="V14" i="82"/>
  <c r="S14" i="82"/>
  <c r="P14" i="82"/>
  <c r="Q14" i="82" s="1"/>
  <c r="R14" i="82" s="1"/>
  <c r="DW13" i="82"/>
  <c r="BF13" i="82"/>
  <c r="BD13" i="82"/>
  <c r="BC13" i="82"/>
  <c r="AZ13" i="82"/>
  <c r="AW13" i="82"/>
  <c r="AM13" i="82"/>
  <c r="AH13" i="82"/>
  <c r="AJ13" i="82" s="1"/>
  <c r="AL13" i="82" s="1"/>
  <c r="AB13" i="82"/>
  <c r="Y13" i="82"/>
  <c r="V13" i="82"/>
  <c r="S13" i="82"/>
  <c r="P13" i="82"/>
  <c r="Q13" i="82" s="1"/>
  <c r="R13" i="82" s="1"/>
  <c r="DW12" i="82"/>
  <c r="BF12" i="82"/>
  <c r="BD12" i="82"/>
  <c r="BE12" i="82" s="1"/>
  <c r="BC12" i="82"/>
  <c r="AZ12" i="82"/>
  <c r="AW12" i="82"/>
  <c r="AM12" i="82"/>
  <c r="AH12" i="82"/>
  <c r="AJ12" i="82"/>
  <c r="AL12" i="82" s="1"/>
  <c r="AB12" i="82"/>
  <c r="Y12" i="82"/>
  <c r="V12" i="82"/>
  <c r="S12" i="82"/>
  <c r="P12" i="82"/>
  <c r="Q12" i="82" s="1"/>
  <c r="R12" i="82" s="1"/>
  <c r="T12" i="82" s="1"/>
  <c r="DW11" i="82"/>
  <c r="BF11" i="82"/>
  <c r="BD11" i="82"/>
  <c r="BC11" i="82"/>
  <c r="AZ11" i="82"/>
  <c r="AW11" i="82"/>
  <c r="AM11" i="82"/>
  <c r="AH11" i="82"/>
  <c r="AB11" i="82"/>
  <c r="Y11" i="82"/>
  <c r="V11" i="82"/>
  <c r="S11" i="82"/>
  <c r="P11" i="82"/>
  <c r="Q11" i="82" s="1"/>
  <c r="R11" i="82" s="1"/>
  <c r="DW10" i="82"/>
  <c r="BF10" i="82"/>
  <c r="BD10" i="82"/>
  <c r="BC10" i="82"/>
  <c r="AZ10" i="82"/>
  <c r="AW10" i="82"/>
  <c r="AM10" i="82"/>
  <c r="AH10" i="82"/>
  <c r="AJ10" i="82" s="1"/>
  <c r="AL10" i="82" s="1"/>
  <c r="AB10" i="82"/>
  <c r="Y10" i="82"/>
  <c r="V10" i="82"/>
  <c r="S10" i="82"/>
  <c r="P10" i="82"/>
  <c r="Q10" i="82" s="1"/>
  <c r="R10" i="82" s="1"/>
  <c r="DW9" i="82"/>
  <c r="BF9" i="82"/>
  <c r="BD9" i="82"/>
  <c r="BC9" i="82"/>
  <c r="BE9" i="82" s="1"/>
  <c r="AZ9" i="82"/>
  <c r="AW9" i="82"/>
  <c r="AM9" i="82"/>
  <c r="AH9" i="82"/>
  <c r="AB9" i="82"/>
  <c r="Y9" i="82"/>
  <c r="V9" i="82"/>
  <c r="S9" i="82"/>
  <c r="P9" i="82"/>
  <c r="A9" i="82"/>
  <c r="A10" i="82" s="1"/>
  <c r="A11" i="82" s="1"/>
  <c r="A12" i="82" s="1"/>
  <c r="A13" i="82" s="1"/>
  <c r="A14" i="82" s="1"/>
  <c r="A15" i="82" s="1"/>
  <c r="A16" i="82" s="1"/>
  <c r="A17" i="82" s="1"/>
  <c r="A18" i="82" s="1"/>
  <c r="A19" i="82" s="1"/>
  <c r="A20" i="82" s="1"/>
  <c r="A21" i="82" s="1"/>
  <c r="A22" i="82" s="1"/>
  <c r="A23" i="82" s="1"/>
  <c r="A24" i="82" s="1"/>
  <c r="A25" i="82" s="1"/>
  <c r="A26" i="82" s="1"/>
  <c r="A27" i="82" s="1"/>
  <c r="A28" i="82" s="1"/>
  <c r="A29" i="82" s="1"/>
  <c r="A30" i="82" s="1"/>
  <c r="A31" i="82" s="1"/>
  <c r="A32" i="82" s="1"/>
  <c r="A33" i="82" s="1"/>
  <c r="A34" i="82" s="1"/>
  <c r="A35" i="82" s="1"/>
  <c r="A36" i="82" s="1"/>
  <c r="A37" i="82" s="1"/>
  <c r="A38" i="82" s="1"/>
  <c r="A39" i="82" s="1"/>
  <c r="A40" i="82" s="1"/>
  <c r="A41" i="82" s="1"/>
  <c r="A42" i="82" s="1"/>
  <c r="A43" i="82" s="1"/>
  <c r="A44" i="82" s="1"/>
  <c r="A45" i="82" s="1"/>
  <c r="A46" i="82" s="1"/>
  <c r="A47" i="82" s="1"/>
  <c r="A48" i="82" s="1"/>
  <c r="A49" i="82" s="1"/>
  <c r="A50" i="82" s="1"/>
  <c r="A51" i="82" s="1"/>
  <c r="A52" i="82" s="1"/>
  <c r="A53" i="82" s="1"/>
  <c r="A54" i="82" s="1"/>
  <c r="A55" i="82" s="1"/>
  <c r="A56" i="82" s="1"/>
  <c r="A57" i="82" s="1"/>
  <c r="DW8" i="82"/>
  <c r="BF8" i="82"/>
  <c r="BD8" i="82"/>
  <c r="BC8" i="82"/>
  <c r="BE8" i="82" s="1"/>
  <c r="AZ8" i="82"/>
  <c r="AW8" i="82"/>
  <c r="AM8" i="82"/>
  <c r="AH8" i="82"/>
  <c r="AJ8" i="82" s="1"/>
  <c r="AL8" i="82" s="1"/>
  <c r="AB8" i="82"/>
  <c r="Y8" i="82"/>
  <c r="V8" i="82"/>
  <c r="S8" i="82"/>
  <c r="P8" i="82"/>
  <c r="M8" i="82"/>
  <c r="M59" i="82" s="1"/>
  <c r="I11" i="76"/>
  <c r="E36" i="10"/>
  <c r="E37" i="10" s="1"/>
  <c r="J24" i="23"/>
  <c r="J25" i="23"/>
  <c r="D5" i="23"/>
  <c r="I75" i="23"/>
  <c r="J75" i="23" s="1"/>
  <c r="I74" i="23"/>
  <c r="J74" i="23" s="1"/>
  <c r="I73" i="23"/>
  <c r="J73" i="23" s="1"/>
  <c r="I72" i="23"/>
  <c r="J72" i="23" s="1"/>
  <c r="I70" i="23"/>
  <c r="I82" i="23" s="1"/>
  <c r="J14" i="10"/>
  <c r="J18" i="10"/>
  <c r="E25" i="2"/>
  <c r="D37" i="65" s="1"/>
  <c r="K36" i="4"/>
  <c r="J36" i="4"/>
  <c r="I36" i="4"/>
  <c r="H36" i="4"/>
  <c r="A7" i="80"/>
  <c r="A4" i="80" s="1"/>
  <c r="A8" i="80" s="1"/>
  <c r="A9" i="80" s="1"/>
  <c r="A10" i="80" s="1"/>
  <c r="A11" i="80" s="1"/>
  <c r="A12" i="80" s="1"/>
  <c r="A13" i="80" s="1"/>
  <c r="A14" i="80" s="1"/>
  <c r="A15" i="80" s="1"/>
  <c r="A16" i="80" s="1"/>
  <c r="A17" i="80" s="1"/>
  <c r="A18" i="80" s="1"/>
  <c r="A19" i="80" s="1"/>
  <c r="A20" i="80" s="1"/>
  <c r="A21" i="80" s="1"/>
  <c r="A22" i="80" s="1"/>
  <c r="A23" i="80" s="1"/>
  <c r="A24" i="80" s="1"/>
  <c r="A25" i="80" s="1"/>
  <c r="A26" i="80" s="1"/>
  <c r="A27" i="80" s="1"/>
  <c r="A28" i="80" s="1"/>
  <c r="A29" i="80" s="1"/>
  <c r="A30" i="80" s="1"/>
  <c r="A31" i="80" s="1"/>
  <c r="A32" i="80" s="1"/>
  <c r="A33" i="80" s="1"/>
  <c r="A34" i="80" s="1"/>
  <c r="A35" i="80" s="1"/>
  <c r="A36" i="80" s="1"/>
  <c r="A37" i="80" s="1"/>
  <c r="A38" i="80" s="1"/>
  <c r="A39" i="80" s="1"/>
  <c r="A40" i="80" s="1"/>
  <c r="A41" i="80" s="1"/>
  <c r="A42" i="80" s="1"/>
  <c r="A43" i="80" s="1"/>
  <c r="A44" i="80" s="1"/>
  <c r="A45" i="80" s="1"/>
  <c r="A46" i="80" s="1"/>
  <c r="A47" i="80" s="1"/>
  <c r="A48" i="80" s="1"/>
  <c r="A5" i="80" s="1"/>
  <c r="A49" i="80" s="1"/>
  <c r="A50" i="80" s="1"/>
  <c r="A51" i="80" s="1"/>
  <c r="A52" i="80" s="1"/>
  <c r="A53" i="80" s="1"/>
  <c r="A54" i="80" s="1"/>
  <c r="A55" i="80" s="1"/>
  <c r="A56" i="80" s="1"/>
  <c r="A57" i="80" s="1"/>
  <c r="A58" i="80" s="1"/>
  <c r="A59" i="80" s="1"/>
  <c r="A60" i="80" s="1"/>
  <c r="A61" i="80" s="1"/>
  <c r="A62" i="80" s="1"/>
  <c r="A63" i="80" s="1"/>
  <c r="A64" i="80" s="1"/>
  <c r="A65" i="80" s="1"/>
  <c r="A66" i="80" s="1"/>
  <c r="A67" i="80" s="1"/>
  <c r="A68" i="80" s="1"/>
  <c r="A69" i="80" s="1"/>
  <c r="A70" i="80" s="1"/>
  <c r="A71" i="80" s="1"/>
  <c r="A72" i="80" s="1"/>
  <c r="A73" i="80" s="1"/>
  <c r="A74" i="80" s="1"/>
  <c r="A75" i="80" s="1"/>
  <c r="A76" i="80" s="1"/>
  <c r="A77" i="80" s="1"/>
  <c r="A78" i="80" s="1"/>
  <c r="A79" i="80" s="1"/>
  <c r="A80" i="80" s="1"/>
  <c r="A81" i="80" s="1"/>
  <c r="A82" i="80" s="1"/>
  <c r="A83" i="80" s="1"/>
  <c r="C87" i="80"/>
  <c r="A1" i="27"/>
  <c r="D11" i="27"/>
  <c r="G15" i="27" s="1"/>
  <c r="E10" i="74"/>
  <c r="E11" i="74"/>
  <c r="E12" i="74"/>
  <c r="E13" i="74"/>
  <c r="E14" i="74"/>
  <c r="E15" i="74"/>
  <c r="E16" i="74"/>
  <c r="E17" i="74"/>
  <c r="E18" i="74"/>
  <c r="E19" i="74"/>
  <c r="E20" i="74"/>
  <c r="E21" i="74"/>
  <c r="E22" i="74"/>
  <c r="E23" i="74"/>
  <c r="E24" i="74"/>
  <c r="E25" i="74"/>
  <c r="E26" i="74"/>
  <c r="E27" i="74"/>
  <c r="E28" i="74"/>
  <c r="E29" i="74"/>
  <c r="E30" i="74"/>
  <c r="E31" i="74"/>
  <c r="E32" i="74"/>
  <c r="E33" i="74"/>
  <c r="E34" i="74"/>
  <c r="E35" i="74"/>
  <c r="E36" i="74"/>
  <c r="E37" i="74"/>
  <c r="E38" i="74"/>
  <c r="E39" i="74"/>
  <c r="E40" i="74"/>
  <c r="E41" i="74"/>
  <c r="E42" i="74"/>
  <c r="E43" i="74"/>
  <c r="E44" i="74"/>
  <c r="E45" i="74"/>
  <c r="E46" i="74"/>
  <c r="E47" i="74"/>
  <c r="E48" i="74"/>
  <c r="E49" i="74"/>
  <c r="E50" i="74"/>
  <c r="E51" i="74"/>
  <c r="E52" i="74"/>
  <c r="E53" i="74"/>
  <c r="E54" i="74"/>
  <c r="E55" i="74"/>
  <c r="E56" i="74"/>
  <c r="E57" i="74"/>
  <c r="E58" i="74"/>
  <c r="E59" i="74"/>
  <c r="E60" i="74"/>
  <c r="E61" i="74"/>
  <c r="E62" i="74"/>
  <c r="E63" i="74"/>
  <c r="E64" i="74"/>
  <c r="E65" i="74"/>
  <c r="E66" i="74"/>
  <c r="E67" i="74"/>
  <c r="E68" i="74"/>
  <c r="E69" i="74"/>
  <c r="E70" i="74"/>
  <c r="E71" i="74"/>
  <c r="E72" i="74"/>
  <c r="E73" i="74"/>
  <c r="E74" i="74"/>
  <c r="E75" i="74"/>
  <c r="E76" i="74"/>
  <c r="E77" i="74"/>
  <c r="E78" i="74"/>
  <c r="E79" i="74"/>
  <c r="E80" i="74"/>
  <c r="E81" i="74"/>
  <c r="E82" i="74"/>
  <c r="E83" i="74"/>
  <c r="E84" i="74"/>
  <c r="E85" i="74"/>
  <c r="E86" i="74"/>
  <c r="E87" i="74"/>
  <c r="E88" i="74"/>
  <c r="E89" i="74"/>
  <c r="E90" i="74"/>
  <c r="E91" i="74"/>
  <c r="E92" i="74"/>
  <c r="E93" i="74"/>
  <c r="E94" i="74"/>
  <c r="E95" i="74"/>
  <c r="E96" i="74"/>
  <c r="E97" i="74"/>
  <c r="E98" i="74"/>
  <c r="E99" i="74"/>
  <c r="E100" i="74"/>
  <c r="E101" i="74"/>
  <c r="E102" i="74"/>
  <c r="E103" i="74"/>
  <c r="E104" i="74"/>
  <c r="E105" i="74"/>
  <c r="E106" i="74"/>
  <c r="E107" i="74"/>
  <c r="E108" i="74"/>
  <c r="E109" i="74"/>
  <c r="E110" i="74"/>
  <c r="E111" i="74"/>
  <c r="E112" i="74"/>
  <c r="E113" i="74"/>
  <c r="E114" i="74"/>
  <c r="E115" i="74"/>
  <c r="E116" i="74"/>
  <c r="E117" i="74"/>
  <c r="E118" i="74"/>
  <c r="E119" i="74"/>
  <c r="E120" i="74"/>
  <c r="E121" i="74"/>
  <c r="E122" i="74"/>
  <c r="E123" i="74"/>
  <c r="E124" i="74"/>
  <c r="E125" i="74"/>
  <c r="E126" i="74"/>
  <c r="E127" i="74"/>
  <c r="E128" i="74"/>
  <c r="E129" i="74"/>
  <c r="E130" i="74"/>
  <c r="E131" i="74"/>
  <c r="E132" i="74"/>
  <c r="E133" i="74"/>
  <c r="E134" i="74"/>
  <c r="E135" i="74"/>
  <c r="E136" i="74"/>
  <c r="E137" i="74"/>
  <c r="E138" i="74"/>
  <c r="E139" i="74"/>
  <c r="E140" i="74"/>
  <c r="E141" i="74"/>
  <c r="E142" i="74"/>
  <c r="E143" i="74"/>
  <c r="E144" i="74"/>
  <c r="E145" i="74"/>
  <c r="E146" i="74"/>
  <c r="E147" i="74"/>
  <c r="E148" i="74"/>
  <c r="E149" i="74"/>
  <c r="E150" i="74"/>
  <c r="E151" i="74"/>
  <c r="E152" i="74"/>
  <c r="E153" i="74"/>
  <c r="E154" i="74"/>
  <c r="E155" i="74"/>
  <c r="E156" i="74"/>
  <c r="E157" i="74"/>
  <c r="E158" i="74"/>
  <c r="E159" i="74"/>
  <c r="E160" i="74"/>
  <c r="E161" i="74"/>
  <c r="E162" i="74"/>
  <c r="E163" i="74"/>
  <c r="E164" i="74"/>
  <c r="E165" i="74"/>
  <c r="E166" i="74"/>
  <c r="E167" i="74"/>
  <c r="E168" i="74"/>
  <c r="E169" i="74"/>
  <c r="E170" i="74"/>
  <c r="E171" i="74"/>
  <c r="E172" i="74"/>
  <c r="E173" i="74"/>
  <c r="E174" i="74"/>
  <c r="E175" i="74"/>
  <c r="E176" i="74"/>
  <c r="E177" i="74"/>
  <c r="E178" i="74"/>
  <c r="E179" i="74"/>
  <c r="E180" i="74"/>
  <c r="E181" i="74"/>
  <c r="E182" i="74"/>
  <c r="E183" i="74"/>
  <c r="E184" i="74"/>
  <c r="E185" i="74"/>
  <c r="E186" i="74"/>
  <c r="E187" i="74"/>
  <c r="E188" i="74"/>
  <c r="E189" i="74"/>
  <c r="E190" i="74"/>
  <c r="E191" i="74"/>
  <c r="E192" i="74"/>
  <c r="E193" i="74"/>
  <c r="E194" i="74"/>
  <c r="E195" i="74"/>
  <c r="E196" i="74"/>
  <c r="E197" i="74"/>
  <c r="E198" i="74"/>
  <c r="E199" i="74"/>
  <c r="E200" i="74"/>
  <c r="E201" i="74"/>
  <c r="E202" i="74"/>
  <c r="E203" i="74"/>
  <c r="E204" i="74"/>
  <c r="E205" i="74"/>
  <c r="E206" i="74"/>
  <c r="E207" i="74"/>
  <c r="E208" i="74"/>
  <c r="E209" i="74"/>
  <c r="E210" i="74"/>
  <c r="E211" i="74"/>
  <c r="E212" i="74"/>
  <c r="E213" i="74"/>
  <c r="E214" i="74"/>
  <c r="E215" i="74"/>
  <c r="E216" i="74"/>
  <c r="E217" i="74"/>
  <c r="E218" i="74"/>
  <c r="E219" i="74"/>
  <c r="E220" i="74"/>
  <c r="E221" i="74"/>
  <c r="E222" i="74"/>
  <c r="E223" i="74"/>
  <c r="E224" i="74"/>
  <c r="E225" i="74"/>
  <c r="E226" i="74"/>
  <c r="E227" i="74"/>
  <c r="E228" i="74"/>
  <c r="E229" i="74"/>
  <c r="E230" i="74"/>
  <c r="E231" i="74"/>
  <c r="E232" i="74"/>
  <c r="E233" i="74"/>
  <c r="E234" i="74"/>
  <c r="E235" i="74"/>
  <c r="E236" i="74"/>
  <c r="E237" i="74"/>
  <c r="E238" i="74"/>
  <c r="E239" i="74"/>
  <c r="E240" i="74"/>
  <c r="E241" i="74"/>
  <c r="E242" i="74"/>
  <c r="E243" i="74"/>
  <c r="E244" i="74"/>
  <c r="E245" i="74"/>
  <c r="E246" i="74"/>
  <c r="E247" i="74"/>
  <c r="E248" i="74"/>
  <c r="E249" i="74"/>
  <c r="E250" i="74"/>
  <c r="E251" i="74"/>
  <c r="E252" i="74"/>
  <c r="E253" i="74"/>
  <c r="E254" i="74"/>
  <c r="E255" i="74"/>
  <c r="E256" i="74"/>
  <c r="E257" i="74"/>
  <c r="E258" i="74"/>
  <c r="E259" i="74"/>
  <c r="E260" i="74"/>
  <c r="E261" i="74"/>
  <c r="E262" i="74"/>
  <c r="E263" i="74"/>
  <c r="E264" i="74"/>
  <c r="E265" i="74"/>
  <c r="E266" i="74"/>
  <c r="E267" i="74"/>
  <c r="E268" i="74"/>
  <c r="E269" i="74"/>
  <c r="E270" i="74"/>
  <c r="E271" i="74"/>
  <c r="E272" i="74"/>
  <c r="E273" i="74"/>
  <c r="E274" i="74"/>
  <c r="E275" i="74"/>
  <c r="E276" i="74"/>
  <c r="E277" i="74"/>
  <c r="E278" i="74"/>
  <c r="E279" i="74"/>
  <c r="E280" i="74"/>
  <c r="E281" i="74"/>
  <c r="E282" i="74"/>
  <c r="E283" i="74"/>
  <c r="E284" i="74"/>
  <c r="E285" i="74"/>
  <c r="E286" i="74"/>
  <c r="E287" i="74"/>
  <c r="E288" i="74"/>
  <c r="E289" i="74"/>
  <c r="E290" i="74"/>
  <c r="E291" i="74"/>
  <c r="E292" i="74"/>
  <c r="E293" i="74"/>
  <c r="E294" i="74"/>
  <c r="E295" i="74"/>
  <c r="E296" i="74"/>
  <c r="E297" i="74"/>
  <c r="E298" i="74"/>
  <c r="E299" i="74"/>
  <c r="E300" i="74"/>
  <c r="E301" i="74"/>
  <c r="E302" i="74"/>
  <c r="E303" i="74"/>
  <c r="E304" i="74"/>
  <c r="E305" i="74"/>
  <c r="E306" i="74"/>
  <c r="E307" i="74"/>
  <c r="E308" i="74"/>
  <c r="E309" i="74"/>
  <c r="E310" i="74"/>
  <c r="E311" i="74"/>
  <c r="E312" i="74"/>
  <c r="E313" i="74"/>
  <c r="E314" i="74"/>
  <c r="E315" i="74"/>
  <c r="E316" i="74"/>
  <c r="E317" i="74"/>
  <c r="E318" i="74"/>
  <c r="E319" i="74"/>
  <c r="E320" i="74"/>
  <c r="E321" i="74"/>
  <c r="E322" i="74"/>
  <c r="E323" i="74"/>
  <c r="E324" i="74"/>
  <c r="E325" i="74"/>
  <c r="E326" i="74"/>
  <c r="E327" i="74"/>
  <c r="E328" i="74"/>
  <c r="E329" i="74"/>
  <c r="E330" i="74"/>
  <c r="E331" i="74"/>
  <c r="E332" i="74"/>
  <c r="E333" i="74"/>
  <c r="E334" i="74"/>
  <c r="E335" i="74"/>
  <c r="E336" i="74"/>
  <c r="E337" i="74"/>
  <c r="E338" i="74"/>
  <c r="E339" i="74"/>
  <c r="E340" i="74"/>
  <c r="E341" i="74"/>
  <c r="E342" i="74"/>
  <c r="E343" i="74"/>
  <c r="E344" i="74"/>
  <c r="E345" i="74"/>
  <c r="E346" i="74"/>
  <c r="E347" i="74"/>
  <c r="E348" i="74"/>
  <c r="E349" i="74"/>
  <c r="E350" i="74"/>
  <c r="E351" i="74"/>
  <c r="E352" i="74"/>
  <c r="E353" i="74"/>
  <c r="E354" i="74"/>
  <c r="E355" i="74"/>
  <c r="E356" i="74"/>
  <c r="E357" i="74"/>
  <c r="E358" i="74"/>
  <c r="E359" i="74"/>
  <c r="E360" i="74"/>
  <c r="E361" i="74"/>
  <c r="E362" i="74"/>
  <c r="E363" i="74"/>
  <c r="E364" i="74"/>
  <c r="E365" i="74"/>
  <c r="E366" i="74"/>
  <c r="E367" i="74"/>
  <c r="E368" i="74"/>
  <c r="E369" i="74"/>
  <c r="E370" i="74"/>
  <c r="E371" i="74"/>
  <c r="E372" i="74"/>
  <c r="E373" i="74"/>
  <c r="E374" i="74"/>
  <c r="E375" i="74"/>
  <c r="E376" i="74"/>
  <c r="E377" i="74"/>
  <c r="E378" i="74"/>
  <c r="E379" i="74"/>
  <c r="E380" i="74"/>
  <c r="E381" i="74"/>
  <c r="E382" i="74"/>
  <c r="E383" i="74"/>
  <c r="E384" i="74"/>
  <c r="E385" i="74"/>
  <c r="E386" i="74"/>
  <c r="D4" i="71"/>
  <c r="B5" i="71"/>
  <c r="D5" i="71" s="1"/>
  <c r="C5" i="71"/>
  <c r="E12" i="7"/>
  <c r="D15" i="7"/>
  <c r="F7" i="2" s="1"/>
  <c r="C24" i="87" s="1"/>
  <c r="E17" i="7"/>
  <c r="C19" i="7"/>
  <c r="D19" i="7"/>
  <c r="D24" i="7"/>
  <c r="F8" i="2" s="1"/>
  <c r="C28" i="7"/>
  <c r="D28" i="7"/>
  <c r="D36" i="7"/>
  <c r="F11" i="2" s="1"/>
  <c r="C40" i="7"/>
  <c r="D40" i="7"/>
  <c r="C43" i="7"/>
  <c r="C44" i="7"/>
  <c r="D50" i="7"/>
  <c r="F12" i="2" s="1"/>
  <c r="C55" i="7"/>
  <c r="D55" i="7"/>
  <c r="D63" i="7"/>
  <c r="F13" i="2" s="1"/>
  <c r="C67" i="7"/>
  <c r="D67" i="7"/>
  <c r="D74" i="7"/>
  <c r="F14" i="2" s="1"/>
  <c r="C78" i="7"/>
  <c r="D78" i="7"/>
  <c r="G84" i="7"/>
  <c r="G89" i="7" s="1"/>
  <c r="G85" i="7"/>
  <c r="D98" i="7"/>
  <c r="D101" i="7"/>
  <c r="F18" i="3"/>
  <c r="D28" i="3"/>
  <c r="C32" i="3"/>
  <c r="E46" i="3" s="1"/>
  <c r="E32" i="3"/>
  <c r="F46" i="3" s="1"/>
  <c r="F70" i="3"/>
  <c r="H15" i="1" s="1"/>
  <c r="C63" i="87" s="1"/>
  <c r="F79" i="3"/>
  <c r="F84" i="3"/>
  <c r="F94" i="3"/>
  <c r="F123" i="3"/>
  <c r="H23" i="1" s="1"/>
  <c r="F166" i="3"/>
  <c r="F238" i="3"/>
  <c r="H41" i="1" s="1"/>
  <c r="C64" i="87" s="1"/>
  <c r="F260" i="3"/>
  <c r="H42" i="1" s="1"/>
  <c r="E269" i="3"/>
  <c r="F269" i="3"/>
  <c r="A2" i="65"/>
  <c r="E10" i="65"/>
  <c r="E29" i="65" s="1"/>
  <c r="E44" i="65" s="1"/>
  <c r="E47" i="65" s="1"/>
  <c r="E64" i="65"/>
  <c r="E80" i="65"/>
  <c r="K26" i="2"/>
  <c r="E30" i="2"/>
  <c r="H17" i="1"/>
  <c r="H8" i="4"/>
  <c r="L8" i="4" s="1"/>
  <c r="K8" i="4"/>
  <c r="M8" i="4" s="1"/>
  <c r="G11" i="4"/>
  <c r="K11" i="4"/>
  <c r="G12" i="4"/>
  <c r="L12" i="4"/>
  <c r="L13" i="4"/>
  <c r="G14" i="4"/>
  <c r="L14" i="4"/>
  <c r="L15" i="4"/>
  <c r="G16" i="4"/>
  <c r="L16" i="4"/>
  <c r="G17" i="4"/>
  <c r="L17" i="4"/>
  <c r="L18" i="4"/>
  <c r="L19" i="4"/>
  <c r="G20" i="4"/>
  <c r="L20" i="4"/>
  <c r="L21" i="4"/>
  <c r="G32" i="4"/>
  <c r="M32" i="4" s="1"/>
  <c r="L32" i="4"/>
  <c r="G33" i="4"/>
  <c r="M33" i="4" s="1"/>
  <c r="L33" i="4"/>
  <c r="G34" i="4"/>
  <c r="M34" i="4" s="1"/>
  <c r="L34" i="4"/>
  <c r="D36" i="4"/>
  <c r="E36" i="4"/>
  <c r="F36" i="4"/>
  <c r="B1" i="76"/>
  <c r="B2" i="76"/>
  <c r="I14" i="76"/>
  <c r="I15" i="76"/>
  <c r="I33" i="76"/>
  <c r="G33" i="76" s="1"/>
  <c r="G35" i="76" s="1"/>
  <c r="E24" i="10" s="1"/>
  <c r="H13" i="10"/>
  <c r="H14" i="10" s="1"/>
  <c r="E14" i="10"/>
  <c r="F14" i="10"/>
  <c r="G14" i="10"/>
  <c r="H16" i="10"/>
  <c r="K16" i="10" s="1"/>
  <c r="A17" i="10"/>
  <c r="A20" i="10" s="1"/>
  <c r="A21" i="10" s="1"/>
  <c r="A22" i="10" s="1"/>
  <c r="A23" i="10" s="1"/>
  <c r="A24" i="10" s="1"/>
  <c r="A25" i="10" s="1"/>
  <c r="A26" i="10" s="1"/>
  <c r="A27" i="10" s="1"/>
  <c r="A28" i="10" s="1"/>
  <c r="A32" i="10" s="1"/>
  <c r="A36" i="10" s="1"/>
  <c r="G18" i="10"/>
  <c r="K21" i="10"/>
  <c r="G37" i="10"/>
  <c r="F199" i="3"/>
  <c r="H39" i="1" s="1"/>
  <c r="E96" i="65"/>
  <c r="C26" i="3"/>
  <c r="F34" i="3"/>
  <c r="F35" i="3"/>
  <c r="F22" i="7"/>
  <c r="K27" i="10"/>
  <c r="DW83" i="82"/>
  <c r="AK84" i="82"/>
  <c r="BV84" i="82"/>
  <c r="BX84" i="82" s="1"/>
  <c r="BZ84" i="82" s="1"/>
  <c r="CB84" i="82" s="1"/>
  <c r="CD84" i="82" s="1"/>
  <c r="CF84" i="82" s="1"/>
  <c r="CH84" i="82" s="1"/>
  <c r="CJ84" i="82" s="1"/>
  <c r="CL84" i="82" s="1"/>
  <c r="CN84" i="82" s="1"/>
  <c r="CP84" i="82" s="1"/>
  <c r="CR84" i="82" s="1"/>
  <c r="CT84" i="82" s="1"/>
  <c r="CV84" i="82" s="1"/>
  <c r="CX84" i="82" s="1"/>
  <c r="CZ84" i="82" s="1"/>
  <c r="DB84" i="82" s="1"/>
  <c r="DD84" i="82" s="1"/>
  <c r="DF84" i="82" s="1"/>
  <c r="DH84" i="82" s="1"/>
  <c r="DJ84" i="82" s="1"/>
  <c r="DL84" i="82" s="1"/>
  <c r="DN84" i="82" s="1"/>
  <c r="DP84" i="82" s="1"/>
  <c r="DR84" i="82" s="1"/>
  <c r="DT84" i="82" s="1"/>
  <c r="DV84" i="82" s="1"/>
  <c r="DX84" i="82" s="1"/>
  <c r="BZ102" i="82"/>
  <c r="CB102" i="82"/>
  <c r="CD102" i="82" s="1"/>
  <c r="CF102" i="82" s="1"/>
  <c r="CH102" i="82" s="1"/>
  <c r="CJ102" i="82" s="1"/>
  <c r="CL102" i="82" s="1"/>
  <c r="CN102" i="82" s="1"/>
  <c r="CP102" i="82" s="1"/>
  <c r="CR102" i="82" s="1"/>
  <c r="CT102" i="82" s="1"/>
  <c r="CV102" i="82" s="1"/>
  <c r="CX102" i="82" s="1"/>
  <c r="CZ102" i="82" s="1"/>
  <c r="DB102" i="82" s="1"/>
  <c r="DD102" i="82" s="1"/>
  <c r="DF102" i="82" s="1"/>
  <c r="DH102" i="82" s="1"/>
  <c r="DJ102" i="82" s="1"/>
  <c r="DL102" i="82" s="1"/>
  <c r="DN102" i="82" s="1"/>
  <c r="DP102" i="82" s="1"/>
  <c r="DR102" i="82" s="1"/>
  <c r="DT102" i="82" s="1"/>
  <c r="DW102" i="82"/>
  <c r="H126" i="82"/>
  <c r="DW126" i="82"/>
  <c r="CF153" i="82"/>
  <c r="CH153" i="82" s="1"/>
  <c r="CJ153" i="82" s="1"/>
  <c r="CL153" i="82" s="1"/>
  <c r="CN153" i="82" s="1"/>
  <c r="CP153" i="82" s="1"/>
  <c r="CR153" i="82" s="1"/>
  <c r="CT153" i="82" s="1"/>
  <c r="CV153" i="82" s="1"/>
  <c r="CX153" i="82" s="1"/>
  <c r="CZ153" i="82" s="1"/>
  <c r="DB153" i="82" s="1"/>
  <c r="DD153" i="82" s="1"/>
  <c r="DF153" i="82" s="1"/>
  <c r="DH153" i="82" s="1"/>
  <c r="DJ153" i="82" s="1"/>
  <c r="DL153" i="82" s="1"/>
  <c r="DN153" i="82" s="1"/>
  <c r="DP153" i="82" s="1"/>
  <c r="DR153" i="82" s="1"/>
  <c r="DT153" i="82" s="1"/>
  <c r="DV153" i="82" s="1"/>
  <c r="DX153" i="82" s="1"/>
  <c r="H137" i="82"/>
  <c r="CJ137" i="82"/>
  <c r="CL137" i="82" s="1"/>
  <c r="CN137" i="82" s="1"/>
  <c r="CP137" i="82" s="1"/>
  <c r="CR137" i="82" s="1"/>
  <c r="CT137" i="82" s="1"/>
  <c r="CV137" i="82" s="1"/>
  <c r="CX137" i="82" s="1"/>
  <c r="CZ137" i="82" s="1"/>
  <c r="DB137" i="82" s="1"/>
  <c r="DD137" i="82" s="1"/>
  <c r="DF137" i="82" s="1"/>
  <c r="DH137" i="82" s="1"/>
  <c r="DJ137" i="82" s="1"/>
  <c r="DL137" i="82" s="1"/>
  <c r="DN137" i="82" s="1"/>
  <c r="DP137" i="82" s="1"/>
  <c r="DR137" i="82" s="1"/>
  <c r="DT137" i="82" s="1"/>
  <c r="DV137" i="82" s="1"/>
  <c r="DX137" i="82" s="1"/>
  <c r="DW137" i="82"/>
  <c r="AK151" i="82"/>
  <c r="BI151" i="82" s="1"/>
  <c r="BJ151" i="82" s="1"/>
  <c r="DW153" i="82"/>
  <c r="AK126" i="82"/>
  <c r="BK126" i="82" s="1"/>
  <c r="BL126" i="82" s="1"/>
  <c r="AK268" i="82"/>
  <c r="BK268" i="82"/>
  <c r="BL268" i="82" s="1"/>
  <c r="CT268" i="82"/>
  <c r="CV268" i="82" s="1"/>
  <c r="CX268" i="82" s="1"/>
  <c r="CZ268" i="82" s="1"/>
  <c r="DB268" i="82" s="1"/>
  <c r="DD268" i="82" s="1"/>
  <c r="DF268" i="82" s="1"/>
  <c r="DH268" i="82" s="1"/>
  <c r="DJ268" i="82" s="1"/>
  <c r="DL268" i="82" s="1"/>
  <c r="DN268" i="82" s="1"/>
  <c r="DP268" i="82" s="1"/>
  <c r="DR268" i="82" s="1"/>
  <c r="DT268" i="82" s="1"/>
  <c r="DV268" i="82" s="1"/>
  <c r="AK272" i="82"/>
  <c r="BK272" i="82" s="1"/>
  <c r="BL272" i="82" s="1"/>
  <c r="CT272" i="82"/>
  <c r="CV272" i="82" s="1"/>
  <c r="CX272" i="82" s="1"/>
  <c r="CZ272" i="82" s="1"/>
  <c r="DB272" i="82" s="1"/>
  <c r="DD272" i="82" s="1"/>
  <c r="DF272" i="82" s="1"/>
  <c r="DH272" i="82" s="1"/>
  <c r="DJ272" i="82" s="1"/>
  <c r="DL272" i="82" s="1"/>
  <c r="DN272" i="82" s="1"/>
  <c r="DP272" i="82" s="1"/>
  <c r="DR272" i="82" s="1"/>
  <c r="DT272" i="82" s="1"/>
  <c r="DV272" i="82" s="1"/>
  <c r="DW280" i="82"/>
  <c r="CT280" i="82"/>
  <c r="CV280" i="82"/>
  <c r="CX280" i="82" s="1"/>
  <c r="CZ280" i="82" s="1"/>
  <c r="DB280" i="82" s="1"/>
  <c r="DD280" i="82" s="1"/>
  <c r="DF280" i="82" s="1"/>
  <c r="DH280" i="82" s="1"/>
  <c r="DJ280" i="82" s="1"/>
  <c r="DL280" i="82" s="1"/>
  <c r="DN280" i="82" s="1"/>
  <c r="DP280" i="82" s="1"/>
  <c r="DR280" i="82" s="1"/>
  <c r="DT280" i="82" s="1"/>
  <c r="DV280" i="82" s="1"/>
  <c r="DX280" i="82" s="1"/>
  <c r="AK280" i="82"/>
  <c r="DW266" i="82"/>
  <c r="J267" i="82"/>
  <c r="DW270" i="82"/>
  <c r="J271" i="82"/>
  <c r="K271" i="82" s="1"/>
  <c r="H265" i="82"/>
  <c r="J265" i="82"/>
  <c r="DW268" i="82"/>
  <c r="J269" i="82"/>
  <c r="K269" i="82"/>
  <c r="DW272" i="82"/>
  <c r="J273" i="82"/>
  <c r="AK265" i="82"/>
  <c r="CT265" i="82"/>
  <c r="CV265" i="82" s="1"/>
  <c r="CX265" i="82" s="1"/>
  <c r="CZ265" i="82" s="1"/>
  <c r="DB265" i="82" s="1"/>
  <c r="DD265" i="82" s="1"/>
  <c r="DF265" i="82" s="1"/>
  <c r="DH265" i="82" s="1"/>
  <c r="DJ265" i="82" s="1"/>
  <c r="DL265" i="82" s="1"/>
  <c r="DN265" i="82" s="1"/>
  <c r="DP265" i="82" s="1"/>
  <c r="DR265" i="82" s="1"/>
  <c r="DT265" i="82" s="1"/>
  <c r="DV265" i="82" s="1"/>
  <c r="DX265" i="82" s="1"/>
  <c r="AK269" i="82"/>
  <c r="BK269" i="82" s="1"/>
  <c r="BL269" i="82" s="1"/>
  <c r="CT269" i="82"/>
  <c r="CV269" i="82" s="1"/>
  <c r="CX269" i="82" s="1"/>
  <c r="CZ269" i="82" s="1"/>
  <c r="DB269" i="82" s="1"/>
  <c r="DD269" i="82" s="1"/>
  <c r="DF269" i="82" s="1"/>
  <c r="DH269" i="82" s="1"/>
  <c r="DJ269" i="82" s="1"/>
  <c r="DL269" i="82" s="1"/>
  <c r="DN269" i="82" s="1"/>
  <c r="DP269" i="82" s="1"/>
  <c r="DR269" i="82" s="1"/>
  <c r="DT269" i="82" s="1"/>
  <c r="DV269" i="82" s="1"/>
  <c r="DX269" i="82" s="1"/>
  <c r="AK273" i="82"/>
  <c r="CT273" i="82"/>
  <c r="CV273" i="82" s="1"/>
  <c r="CX273" i="82" s="1"/>
  <c r="CZ273" i="82" s="1"/>
  <c r="DB273" i="82" s="1"/>
  <c r="DD273" i="82" s="1"/>
  <c r="DF273" i="82" s="1"/>
  <c r="DH273" i="82" s="1"/>
  <c r="DJ273" i="82" s="1"/>
  <c r="DL273" i="82" s="1"/>
  <c r="DN273" i="82" s="1"/>
  <c r="DP273" i="82" s="1"/>
  <c r="DR273" i="82" s="1"/>
  <c r="DT273" i="82" s="1"/>
  <c r="DV273" i="82" s="1"/>
  <c r="DX273" i="82" s="1"/>
  <c r="CT284" i="82"/>
  <c r="CV284" i="82" s="1"/>
  <c r="CX284" i="82" s="1"/>
  <c r="CZ284" i="82" s="1"/>
  <c r="DB284" i="82" s="1"/>
  <c r="DD284" i="82" s="1"/>
  <c r="DF284" i="82" s="1"/>
  <c r="DH284" i="82" s="1"/>
  <c r="DJ284" i="82" s="1"/>
  <c r="DL284" i="82" s="1"/>
  <c r="DN284" i="82" s="1"/>
  <c r="DP284" i="82" s="1"/>
  <c r="DR284" i="82" s="1"/>
  <c r="DT284" i="82" s="1"/>
  <c r="DV284" i="82" s="1"/>
  <c r="AK284" i="82"/>
  <c r="BK284" i="82"/>
  <c r="BL284" i="82" s="1"/>
  <c r="DW284" i="82"/>
  <c r="AK267" i="82"/>
  <c r="AK271" i="82"/>
  <c r="BK271" i="82" s="1"/>
  <c r="BL271" i="82" s="1"/>
  <c r="CT276" i="82"/>
  <c r="CV276" i="82"/>
  <c r="CX276" i="82" s="1"/>
  <c r="CZ276" i="82" s="1"/>
  <c r="DB276" i="82" s="1"/>
  <c r="DD276" i="82" s="1"/>
  <c r="DF276" i="82" s="1"/>
  <c r="DH276" i="82" s="1"/>
  <c r="DJ276" i="82" s="1"/>
  <c r="DL276" i="82" s="1"/>
  <c r="DN276" i="82" s="1"/>
  <c r="DP276" i="82" s="1"/>
  <c r="DR276" i="82" s="1"/>
  <c r="DT276" i="82" s="1"/>
  <c r="DV276" i="82" s="1"/>
  <c r="DX276" i="82" s="1"/>
  <c r="AK276" i="82"/>
  <c r="BK276" i="82" s="1"/>
  <c r="BL276" i="82" s="1"/>
  <c r="DW277" i="82"/>
  <c r="CT277" i="82"/>
  <c r="CV277" i="82"/>
  <c r="CX277" i="82" s="1"/>
  <c r="CZ277" i="82" s="1"/>
  <c r="DB277" i="82" s="1"/>
  <c r="DD277" i="82" s="1"/>
  <c r="DF277" i="82" s="1"/>
  <c r="DH277" i="82" s="1"/>
  <c r="DJ277" i="82" s="1"/>
  <c r="DL277" i="82" s="1"/>
  <c r="DN277" i="82" s="1"/>
  <c r="DP277" i="82" s="1"/>
  <c r="DR277" i="82" s="1"/>
  <c r="DT277" i="82" s="1"/>
  <c r="DV277" i="82" s="1"/>
  <c r="DX277" i="82" s="1"/>
  <c r="AK277" i="82"/>
  <c r="H281" i="82"/>
  <c r="J281" i="82"/>
  <c r="AK281" i="82"/>
  <c r="CT281" i="82"/>
  <c r="CV281" i="82" s="1"/>
  <c r="CX281" i="82" s="1"/>
  <c r="CZ281" i="82" s="1"/>
  <c r="DB281" i="82" s="1"/>
  <c r="DD281" i="82" s="1"/>
  <c r="DF281" i="82" s="1"/>
  <c r="DH281" i="82" s="1"/>
  <c r="DJ281" i="82" s="1"/>
  <c r="DL281" i="82" s="1"/>
  <c r="DN281" i="82" s="1"/>
  <c r="DP281" i="82" s="1"/>
  <c r="DR281" i="82" s="1"/>
  <c r="DT281" i="82" s="1"/>
  <c r="DV281" i="82" s="1"/>
  <c r="DX281" i="82" s="1"/>
  <c r="AK278" i="82"/>
  <c r="BK278" i="82" s="1"/>
  <c r="BL278" i="82" s="1"/>
  <c r="H327" i="82"/>
  <c r="CJ327" i="82"/>
  <c r="CL327" i="82" s="1"/>
  <c r="CN327" i="82" s="1"/>
  <c r="CP327" i="82" s="1"/>
  <c r="CR327" i="82" s="1"/>
  <c r="CT327" i="82" s="1"/>
  <c r="CV327" i="82" s="1"/>
  <c r="CX327" i="82" s="1"/>
  <c r="CZ327" i="82" s="1"/>
  <c r="DB327" i="82" s="1"/>
  <c r="DD327" i="82" s="1"/>
  <c r="DF327" i="82" s="1"/>
  <c r="DH327" i="82" s="1"/>
  <c r="DJ327" i="82" s="1"/>
  <c r="DL327" i="82" s="1"/>
  <c r="DN327" i="82" s="1"/>
  <c r="DP327" i="82" s="1"/>
  <c r="DR327" i="82" s="1"/>
  <c r="DT327" i="82" s="1"/>
  <c r="DV327" i="82" s="1"/>
  <c r="DX327" i="82" s="1"/>
  <c r="J91" i="23"/>
  <c r="L306" i="82"/>
  <c r="L330" i="82" s="1"/>
  <c r="BE109" i="82"/>
  <c r="BE108" i="82"/>
  <c r="N8" i="82"/>
  <c r="O8" i="82" s="1"/>
  <c r="Q8" i="82" s="1"/>
  <c r="R8" i="82" s="1"/>
  <c r="AD190" i="82"/>
  <c r="AG190" i="82" s="1"/>
  <c r="BE115" i="82"/>
  <c r="BG303" i="82"/>
  <c r="BH303" i="82" s="1"/>
  <c r="BI303" i="82" s="1"/>
  <c r="BJ303" i="82" s="1"/>
  <c r="BK303" i="82" s="1"/>
  <c r="BL303" i="82" s="1"/>
  <c r="BO303" i="82" s="1"/>
  <c r="BI325" i="82"/>
  <c r="BJ325" i="82" s="1"/>
  <c r="AK149" i="82"/>
  <c r="L303" i="82"/>
  <c r="BG305" i="82"/>
  <c r="BH305" i="82" s="1"/>
  <c r="BI305" i="82" s="1"/>
  <c r="BJ305" i="82" s="1"/>
  <c r="L305" i="82"/>
  <c r="BE187" i="82"/>
  <c r="K324" i="82"/>
  <c r="K129" i="82"/>
  <c r="BK326" i="82"/>
  <c r="BL326" i="82" s="1"/>
  <c r="BO326" i="82" s="1"/>
  <c r="BP326" i="82" s="1"/>
  <c r="AE189" i="82"/>
  <c r="AF189" i="82" s="1"/>
  <c r="N140" i="82"/>
  <c r="O140" i="82" s="1"/>
  <c r="R171" i="82"/>
  <c r="H33" i="76"/>
  <c r="AK194" i="82"/>
  <c r="AL194" i="82"/>
  <c r="AN147" i="82"/>
  <c r="AT147" i="82"/>
  <c r="K84" i="82"/>
  <c r="BG71" i="82"/>
  <c r="BH71" i="82" s="1"/>
  <c r="BJ237" i="82"/>
  <c r="BI253" i="82"/>
  <c r="BJ253" i="82" s="1"/>
  <c r="BK253" i="82"/>
  <c r="BI257" i="82"/>
  <c r="BJ257" i="82" s="1"/>
  <c r="BI209" i="82"/>
  <c r="BJ209" i="82"/>
  <c r="BK209" i="82" s="1"/>
  <c r="BL209" i="82" s="1"/>
  <c r="BK275" i="82"/>
  <c r="BL275" i="82" s="1"/>
  <c r="BN275" i="82" s="1"/>
  <c r="AK197" i="82"/>
  <c r="AX197" i="82" s="1"/>
  <c r="AY197" i="82" s="1"/>
  <c r="AK198" i="82"/>
  <c r="BI225" i="82"/>
  <c r="BJ225" i="82" s="1"/>
  <c r="BK225" i="82" s="1"/>
  <c r="BI251" i="82"/>
  <c r="BJ251" i="82"/>
  <c r="BK251" i="82" s="1"/>
  <c r="BI241" i="82"/>
  <c r="BJ241" i="82"/>
  <c r="BI264" i="82"/>
  <c r="BJ264" i="82" s="1"/>
  <c r="BK264" i="82" s="1"/>
  <c r="BL264" i="82" s="1"/>
  <c r="BJ245" i="82"/>
  <c r="BK245" i="82" s="1"/>
  <c r="K249" i="82"/>
  <c r="K288" i="82"/>
  <c r="BK288" i="82"/>
  <c r="BL288" i="82"/>
  <c r="BO288" i="82" s="1"/>
  <c r="BK285" i="82"/>
  <c r="BL285" i="82" s="1"/>
  <c r="BO285" i="82" s="1"/>
  <c r="AK196" i="82"/>
  <c r="AX196" i="82" s="1"/>
  <c r="AY196" i="82" s="1"/>
  <c r="AL196" i="82"/>
  <c r="K228" i="82"/>
  <c r="K221" i="82"/>
  <c r="BJ221" i="82"/>
  <c r="BK221" i="82" s="1"/>
  <c r="BL221" i="82" s="1"/>
  <c r="BO221" i="82" s="1"/>
  <c r="K263" i="82"/>
  <c r="K279" i="82"/>
  <c r="BK279" i="82"/>
  <c r="BL279" i="82" s="1"/>
  <c r="BN279" i="82" s="1"/>
  <c r="BI213" i="82"/>
  <c r="BJ213" i="82" s="1"/>
  <c r="K208" i="82"/>
  <c r="BI233" i="82"/>
  <c r="BJ233" i="82" s="1"/>
  <c r="BI246" i="82"/>
  <c r="BJ246" i="82" s="1"/>
  <c r="K258" i="82"/>
  <c r="K270" i="82"/>
  <c r="BG68" i="82"/>
  <c r="BH68" i="82" s="1"/>
  <c r="BI68" i="82" s="1"/>
  <c r="K229" i="82"/>
  <c r="K202" i="82"/>
  <c r="BI202" i="82"/>
  <c r="BJ202" i="82" s="1"/>
  <c r="AL147" i="82"/>
  <c r="AK191" i="82"/>
  <c r="K239" i="82"/>
  <c r="BI239" i="82"/>
  <c r="BJ239" i="82" s="1"/>
  <c r="BK239" i="82" s="1"/>
  <c r="BL239" i="82" s="1"/>
  <c r="AL120" i="82"/>
  <c r="G13" i="4"/>
  <c r="BE161" i="82"/>
  <c r="BE67" i="82"/>
  <c r="BG67" i="82" s="1"/>
  <c r="BE42" i="82"/>
  <c r="BE163" i="82"/>
  <c r="K86" i="82"/>
  <c r="K327" i="82"/>
  <c r="BK327" i="82"/>
  <c r="BL327" i="82" s="1"/>
  <c r="BO327" i="82" s="1"/>
  <c r="J70" i="23"/>
  <c r="J82" i="23" s="1"/>
  <c r="BL244" i="82"/>
  <c r="BI307" i="82"/>
  <c r="L307" i="82"/>
  <c r="K83" i="82"/>
  <c r="BK83" i="82"/>
  <c r="BL83" i="82" s="1"/>
  <c r="BE120" i="82"/>
  <c r="F84" i="80"/>
  <c r="C90" i="80" s="1"/>
  <c r="D488" i="71"/>
  <c r="D421" i="71"/>
  <c r="D426" i="71"/>
  <c r="D596" i="71"/>
  <c r="J94" i="23"/>
  <c r="J97" i="23" s="1"/>
  <c r="Z182" i="82"/>
  <c r="AA182" i="82" s="1"/>
  <c r="AC182" i="82" s="1"/>
  <c r="AK295" i="82"/>
  <c r="BS295" i="82" s="1"/>
  <c r="K102" i="82"/>
  <c r="BK102" i="82"/>
  <c r="BL102" i="82" s="1"/>
  <c r="O106" i="82"/>
  <c r="K282" i="82"/>
  <c r="AK64" i="82"/>
  <c r="K101" i="82"/>
  <c r="BI101" i="82"/>
  <c r="BJ101" i="82" s="1"/>
  <c r="AL192" i="82"/>
  <c r="AO192" i="82" s="1"/>
  <c r="AP192" i="82" s="1"/>
  <c r="AK192" i="82"/>
  <c r="AP61" i="82"/>
  <c r="K79" i="82"/>
  <c r="BI79" i="82"/>
  <c r="BJ79" i="82" s="1"/>
  <c r="K218" i="82"/>
  <c r="K226" i="82"/>
  <c r="BI226" i="82"/>
  <c r="BJ226" i="82" s="1"/>
  <c r="AL107" i="82"/>
  <c r="T115" i="82"/>
  <c r="U115" i="82" s="1"/>
  <c r="W115" i="82" s="1"/>
  <c r="BK137" i="82"/>
  <c r="BL137" i="82" s="1"/>
  <c r="BO137" i="82" s="1"/>
  <c r="J138" i="82"/>
  <c r="K137" i="82"/>
  <c r="BG200" i="82"/>
  <c r="BH200" i="82" s="1"/>
  <c r="L201" i="82"/>
  <c r="BG201" i="82"/>
  <c r="BH201" i="82" s="1"/>
  <c r="BI201" i="82" s="1"/>
  <c r="DW287" i="82"/>
  <c r="AK287" i="82"/>
  <c r="BK287" i="82"/>
  <c r="BL287" i="82" s="1"/>
  <c r="BN287" i="82" s="1"/>
  <c r="CT287" i="82"/>
  <c r="CV287" i="82" s="1"/>
  <c r="CX287" i="82"/>
  <c r="CZ287" i="82" s="1"/>
  <c r="DB287" i="82" s="1"/>
  <c r="DD287" i="82" s="1"/>
  <c r="DF287" i="82" s="1"/>
  <c r="DH287" i="82" s="1"/>
  <c r="DJ287" i="82" s="1"/>
  <c r="DL287" i="82" s="1"/>
  <c r="DN287" i="82" s="1"/>
  <c r="DP287" i="82" s="1"/>
  <c r="DR287" i="82" s="1"/>
  <c r="DT287" i="82" s="1"/>
  <c r="DV287" i="82" s="1"/>
  <c r="DX287" i="82" s="1"/>
  <c r="BG61" i="82"/>
  <c r="BE63" i="82"/>
  <c r="BG63" i="82" s="1"/>
  <c r="BE114" i="82"/>
  <c r="BE140" i="82"/>
  <c r="BE166" i="82"/>
  <c r="BE169" i="82"/>
  <c r="BE192" i="82"/>
  <c r="BE23" i="82"/>
  <c r="BE122" i="82"/>
  <c r="BE172" i="82"/>
  <c r="BE177" i="82"/>
  <c r="BO86" i="82"/>
  <c r="BP86" i="82"/>
  <c r="BR86" i="82" s="1"/>
  <c r="BE17" i="82"/>
  <c r="BE39" i="82"/>
  <c r="BE62" i="82"/>
  <c r="BG62" i="82" s="1"/>
  <c r="BE148" i="82"/>
  <c r="BE185" i="82"/>
  <c r="DX289" i="82"/>
  <c r="BI323" i="82"/>
  <c r="BJ323" i="82" s="1"/>
  <c r="BK323" i="82" s="1"/>
  <c r="BI324" i="82"/>
  <c r="BJ324" i="82" s="1"/>
  <c r="K311" i="82"/>
  <c r="BI311" i="82"/>
  <c r="BJ311" i="82"/>
  <c r="BK311" i="82" s="1"/>
  <c r="BL311" i="82" s="1"/>
  <c r="K207" i="82"/>
  <c r="BI207" i="82"/>
  <c r="BJ207" i="82" s="1"/>
  <c r="BK207" i="82" s="1"/>
  <c r="K234" i="82"/>
  <c r="BI234" i="82"/>
  <c r="BJ234" i="82" s="1"/>
  <c r="K250" i="82"/>
  <c r="BI250" i="82"/>
  <c r="BJ250" i="82" s="1"/>
  <c r="BK250" i="82" s="1"/>
  <c r="BI262" i="82"/>
  <c r="BJ262" i="82" s="1"/>
  <c r="K286" i="82"/>
  <c r="BK286" i="82"/>
  <c r="BL286" i="82" s="1"/>
  <c r="K290" i="82"/>
  <c r="BK290" i="82"/>
  <c r="BL290" i="82" s="1"/>
  <c r="BO290" i="82" s="1"/>
  <c r="BI215" i="82"/>
  <c r="BJ215" i="82" s="1"/>
  <c r="H88" i="82"/>
  <c r="BI81" i="82"/>
  <c r="BJ81" i="82" s="1"/>
  <c r="BI243" i="82"/>
  <c r="BJ243" i="82" s="1"/>
  <c r="T169" i="82"/>
  <c r="U169" i="82" s="1"/>
  <c r="H89" i="82"/>
  <c r="BE48" i="82"/>
  <c r="BE11" i="82"/>
  <c r="BE44" i="82"/>
  <c r="BI82" i="82"/>
  <c r="BJ82" i="82" s="1"/>
  <c r="W178" i="82"/>
  <c r="X178" i="82" s="1"/>
  <c r="Z178" i="82" s="1"/>
  <c r="T179" i="82"/>
  <c r="U179" i="82" s="1"/>
  <c r="BO87" i="82"/>
  <c r="BP87" i="82" s="1"/>
  <c r="BR87" i="82" s="1"/>
  <c r="BS87" i="82" s="1"/>
  <c r="BT87" i="82" s="1"/>
  <c r="BE165" i="82"/>
  <c r="BE195" i="82"/>
  <c r="BE198" i="82"/>
  <c r="K261" i="82"/>
  <c r="BI261" i="82"/>
  <c r="BJ261" i="82" s="1"/>
  <c r="BK261" i="82" s="1"/>
  <c r="BI230" i="82"/>
  <c r="BJ230" i="82" s="1"/>
  <c r="AJ165" i="82"/>
  <c r="AL165" i="82" s="1"/>
  <c r="K219" i="82"/>
  <c r="K277" i="82"/>
  <c r="BI211" i="82"/>
  <c r="BJ211" i="82" s="1"/>
  <c r="K273" i="82"/>
  <c r="K75" i="82"/>
  <c r="AE122" i="82"/>
  <c r="AF122" i="82" s="1"/>
  <c r="AK114" i="82"/>
  <c r="AP114" i="82"/>
  <c r="K216" i="82"/>
  <c r="K276" i="82"/>
  <c r="K317" i="82"/>
  <c r="BI321" i="82"/>
  <c r="BJ321" i="82" s="1"/>
  <c r="BK321" i="82" s="1"/>
  <c r="BL321" i="82" s="1"/>
  <c r="BI259" i="82"/>
  <c r="BJ259" i="82" s="1"/>
  <c r="BK259" i="82" s="1"/>
  <c r="K259" i="82"/>
  <c r="K203" i="82"/>
  <c r="K222" i="82"/>
  <c r="DV126" i="82"/>
  <c r="BE160" i="82"/>
  <c r="Q164" i="82"/>
  <c r="R164" i="82" s="1"/>
  <c r="T168" i="82"/>
  <c r="U168" i="82" s="1"/>
  <c r="AT190" i="82"/>
  <c r="AJ11" i="82"/>
  <c r="AL11" i="82" s="1"/>
  <c r="K212" i="82"/>
  <c r="BK283" i="82"/>
  <c r="BL283" i="82" s="1"/>
  <c r="K23" i="10"/>
  <c r="K20" i="10"/>
  <c r="G37" i="76"/>
  <c r="G330" i="82"/>
  <c r="F28" i="10"/>
  <c r="I28" i="10" s="1"/>
  <c r="AK294" i="82"/>
  <c r="J293" i="82"/>
  <c r="G38" i="76"/>
  <c r="BD301" i="82"/>
  <c r="BE179" i="82"/>
  <c r="AL190" i="82"/>
  <c r="AE67" i="82"/>
  <c r="AF67" i="82" s="1"/>
  <c r="W176" i="82"/>
  <c r="K244" i="82"/>
  <c r="BI248" i="82"/>
  <c r="BJ248" i="82" s="1"/>
  <c r="BK248" i="82" s="1"/>
  <c r="BI220" i="82"/>
  <c r="BJ220" i="82" s="1"/>
  <c r="BK220" i="82" s="1"/>
  <c r="BI240" i="82"/>
  <c r="BJ240" i="82" s="1"/>
  <c r="BK240" i="82" s="1"/>
  <c r="BL240" i="82" s="1"/>
  <c r="CG291" i="82"/>
  <c r="CH291" i="82" s="1"/>
  <c r="Z181" i="82"/>
  <c r="U166" i="82"/>
  <c r="BI252" i="82"/>
  <c r="BJ252" i="82" s="1"/>
  <c r="BK252" i="82" s="1"/>
  <c r="DX270" i="82"/>
  <c r="BE142" i="82"/>
  <c r="AB301" i="82"/>
  <c r="K205" i="82"/>
  <c r="BI205" i="82"/>
  <c r="BJ205" i="82" s="1"/>
  <c r="V301" i="82"/>
  <c r="K232" i="82"/>
  <c r="BI232" i="82"/>
  <c r="BJ232" i="82" s="1"/>
  <c r="BK232" i="82" s="1"/>
  <c r="BL232" i="82" s="1"/>
  <c r="BE175" i="82"/>
  <c r="BV99" i="82"/>
  <c r="BX99" i="82"/>
  <c r="BZ99" i="82" s="1"/>
  <c r="CB99" i="82" s="1"/>
  <c r="CD99" i="82" s="1"/>
  <c r="CF99" i="82" s="1"/>
  <c r="CH99" i="82" s="1"/>
  <c r="CJ99" i="82" s="1"/>
  <c r="CL99" i="82" s="1"/>
  <c r="Y158" i="82"/>
  <c r="K280" i="82"/>
  <c r="K313" i="82"/>
  <c r="BI313" i="82"/>
  <c r="BJ313" i="82" s="1"/>
  <c r="BK313" i="82" s="1"/>
  <c r="BI319" i="82"/>
  <c r="BJ319" i="82"/>
  <c r="BK319" i="82" s="1"/>
  <c r="BL319" i="82" s="1"/>
  <c r="BI314" i="82"/>
  <c r="BJ314" i="82" s="1"/>
  <c r="BK314" i="82" s="1"/>
  <c r="K238" i="82"/>
  <c r="BI238" i="82"/>
  <c r="BJ238" i="82"/>
  <c r="K242" i="82"/>
  <c r="BI242" i="82"/>
  <c r="BJ242" i="82" s="1"/>
  <c r="BK242" i="82" s="1"/>
  <c r="BL242" i="82" s="1"/>
  <c r="K254" i="82"/>
  <c r="BI254" i="82"/>
  <c r="BJ254" i="82"/>
  <c r="K266" i="82"/>
  <c r="K289" i="82"/>
  <c r="BK289" i="82"/>
  <c r="BL289" i="82" s="1"/>
  <c r="K316" i="82"/>
  <c r="BK316" i="82"/>
  <c r="BL316" i="82" s="1"/>
  <c r="BI318" i="82"/>
  <c r="BJ318" i="82" s="1"/>
  <c r="BK318" i="82" s="1"/>
  <c r="BI80" i="82"/>
  <c r="BJ80" i="82" s="1"/>
  <c r="BK80" i="82" s="1"/>
  <c r="K150" i="82"/>
  <c r="K158" i="82" s="1"/>
  <c r="J158" i="82"/>
  <c r="K204" i="82"/>
  <c r="BI204" i="82"/>
  <c r="BJ204" i="82" s="1"/>
  <c r="BK204" i="82" s="1"/>
  <c r="DW330" i="82"/>
  <c r="BE162" i="82"/>
  <c r="BI312" i="82"/>
  <c r="BJ312" i="82" s="1"/>
  <c r="BI315" i="82"/>
  <c r="BJ315" i="82" s="1"/>
  <c r="AK62" i="82"/>
  <c r="AL195" i="82"/>
  <c r="AK195" i="82"/>
  <c r="AX195" i="82" s="1"/>
  <c r="AY195" i="82" s="1"/>
  <c r="BA195" i="82" s="1"/>
  <c r="BB195" i="82" s="1"/>
  <c r="AL199" i="82"/>
  <c r="AK199" i="82"/>
  <c r="BA199" i="82" s="1"/>
  <c r="BB199" i="82"/>
  <c r="BG199" i="82" s="1"/>
  <c r="BH199" i="82" s="1"/>
  <c r="BE56" i="82"/>
  <c r="AC66" i="82"/>
  <c r="AD66" i="82" s="1"/>
  <c r="BI75" i="82"/>
  <c r="BJ75" i="82" s="1"/>
  <c r="W117" i="82"/>
  <c r="X117" i="82" s="1"/>
  <c r="BE141" i="82"/>
  <c r="BE143" i="82"/>
  <c r="V158" i="82"/>
  <c r="BI208" i="82"/>
  <c r="BJ208" i="82" s="1"/>
  <c r="BK208" i="82" s="1"/>
  <c r="BI212" i="82"/>
  <c r="BJ212" i="82" s="1"/>
  <c r="BI228" i="82"/>
  <c r="BJ228" i="82" s="1"/>
  <c r="BK228" i="82" s="1"/>
  <c r="BI231" i="82"/>
  <c r="BJ231" i="82" s="1"/>
  <c r="BI258" i="82"/>
  <c r="BJ258" i="82" s="1"/>
  <c r="BK258" i="82" s="1"/>
  <c r="BL258" i="82" s="1"/>
  <c r="BT295" i="82"/>
  <c r="BU295" i="82" s="1"/>
  <c r="BV295" i="82" s="1"/>
  <c r="BK277" i="82"/>
  <c r="BL277" i="82" s="1"/>
  <c r="T10" i="82"/>
  <c r="U10" i="82" s="1"/>
  <c r="BE52" i="82"/>
  <c r="BE164" i="82"/>
  <c r="BE173" i="82"/>
  <c r="BE180" i="82"/>
  <c r="W98" i="82"/>
  <c r="X98" i="82" s="1"/>
  <c r="Z98" i="82" s="1"/>
  <c r="AA98" i="82" s="1"/>
  <c r="AC98" i="82" s="1"/>
  <c r="AE98" i="82" s="1"/>
  <c r="AF98" i="82" s="1"/>
  <c r="L304" i="82"/>
  <c r="AL99" i="82"/>
  <c r="BI57" i="82"/>
  <c r="BJ57" i="82" s="1"/>
  <c r="K57" i="82"/>
  <c r="BH72" i="82"/>
  <c r="BI72" i="82" s="1"/>
  <c r="L72" i="82"/>
  <c r="BL78" i="82"/>
  <c r="K260" i="82"/>
  <c r="K274" i="82"/>
  <c r="BK274" i="82"/>
  <c r="BL274" i="82" s="1"/>
  <c r="AL143" i="82"/>
  <c r="AJ164" i="82"/>
  <c r="AL164" i="82" s="1"/>
  <c r="T167" i="82"/>
  <c r="S301" i="82"/>
  <c r="DW174" i="82"/>
  <c r="Q174" i="82"/>
  <c r="R174" i="82"/>
  <c r="AE186" i="82"/>
  <c r="AF186" i="82" s="1"/>
  <c r="AN186" i="82" s="1"/>
  <c r="BE18" i="82"/>
  <c r="BI263" i="82"/>
  <c r="BJ263" i="82" s="1"/>
  <c r="N95" i="82"/>
  <c r="O61" i="82"/>
  <c r="BI236" i="82"/>
  <c r="BJ236" i="82"/>
  <c r="BK236" i="82" s="1"/>
  <c r="BL236" i="82" s="1"/>
  <c r="BF330" i="82"/>
  <c r="DW147" i="82"/>
  <c r="BI149" i="82"/>
  <c r="BJ149" i="82" s="1"/>
  <c r="BK149" i="82"/>
  <c r="BE34" i="82"/>
  <c r="BE64" i="82"/>
  <c r="BG64" i="82" s="1"/>
  <c r="BE171" i="82"/>
  <c r="BE174" i="82"/>
  <c r="BI219" i="82"/>
  <c r="BJ219" i="82" s="1"/>
  <c r="BS130" i="82"/>
  <c r="BT130" i="82" s="1"/>
  <c r="BE31" i="82"/>
  <c r="DW121" i="82"/>
  <c r="DW134" i="82" s="1"/>
  <c r="T170" i="82"/>
  <c r="U170" i="82" s="1"/>
  <c r="BI210" i="82"/>
  <c r="BJ210" i="82" s="1"/>
  <c r="BS156" i="82"/>
  <c r="BT156" i="82" s="1"/>
  <c r="BU156" i="82" s="1"/>
  <c r="BU299" i="82"/>
  <c r="BV299" i="82" s="1"/>
  <c r="BE38" i="82"/>
  <c r="BE47" i="82"/>
  <c r="BE49" i="82"/>
  <c r="BE189" i="82"/>
  <c r="F33" i="10"/>
  <c r="I32" i="10"/>
  <c r="H32" i="10"/>
  <c r="H33" i="10" s="1"/>
  <c r="H90" i="82"/>
  <c r="G28" i="76"/>
  <c r="AK328" i="82"/>
  <c r="J294" i="82"/>
  <c r="H294" i="82"/>
  <c r="J93" i="82"/>
  <c r="BS93" i="82" s="1"/>
  <c r="D401" i="71"/>
  <c r="AJ36" i="82"/>
  <c r="AL36" i="82" s="1"/>
  <c r="AL66" i="82"/>
  <c r="K217" i="82"/>
  <c r="BI217" i="82"/>
  <c r="BJ217" i="82" s="1"/>
  <c r="BK229" i="82"/>
  <c r="K13" i="10"/>
  <c r="K14" i="10" s="1"/>
  <c r="BL216" i="82"/>
  <c r="BO216" i="82"/>
  <c r="BK249" i="82"/>
  <c r="BL249" i="82" s="1"/>
  <c r="BN249" i="82" s="1"/>
  <c r="BO279" i="82"/>
  <c r="BP279" i="82" s="1"/>
  <c r="BL225" i="82"/>
  <c r="BO225" i="82" s="1"/>
  <c r="U12" i="82"/>
  <c r="U15" i="82"/>
  <c r="BN270" i="82"/>
  <c r="BK233" i="82"/>
  <c r="BL233" i="82" s="1"/>
  <c r="BO233" i="82" s="1"/>
  <c r="BP233" i="82" s="1"/>
  <c r="K58" i="82"/>
  <c r="K59" i="82" s="1"/>
  <c r="J59" i="82"/>
  <c r="BI58" i="82"/>
  <c r="BJ58" i="82" s="1"/>
  <c r="BK58" i="82" s="1"/>
  <c r="V59" i="82"/>
  <c r="O104" i="82"/>
  <c r="Q104" i="82" s="1"/>
  <c r="BT119" i="82"/>
  <c r="DW119" i="82"/>
  <c r="E134" i="82"/>
  <c r="AC119" i="82"/>
  <c r="AP106" i="82"/>
  <c r="BE37" i="82"/>
  <c r="K224" i="82"/>
  <c r="S158" i="82"/>
  <c r="BI223" i="82"/>
  <c r="BJ223" i="82" s="1"/>
  <c r="BK223" i="82" s="1"/>
  <c r="BL223" i="82" s="1"/>
  <c r="BE104" i="82"/>
  <c r="BI322" i="82"/>
  <c r="BJ322" i="82"/>
  <c r="BK322" i="82" s="1"/>
  <c r="BK238" i="82"/>
  <c r="BL238" i="82" s="1"/>
  <c r="BN272" i="82"/>
  <c r="X115" i="82"/>
  <c r="BN216" i="82"/>
  <c r="BI200" i="82"/>
  <c r="BL248" i="82"/>
  <c r="BN248" i="82" s="1"/>
  <c r="BS86" i="82"/>
  <c r="BJ307" i="82"/>
  <c r="W168" i="82"/>
  <c r="BK124" i="82"/>
  <c r="BL124" i="82" s="1"/>
  <c r="BO124" i="82" s="1"/>
  <c r="BK237" i="82"/>
  <c r="AO194" i="82"/>
  <c r="BN271" i="82"/>
  <c r="BJ201" i="82"/>
  <c r="DX266" i="82"/>
  <c r="BU131" i="82"/>
  <c r="BV131" i="82" s="1"/>
  <c r="BC158" i="82"/>
  <c r="BI218" i="82"/>
  <c r="BJ218" i="82" s="1"/>
  <c r="BI256" i="82"/>
  <c r="BJ256" i="82" s="1"/>
  <c r="AB158" i="82"/>
  <c r="BE178" i="82"/>
  <c r="BK127" i="82"/>
  <c r="BL127" i="82" s="1"/>
  <c r="BO127" i="82" s="1"/>
  <c r="DX326" i="82"/>
  <c r="BN124" i="82"/>
  <c r="BO271" i="82"/>
  <c r="BP271" i="82" s="1"/>
  <c r="D390" i="71"/>
  <c r="D163" i="71"/>
  <c r="E51" i="3"/>
  <c r="D191" i="71"/>
  <c r="D150" i="71"/>
  <c r="D477" i="71"/>
  <c r="D99" i="71"/>
  <c r="D568" i="71"/>
  <c r="D585" i="71"/>
  <c r="D587" i="71"/>
  <c r="D589" i="71"/>
  <c r="D594" i="71"/>
  <c r="D603" i="71"/>
  <c r="D616" i="71"/>
  <c r="D308" i="71"/>
  <c r="D310" i="71"/>
  <c r="D311" i="71"/>
  <c r="D254" i="71"/>
  <c r="D125" i="71"/>
  <c r="D140" i="71"/>
  <c r="D158" i="71"/>
  <c r="D166" i="71"/>
  <c r="D415" i="71"/>
  <c r="D92" i="71"/>
  <c r="D299" i="71"/>
  <c r="D505" i="71"/>
  <c r="E235" i="3"/>
  <c r="D92" i="65" s="1"/>
  <c r="D355" i="71"/>
  <c r="D255" i="71"/>
  <c r="D181" i="71"/>
  <c r="D312" i="71"/>
  <c r="D133" i="71"/>
  <c r="D142" i="71"/>
  <c r="D418" i="71"/>
  <c r="D41" i="71"/>
  <c r="D48" i="71"/>
  <c r="D395" i="71"/>
  <c r="D224" i="71"/>
  <c r="D425" i="71"/>
  <c r="D270" i="71"/>
  <c r="D325" i="71"/>
  <c r="D489" i="71"/>
  <c r="D245" i="71"/>
  <c r="D271" i="71"/>
  <c r="D284" i="71"/>
  <c r="D302" i="71"/>
  <c r="D306" i="71"/>
  <c r="D320" i="71"/>
  <c r="D337" i="71"/>
  <c r="D341" i="71"/>
  <c r="D367" i="71"/>
  <c r="D384" i="71"/>
  <c r="D386" i="71"/>
  <c r="D433" i="71"/>
  <c r="D441" i="71"/>
  <c r="D481" i="71"/>
  <c r="D487" i="71"/>
  <c r="D510" i="71"/>
  <c r="C58" i="7" s="1"/>
  <c r="D513" i="71"/>
  <c r="D516" i="71"/>
  <c r="C61" i="7"/>
  <c r="D525" i="71"/>
  <c r="C70" i="7" s="1"/>
  <c r="D533" i="71"/>
  <c r="D531" i="71"/>
  <c r="D538" i="71"/>
  <c r="D553" i="71"/>
  <c r="D556" i="71"/>
  <c r="D559" i="71"/>
  <c r="D569" i="71"/>
  <c r="D572" i="71"/>
  <c r="C88" i="7"/>
  <c r="D157" i="71"/>
  <c r="D379" i="71"/>
  <c r="D225" i="71"/>
  <c r="D91" i="71"/>
  <c r="D565" i="71"/>
  <c r="D34" i="71"/>
  <c r="D82" i="71"/>
  <c r="D50" i="71"/>
  <c r="D67" i="71"/>
  <c r="D70" i="71"/>
  <c r="D79" i="71"/>
  <c r="D81" i="71"/>
  <c r="D85" i="71"/>
  <c r="D87" i="71"/>
  <c r="D100" i="71"/>
  <c r="D51" i="71"/>
  <c r="D54" i="71"/>
  <c r="D46" i="71"/>
  <c r="D97" i="71"/>
  <c r="D154" i="71"/>
  <c r="D134" i="71"/>
  <c r="D155" i="71"/>
  <c r="D45" i="71"/>
  <c r="D47" i="71"/>
  <c r="D49" i="71"/>
  <c r="D60" i="71"/>
  <c r="D71" i="71"/>
  <c r="D77" i="71"/>
  <c r="D93" i="71"/>
  <c r="D96" i="71"/>
  <c r="D55" i="71"/>
  <c r="D57" i="71"/>
  <c r="D59" i="71"/>
  <c r="D61" i="71"/>
  <c r="D62" i="71"/>
  <c r="D75" i="71"/>
  <c r="D63" i="71"/>
  <c r="D73" i="71"/>
  <c r="D86" i="71"/>
  <c r="D101" i="71"/>
  <c r="D53" i="71"/>
  <c r="D65" i="71"/>
  <c r="D90" i="71"/>
  <c r="D56" i="71"/>
  <c r="D58" i="71"/>
  <c r="D69" i="71"/>
  <c r="D80" i="71"/>
  <c r="D89" i="71"/>
  <c r="D94" i="71"/>
  <c r="D19" i="71"/>
  <c r="E65" i="3" s="1"/>
  <c r="D592" i="71"/>
  <c r="D105" i="71"/>
  <c r="D141" i="71"/>
  <c r="D460" i="71"/>
  <c r="D110" i="71"/>
  <c r="D136" i="71"/>
  <c r="D318" i="71"/>
  <c r="D613" i="71"/>
  <c r="C96" i="7" s="1"/>
  <c r="D560" i="71"/>
  <c r="D466" i="71"/>
  <c r="D242" i="71"/>
  <c r="D435" i="71"/>
  <c r="D584" i="71"/>
  <c r="D417" i="71"/>
  <c r="D577" i="71"/>
  <c r="D598" i="71"/>
  <c r="D610" i="71"/>
  <c r="C94" i="7" s="1"/>
  <c r="D474" i="71"/>
  <c r="D590" i="71"/>
  <c r="D617" i="71"/>
  <c r="C100" i="7" s="1"/>
  <c r="I97" i="23"/>
  <c r="BK315" i="82"/>
  <c r="AE142" i="82"/>
  <c r="AF142" i="82" s="1"/>
  <c r="BK325" i="82"/>
  <c r="BL220" i="82"/>
  <c r="BN286" i="82"/>
  <c r="BK324" i="82"/>
  <c r="BL324" i="82" s="1"/>
  <c r="BN324" i="82" s="1"/>
  <c r="BP327" i="82"/>
  <c r="BS327" i="82" s="1"/>
  <c r="BN327" i="82"/>
  <c r="K281" i="82"/>
  <c r="BL204" i="82"/>
  <c r="U173" i="82"/>
  <c r="BL259" i="82"/>
  <c r="O59" i="82"/>
  <c r="BE25" i="82"/>
  <c r="W180" i="82"/>
  <c r="X180" i="82" s="1"/>
  <c r="BI308" i="82"/>
  <c r="BJ308" i="82" s="1"/>
  <c r="K308" i="82"/>
  <c r="BT121" i="82"/>
  <c r="BK128" i="82"/>
  <c r="BL128" i="82" s="1"/>
  <c r="BO128" i="82" s="1"/>
  <c r="AC184" i="82"/>
  <c r="AE184" i="82" s="1"/>
  <c r="AF184" i="82" s="1"/>
  <c r="AK184" i="82" s="1"/>
  <c r="T17" i="82"/>
  <c r="U17" i="82" s="1"/>
  <c r="BE46" i="82"/>
  <c r="BI222" i="82"/>
  <c r="BJ222" i="82" s="1"/>
  <c r="BI310" i="82"/>
  <c r="BJ310" i="82" s="1"/>
  <c r="BK310" i="82" s="1"/>
  <c r="BL310" i="82" s="1"/>
  <c r="BN310" i="82" s="1"/>
  <c r="D591" i="71"/>
  <c r="BN316" i="82"/>
  <c r="BR327" i="82"/>
  <c r="D521" i="71"/>
  <c r="D536" i="71"/>
  <c r="D151" i="71"/>
  <c r="D103" i="71"/>
  <c r="D135" i="71"/>
  <c r="D52" i="71"/>
  <c r="D66" i="71"/>
  <c r="D68" i="71"/>
  <c r="D83" i="71"/>
  <c r="D95" i="71"/>
  <c r="D145" i="71"/>
  <c r="D202" i="71"/>
  <c r="D238" i="71"/>
  <c r="D268" i="71"/>
  <c r="D343" i="71"/>
  <c r="D346" i="71"/>
  <c r="D369" i="71"/>
  <c r="D377" i="71"/>
  <c r="D479" i="71"/>
  <c r="D483" i="71"/>
  <c r="D485" i="71"/>
  <c r="E252" i="3"/>
  <c r="D375" i="71"/>
  <c r="D109" i="71"/>
  <c r="D132" i="71"/>
  <c r="D422" i="71"/>
  <c r="D161" i="71"/>
  <c r="D182" i="71"/>
  <c r="D236" i="71"/>
  <c r="D272" i="71"/>
  <c r="D291" i="71"/>
  <c r="D339" i="71"/>
  <c r="D567" i="71"/>
  <c r="D575" i="71"/>
  <c r="D582" i="71"/>
  <c r="D595" i="71"/>
  <c r="D602" i="71"/>
  <c r="D180" i="71"/>
  <c r="D534" i="71"/>
  <c r="D241" i="71"/>
  <c r="D450" i="71"/>
  <c r="D130" i="71"/>
  <c r="D160" i="71"/>
  <c r="D44" i="71"/>
  <c r="D64" i="71"/>
  <c r="D364" i="71"/>
  <c r="D383" i="71"/>
  <c r="D448" i="71"/>
  <c r="D456" i="71"/>
  <c r="D458" i="71"/>
  <c r="D72" i="71"/>
  <c r="D74" i="71"/>
  <c r="D76" i="71"/>
  <c r="D78" i="71"/>
  <c r="D84" i="71"/>
  <c r="D88" i="71"/>
  <c r="D98" i="71"/>
  <c r="B260" i="71"/>
  <c r="E195" i="3" s="1"/>
  <c r="K25" i="10"/>
  <c r="BN128" i="82"/>
  <c r="BK203" i="82"/>
  <c r="BK307" i="82"/>
  <c r="W170" i="82"/>
  <c r="X170" i="82" s="1"/>
  <c r="Z170" i="82" s="1"/>
  <c r="BO278" i="82"/>
  <c r="BP278" i="82" s="1"/>
  <c r="BN278" i="82"/>
  <c r="BK246" i="82"/>
  <c r="BL246" i="82" s="1"/>
  <c r="BO246" i="82" s="1"/>
  <c r="BP246" i="82" s="1"/>
  <c r="BN326" i="82"/>
  <c r="W172" i="82"/>
  <c r="X172" i="82" s="1"/>
  <c r="Z172" i="82" s="1"/>
  <c r="BD59" i="82"/>
  <c r="BE13" i="82"/>
  <c r="R18" i="82"/>
  <c r="BE27" i="82"/>
  <c r="BC59" i="82"/>
  <c r="BN276" i="82"/>
  <c r="W179" i="82"/>
  <c r="BO272" i="82"/>
  <c r="BP272" i="82" s="1"/>
  <c r="BS272" i="82" s="1"/>
  <c r="BT272" i="82" s="1"/>
  <c r="BL207" i="82"/>
  <c r="BN274" i="82"/>
  <c r="BO274" i="82"/>
  <c r="BP274" i="82" s="1"/>
  <c r="BL228" i="82"/>
  <c r="BO228" i="82" s="1"/>
  <c r="BL252" i="82"/>
  <c r="BO252" i="82" s="1"/>
  <c r="BP252" i="82" s="1"/>
  <c r="T164" i="82"/>
  <c r="U164" i="82" s="1"/>
  <c r="W164" i="82" s="1"/>
  <c r="X164" i="82" s="1"/>
  <c r="BK226" i="82"/>
  <c r="BK257" i="82"/>
  <c r="BL257" i="82" s="1"/>
  <c r="BO257" i="82" s="1"/>
  <c r="BP257" i="82" s="1"/>
  <c r="BN266" i="82"/>
  <c r="BO266" i="82"/>
  <c r="BP266" i="82" s="1"/>
  <c r="BN288" i="82"/>
  <c r="BK151" i="82"/>
  <c r="DW158" i="82"/>
  <c r="AA181" i="82"/>
  <c r="AD181" i="82" s="1"/>
  <c r="AG181" i="82" s="1"/>
  <c r="X109" i="82"/>
  <c r="T161" i="82"/>
  <c r="U161" i="82"/>
  <c r="W161" i="82" s="1"/>
  <c r="AJ9" i="82"/>
  <c r="AL9" i="82" s="1"/>
  <c r="AH59" i="82"/>
  <c r="T13" i="82"/>
  <c r="S59" i="82"/>
  <c r="DX83" i="82"/>
  <c r="AB59" i="82"/>
  <c r="DW138" i="82"/>
  <c r="T163" i="82"/>
  <c r="U163" i="82" s="1"/>
  <c r="W163" i="82" s="1"/>
  <c r="AW301" i="82"/>
  <c r="BG330" i="82"/>
  <c r="O97" i="82"/>
  <c r="O134" i="82" s="1"/>
  <c r="N134" i="82"/>
  <c r="AM301" i="82"/>
  <c r="AL186" i="82"/>
  <c r="AK186" i="82"/>
  <c r="AO186" i="82" s="1"/>
  <c r="AL188" i="82"/>
  <c r="E336" i="82"/>
  <c r="AZ301" i="82"/>
  <c r="K206" i="82"/>
  <c r="D39" i="10"/>
  <c r="BE191" i="82"/>
  <c r="BE194" i="82"/>
  <c r="AC121" i="82"/>
  <c r="BE197" i="82"/>
  <c r="BI309" i="82"/>
  <c r="BJ309" i="82" s="1"/>
  <c r="D131" i="71"/>
  <c r="BR326" i="82"/>
  <c r="BS326" i="82"/>
  <c r="U13" i="82"/>
  <c r="AC181" i="82"/>
  <c r="AE181" i="82" s="1"/>
  <c r="AF181" i="82" s="1"/>
  <c r="AN181" i="82" s="1"/>
  <c r="BP228" i="82"/>
  <c r="BR228" i="82" s="1"/>
  <c r="BN228" i="82"/>
  <c r="T18" i="82"/>
  <c r="BN233" i="82"/>
  <c r="BN252" i="82"/>
  <c r="BO207" i="82"/>
  <c r="BP207" i="82" s="1"/>
  <c r="BR207" i="82" s="1"/>
  <c r="BN207" i="82"/>
  <c r="AD121" i="82"/>
  <c r="AE121" i="82"/>
  <c r="AF121" i="82" s="1"/>
  <c r="BL307" i="82"/>
  <c r="BO307" i="82" s="1"/>
  <c r="BP307" i="82" s="1"/>
  <c r="AK121" i="82"/>
  <c r="AK181" i="82"/>
  <c r="AO181" i="82" s="1"/>
  <c r="BS228" i="82"/>
  <c r="BN307" i="82"/>
  <c r="D467" i="71"/>
  <c r="D468" i="71"/>
  <c r="E94" i="3"/>
  <c r="D360" i="71"/>
  <c r="D274" i="71"/>
  <c r="D281" i="71"/>
  <c r="D283" i="71"/>
  <c r="D285" i="71"/>
  <c r="D287" i="71"/>
  <c r="D289" i="71"/>
  <c r="D297" i="71"/>
  <c r="D8" i="71"/>
  <c r="D104" i="71"/>
  <c r="D112" i="71"/>
  <c r="D227" i="71"/>
  <c r="D229" i="71"/>
  <c r="D233" i="71"/>
  <c r="D298" i="71"/>
  <c r="D313" i="71"/>
  <c r="D317" i="71"/>
  <c r="D359" i="71"/>
  <c r="D368" i="71"/>
  <c r="D370" i="71"/>
  <c r="D372" i="71"/>
  <c r="E249" i="3" s="1"/>
  <c r="D374" i="71"/>
  <c r="E251" i="3" s="1"/>
  <c r="D378" i="71"/>
  <c r="D385" i="71"/>
  <c r="D388" i="71"/>
  <c r="D434" i="71"/>
  <c r="D437" i="71"/>
  <c r="D440" i="71"/>
  <c r="D443" i="71"/>
  <c r="D504" i="71"/>
  <c r="D605" i="71"/>
  <c r="D619" i="71"/>
  <c r="D402" i="71"/>
  <c r="D309" i="71"/>
  <c r="D593" i="71"/>
  <c r="D117" i="71"/>
  <c r="D176" i="71"/>
  <c r="D18" i="71"/>
  <c r="D30" i="71"/>
  <c r="F30" i="71" s="1"/>
  <c r="D113" i="71"/>
  <c r="D121" i="71"/>
  <c r="D122" i="71"/>
  <c r="D411" i="71"/>
  <c r="D412" i="71"/>
  <c r="D146" i="71"/>
  <c r="D152" i="71"/>
  <c r="D149" i="71"/>
  <c r="D159" i="71"/>
  <c r="D424" i="71"/>
  <c r="D189" i="71"/>
  <c r="D192" i="71"/>
  <c r="D195" i="71"/>
  <c r="E153" i="3" s="1"/>
  <c r="D197" i="71"/>
  <c r="D199" i="71"/>
  <c r="D213" i="71"/>
  <c r="D472" i="71"/>
  <c r="D447" i="71"/>
  <c r="C21" i="7"/>
  <c r="D61" i="65" s="1"/>
  <c r="D40" i="71"/>
  <c r="D414" i="71"/>
  <c r="D156" i="71"/>
  <c r="D235" i="71"/>
  <c r="D276" i="71"/>
  <c r="D292" i="71"/>
  <c r="D432" i="71"/>
  <c r="C10" i="7" s="1"/>
  <c r="D508" i="71"/>
  <c r="C59" i="7" s="1"/>
  <c r="D260" i="71"/>
  <c r="C90" i="7"/>
  <c r="E254" i="3"/>
  <c r="C87" i="7"/>
  <c r="D563" i="71"/>
  <c r="E185" i="3"/>
  <c r="D10" i="71"/>
  <c r="D399" i="71"/>
  <c r="E257" i="3"/>
  <c r="D413" i="71"/>
  <c r="D137" i="71"/>
  <c r="D183" i="71"/>
  <c r="D381" i="71"/>
  <c r="D231" i="71"/>
  <c r="D240" i="71"/>
  <c r="D315" i="71"/>
  <c r="D328" i="71"/>
  <c r="D345" i="71"/>
  <c r="D261" i="71"/>
  <c r="D490" i="71"/>
  <c r="D506" i="71"/>
  <c r="D539" i="71"/>
  <c r="F5" i="71"/>
  <c r="D33" i="71"/>
  <c r="F33" i="71" s="1"/>
  <c r="C622" i="71"/>
  <c r="C624" i="71" s="1"/>
  <c r="D144" i="71"/>
  <c r="D226" i="71"/>
  <c r="D406" i="71"/>
  <c r="D428" i="71"/>
  <c r="E163" i="3"/>
  <c r="BO236" i="82" l="1"/>
  <c r="BN236" i="82"/>
  <c r="AS186" i="82"/>
  <c r="AQ186" i="82"/>
  <c r="AX186" i="82" s="1"/>
  <c r="AY186" i="82" s="1"/>
  <c r="BO319" i="82"/>
  <c r="BN319" i="82"/>
  <c r="BK205" i="82"/>
  <c r="BL205" i="82" s="1"/>
  <c r="BS233" i="82"/>
  <c r="BR233" i="82"/>
  <c r="BO311" i="82"/>
  <c r="BP311" i="82" s="1"/>
  <c r="BN311" i="82"/>
  <c r="AG67" i="82"/>
  <c r="X176" i="82"/>
  <c r="AD187" i="82"/>
  <c r="AG187" i="82" s="1"/>
  <c r="AE187" i="82"/>
  <c r="AF187" i="82" s="1"/>
  <c r="AN187" i="82" s="1"/>
  <c r="AT187" i="82" s="1"/>
  <c r="K85" i="82"/>
  <c r="BO85" i="82"/>
  <c r="BP85" i="82" s="1"/>
  <c r="BR85" i="82" s="1"/>
  <c r="A51" i="4"/>
  <c r="A109" i="65"/>
  <c r="BK101" i="82"/>
  <c r="BL101" i="82"/>
  <c r="BO244" i="82"/>
  <c r="BP244" i="82" s="1"/>
  <c r="BN257" i="82"/>
  <c r="BN277" i="82"/>
  <c r="BO277" i="82"/>
  <c r="BL253" i="82"/>
  <c r="AM59" i="82"/>
  <c r="AS181" i="82"/>
  <c r="Q140" i="82"/>
  <c r="Q158" i="82" s="1"/>
  <c r="O158" i="82"/>
  <c r="BS207" i="82"/>
  <c r="BT207" i="82" s="1"/>
  <c r="X163" i="82"/>
  <c r="BL323" i="82"/>
  <c r="BN323" i="82" s="1"/>
  <c r="BL149" i="82"/>
  <c r="BK75" i="82"/>
  <c r="BL75" i="82"/>
  <c r="W166" i="82"/>
  <c r="X166" i="82" s="1"/>
  <c r="Z166" i="82" s="1"/>
  <c r="BO102" i="82"/>
  <c r="BN102" i="82"/>
  <c r="E100" i="3"/>
  <c r="F10" i="71"/>
  <c r="C57" i="7"/>
  <c r="E186" i="3"/>
  <c r="AO121" i="82"/>
  <c r="Q97" i="82"/>
  <c r="BR272" i="82"/>
  <c r="C92" i="7"/>
  <c r="BN221" i="82"/>
  <c r="AE119" i="82"/>
  <c r="AF119" i="82" s="1"/>
  <c r="AN119" i="82" s="1"/>
  <c r="AD119" i="82"/>
  <c r="O95" i="82"/>
  <c r="Q61" i="82"/>
  <c r="R61" i="82" s="1"/>
  <c r="T61" i="82" s="1"/>
  <c r="U61" i="82" s="1"/>
  <c r="BN78" i="82"/>
  <c r="BO78" i="82"/>
  <c r="BP78" i="82" s="1"/>
  <c r="BN244" i="82"/>
  <c r="BJ200" i="82"/>
  <c r="BL237" i="82"/>
  <c r="BN237" i="82" s="1"/>
  <c r="BT326" i="82"/>
  <c r="BU326" i="82" s="1"/>
  <c r="BV326" i="82" s="1"/>
  <c r="T8" i="82"/>
  <c r="BK218" i="82"/>
  <c r="BL218" i="82" s="1"/>
  <c r="AL59" i="82"/>
  <c r="R140" i="82"/>
  <c r="R158" i="82" s="1"/>
  <c r="BL208" i="82"/>
  <c r="R104" i="82"/>
  <c r="BK211" i="82"/>
  <c r="BL211" i="82" s="1"/>
  <c r="N158" i="82"/>
  <c r="DX284" i="82"/>
  <c r="BK267" i="82"/>
  <c r="BL267" i="82" s="1"/>
  <c r="K267" i="82"/>
  <c r="E120" i="3"/>
  <c r="AK330" i="82"/>
  <c r="I33" i="10"/>
  <c r="K32" i="10"/>
  <c r="K33" i="10" s="1"/>
  <c r="P301" i="82"/>
  <c r="BI235" i="82"/>
  <c r="BJ235" i="82" s="1"/>
  <c r="BK235" i="82" s="1"/>
  <c r="BL235" i="82" s="1"/>
  <c r="T171" i="82"/>
  <c r="U171" i="82" s="1"/>
  <c r="N160" i="82"/>
  <c r="C14" i="87"/>
  <c r="C61" i="87"/>
  <c r="BI136" i="82"/>
  <c r="K136" i="82"/>
  <c r="K138" i="82" s="1"/>
  <c r="AC183" i="82"/>
  <c r="AE188" i="82"/>
  <c r="AF188" i="82" s="1"/>
  <c r="AD188" i="82"/>
  <c r="AO190" i="82"/>
  <c r="AK193" i="82"/>
  <c r="AL193" i="82"/>
  <c r="AX198" i="82"/>
  <c r="AY198" i="82" s="1"/>
  <c r="BL203" i="82"/>
  <c r="K320" i="82"/>
  <c r="BI320" i="82"/>
  <c r="BJ320" i="82" s="1"/>
  <c r="L69" i="82"/>
  <c r="BG69" i="82"/>
  <c r="BH69" i="82" s="1"/>
  <c r="BG70" i="82"/>
  <c r="BH70" i="82" s="1"/>
  <c r="L70" i="82"/>
  <c r="AJ160" i="82"/>
  <c r="AL160" i="82" s="1"/>
  <c r="AH301" i="82"/>
  <c r="BC301" i="82"/>
  <c r="BK280" i="82"/>
  <c r="BL280" i="82" s="1"/>
  <c r="D174" i="71"/>
  <c r="E145" i="3"/>
  <c r="AJ141" i="82"/>
  <c r="AH158" i="82"/>
  <c r="AA144" i="82"/>
  <c r="AK150" i="82"/>
  <c r="BI150" i="82" s="1"/>
  <c r="BJ150" i="82" s="1"/>
  <c r="BK150" i="82" s="1"/>
  <c r="BL150" i="82" s="1"/>
  <c r="E158" i="82"/>
  <c r="BF301" i="82"/>
  <c r="BI227" i="82"/>
  <c r="BJ227" i="82" s="1"/>
  <c r="BK227" i="82" s="1"/>
  <c r="BL227" i="82" s="1"/>
  <c r="BN227" i="82" s="1"/>
  <c r="K255" i="82"/>
  <c r="BI255" i="82"/>
  <c r="BJ255" i="82" s="1"/>
  <c r="Q114" i="82"/>
  <c r="R114" i="82" s="1"/>
  <c r="T114" i="82" s="1"/>
  <c r="U114" i="82" s="1"/>
  <c r="BK282" i="82"/>
  <c r="BL282" i="82" s="1"/>
  <c r="DX282" i="82"/>
  <c r="D14" i="71"/>
  <c r="D24" i="71"/>
  <c r="D38" i="71"/>
  <c r="D108" i="71"/>
  <c r="D111" i="71"/>
  <c r="D115" i="71"/>
  <c r="D187" i="71"/>
  <c r="D216" i="71"/>
  <c r="F216" i="71" s="1"/>
  <c r="D221" i="71"/>
  <c r="D230" i="71"/>
  <c r="D232" i="71"/>
  <c r="D239" i="71"/>
  <c r="D480" i="71"/>
  <c r="C33" i="7" s="1"/>
  <c r="D482" i="71"/>
  <c r="C34" i="7" s="1"/>
  <c r="D484" i="71"/>
  <c r="D486" i="71"/>
  <c r="K330" i="82"/>
  <c r="DX268" i="82"/>
  <c r="BK84" i="82"/>
  <c r="BL84" i="82" s="1"/>
  <c r="E82" i="65"/>
  <c r="E85" i="65" s="1"/>
  <c r="G96" i="65" s="1"/>
  <c r="T16" i="82"/>
  <c r="U16" i="82" s="1"/>
  <c r="BE43" i="82"/>
  <c r="BI224" i="82"/>
  <c r="BJ224" i="82" s="1"/>
  <c r="BK224" i="82" s="1"/>
  <c r="BL224" i="82" s="1"/>
  <c r="BO129" i="82"/>
  <c r="BP129" i="82" s="1"/>
  <c r="H97" i="23"/>
  <c r="D139" i="71"/>
  <c r="D327" i="71"/>
  <c r="D344" i="71"/>
  <c r="D410" i="71"/>
  <c r="BS90" i="82"/>
  <c r="BT90" i="82" s="1"/>
  <c r="D451" i="71"/>
  <c r="F452" i="71" s="1"/>
  <c r="G8" i="2" s="1"/>
  <c r="D495" i="71"/>
  <c r="E64" i="3"/>
  <c r="BE15" i="82"/>
  <c r="BE26" i="82"/>
  <c r="BE41" i="82"/>
  <c r="BE170" i="82"/>
  <c r="T175" i="82"/>
  <c r="U175" i="82" s="1"/>
  <c r="BE181" i="82"/>
  <c r="DX271" i="82"/>
  <c r="H82" i="23"/>
  <c r="D114" i="71"/>
  <c r="D118" i="71"/>
  <c r="D127" i="71"/>
  <c r="D138" i="71"/>
  <c r="D143" i="71"/>
  <c r="D416" i="71"/>
  <c r="D177" i="71"/>
  <c r="D186" i="71"/>
  <c r="D203" i="71"/>
  <c r="E154" i="3" s="1"/>
  <c r="D243" i="71"/>
  <c r="D234" i="71"/>
  <c r="D277" i="71"/>
  <c r="D293" i="71"/>
  <c r="D295" i="71"/>
  <c r="D301" i="71"/>
  <c r="D307" i="71"/>
  <c r="D338" i="71"/>
  <c r="D210" i="71"/>
  <c r="D211" i="71"/>
  <c r="D382" i="71"/>
  <c r="D389" i="71"/>
  <c r="D396" i="71"/>
  <c r="D409" i="71"/>
  <c r="D407" i="71"/>
  <c r="D438" i="71"/>
  <c r="C11" i="7" s="1"/>
  <c r="D473" i="71"/>
  <c r="C31" i="7" s="1"/>
  <c r="D530" i="71"/>
  <c r="D542" i="71"/>
  <c r="F542" i="71" s="1"/>
  <c r="C86" i="7"/>
  <c r="D566" i="71"/>
  <c r="D574" i="71"/>
  <c r="C89" i="7" s="1"/>
  <c r="D188" i="71"/>
  <c r="D496" i="71"/>
  <c r="F9" i="2"/>
  <c r="C29" i="3"/>
  <c r="D35" i="3" s="1"/>
  <c r="D26" i="3"/>
  <c r="D29" i="3" s="1"/>
  <c r="E14" i="3" s="1"/>
  <c r="H9" i="1"/>
  <c r="C62" i="87" s="1"/>
  <c r="B42" i="3"/>
  <c r="C40" i="3" s="1"/>
  <c r="B30" i="87"/>
  <c r="C7" i="87"/>
  <c r="L20" i="1"/>
  <c r="N20" i="1" s="1"/>
  <c r="C101" i="7"/>
  <c r="D103" i="7"/>
  <c r="F16" i="2" s="1"/>
  <c r="D27" i="65"/>
  <c r="C36" i="3"/>
  <c r="D91" i="65"/>
  <c r="D96" i="65" s="1"/>
  <c r="B622" i="71"/>
  <c r="B624" i="71" s="1"/>
  <c r="F116" i="3"/>
  <c r="F90" i="3"/>
  <c r="F74" i="3"/>
  <c r="F228" i="3"/>
  <c r="E70" i="3"/>
  <c r="G15" i="1" s="1"/>
  <c r="E199" i="3"/>
  <c r="G39" i="1" s="1"/>
  <c r="J39" i="1" s="1"/>
  <c r="C50" i="7"/>
  <c r="E12" i="2" s="1"/>
  <c r="F86" i="3"/>
  <c r="H16" i="1" s="1"/>
  <c r="D28" i="27" s="1"/>
  <c r="G15" i="4"/>
  <c r="BS91" i="82"/>
  <c r="BT91" i="82" s="1"/>
  <c r="BU91" i="82" s="1"/>
  <c r="E95" i="82"/>
  <c r="BS88" i="82"/>
  <c r="BT88" i="82" s="1"/>
  <c r="BU88" i="82" s="1"/>
  <c r="BV88" i="82" s="1"/>
  <c r="BU292" i="82"/>
  <c r="BV292" i="82" s="1"/>
  <c r="BU154" i="82"/>
  <c r="BV154" i="82" s="1"/>
  <c r="E301" i="82"/>
  <c r="E332" i="82" s="1"/>
  <c r="AK297" i="82"/>
  <c r="BS297" i="82" s="1"/>
  <c r="BT297" i="82" s="1"/>
  <c r="BU297" i="82" s="1"/>
  <c r="BV297" i="82" s="1"/>
  <c r="H28" i="76"/>
  <c r="F22" i="10" s="1"/>
  <c r="J22" i="10" s="1"/>
  <c r="J29" i="10" s="1"/>
  <c r="J39" i="10" s="1"/>
  <c r="AK89" i="82"/>
  <c r="J301" i="82"/>
  <c r="H292" i="82"/>
  <c r="H91" i="82"/>
  <c r="H28" i="10"/>
  <c r="K28" i="10" s="1"/>
  <c r="G301" i="82"/>
  <c r="BU155" i="82"/>
  <c r="BV155" i="82" s="1"/>
  <c r="H22" i="10"/>
  <c r="I17" i="10"/>
  <c r="I18" i="10" s="1"/>
  <c r="H301" i="82"/>
  <c r="BS293" i="82"/>
  <c r="BT293" i="82" s="1"/>
  <c r="BU293" i="82" s="1"/>
  <c r="BV293" i="82" s="1"/>
  <c r="J328" i="82"/>
  <c r="J330" i="82" s="1"/>
  <c r="H35" i="76"/>
  <c r="F24" i="10" s="1"/>
  <c r="H24" i="10" s="1"/>
  <c r="H40" i="76"/>
  <c r="H330" i="82"/>
  <c r="I26" i="10"/>
  <c r="K26" i="10" s="1"/>
  <c r="I22" i="10"/>
  <c r="BV156" i="82"/>
  <c r="H17" i="10"/>
  <c r="H18" i="10" s="1"/>
  <c r="G39" i="76"/>
  <c r="G40" i="76" s="1"/>
  <c r="G43" i="76" s="1"/>
  <c r="H18" i="76"/>
  <c r="F36" i="10" s="1"/>
  <c r="F37" i="10" s="1"/>
  <c r="E98" i="3"/>
  <c r="E193" i="3"/>
  <c r="E161" i="3"/>
  <c r="E143" i="3"/>
  <c r="E203" i="3"/>
  <c r="E228" i="3"/>
  <c r="E183" i="3"/>
  <c r="E242" i="3"/>
  <c r="E90" i="3"/>
  <c r="E263" i="3"/>
  <c r="E61" i="3"/>
  <c r="E74" i="3"/>
  <c r="E116" i="3"/>
  <c r="E171" i="3"/>
  <c r="E111" i="3"/>
  <c r="G20" i="1" s="1"/>
  <c r="J20" i="1" s="1"/>
  <c r="F161" i="3"/>
  <c r="F263" i="3"/>
  <c r="F171" i="3"/>
  <c r="F98" i="3"/>
  <c r="F203" i="3"/>
  <c r="F143" i="3"/>
  <c r="F242" i="3"/>
  <c r="F500" i="71"/>
  <c r="G12" i="2" s="1"/>
  <c r="F193" i="3"/>
  <c r="F183" i="3"/>
  <c r="F61" i="3"/>
  <c r="M36" i="4"/>
  <c r="F26" i="4"/>
  <c r="G36" i="4"/>
  <c r="G32" i="1" s="1"/>
  <c r="D52" i="65"/>
  <c r="C4" i="87"/>
  <c r="C25" i="87"/>
  <c r="B26" i="87" s="1"/>
  <c r="C3" i="87"/>
  <c r="D84" i="65"/>
  <c r="C8" i="87"/>
  <c r="J7" i="2"/>
  <c r="E174" i="3"/>
  <c r="E176" i="3" s="1"/>
  <c r="J6" i="2"/>
  <c r="F17" i="2"/>
  <c r="C34" i="87"/>
  <c r="C33" i="87" s="1"/>
  <c r="C29" i="87"/>
  <c r="C28" i="87" s="1"/>
  <c r="BO223" i="82"/>
  <c r="BP223" i="82" s="1"/>
  <c r="BN223" i="82"/>
  <c r="BO289" i="82"/>
  <c r="BP289" i="82" s="1"/>
  <c r="BN289" i="82"/>
  <c r="BR307" i="82"/>
  <c r="BS307" i="82"/>
  <c r="BT307" i="82" s="1"/>
  <c r="BK309" i="82"/>
  <c r="BL309" i="82" s="1"/>
  <c r="BR246" i="82"/>
  <c r="BS246" i="82"/>
  <c r="BT246" i="82" s="1"/>
  <c r="AA178" i="82"/>
  <c r="BS266" i="82"/>
  <c r="BR266" i="82"/>
  <c r="BT266" i="82"/>
  <c r="BU266" i="82" s="1"/>
  <c r="BU272" i="82"/>
  <c r="BV272" i="82" s="1"/>
  <c r="BU207" i="82"/>
  <c r="BV207" i="82" s="1"/>
  <c r="BW207" i="82" s="1"/>
  <c r="BX207" i="82" s="1"/>
  <c r="BK123" i="82"/>
  <c r="BL123" i="82" s="1"/>
  <c r="C72" i="7"/>
  <c r="BN253" i="82"/>
  <c r="BN269" i="82"/>
  <c r="BO269" i="82"/>
  <c r="BP269" i="82" s="1"/>
  <c r="BS269" i="82" s="1"/>
  <c r="BO286" i="82"/>
  <c r="BP286" i="82" s="1"/>
  <c r="DX272" i="82"/>
  <c r="C12" i="7"/>
  <c r="AP121" i="82"/>
  <c r="AP186" i="82"/>
  <c r="AR186" i="82" s="1"/>
  <c r="BN246" i="82"/>
  <c r="BP319" i="82"/>
  <c r="AS190" i="82"/>
  <c r="I36" i="10"/>
  <c r="BP288" i="82"/>
  <c r="U141" i="82"/>
  <c r="X141" i="82" s="1"/>
  <c r="AD184" i="82"/>
  <c r="AG184" i="82" s="1"/>
  <c r="BN259" i="82"/>
  <c r="BO259" i="82"/>
  <c r="BP259" i="82"/>
  <c r="BS259" i="82" s="1"/>
  <c r="BA148" i="82"/>
  <c r="BB148" i="82" s="1"/>
  <c r="BG148" i="82" s="1"/>
  <c r="BH148" i="82" s="1"/>
  <c r="BL322" i="82"/>
  <c r="BK260" i="82"/>
  <c r="BL260" i="82" s="1"/>
  <c r="BL58" i="82"/>
  <c r="BN101" i="82"/>
  <c r="BO101" i="82"/>
  <c r="BP101" i="82"/>
  <c r="BR101" i="82" s="1"/>
  <c r="Z117" i="82"/>
  <c r="AA117" i="82" s="1"/>
  <c r="AE66" i="82"/>
  <c r="AF66" i="82" s="1"/>
  <c r="BL314" i="82"/>
  <c r="H36" i="10"/>
  <c r="H37" i="10" s="1"/>
  <c r="BK82" i="82"/>
  <c r="BL82" i="82" s="1"/>
  <c r="W169" i="82"/>
  <c r="X169" i="82" s="1"/>
  <c r="Z169" i="82" s="1"/>
  <c r="BK202" i="82"/>
  <c r="BL202" i="82" s="1"/>
  <c r="BO284" i="82"/>
  <c r="BP284" i="82" s="1"/>
  <c r="BN284" i="82"/>
  <c r="BO126" i="82"/>
  <c r="BP126" i="82" s="1"/>
  <c r="BK219" i="82"/>
  <c r="BL219" i="82" s="1"/>
  <c r="BK263" i="82"/>
  <c r="BL263" i="82" s="1"/>
  <c r="T174" i="82"/>
  <c r="U174" i="82" s="1"/>
  <c r="W174" i="82" s="1"/>
  <c r="X174" i="82" s="1"/>
  <c r="BO240" i="82"/>
  <c r="BP240" i="82" s="1"/>
  <c r="BO321" i="82"/>
  <c r="BP321" i="82" s="1"/>
  <c r="BN321" i="82"/>
  <c r="BK241" i="82"/>
  <c r="BL241" i="82" s="1"/>
  <c r="F443" i="71"/>
  <c r="G7" i="2" s="1"/>
  <c r="E238" i="3"/>
  <c r="G41" i="1" s="1"/>
  <c r="B64" i="87" s="1"/>
  <c r="AJ59" i="82"/>
  <c r="BN240" i="82"/>
  <c r="BK215" i="82"/>
  <c r="BL215" i="82" s="1"/>
  <c r="DV102" i="82"/>
  <c r="DX102" i="82"/>
  <c r="D33" i="65"/>
  <c r="E255" i="3"/>
  <c r="F263" i="71"/>
  <c r="E119" i="3"/>
  <c r="AP181" i="82"/>
  <c r="AR181" i="82" s="1"/>
  <c r="AR121" i="82"/>
  <c r="AE65" i="82"/>
  <c r="AF65" i="82" s="1"/>
  <c r="AK65" i="82" s="1"/>
  <c r="BO249" i="82"/>
  <c r="BP249" i="82" s="1"/>
  <c r="BP277" i="82"/>
  <c r="BO324" i="82"/>
  <c r="BP324" i="82"/>
  <c r="AG66" i="82"/>
  <c r="BL318" i="82"/>
  <c r="X179" i="82"/>
  <c r="Z179" i="82" s="1"/>
  <c r="BO287" i="82"/>
  <c r="BP287" i="82" s="1"/>
  <c r="AD182" i="82"/>
  <c r="AE182" i="82"/>
  <c r="AF182" i="82" s="1"/>
  <c r="AK182" i="82" s="1"/>
  <c r="AO182" i="82" s="1"/>
  <c r="BL251" i="82"/>
  <c r="L301" i="82"/>
  <c r="BP102" i="82"/>
  <c r="BR102" i="82" s="1"/>
  <c r="BL250" i="82"/>
  <c r="BO250" i="82" s="1"/>
  <c r="C84" i="7"/>
  <c r="BS294" i="82"/>
  <c r="BT294" i="82" s="1"/>
  <c r="BU294" i="82" s="1"/>
  <c r="BL229" i="82"/>
  <c r="BO229" i="82" s="1"/>
  <c r="AG119" i="82"/>
  <c r="F255" i="71"/>
  <c r="BL125" i="82"/>
  <c r="AO191" i="82"/>
  <c r="AG186" i="82"/>
  <c r="DW301" i="82"/>
  <c r="F36" i="3"/>
  <c r="G39" i="10"/>
  <c r="BE10" i="82"/>
  <c r="T11" i="82"/>
  <c r="U11" i="82" s="1"/>
  <c r="BE19" i="82"/>
  <c r="BE20" i="82"/>
  <c r="BE40" i="82"/>
  <c r="BE53" i="82"/>
  <c r="W108" i="82"/>
  <c r="X108" i="82" s="1"/>
  <c r="Z108" i="82" s="1"/>
  <c r="BE184" i="82"/>
  <c r="AC185" i="82"/>
  <c r="DX288" i="82"/>
  <c r="D128" i="71"/>
  <c r="D282" i="71"/>
  <c r="BS89" i="82"/>
  <c r="BT89" i="82" s="1"/>
  <c r="AO147" i="82"/>
  <c r="BK281" i="82"/>
  <c r="BL281" i="82" s="1"/>
  <c r="BN281" i="82" s="1"/>
  <c r="BK273" i="82"/>
  <c r="BL273" i="82" s="1"/>
  <c r="BE29" i="82"/>
  <c r="BE50" i="82"/>
  <c r="AM158" i="82"/>
  <c r="D419" i="71"/>
  <c r="D208" i="71"/>
  <c r="D212" i="71"/>
  <c r="BE65" i="82"/>
  <c r="BG65" i="82" s="1"/>
  <c r="BD158" i="82"/>
  <c r="BE146" i="82"/>
  <c r="BI152" i="82"/>
  <c r="BJ152" i="82" s="1"/>
  <c r="BK152" i="82" s="1"/>
  <c r="BK153" i="82"/>
  <c r="BL153" i="82" s="1"/>
  <c r="DX283" i="82"/>
  <c r="DX285" i="82"/>
  <c r="D120" i="71"/>
  <c r="D129" i="71"/>
  <c r="D332" i="71"/>
  <c r="D532" i="71"/>
  <c r="D465" i="71"/>
  <c r="DW95" i="82"/>
  <c r="BI74" i="82"/>
  <c r="BJ74" i="82" s="1"/>
  <c r="BI77" i="82"/>
  <c r="BJ77" i="82" s="1"/>
  <c r="BE145" i="82"/>
  <c r="BE158" i="82" s="1"/>
  <c r="BI206" i="82"/>
  <c r="BJ206" i="82" s="1"/>
  <c r="BI214" i="82"/>
  <c r="BJ214" i="82" s="1"/>
  <c r="BK214" i="82" s="1"/>
  <c r="BL214" i="82" s="1"/>
  <c r="BI247" i="82"/>
  <c r="BJ247" i="82" s="1"/>
  <c r="D119" i="71"/>
  <c r="D123" i="71"/>
  <c r="D126" i="71"/>
  <c r="D147" i="71"/>
  <c r="D164" i="71"/>
  <c r="D171" i="71"/>
  <c r="E148" i="3" s="1"/>
  <c r="D250" i="71"/>
  <c r="D267" i="71"/>
  <c r="D286" i="71"/>
  <c r="D288" i="71"/>
  <c r="D209" i="71"/>
  <c r="D321" i="71"/>
  <c r="D329" i="71"/>
  <c r="D331" i="71"/>
  <c r="D333" i="71"/>
  <c r="D356" i="71"/>
  <c r="F360" i="71" s="1"/>
  <c r="D373" i="71"/>
  <c r="D457" i="71"/>
  <c r="D476" i="71"/>
  <c r="C32" i="7" s="1"/>
  <c r="D552" i="71"/>
  <c r="C82" i="7" s="1"/>
  <c r="D557" i="71"/>
  <c r="C83" i="7" s="1"/>
  <c r="D175" i="71"/>
  <c r="D27" i="71"/>
  <c r="F27" i="71" s="1"/>
  <c r="D405" i="71"/>
  <c r="E258" i="3" s="1"/>
  <c r="D179" i="71"/>
  <c r="F213" i="71" s="1"/>
  <c r="D279" i="71"/>
  <c r="D305" i="71"/>
  <c r="D394" i="71"/>
  <c r="E187" i="3" s="1"/>
  <c r="E189" i="3" s="1"/>
  <c r="G36" i="1" s="1"/>
  <c r="D512" i="71"/>
  <c r="C60" i="7" s="1"/>
  <c r="C63" i="7" s="1"/>
  <c r="D570" i="71"/>
  <c r="BS298" i="82"/>
  <c r="BT298" i="82" s="1"/>
  <c r="E164" i="3"/>
  <c r="E166" i="3" s="1"/>
  <c r="D42" i="3"/>
  <c r="E41" i="3" s="1"/>
  <c r="J17" i="1"/>
  <c r="E31" i="23"/>
  <c r="E34" i="23"/>
  <c r="F35" i="23" s="1"/>
  <c r="BB186" i="82"/>
  <c r="BA186" i="82"/>
  <c r="BW326" i="82"/>
  <c r="BX326" i="82" s="1"/>
  <c r="BR257" i="82"/>
  <c r="BS257" i="82"/>
  <c r="BT257" i="82" s="1"/>
  <c r="AT181" i="82"/>
  <c r="AU181" i="82" s="1"/>
  <c r="AQ181" i="82"/>
  <c r="Z109" i="82"/>
  <c r="AA109" i="82" s="1"/>
  <c r="R97" i="82"/>
  <c r="Q134" i="82"/>
  <c r="Z163" i="82"/>
  <c r="BR278" i="82"/>
  <c r="BS278" i="82"/>
  <c r="BT278" i="82" s="1"/>
  <c r="AG182" i="82"/>
  <c r="BN238" i="82"/>
  <c r="BO238" i="82"/>
  <c r="BP238" i="82" s="1"/>
  <c r="BO209" i="82"/>
  <c r="BN209" i="82"/>
  <c r="BP209" i="82"/>
  <c r="AK98" i="82"/>
  <c r="AO98" i="82" s="1"/>
  <c r="AN98" i="82"/>
  <c r="AT98" i="82" s="1"/>
  <c r="BV87" i="82"/>
  <c r="BU87" i="82"/>
  <c r="AN121" i="82"/>
  <c r="AS121" i="82" s="1"/>
  <c r="AQ121" i="82"/>
  <c r="BS252" i="82"/>
  <c r="BT252" i="82" s="1"/>
  <c r="BR252" i="82"/>
  <c r="BU296" i="82"/>
  <c r="BV296" i="82" s="1"/>
  <c r="BT85" i="82"/>
  <c r="BS85" i="82"/>
  <c r="AP194" i="82"/>
  <c r="AS194" i="82"/>
  <c r="AU194" i="82" s="1"/>
  <c r="AR194" i="82"/>
  <c r="T63" i="82"/>
  <c r="U63" i="82" s="1"/>
  <c r="BI69" i="82"/>
  <c r="BJ69" i="82" s="1"/>
  <c r="T107" i="82"/>
  <c r="U110" i="82"/>
  <c r="U116" i="82"/>
  <c r="X118" i="82"/>
  <c r="AE120" i="82"/>
  <c r="AF120" i="82" s="1"/>
  <c r="AD120" i="82"/>
  <c r="AL144" i="82"/>
  <c r="AE145" i="82"/>
  <c r="AF145" i="82" s="1"/>
  <c r="AK145" i="82" s="1"/>
  <c r="AD145" i="82"/>
  <c r="BN153" i="82"/>
  <c r="BO153" i="82"/>
  <c r="BP153" i="82" s="1"/>
  <c r="AL163" i="82"/>
  <c r="AJ301" i="82"/>
  <c r="AG121" i="82"/>
  <c r="X161" i="82"/>
  <c r="I37" i="10"/>
  <c r="BO323" i="82"/>
  <c r="BP323" i="82" s="1"/>
  <c r="BO239" i="82"/>
  <c r="BP239" i="82" s="1"/>
  <c r="BN239" i="82"/>
  <c r="BO242" i="82"/>
  <c r="BP242" i="82" s="1"/>
  <c r="BN242" i="82"/>
  <c r="BO258" i="82"/>
  <c r="BP258" i="82" s="1"/>
  <c r="BN258" i="82"/>
  <c r="AQ194" i="82"/>
  <c r="BP310" i="82"/>
  <c r="BO310" i="82"/>
  <c r="BK308" i="82"/>
  <c r="BL308" i="82" s="1"/>
  <c r="BK256" i="82"/>
  <c r="BL256" i="82" s="1"/>
  <c r="BO237" i="82"/>
  <c r="BP237" i="82" s="1"/>
  <c r="T104" i="82"/>
  <c r="W104" i="82" s="1"/>
  <c r="BJ68" i="82"/>
  <c r="AK189" i="82"/>
  <c r="AO189" i="82" s="1"/>
  <c r="AP189" i="82" s="1"/>
  <c r="AN189" i="82"/>
  <c r="AT189" i="82" s="1"/>
  <c r="AG189" i="82"/>
  <c r="AO193" i="82"/>
  <c r="AC143" i="82"/>
  <c r="AE143" i="82" s="1"/>
  <c r="AF143" i="82" s="1"/>
  <c r="U18" i="82"/>
  <c r="AA170" i="82"/>
  <c r="BK222" i="82"/>
  <c r="BL222" i="82" s="1"/>
  <c r="BN267" i="82"/>
  <c r="BO267" i="82"/>
  <c r="BP267" i="82" s="1"/>
  <c r="BR270" i="82"/>
  <c r="BS270" i="82"/>
  <c r="BT270" i="82" s="1"/>
  <c r="BK57" i="82"/>
  <c r="BL57" i="82"/>
  <c r="BI304" i="82"/>
  <c r="BJ304" i="82" s="1"/>
  <c r="BH330" i="82"/>
  <c r="BK231" i="82"/>
  <c r="BL231" i="82" s="1"/>
  <c r="BB196" i="82"/>
  <c r="BA196" i="82"/>
  <c r="AN66" i="82"/>
  <c r="AT66" i="82" s="1"/>
  <c r="AK66" i="82"/>
  <c r="AO66" i="82" s="1"/>
  <c r="BI199" i="82"/>
  <c r="BJ199" i="82" s="1"/>
  <c r="BG195" i="82"/>
  <c r="BH195" i="82" s="1"/>
  <c r="BK243" i="82"/>
  <c r="BL243" i="82" s="1"/>
  <c r="BN290" i="82"/>
  <c r="BP290" i="82"/>
  <c r="BK262" i="82"/>
  <c r="BL262" i="82" s="1"/>
  <c r="Z164" i="82"/>
  <c r="AA164" i="82" s="1"/>
  <c r="BP236" i="82"/>
  <c r="BT233" i="82"/>
  <c r="BT228" i="82"/>
  <c r="BR274" i="82"/>
  <c r="BS274" i="82"/>
  <c r="BT274" i="82" s="1"/>
  <c r="AO65" i="82"/>
  <c r="BV91" i="82"/>
  <c r="BN303" i="82"/>
  <c r="BP303" i="82"/>
  <c r="BU90" i="82"/>
  <c r="BV90" i="82" s="1"/>
  <c r="E29" i="10"/>
  <c r="E39" i="10" s="1"/>
  <c r="I24" i="10"/>
  <c r="BN264" i="82"/>
  <c r="BO264" i="82"/>
  <c r="BO227" i="82"/>
  <c r="BP227" i="82" s="1"/>
  <c r="BO204" i="82"/>
  <c r="BP204" i="82" s="1"/>
  <c r="BO281" i="82"/>
  <c r="BP281" i="82" s="1"/>
  <c r="BO220" i="82"/>
  <c r="BP220" i="82" s="1"/>
  <c r="BN220" i="82"/>
  <c r="AK142" i="82"/>
  <c r="AO142" i="82" s="1"/>
  <c r="AP142" i="82" s="1"/>
  <c r="AR142" i="82" s="1"/>
  <c r="AN142" i="82"/>
  <c r="AT142" i="82"/>
  <c r="BP127" i="82"/>
  <c r="BS279" i="82"/>
  <c r="BT279" i="82" s="1"/>
  <c r="U167" i="82"/>
  <c r="BJ72" i="82"/>
  <c r="BK81" i="82"/>
  <c r="BL81" i="82"/>
  <c r="BA197" i="82"/>
  <c r="BB197" i="82" s="1"/>
  <c r="BI71" i="82"/>
  <c r="BJ71" i="82" s="1"/>
  <c r="BL325" i="82"/>
  <c r="BO276" i="82"/>
  <c r="BP276" i="82" s="1"/>
  <c r="BO268" i="82"/>
  <c r="BP268" i="82" s="1"/>
  <c r="BN268" i="82"/>
  <c r="R62" i="82"/>
  <c r="Q95" i="82"/>
  <c r="AP63" i="82"/>
  <c r="AK63" i="82"/>
  <c r="W64" i="82"/>
  <c r="X64" i="82" s="1"/>
  <c r="AL67" i="82"/>
  <c r="AK67" i="82"/>
  <c r="BI70" i="82"/>
  <c r="BI73" i="82"/>
  <c r="BJ73" i="82" s="1"/>
  <c r="K73" i="82"/>
  <c r="K76" i="82"/>
  <c r="BI76" i="82"/>
  <c r="BJ76" i="82" s="1"/>
  <c r="BK77" i="82"/>
  <c r="BL77" i="82" s="1"/>
  <c r="U99" i="82"/>
  <c r="AK119" i="82"/>
  <c r="AL122" i="82"/>
  <c r="AK122" i="82"/>
  <c r="AL141" i="82"/>
  <c r="AJ158" i="82"/>
  <c r="AL145" i="82"/>
  <c r="AE146" i="82"/>
  <c r="AF146" i="82" s="1"/>
  <c r="AD146" i="82"/>
  <c r="AG146" i="82" s="1"/>
  <c r="U162" i="82"/>
  <c r="T165" i="82"/>
  <c r="U165" i="82" s="1"/>
  <c r="AD98" i="82"/>
  <c r="AG98" i="82" s="1"/>
  <c r="AA172" i="82"/>
  <c r="BR279" i="82"/>
  <c r="BP128" i="82"/>
  <c r="BN204" i="82"/>
  <c r="W173" i="82"/>
  <c r="X173" i="82" s="1"/>
  <c r="BO232" i="82"/>
  <c r="BN232" i="82"/>
  <c r="BP232" i="82"/>
  <c r="T140" i="82"/>
  <c r="U140" i="82" s="1"/>
  <c r="BP316" i="82"/>
  <c r="BO316" i="82"/>
  <c r="BN250" i="82"/>
  <c r="W114" i="82"/>
  <c r="X114" i="82" s="1"/>
  <c r="BN127" i="82"/>
  <c r="BP225" i="82"/>
  <c r="Z115" i="82"/>
  <c r="AA115" i="82" s="1"/>
  <c r="AQ192" i="82"/>
  <c r="AS192" i="82"/>
  <c r="AU192" i="82" s="1"/>
  <c r="AR192" i="82"/>
  <c r="BO75" i="82"/>
  <c r="BP75" i="82" s="1"/>
  <c r="BN75" i="82"/>
  <c r="BL80" i="82"/>
  <c r="I24" i="4"/>
  <c r="K24" i="4" s="1"/>
  <c r="M24" i="4" s="1"/>
  <c r="BT93" i="82"/>
  <c r="BK210" i="82"/>
  <c r="BL210" i="82" s="1"/>
  <c r="BN283" i="82"/>
  <c r="BO283" i="82"/>
  <c r="BP283" i="82" s="1"/>
  <c r="AU190" i="82"/>
  <c r="BE301" i="82"/>
  <c r="BK230" i="82"/>
  <c r="BL230" i="82" s="1"/>
  <c r="BK79" i="82"/>
  <c r="BL79" i="82" s="1"/>
  <c r="BL151" i="82"/>
  <c r="L36" i="4"/>
  <c r="H32" i="1" s="1"/>
  <c r="L26" i="4"/>
  <c r="H30" i="1" s="1"/>
  <c r="I29" i="10"/>
  <c r="BR259" i="82"/>
  <c r="BP264" i="82"/>
  <c r="BS102" i="82"/>
  <c r="BT102" i="82" s="1"/>
  <c r="BL305" i="82"/>
  <c r="BK305" i="82"/>
  <c r="BS271" i="82"/>
  <c r="BT271" i="82" s="1"/>
  <c r="BR271" i="82"/>
  <c r="BK306" i="82"/>
  <c r="BL306" i="82" s="1"/>
  <c r="BK201" i="82"/>
  <c r="BL201" i="82" s="1"/>
  <c r="BP124" i="82"/>
  <c r="BO248" i="82"/>
  <c r="BP248" i="82" s="1"/>
  <c r="BO275" i="82"/>
  <c r="BP275" i="82" s="1"/>
  <c r="BR275" i="82" s="1"/>
  <c r="BN225" i="82"/>
  <c r="AL119" i="82"/>
  <c r="AO119" i="82" s="1"/>
  <c r="AP119" i="82" s="1"/>
  <c r="BG95" i="82"/>
  <c r="AT186" i="82"/>
  <c r="AU186" i="82" s="1"/>
  <c r="AV186" i="82" s="1"/>
  <c r="BK212" i="82"/>
  <c r="BL212" i="82" s="1"/>
  <c r="AK187" i="82"/>
  <c r="AO187" i="82" s="1"/>
  <c r="BK312" i="82"/>
  <c r="BL312" i="82" s="1"/>
  <c r="X168" i="82"/>
  <c r="CI291" i="82"/>
  <c r="CJ291" i="82" s="1"/>
  <c r="AN67" i="82"/>
  <c r="AT67" i="82" s="1"/>
  <c r="BP137" i="82"/>
  <c r="BN137" i="82"/>
  <c r="BL226" i="82"/>
  <c r="Z180" i="82"/>
  <c r="AO184" i="82"/>
  <c r="AT119" i="82"/>
  <c r="BP216" i="82"/>
  <c r="BP221" i="82"/>
  <c r="BK217" i="82"/>
  <c r="BL217" i="82" s="1"/>
  <c r="BU130" i="82"/>
  <c r="BV130" i="82"/>
  <c r="BL315" i="82"/>
  <c r="AN122" i="82"/>
  <c r="AT122" i="82" s="1"/>
  <c r="AG122" i="82"/>
  <c r="BK234" i="82"/>
  <c r="BL234" i="82" s="1"/>
  <c r="U8" i="82"/>
  <c r="BO83" i="82"/>
  <c r="BP83" i="82" s="1"/>
  <c r="BR83" i="82" s="1"/>
  <c r="BN83" i="82"/>
  <c r="BK213" i="82"/>
  <c r="BL213" i="82" s="1"/>
  <c r="BA198" i="82"/>
  <c r="BB198" i="82" s="1"/>
  <c r="K265" i="82"/>
  <c r="K301" i="82" s="1"/>
  <c r="BK265" i="82"/>
  <c r="BL265" i="82" s="1"/>
  <c r="E28" i="23"/>
  <c r="L27" i="2" s="1"/>
  <c r="AN184" i="82"/>
  <c r="AT184" i="82" s="1"/>
  <c r="BT327" i="82"/>
  <c r="BV294" i="82"/>
  <c r="AD142" i="82"/>
  <c r="AG142" i="82" s="1"/>
  <c r="BK254" i="82"/>
  <c r="BL254" i="82" s="1"/>
  <c r="Z176" i="82"/>
  <c r="AA176" i="82" s="1"/>
  <c r="BL261" i="82"/>
  <c r="BT86" i="82"/>
  <c r="BL313" i="82"/>
  <c r="W177" i="82"/>
  <c r="X177" i="82" s="1"/>
  <c r="AP191" i="82"/>
  <c r="AR191" i="82" s="1"/>
  <c r="AQ191" i="82"/>
  <c r="BO273" i="82"/>
  <c r="BP273" i="82" s="1"/>
  <c r="BN273" i="82"/>
  <c r="BN126" i="82"/>
  <c r="AS191" i="82"/>
  <c r="AU191" i="82" s="1"/>
  <c r="AV191" i="82" s="1"/>
  <c r="BN285" i="82"/>
  <c r="BP285" i="82"/>
  <c r="M11" i="4"/>
  <c r="Q9" i="82"/>
  <c r="P59" i="82"/>
  <c r="AZ59" i="82"/>
  <c r="DW59" i="82"/>
  <c r="DW332" i="82" s="1"/>
  <c r="Y59" i="82"/>
  <c r="BL245" i="82"/>
  <c r="N59" i="82"/>
  <c r="R106" i="82"/>
  <c r="T14" i="82"/>
  <c r="BE24" i="82"/>
  <c r="AW59" i="82"/>
  <c r="BF59" i="82"/>
  <c r="BE45" i="82"/>
  <c r="DX126" i="82"/>
  <c r="D583" i="71"/>
  <c r="E19" i="4"/>
  <c r="G19" i="4" s="1"/>
  <c r="F43" i="76"/>
  <c r="BI317" i="82"/>
  <c r="BJ317" i="82" s="1"/>
  <c r="D148" i="71"/>
  <c r="C69" i="7"/>
  <c r="D106" i="71"/>
  <c r="D124" i="71"/>
  <c r="E152" i="3"/>
  <c r="D220" i="71"/>
  <c r="F251" i="71" s="1"/>
  <c r="D300" i="71"/>
  <c r="E205" i="3" s="1"/>
  <c r="D330" i="71"/>
  <c r="D588" i="71"/>
  <c r="BR240" i="82" l="1"/>
  <c r="BS240" i="82"/>
  <c r="BT240" i="82" s="1"/>
  <c r="BI148" i="82"/>
  <c r="BJ148" i="82"/>
  <c r="BO218" i="82"/>
  <c r="BP218" i="82" s="1"/>
  <c r="BN218" i="82"/>
  <c r="AC117" i="82"/>
  <c r="AE117" i="82" s="1"/>
  <c r="AF117" i="82" s="1"/>
  <c r="BO205" i="82"/>
  <c r="BP205" i="82" s="1"/>
  <c r="BN205" i="82"/>
  <c r="BR244" i="82"/>
  <c r="BS244" i="82"/>
  <c r="BT244" i="82" s="1"/>
  <c r="BU244" i="82" s="1"/>
  <c r="BV244" i="82" s="1"/>
  <c r="BS311" i="82"/>
  <c r="BT311" i="82" s="1"/>
  <c r="BU311" i="82" s="1"/>
  <c r="BV311" i="82" s="1"/>
  <c r="BR311" i="82"/>
  <c r="BO211" i="82"/>
  <c r="BP211" i="82" s="1"/>
  <c r="BN211" i="82"/>
  <c r="BO224" i="82"/>
  <c r="BP224" i="82" s="1"/>
  <c r="BN224" i="82"/>
  <c r="BN84" i="82"/>
  <c r="BO84" i="82"/>
  <c r="BP84" i="82" s="1"/>
  <c r="BR84" i="82" s="1"/>
  <c r="BS84" i="82" s="1"/>
  <c r="BT84" i="82" s="1"/>
  <c r="BU84" i="82" s="1"/>
  <c r="BN282" i="82"/>
  <c r="BO282" i="82"/>
  <c r="BP282" i="82" s="1"/>
  <c r="BO203" i="82"/>
  <c r="BP203" i="82" s="1"/>
  <c r="BN203" i="82"/>
  <c r="AQ190" i="82"/>
  <c r="AX190" i="82" s="1"/>
  <c r="AY190" i="82" s="1"/>
  <c r="AP190" i="82"/>
  <c r="O160" i="82"/>
  <c r="N301" i="82"/>
  <c r="BN149" i="82"/>
  <c r="BO149" i="82"/>
  <c r="BP149" i="82" s="1"/>
  <c r="AT121" i="82"/>
  <c r="AU121" i="82" s="1"/>
  <c r="AV121" i="82" s="1"/>
  <c r="W175" i="82"/>
  <c r="X175" i="82" s="1"/>
  <c r="AC144" i="82"/>
  <c r="AE144" i="82" s="1"/>
  <c r="AF144" i="82" s="1"/>
  <c r="AG188" i="82"/>
  <c r="BI138" i="82"/>
  <c r="BJ136" i="82"/>
  <c r="W171" i="82"/>
  <c r="X171" i="82" s="1"/>
  <c r="BS78" i="82"/>
  <c r="BR78" i="82"/>
  <c r="C22" i="7"/>
  <c r="C24" i="7" s="1"/>
  <c r="E8" i="2" s="1"/>
  <c r="BO253" i="82"/>
  <c r="BP253" i="82"/>
  <c r="AR190" i="82"/>
  <c r="F428" i="71"/>
  <c r="E156" i="3"/>
  <c r="C15" i="7"/>
  <c r="E7" i="2" s="1"/>
  <c r="B24" i="87" s="1"/>
  <c r="F25" i="71"/>
  <c r="BK255" i="82"/>
  <c r="BL255" i="82" s="1"/>
  <c r="BN280" i="82"/>
  <c r="BO280" i="82"/>
  <c r="BP280" i="82" s="1"/>
  <c r="BK320" i="82"/>
  <c r="BL320" i="82" s="1"/>
  <c r="AN188" i="82"/>
  <c r="AT188" i="82" s="1"/>
  <c r="AK188" i="82"/>
  <c r="BO235" i="82"/>
  <c r="BP235" i="82" s="1"/>
  <c r="BN235" i="82"/>
  <c r="AO188" i="82"/>
  <c r="AQ188" i="82" s="1"/>
  <c r="AX188" i="82" s="1"/>
  <c r="AY188" i="82" s="1"/>
  <c r="AV190" i="82"/>
  <c r="BR129" i="82"/>
  <c r="BS129" i="82"/>
  <c r="BT129" i="82" s="1"/>
  <c r="BU129" i="82" s="1"/>
  <c r="BV129" i="82" s="1"/>
  <c r="BW129" i="82" s="1"/>
  <c r="BX129" i="82" s="1"/>
  <c r="BN150" i="82"/>
  <c r="BO150" i="82"/>
  <c r="BP150" i="82" s="1"/>
  <c r="AD183" i="82"/>
  <c r="AE183" i="82"/>
  <c r="AF183" i="82" s="1"/>
  <c r="BO208" i="82"/>
  <c r="BP208" i="82" s="1"/>
  <c r="BN208" i="82"/>
  <c r="BK200" i="82"/>
  <c r="BL200" i="82"/>
  <c r="W61" i="82"/>
  <c r="X61" i="82" s="1"/>
  <c r="F18" i="2"/>
  <c r="C13" i="87" s="1"/>
  <c r="C12" i="87" s="1"/>
  <c r="C20" i="87"/>
  <c r="B19" i="87" s="1"/>
  <c r="D40" i="65"/>
  <c r="J36" i="1"/>
  <c r="D34" i="3"/>
  <c r="D36" i="3" s="1"/>
  <c r="C41" i="3"/>
  <c r="C42" i="3" s="1"/>
  <c r="C9" i="87"/>
  <c r="D39" i="65"/>
  <c r="B63" i="87"/>
  <c r="E207" i="3"/>
  <c r="G40" i="1" s="1"/>
  <c r="B31" i="87" s="1"/>
  <c r="H212" i="3"/>
  <c r="C40" i="87"/>
  <c r="J15" i="1"/>
  <c r="K20" i="1"/>
  <c r="C23" i="87"/>
  <c r="B25" i="87"/>
  <c r="B23" i="87" s="1"/>
  <c r="D73" i="65"/>
  <c r="F490" i="71"/>
  <c r="G11" i="2" s="1"/>
  <c r="E16" i="3"/>
  <c r="E18" i="3" s="1"/>
  <c r="H26" i="1"/>
  <c r="D71" i="65"/>
  <c r="BW154" i="82"/>
  <c r="BX154" i="82" s="1"/>
  <c r="BY154" i="82" s="1"/>
  <c r="BZ154" i="82" s="1"/>
  <c r="CA154" i="82" s="1"/>
  <c r="CB154" i="82" s="1"/>
  <c r="CC154" i="82" s="1"/>
  <c r="CD154" i="82" s="1"/>
  <c r="H29" i="10"/>
  <c r="K17" i="10"/>
  <c r="K18" i="10" s="1"/>
  <c r="BS328" i="82"/>
  <c r="BT328" i="82" s="1"/>
  <c r="BU328" i="82" s="1"/>
  <c r="BV328" i="82" s="1"/>
  <c r="F29" i="10"/>
  <c r="F39" i="10" s="1"/>
  <c r="K22" i="10"/>
  <c r="K24" i="10"/>
  <c r="K36" i="10"/>
  <c r="K37" i="10" s="1"/>
  <c r="H43" i="76"/>
  <c r="E26" i="4"/>
  <c r="H101" i="65" s="1"/>
  <c r="H102" i="65" s="1"/>
  <c r="D622" i="71"/>
  <c r="B7" i="87"/>
  <c r="J8" i="2"/>
  <c r="J9" i="2" s="1"/>
  <c r="I10" i="7"/>
  <c r="C6" i="87"/>
  <c r="J41" i="1"/>
  <c r="B8" i="87"/>
  <c r="C2" i="87"/>
  <c r="C47" i="87"/>
  <c r="C46" i="87" s="1"/>
  <c r="J10" i="2"/>
  <c r="F20" i="2"/>
  <c r="F22" i="2" s="1"/>
  <c r="C60" i="87" s="1"/>
  <c r="C59" i="87" s="1"/>
  <c r="C39" i="87"/>
  <c r="B29" i="87"/>
  <c r="Z174" i="82"/>
  <c r="AA174" i="82" s="1"/>
  <c r="BO82" i="82"/>
  <c r="BP82" i="82" s="1"/>
  <c r="BN82" i="82"/>
  <c r="BR126" i="82"/>
  <c r="BS126" i="82"/>
  <c r="BT126" i="82" s="1"/>
  <c r="BU126" i="82" s="1"/>
  <c r="BV126" i="82" s="1"/>
  <c r="BS289" i="82"/>
  <c r="BR289" i="82"/>
  <c r="BT289" i="82"/>
  <c r="BS321" i="82"/>
  <c r="BT321" i="82" s="1"/>
  <c r="BR321" i="82"/>
  <c r="BN263" i="82"/>
  <c r="BO263" i="82"/>
  <c r="BP263" i="82" s="1"/>
  <c r="BS287" i="82"/>
  <c r="BT287" i="82" s="1"/>
  <c r="BR287" i="82"/>
  <c r="BR286" i="82"/>
  <c r="BS286" i="82"/>
  <c r="BT286" i="82" s="1"/>
  <c r="BW272" i="82"/>
  <c r="BX272" i="82" s="1"/>
  <c r="BY272" i="82" s="1"/>
  <c r="BZ272" i="82" s="1"/>
  <c r="BO309" i="82"/>
  <c r="BP309" i="82" s="1"/>
  <c r="BN309" i="82"/>
  <c r="BO219" i="82"/>
  <c r="BP219" i="82" s="1"/>
  <c r="BN219" i="82"/>
  <c r="BN202" i="82"/>
  <c r="BO202" i="82"/>
  <c r="BP202" i="82" s="1"/>
  <c r="BN260" i="82"/>
  <c r="BO260" i="82"/>
  <c r="BP260" i="82" s="1"/>
  <c r="BN123" i="82"/>
  <c r="BO123" i="82"/>
  <c r="BP123" i="82" s="1"/>
  <c r="BY207" i="82"/>
  <c r="BZ207" i="82" s="1"/>
  <c r="CA207" i="82" s="1"/>
  <c r="CB207" i="82" s="1"/>
  <c r="BI95" i="82"/>
  <c r="F407" i="71"/>
  <c r="F516" i="71"/>
  <c r="G13" i="2" s="1"/>
  <c r="AC178" i="82"/>
  <c r="AE178" i="82" s="1"/>
  <c r="AF178" i="82" s="1"/>
  <c r="E40" i="3"/>
  <c r="E42" i="3" s="1"/>
  <c r="BT259" i="82"/>
  <c r="E149" i="3"/>
  <c r="E158" i="3" s="1"/>
  <c r="G24" i="1" s="1"/>
  <c r="I39" i="10"/>
  <c r="E30" i="23" s="1"/>
  <c r="F31" i="23" s="1"/>
  <c r="AV192" i="82"/>
  <c r="AD143" i="82"/>
  <c r="AG143" i="82" s="1"/>
  <c r="BR269" i="82"/>
  <c r="BV266" i="82"/>
  <c r="BW266" i="82" s="1"/>
  <c r="BX266" i="82" s="1"/>
  <c r="BL152" i="82"/>
  <c r="AN182" i="82"/>
  <c r="AT182" i="82" s="1"/>
  <c r="AV181" i="82"/>
  <c r="BK247" i="82"/>
  <c r="BL247" i="82" s="1"/>
  <c r="C71" i="7"/>
  <c r="C74" i="7" s="1"/>
  <c r="E14" i="2" s="1"/>
  <c r="F539" i="71"/>
  <c r="G14" i="2" s="1"/>
  <c r="BU89" i="82"/>
  <c r="BV89" i="82" s="1"/>
  <c r="BO125" i="82"/>
  <c r="BP125" i="82"/>
  <c r="BN125" i="82"/>
  <c r="BO318" i="82"/>
  <c r="BP318" i="82" s="1"/>
  <c r="BN318" i="82"/>
  <c r="BO322" i="82"/>
  <c r="BP322" i="82" s="1"/>
  <c r="BN322" i="82"/>
  <c r="Z141" i="82"/>
  <c r="AA141" i="82" s="1"/>
  <c r="BS223" i="82"/>
  <c r="BT223" i="82" s="1"/>
  <c r="BR223" i="82"/>
  <c r="AQ147" i="82"/>
  <c r="AX147" i="82" s="1"/>
  <c r="AY147" i="82" s="1"/>
  <c r="BA147" i="82" s="1"/>
  <c r="BB147" i="82" s="1"/>
  <c r="AP147" i="82"/>
  <c r="AR147" i="82" s="1"/>
  <c r="AS147" i="82"/>
  <c r="AU147" i="82" s="1"/>
  <c r="BR324" i="82"/>
  <c r="BS324" i="82"/>
  <c r="BT324" i="82" s="1"/>
  <c r="BO215" i="82"/>
  <c r="BP215" i="82" s="1"/>
  <c r="BN215" i="82"/>
  <c r="BN241" i="82"/>
  <c r="BO241" i="82"/>
  <c r="BP241" i="82" s="1"/>
  <c r="BN314" i="82"/>
  <c r="BO314" i="82"/>
  <c r="BP314" i="82" s="1"/>
  <c r="F619" i="71"/>
  <c r="G16" i="2" s="1"/>
  <c r="BS101" i="82"/>
  <c r="BT101" i="82" s="1"/>
  <c r="BP250" i="82"/>
  <c r="AA179" i="82"/>
  <c r="AP65" i="82"/>
  <c r="AR65" i="82" s="1"/>
  <c r="BP229" i="82"/>
  <c r="BT269" i="82"/>
  <c r="BU298" i="82"/>
  <c r="BV298" i="82" s="1"/>
  <c r="BN214" i="82"/>
  <c r="BO214" i="82"/>
  <c r="BP214" i="82" s="1"/>
  <c r="BK74" i="82"/>
  <c r="BL74" i="82" s="1"/>
  <c r="AE185" i="82"/>
  <c r="AF185" i="82" s="1"/>
  <c r="AD185" i="82"/>
  <c r="BS277" i="82"/>
  <c r="BT277" i="82" s="1"/>
  <c r="BU277" i="82" s="1"/>
  <c r="BV277" i="82" s="1"/>
  <c r="BR277" i="82"/>
  <c r="BW244" i="82"/>
  <c r="BX244" i="82" s="1"/>
  <c r="BS319" i="82"/>
  <c r="BT319" i="82" s="1"/>
  <c r="BU319" i="82" s="1"/>
  <c r="BV319" i="82" s="1"/>
  <c r="BW319" i="82" s="1"/>
  <c r="BX319" i="82" s="1"/>
  <c r="BY319" i="82" s="1"/>
  <c r="BZ319" i="82" s="1"/>
  <c r="BR319" i="82"/>
  <c r="BS284" i="82"/>
  <c r="BT284" i="82" s="1"/>
  <c r="BU284" i="82" s="1"/>
  <c r="BV284" i="82" s="1"/>
  <c r="BR284" i="82"/>
  <c r="BU307" i="82"/>
  <c r="BV307" i="82" s="1"/>
  <c r="BW307" i="82" s="1"/>
  <c r="BX307" i="82" s="1"/>
  <c r="AA108" i="82"/>
  <c r="AO145" i="82"/>
  <c r="AN65" i="82"/>
  <c r="AT65" i="82" s="1"/>
  <c r="BN229" i="82"/>
  <c r="AG145" i="82"/>
  <c r="AG120" i="82"/>
  <c r="C30" i="7"/>
  <c r="BK206" i="82"/>
  <c r="BL206" i="82"/>
  <c r="BO251" i="82"/>
  <c r="BP251" i="82" s="1"/>
  <c r="BN251" i="82"/>
  <c r="BR249" i="82"/>
  <c r="BS249" i="82"/>
  <c r="BT249" i="82" s="1"/>
  <c r="E260" i="3"/>
  <c r="G42" i="1" s="1"/>
  <c r="BO58" i="82"/>
  <c r="BP58" i="82" s="1"/>
  <c r="BR58" i="82" s="1"/>
  <c r="BS58" i="82" s="1"/>
  <c r="BT58" i="82" s="1"/>
  <c r="BN58" i="82"/>
  <c r="BW328" i="82"/>
  <c r="BX328" i="82" s="1"/>
  <c r="BS288" i="82"/>
  <c r="BT288" i="82" s="1"/>
  <c r="BR288" i="82"/>
  <c r="AG65" i="82"/>
  <c r="BO254" i="82"/>
  <c r="BP254" i="82" s="1"/>
  <c r="BN254" i="82"/>
  <c r="BN234" i="82"/>
  <c r="BO234" i="82"/>
  <c r="BP234" i="82" s="1"/>
  <c r="BO212" i="82"/>
  <c r="BP212" i="82" s="1"/>
  <c r="BN212" i="82"/>
  <c r="BS275" i="82"/>
  <c r="BT275" i="82" s="1"/>
  <c r="BN201" i="82"/>
  <c r="BO201" i="82"/>
  <c r="BP201" i="82" s="1"/>
  <c r="BU286" i="82"/>
  <c r="BR123" i="82"/>
  <c r="BS123" i="82"/>
  <c r="BT123" i="82" s="1"/>
  <c r="BL199" i="82"/>
  <c r="BK199" i="82"/>
  <c r="BN308" i="82"/>
  <c r="BO308" i="82"/>
  <c r="BP308" i="82" s="1"/>
  <c r="AS98" i="82"/>
  <c r="AQ98" i="82"/>
  <c r="AP98" i="82"/>
  <c r="AR98" i="82" s="1"/>
  <c r="BN306" i="82"/>
  <c r="BO306" i="82"/>
  <c r="BP306" i="82" s="1"/>
  <c r="Z114" i="82"/>
  <c r="AA114" i="82" s="1"/>
  <c r="BS268" i="82"/>
  <c r="BT268" i="82" s="1"/>
  <c r="BR268" i="82"/>
  <c r="BU279" i="82"/>
  <c r="BV279" i="82" s="1"/>
  <c r="BW284" i="82"/>
  <c r="BX284" i="82" s="1"/>
  <c r="BR227" i="82"/>
  <c r="BS227" i="82"/>
  <c r="BT227" i="82" s="1"/>
  <c r="AS66" i="82"/>
  <c r="AP66" i="82"/>
  <c r="AR66" i="82" s="1"/>
  <c r="AQ66" i="82"/>
  <c r="BO231" i="82"/>
  <c r="BN231" i="82"/>
  <c r="BP231" i="82"/>
  <c r="BK69" i="82"/>
  <c r="BL69" i="82"/>
  <c r="BY326" i="82"/>
  <c r="BZ326" i="82" s="1"/>
  <c r="F63" i="7"/>
  <c r="E13" i="2"/>
  <c r="Z177" i="82"/>
  <c r="AA177" i="82" s="1"/>
  <c r="BG198" i="82"/>
  <c r="BH198" i="82" s="1"/>
  <c r="BO217" i="82"/>
  <c r="BP217" i="82" s="1"/>
  <c r="BN217" i="82"/>
  <c r="BS281" i="82"/>
  <c r="BR281" i="82"/>
  <c r="BT281" i="82"/>
  <c r="BO243" i="82"/>
  <c r="BP243" i="82" s="1"/>
  <c r="BN243" i="82"/>
  <c r="AU66" i="82"/>
  <c r="BU270" i="82"/>
  <c r="BV270" i="82" s="1"/>
  <c r="AC176" i="82"/>
  <c r="AD176" i="82" s="1"/>
  <c r="AS187" i="82"/>
  <c r="AU187" i="82" s="1"/>
  <c r="AQ187" i="82"/>
  <c r="AP187" i="82"/>
  <c r="AR187" i="82" s="1"/>
  <c r="BO230" i="82"/>
  <c r="BP230" i="82" s="1"/>
  <c r="BN230" i="82"/>
  <c r="BR75" i="82"/>
  <c r="BS75" i="82"/>
  <c r="AC115" i="82"/>
  <c r="AD115" i="82" s="1"/>
  <c r="BY129" i="82"/>
  <c r="BZ129" i="82" s="1"/>
  <c r="Z64" i="82"/>
  <c r="AA64" i="82" s="1"/>
  <c r="BG197" i="82"/>
  <c r="BH197" i="82" s="1"/>
  <c r="AC164" i="82"/>
  <c r="AD164" i="82" s="1"/>
  <c r="BI195" i="82"/>
  <c r="BJ195" i="82" s="1"/>
  <c r="BK304" i="82"/>
  <c r="BL304" i="82" s="1"/>
  <c r="BJ330" i="82"/>
  <c r="BO256" i="82"/>
  <c r="BP256" i="82" s="1"/>
  <c r="BN256" i="82"/>
  <c r="BS323" i="82"/>
  <c r="BT323" i="82" s="1"/>
  <c r="BR323" i="82"/>
  <c r="AU98" i="82"/>
  <c r="AV98" i="82" s="1"/>
  <c r="AC108" i="82"/>
  <c r="AE108" i="82" s="1"/>
  <c r="AF108" i="82" s="1"/>
  <c r="BR285" i="82"/>
  <c r="BS285" i="82"/>
  <c r="BT285" i="82" s="1"/>
  <c r="BU327" i="82"/>
  <c r="BV327" i="82" s="1"/>
  <c r="BO265" i="82"/>
  <c r="BP265" i="82" s="1"/>
  <c r="BN265" i="82"/>
  <c r="BN213" i="82"/>
  <c r="BO213" i="82"/>
  <c r="BP213" i="82" s="1"/>
  <c r="BN315" i="82"/>
  <c r="BO315" i="82"/>
  <c r="BP315" i="82" s="1"/>
  <c r="BS221" i="82"/>
  <c r="BT221" i="82" s="1"/>
  <c r="BR221" i="82"/>
  <c r="AP184" i="82"/>
  <c r="AR184" i="82" s="1"/>
  <c r="AS184" i="82"/>
  <c r="AU184" i="82" s="1"/>
  <c r="AQ184" i="82"/>
  <c r="BO226" i="82"/>
  <c r="BP226" i="82" s="1"/>
  <c r="BN226" i="82"/>
  <c r="Z168" i="82"/>
  <c r="AA168" i="82" s="1"/>
  <c r="BR248" i="82"/>
  <c r="BS248" i="82"/>
  <c r="BT248" i="82" s="1"/>
  <c r="BU271" i="82"/>
  <c r="BV271" i="82" s="1"/>
  <c r="BV102" i="82"/>
  <c r="BU102" i="82"/>
  <c r="BU259" i="82"/>
  <c r="BV259" i="82"/>
  <c r="BO79" i="82"/>
  <c r="BP79" i="82" s="1"/>
  <c r="BN79" i="82"/>
  <c r="BN210" i="82"/>
  <c r="BO210" i="82"/>
  <c r="BP210" i="82" s="1"/>
  <c r="BU93" i="82"/>
  <c r="BV93" i="82" s="1"/>
  <c r="N24" i="4"/>
  <c r="O24" i="4" s="1"/>
  <c r="AX192" i="82"/>
  <c r="AY192" i="82" s="1"/>
  <c r="BR232" i="82"/>
  <c r="BS232" i="82"/>
  <c r="BT232" i="82" s="1"/>
  <c r="BN77" i="82"/>
  <c r="BO77" i="82"/>
  <c r="BP77" i="82" s="1"/>
  <c r="T62" i="82"/>
  <c r="U62" i="82" s="1"/>
  <c r="BS276" i="82"/>
  <c r="BT276" i="82" s="1"/>
  <c r="BR276" i="82"/>
  <c r="BO81" i="82"/>
  <c r="BP81" i="82" s="1"/>
  <c r="BN81" i="82"/>
  <c r="BR204" i="82"/>
  <c r="BS204" i="82"/>
  <c r="BT204" i="82" s="1"/>
  <c r="BS303" i="82"/>
  <c r="BR303" i="82"/>
  <c r="BS236" i="82"/>
  <c r="BT236" i="82" s="1"/>
  <c r="BR236" i="82"/>
  <c r="BU246" i="82"/>
  <c r="BV246" i="82" s="1"/>
  <c r="BN57" i="82"/>
  <c r="BO57" i="82"/>
  <c r="BP57" i="82" s="1"/>
  <c r="BR267" i="82"/>
  <c r="BS267" i="82"/>
  <c r="BT267" i="82" s="1"/>
  <c r="BN222" i="82"/>
  <c r="BO222" i="82"/>
  <c r="BP222" i="82" s="1"/>
  <c r="AN143" i="82"/>
  <c r="AT143" i="82" s="1"/>
  <c r="AK143" i="82"/>
  <c r="AO143" i="82" s="1"/>
  <c r="AS143" i="82" s="1"/>
  <c r="AS189" i="82"/>
  <c r="AU189" i="82" s="1"/>
  <c r="AQ189" i="82"/>
  <c r="BS229" i="82"/>
  <c r="BT229" i="82" s="1"/>
  <c r="BR229" i="82"/>
  <c r="U104" i="82"/>
  <c r="X104" i="82" s="1"/>
  <c r="BS237" i="82"/>
  <c r="BT237" i="82"/>
  <c r="BR237" i="82"/>
  <c r="Z161" i="82"/>
  <c r="AA161" i="82" s="1"/>
  <c r="AL301" i="82"/>
  <c r="BN152" i="82"/>
  <c r="BO152" i="82"/>
  <c r="BP152" i="82" s="1"/>
  <c r="AN145" i="82"/>
  <c r="AT145" i="82" s="1"/>
  <c r="AQ145" i="82"/>
  <c r="AP145" i="82"/>
  <c r="AR145" i="82" s="1"/>
  <c r="W63" i="82"/>
  <c r="X63" i="82" s="1"/>
  <c r="AV194" i="82"/>
  <c r="AO117" i="82"/>
  <c r="AS117" i="82" s="1"/>
  <c r="AK117" i="82"/>
  <c r="AN117" i="82"/>
  <c r="AT117" i="82" s="1"/>
  <c r="AU117" i="82" s="1"/>
  <c r="AP117" i="82"/>
  <c r="BR209" i="82"/>
  <c r="BS209" i="82"/>
  <c r="BT209" i="82" s="1"/>
  <c r="AS182" i="82"/>
  <c r="AU182" i="82" s="1"/>
  <c r="AP182" i="82"/>
  <c r="AR182" i="82" s="1"/>
  <c r="BU278" i="82"/>
  <c r="BV278" i="82" s="1"/>
  <c r="AC109" i="82"/>
  <c r="AE109" i="82" s="1"/>
  <c r="AF109" i="82" s="1"/>
  <c r="E121" i="3"/>
  <c r="E123" i="3" s="1"/>
  <c r="G23" i="1" s="1"/>
  <c r="B36" i="87" s="1"/>
  <c r="F167" i="71"/>
  <c r="BE59" i="82"/>
  <c r="F347" i="71"/>
  <c r="G26" i="4"/>
  <c r="U14" i="82"/>
  <c r="T106" i="82"/>
  <c r="U106" i="82" s="1"/>
  <c r="R9" i="82"/>
  <c r="Q59" i="82"/>
  <c r="BU86" i="82"/>
  <c r="BV86" i="82" s="1"/>
  <c r="BR216" i="82"/>
  <c r="BS216" i="82"/>
  <c r="BT216" i="82" s="1"/>
  <c r="BO312" i="82"/>
  <c r="BN312" i="82"/>
  <c r="BP312" i="82"/>
  <c r="AA169" i="82"/>
  <c r="H44" i="1"/>
  <c r="G31" i="1"/>
  <c r="J31" i="1" s="1"/>
  <c r="W165" i="82"/>
  <c r="AN146" i="82"/>
  <c r="AT146" i="82" s="1"/>
  <c r="AK146" i="82"/>
  <c r="AO146" i="82" s="1"/>
  <c r="AL158" i="82"/>
  <c r="BK73" i="82"/>
  <c r="BL73" i="82" s="1"/>
  <c r="AO67" i="82"/>
  <c r="W167" i="82"/>
  <c r="X167" i="82" s="1"/>
  <c r="BR127" i="82"/>
  <c r="BS127" i="82"/>
  <c r="BT127" i="82" s="1"/>
  <c r="BV287" i="82"/>
  <c r="BU287" i="82"/>
  <c r="BS150" i="82"/>
  <c r="BT150" i="82" s="1"/>
  <c r="BR150" i="82"/>
  <c r="AA166" i="82"/>
  <c r="BS205" i="82"/>
  <c r="BT205" i="82" s="1"/>
  <c r="BR205" i="82"/>
  <c r="BS258" i="82"/>
  <c r="BT258" i="82" s="1"/>
  <c r="BR258" i="82"/>
  <c r="BK148" i="82"/>
  <c r="BL148" i="82" s="1"/>
  <c r="AK120" i="82"/>
  <c r="AO120" i="82" s="1"/>
  <c r="AQ120" i="82" s="1"/>
  <c r="AN120" i="82"/>
  <c r="AT120" i="82" s="1"/>
  <c r="W116" i="82"/>
  <c r="U107" i="82"/>
  <c r="BU252" i="82"/>
  <c r="BV252" i="82" s="1"/>
  <c r="AX121" i="82"/>
  <c r="AY121" i="82" s="1"/>
  <c r="BU257" i="82"/>
  <c r="BV257" i="82" s="1"/>
  <c r="E9" i="2"/>
  <c r="I6" i="2"/>
  <c r="D51" i="65"/>
  <c r="D64" i="65" s="1"/>
  <c r="C91" i="7"/>
  <c r="C98" i="7" s="1"/>
  <c r="C103" i="7" s="1"/>
  <c r="E16" i="2" s="1"/>
  <c r="D628" i="71"/>
  <c r="BT334" i="82"/>
  <c r="BS273" i="82"/>
  <c r="BT273" i="82" s="1"/>
  <c r="BR273" i="82"/>
  <c r="BO261" i="82"/>
  <c r="BN261" i="82"/>
  <c r="BP261" i="82"/>
  <c r="AE176" i="82"/>
  <c r="AF176" i="82" s="1"/>
  <c r="BU289" i="82"/>
  <c r="BV289" i="82" s="1"/>
  <c r="AA180" i="82"/>
  <c r="BR137" i="82"/>
  <c r="BS137" i="82"/>
  <c r="BT137" i="82" s="1"/>
  <c r="BT124" i="82"/>
  <c r="BS124" i="82"/>
  <c r="BR124" i="82"/>
  <c r="BS264" i="82"/>
  <c r="BT264" i="82" s="1"/>
  <c r="BR264" i="82"/>
  <c r="BR283" i="82"/>
  <c r="BS283" i="82"/>
  <c r="BT283" i="82" s="1"/>
  <c r="BO80" i="82"/>
  <c r="BP80" i="82" s="1"/>
  <c r="BN80" i="82"/>
  <c r="AE115" i="82"/>
  <c r="AF115" i="82" s="1"/>
  <c r="T158" i="82"/>
  <c r="W140" i="82"/>
  <c r="W158" i="82" s="1"/>
  <c r="AD179" i="82"/>
  <c r="AG179" i="82" s="1"/>
  <c r="AC179" i="82"/>
  <c r="AE179" i="82" s="1"/>
  <c r="AF179" i="82" s="1"/>
  <c r="BK76" i="82"/>
  <c r="BL76" i="82" s="1"/>
  <c r="BJ70" i="82"/>
  <c r="BN325" i="82"/>
  <c r="BO325" i="82"/>
  <c r="BP325" i="82" s="1"/>
  <c r="R95" i="82"/>
  <c r="AS65" i="82"/>
  <c r="AU65" i="82" s="1"/>
  <c r="AQ65" i="82"/>
  <c r="BU228" i="82"/>
  <c r="BV228" i="82" s="1"/>
  <c r="BN262" i="82"/>
  <c r="BO262" i="82"/>
  <c r="BP262" i="82" s="1"/>
  <c r="BH196" i="82"/>
  <c r="BG196" i="82"/>
  <c r="AC170" i="82"/>
  <c r="AE170" i="82" s="1"/>
  <c r="AF170" i="82" s="1"/>
  <c r="M29" i="10"/>
  <c r="H39" i="10"/>
  <c r="AQ193" i="82"/>
  <c r="AS193" i="82"/>
  <c r="AU193" i="82" s="1"/>
  <c r="AP193" i="82"/>
  <c r="AR193" i="82" s="1"/>
  <c r="AR189" i="82"/>
  <c r="BK68" i="82"/>
  <c r="BL68" i="82" s="1"/>
  <c r="BS203" i="82"/>
  <c r="BT203" i="82" s="1"/>
  <c r="BR203" i="82"/>
  <c r="BU85" i="82"/>
  <c r="BV85" i="82" s="1"/>
  <c r="BK317" i="82"/>
  <c r="BL317" i="82" s="1"/>
  <c r="BN245" i="82"/>
  <c r="BO245" i="82"/>
  <c r="BP245" i="82" s="1"/>
  <c r="AX191" i="82"/>
  <c r="AY191" i="82" s="1"/>
  <c r="BN313" i="82"/>
  <c r="BO313" i="82"/>
  <c r="BP313" i="82" s="1"/>
  <c r="BS83" i="82"/>
  <c r="BT83" i="82" s="1"/>
  <c r="BU83" i="82" s="1"/>
  <c r="AS119" i="82"/>
  <c r="AU119" i="82" s="1"/>
  <c r="AV119" i="82" s="1"/>
  <c r="AQ119" i="82"/>
  <c r="BO305" i="82"/>
  <c r="BP305" i="82" s="1"/>
  <c r="BN305" i="82"/>
  <c r="BO151" i="82"/>
  <c r="BP151" i="82" s="1"/>
  <c r="BN151" i="82"/>
  <c r="BR225" i="82"/>
  <c r="BS225" i="82"/>
  <c r="BT225" i="82" s="1"/>
  <c r="BR250" i="82"/>
  <c r="BS250" i="82"/>
  <c r="BT250" i="82" s="1"/>
  <c r="BS316" i="82"/>
  <c r="BT316" i="82" s="1"/>
  <c r="BR316" i="82"/>
  <c r="U158" i="82"/>
  <c r="Z173" i="82"/>
  <c r="BR128" i="82"/>
  <c r="BS128" i="82"/>
  <c r="BT128" i="82" s="1"/>
  <c r="AC172" i="82"/>
  <c r="AE172" i="82" s="1"/>
  <c r="AF172" i="82" s="1"/>
  <c r="W162" i="82"/>
  <c r="AO122" i="82"/>
  <c r="W99" i="82"/>
  <c r="BK71" i="82"/>
  <c r="BL71" i="82" s="1"/>
  <c r="BK72" i="82"/>
  <c r="BL72" i="82"/>
  <c r="AS142" i="82"/>
  <c r="AU142" i="82" s="1"/>
  <c r="AV142" i="82" s="1"/>
  <c r="AQ142" i="82"/>
  <c r="BS220" i="82"/>
  <c r="BT220" i="82" s="1"/>
  <c r="BR220" i="82"/>
  <c r="BU274" i="82"/>
  <c r="BV274" i="82" s="1"/>
  <c r="BU233" i="82"/>
  <c r="BV233" i="82" s="1"/>
  <c r="BS290" i="82"/>
  <c r="BT290" i="82" s="1"/>
  <c r="BR290" i="82"/>
  <c r="BI330" i="82"/>
  <c r="BU240" i="82"/>
  <c r="BV240" i="82" s="1"/>
  <c r="BS310" i="82"/>
  <c r="BT310" i="82" s="1"/>
  <c r="BR310" i="82"/>
  <c r="AX194" i="82"/>
  <c r="AY194" i="82" s="1"/>
  <c r="BU269" i="82"/>
  <c r="BV269" i="82" s="1"/>
  <c r="BS242" i="82"/>
  <c r="BT242" i="82" s="1"/>
  <c r="BR242" i="82"/>
  <c r="BS239" i="82"/>
  <c r="BT239" i="82" s="1"/>
  <c r="BR239" i="82"/>
  <c r="BR153" i="82"/>
  <c r="BS153" i="82"/>
  <c r="BT153" i="82"/>
  <c r="Z118" i="82"/>
  <c r="AA118" i="82"/>
  <c r="W110" i="82"/>
  <c r="BW87" i="82"/>
  <c r="BX87" i="82"/>
  <c r="BS238" i="82"/>
  <c r="BT238" i="82" s="1"/>
  <c r="BR238" i="82"/>
  <c r="AQ182" i="82"/>
  <c r="AA163" i="82"/>
  <c r="R134" i="82"/>
  <c r="T97" i="82"/>
  <c r="U97" i="82" s="1"/>
  <c r="AX181" i="82"/>
  <c r="AY181" i="82" s="1"/>
  <c r="BG186" i="82"/>
  <c r="BH186" i="82" s="1"/>
  <c r="Z171" i="82" l="1"/>
  <c r="AA171" i="82"/>
  <c r="BS224" i="82"/>
  <c r="BT224" i="82" s="1"/>
  <c r="BU224" i="82" s="1"/>
  <c r="BV224" i="82" s="1"/>
  <c r="BR224" i="82"/>
  <c r="BW311" i="82"/>
  <c r="BX311" i="82"/>
  <c r="BY311" i="82" s="1"/>
  <c r="BZ311" i="82" s="1"/>
  <c r="Z61" i="82"/>
  <c r="AA61" i="82" s="1"/>
  <c r="AC61" i="82" s="1"/>
  <c r="BA188" i="82"/>
  <c r="BB188" i="82"/>
  <c r="BG188" i="82" s="1"/>
  <c r="BH188" i="82" s="1"/>
  <c r="BN255" i="82"/>
  <c r="BO255" i="82"/>
  <c r="BP255" i="82" s="1"/>
  <c r="Z175" i="82"/>
  <c r="AA175" i="82"/>
  <c r="AC175" i="82" s="1"/>
  <c r="AE175" i="82" s="1"/>
  <c r="AF175" i="82" s="1"/>
  <c r="BO320" i="82"/>
  <c r="BP320" i="82" s="1"/>
  <c r="BN320" i="82"/>
  <c r="BR211" i="82"/>
  <c r="BS211" i="82"/>
  <c r="BT211" i="82" s="1"/>
  <c r="BU211" i="82" s="1"/>
  <c r="BV211" i="82" s="1"/>
  <c r="BU101" i="82"/>
  <c r="N14" i="4"/>
  <c r="BR218" i="82"/>
  <c r="BS218" i="82"/>
  <c r="BT218" i="82" s="1"/>
  <c r="BU218" i="82" s="1"/>
  <c r="BV218" i="82" s="1"/>
  <c r="AG185" i="82"/>
  <c r="B14" i="87"/>
  <c r="B61" i="87"/>
  <c r="BN200" i="82"/>
  <c r="BO200" i="82"/>
  <c r="BP200" i="82" s="1"/>
  <c r="AT183" i="82"/>
  <c r="AK183" i="82"/>
  <c r="AO183" i="82" s="1"/>
  <c r="AN183" i="82"/>
  <c r="BT280" i="82"/>
  <c r="BR280" i="82"/>
  <c r="BS280" i="82"/>
  <c r="BJ138" i="82"/>
  <c r="BK136" i="82"/>
  <c r="AN144" i="82"/>
  <c r="AT144" i="82" s="1"/>
  <c r="AK144" i="82"/>
  <c r="AO144" i="82"/>
  <c r="O301" i="82"/>
  <c r="Q160" i="82"/>
  <c r="Q301" i="82" s="1"/>
  <c r="AD170" i="82"/>
  <c r="AG170" i="82" s="1"/>
  <c r="AV184" i="82"/>
  <c r="BT75" i="82"/>
  <c r="BV75" i="82" s="1"/>
  <c r="BX75" i="82" s="1"/>
  <c r="BZ75" i="82" s="1"/>
  <c r="CB75" i="82" s="1"/>
  <c r="CD75" i="82" s="1"/>
  <c r="CF75" i="82" s="1"/>
  <c r="CH75" i="82" s="1"/>
  <c r="CJ75" i="82" s="1"/>
  <c r="CL75" i="82" s="1"/>
  <c r="CN75" i="82" s="1"/>
  <c r="CP75" i="82" s="1"/>
  <c r="CR75" i="82" s="1"/>
  <c r="CT75" i="82" s="1"/>
  <c r="CV75" i="82" s="1"/>
  <c r="CX75" i="82" s="1"/>
  <c r="CZ75" i="82" s="1"/>
  <c r="DB75" i="82" s="1"/>
  <c r="DD75" i="82" s="1"/>
  <c r="DF75" i="82" s="1"/>
  <c r="DH75" i="82" s="1"/>
  <c r="DJ75" i="82" s="1"/>
  <c r="DL75" i="82" s="1"/>
  <c r="DN75" i="82" s="1"/>
  <c r="DP75" i="82" s="1"/>
  <c r="DR75" i="82" s="1"/>
  <c r="DT75" i="82" s="1"/>
  <c r="DV75" i="82" s="1"/>
  <c r="DX75" i="82" s="1"/>
  <c r="AG183" i="82"/>
  <c r="BS235" i="82"/>
  <c r="BT235" i="82"/>
  <c r="BR235" i="82"/>
  <c r="BR253" i="82"/>
  <c r="BS253" i="82"/>
  <c r="BT253" i="82" s="1"/>
  <c r="BT78" i="82"/>
  <c r="BV78" i="82" s="1"/>
  <c r="BX78" i="82" s="1"/>
  <c r="BZ78" i="82" s="1"/>
  <c r="CB78" i="82" s="1"/>
  <c r="CD78" i="82" s="1"/>
  <c r="CF78" i="82" s="1"/>
  <c r="CH78" i="82" s="1"/>
  <c r="CJ78" i="82" s="1"/>
  <c r="CL78" i="82" s="1"/>
  <c r="CN78" i="82" s="1"/>
  <c r="CP78" i="82" s="1"/>
  <c r="CR78" i="82" s="1"/>
  <c r="CT78" i="82" s="1"/>
  <c r="CV78" i="82" s="1"/>
  <c r="CX78" i="82" s="1"/>
  <c r="CZ78" i="82" s="1"/>
  <c r="DB78" i="82" s="1"/>
  <c r="DD78" i="82" s="1"/>
  <c r="DF78" i="82" s="1"/>
  <c r="DH78" i="82" s="1"/>
  <c r="DJ78" i="82" s="1"/>
  <c r="DL78" i="82" s="1"/>
  <c r="DN78" i="82" s="1"/>
  <c r="DP78" i="82" s="1"/>
  <c r="DR78" i="82" s="1"/>
  <c r="DT78" i="82" s="1"/>
  <c r="DV78" i="82" s="1"/>
  <c r="DX78" i="82" s="1"/>
  <c r="BR149" i="82"/>
  <c r="BS149" i="82"/>
  <c r="BT149" i="82" s="1"/>
  <c r="BU149" i="82" s="1"/>
  <c r="BS282" i="82"/>
  <c r="BR282" i="82"/>
  <c r="BT282" i="82"/>
  <c r="AD172" i="82"/>
  <c r="AG172" i="82" s="1"/>
  <c r="AQ117" i="82"/>
  <c r="AV189" i="82"/>
  <c r="BA190" i="82"/>
  <c r="BB190" i="82" s="1"/>
  <c r="BG190" i="82" s="1"/>
  <c r="BH190" i="82" s="1"/>
  <c r="BI190" i="82" s="1"/>
  <c r="BJ190" i="82" s="1"/>
  <c r="BV286" i="82"/>
  <c r="BS208" i="82"/>
  <c r="BT208" i="82" s="1"/>
  <c r="BU208" i="82" s="1"/>
  <c r="BV208" i="82" s="1"/>
  <c r="BR208" i="82"/>
  <c r="AP188" i="82"/>
  <c r="AS188" i="82"/>
  <c r="AU188" i="82" s="1"/>
  <c r="AV188" i="82" s="1"/>
  <c r="AR188" i="82"/>
  <c r="AD144" i="82"/>
  <c r="AG144" i="82" s="1"/>
  <c r="AD117" i="82"/>
  <c r="AG117" i="82" s="1"/>
  <c r="B28" i="87"/>
  <c r="D28" i="87" s="1"/>
  <c r="D38" i="65"/>
  <c r="G9" i="1"/>
  <c r="J9" i="1" s="1"/>
  <c r="F27" i="2"/>
  <c r="F31" i="2" s="1"/>
  <c r="C43" i="87"/>
  <c r="J40" i="1"/>
  <c r="B3" i="87"/>
  <c r="D23" i="87"/>
  <c r="K44" i="1"/>
  <c r="BU95" i="82"/>
  <c r="K29" i="10"/>
  <c r="K39" i="10" s="1"/>
  <c r="C16" i="27" s="1"/>
  <c r="B39" i="87"/>
  <c r="C38" i="87"/>
  <c r="C44" i="87"/>
  <c r="BU58" i="82"/>
  <c r="BV58" i="82" s="1"/>
  <c r="BW58" i="82" s="1"/>
  <c r="BX58" i="82" s="1"/>
  <c r="BN74" i="82"/>
  <c r="BO74" i="82"/>
  <c r="BP74" i="82" s="1"/>
  <c r="BW277" i="82"/>
  <c r="BX277" i="82" s="1"/>
  <c r="BY277" i="82" s="1"/>
  <c r="BZ277" i="82" s="1"/>
  <c r="CA277" i="82" s="1"/>
  <c r="CB277" i="82" s="1"/>
  <c r="BU321" i="82"/>
  <c r="BV321" i="82"/>
  <c r="BW321" i="82" s="1"/>
  <c r="BX321" i="82" s="1"/>
  <c r="BY321" i="82" s="1"/>
  <c r="BY307" i="82"/>
  <c r="BZ307" i="82" s="1"/>
  <c r="CA307" i="82" s="1"/>
  <c r="CB307" i="82" s="1"/>
  <c r="BU223" i="82"/>
  <c r="BV223" i="82" s="1"/>
  <c r="BW223" i="82" s="1"/>
  <c r="BX223" i="82" s="1"/>
  <c r="BS219" i="82"/>
  <c r="BT219" i="82"/>
  <c r="BR219" i="82"/>
  <c r="BN247" i="82"/>
  <c r="BO247" i="82"/>
  <c r="BP247" i="82" s="1"/>
  <c r="BY244" i="82"/>
  <c r="BZ244" i="82" s="1"/>
  <c r="AC141" i="82"/>
  <c r="AD141" i="82" s="1"/>
  <c r="D25" i="65"/>
  <c r="D75" i="65"/>
  <c r="BS202" i="82"/>
  <c r="BR202" i="82"/>
  <c r="BT202" i="82"/>
  <c r="AD174" i="82"/>
  <c r="AC174" i="82"/>
  <c r="AE174" i="82" s="1"/>
  <c r="AF174" i="82" s="1"/>
  <c r="AV182" i="82"/>
  <c r="BO206" i="82"/>
  <c r="BP206" i="82" s="1"/>
  <c r="BN206" i="82"/>
  <c r="BU324" i="82"/>
  <c r="BV324" i="82" s="1"/>
  <c r="BW324" i="82" s="1"/>
  <c r="BX324" i="82" s="1"/>
  <c r="AT178" i="82"/>
  <c r="AN178" i="82"/>
  <c r="AK178" i="82"/>
  <c r="AO178" i="82"/>
  <c r="AP178" i="82"/>
  <c r="AR178" i="82" s="1"/>
  <c r="AS145" i="82"/>
  <c r="BU249" i="82"/>
  <c r="BV249" i="82" s="1"/>
  <c r="AU143" i="82"/>
  <c r="BV101" i="82"/>
  <c r="BR214" i="82"/>
  <c r="BS214" i="82"/>
  <c r="BT214" i="82" s="1"/>
  <c r="BU214" i="82" s="1"/>
  <c r="BV214" i="82" s="1"/>
  <c r="BW214" i="82" s="1"/>
  <c r="BX214" i="82" s="1"/>
  <c r="BR314" i="82"/>
  <c r="BS314" i="82"/>
  <c r="BT314" i="82" s="1"/>
  <c r="BS125" i="82"/>
  <c r="BT125" i="82" s="1"/>
  <c r="BU125" i="82" s="1"/>
  <c r="BV125" i="82" s="1"/>
  <c r="BW125" i="82" s="1"/>
  <c r="BX125" i="82" s="1"/>
  <c r="BZ125" i="82" s="1"/>
  <c r="CB125" i="82" s="1"/>
  <c r="CD125" i="82" s="1"/>
  <c r="CF125" i="82" s="1"/>
  <c r="CH125" i="82" s="1"/>
  <c r="CJ125" i="82" s="1"/>
  <c r="CL125" i="82" s="1"/>
  <c r="CN125" i="82" s="1"/>
  <c r="CP125" i="82" s="1"/>
  <c r="CR125" i="82" s="1"/>
  <c r="CT125" i="82" s="1"/>
  <c r="CV125" i="82" s="1"/>
  <c r="CX125" i="82" s="1"/>
  <c r="CZ125" i="82" s="1"/>
  <c r="DB125" i="82" s="1"/>
  <c r="DD125" i="82" s="1"/>
  <c r="DF125" i="82" s="1"/>
  <c r="DH125" i="82" s="1"/>
  <c r="DJ125" i="82" s="1"/>
  <c r="DL125" i="82" s="1"/>
  <c r="DN125" i="82" s="1"/>
  <c r="DP125" i="82" s="1"/>
  <c r="DR125" i="82" s="1"/>
  <c r="DT125" i="82" s="1"/>
  <c r="BR125" i="82"/>
  <c r="BS309" i="82"/>
  <c r="BT309" i="82" s="1"/>
  <c r="BU309" i="82" s="1"/>
  <c r="BV309" i="82" s="1"/>
  <c r="BR309" i="82"/>
  <c r="BR241" i="82"/>
  <c r="BS241" i="82"/>
  <c r="BT241" i="82" s="1"/>
  <c r="BR260" i="82"/>
  <c r="BS260" i="82"/>
  <c r="BT260" i="82" s="1"/>
  <c r="BS263" i="82"/>
  <c r="BT263" i="82" s="1"/>
  <c r="BR263" i="82"/>
  <c r="BR82" i="82"/>
  <c r="BS82" i="82"/>
  <c r="E30" i="7"/>
  <c r="C36" i="7"/>
  <c r="E11" i="2" s="1"/>
  <c r="AK185" i="82"/>
  <c r="AO185" i="82" s="1"/>
  <c r="AN185" i="82"/>
  <c r="AT185" i="82" s="1"/>
  <c r="AV147" i="82"/>
  <c r="X140" i="82"/>
  <c r="Z140" i="82" s="1"/>
  <c r="AE164" i="82"/>
  <c r="AF164" i="82" s="1"/>
  <c r="AG176" i="82"/>
  <c r="BU288" i="82"/>
  <c r="BV288" i="82"/>
  <c r="J42" i="1"/>
  <c r="D41" i="65"/>
  <c r="BR251" i="82"/>
  <c r="BS251" i="82"/>
  <c r="BT251" i="82" s="1"/>
  <c r="BU251" i="82" s="1"/>
  <c r="BV251" i="82" s="1"/>
  <c r="BR215" i="82"/>
  <c r="BS215" i="82"/>
  <c r="BT215" i="82"/>
  <c r="BS322" i="82"/>
  <c r="BT322" i="82" s="1"/>
  <c r="BR322" i="82"/>
  <c r="BS318" i="82"/>
  <c r="BT318" i="82" s="1"/>
  <c r="BR318" i="82"/>
  <c r="AD178" i="82"/>
  <c r="AG178" i="82" s="1"/>
  <c r="BU225" i="82"/>
  <c r="BV225" i="82" s="1"/>
  <c r="BS80" i="82"/>
  <c r="BR80" i="82"/>
  <c r="BI188" i="82"/>
  <c r="BJ188" i="82" s="1"/>
  <c r="BW274" i="82"/>
  <c r="BX274" i="82"/>
  <c r="BN71" i="82"/>
  <c r="BP71" i="82"/>
  <c r="BR71" i="82" s="1"/>
  <c r="BT71" i="82" s="1"/>
  <c r="BV71" i="82" s="1"/>
  <c r="BX71" i="82" s="1"/>
  <c r="BZ71" i="82" s="1"/>
  <c r="CB71" i="82" s="1"/>
  <c r="CD71" i="82" s="1"/>
  <c r="CF71" i="82" s="1"/>
  <c r="CH71" i="82" s="1"/>
  <c r="CJ71" i="82" s="1"/>
  <c r="CL71" i="82" s="1"/>
  <c r="CN71" i="82" s="1"/>
  <c r="CP71" i="82" s="1"/>
  <c r="CR71" i="82" s="1"/>
  <c r="CT71" i="82" s="1"/>
  <c r="CV71" i="82" s="1"/>
  <c r="CX71" i="82" s="1"/>
  <c r="CZ71" i="82" s="1"/>
  <c r="DB71" i="82" s="1"/>
  <c r="DD71" i="82" s="1"/>
  <c r="DF71" i="82" s="1"/>
  <c r="DH71" i="82" s="1"/>
  <c r="DJ71" i="82" s="1"/>
  <c r="DL71" i="82" s="1"/>
  <c r="DN71" i="82" s="1"/>
  <c r="DP71" i="82" s="1"/>
  <c r="DR71" i="82" s="1"/>
  <c r="BU250" i="82"/>
  <c r="BV250" i="82" s="1"/>
  <c r="BS305" i="82"/>
  <c r="BT305" i="82" s="1"/>
  <c r="BR305" i="82"/>
  <c r="BA191" i="82"/>
  <c r="BB191" i="82" s="1"/>
  <c r="BW85" i="82"/>
  <c r="BX85" i="82" s="1"/>
  <c r="AV65" i="82"/>
  <c r="AX65" i="82"/>
  <c r="AY65" i="82" s="1"/>
  <c r="BW252" i="82"/>
  <c r="BX252" i="82" s="1"/>
  <c r="AX120" i="82"/>
  <c r="AY120" i="82" s="1"/>
  <c r="BU150" i="82"/>
  <c r="BV150" i="82"/>
  <c r="AO109" i="82"/>
  <c r="AN109" i="82"/>
  <c r="AT109" i="82" s="1"/>
  <c r="AK109" i="82"/>
  <c r="BW278" i="82"/>
  <c r="BX278" i="82" s="1"/>
  <c r="BR222" i="82"/>
  <c r="BS222" i="82"/>
  <c r="BT222" i="82" s="1"/>
  <c r="BW211" i="82"/>
  <c r="BX211" i="82"/>
  <c r="BA192" i="82"/>
  <c r="BB192" i="82" s="1"/>
  <c r="BS79" i="82"/>
  <c r="BR79" i="82"/>
  <c r="BT79" i="82" s="1"/>
  <c r="BV79" i="82" s="1"/>
  <c r="BX79" i="82" s="1"/>
  <c r="BZ79" i="82" s="1"/>
  <c r="CB79" i="82" s="1"/>
  <c r="CD79" i="82" s="1"/>
  <c r="CF79" i="82" s="1"/>
  <c r="CH79" i="82" s="1"/>
  <c r="CJ79" i="82" s="1"/>
  <c r="CL79" i="82" s="1"/>
  <c r="CN79" i="82" s="1"/>
  <c r="CP79" i="82" s="1"/>
  <c r="CR79" i="82" s="1"/>
  <c r="CT79" i="82" s="1"/>
  <c r="CV79" i="82" s="1"/>
  <c r="CX79" i="82" s="1"/>
  <c r="CZ79" i="82" s="1"/>
  <c r="DB79" i="82" s="1"/>
  <c r="DD79" i="82" s="1"/>
  <c r="DF79" i="82" s="1"/>
  <c r="DH79" i="82" s="1"/>
  <c r="DJ79" i="82" s="1"/>
  <c r="DL79" i="82" s="1"/>
  <c r="DN79" i="82" s="1"/>
  <c r="DP79" i="82" s="1"/>
  <c r="DR79" i="82" s="1"/>
  <c r="DT79" i="82" s="1"/>
  <c r="DV79" i="82" s="1"/>
  <c r="DX79" i="82" s="1"/>
  <c r="BU248" i="82"/>
  <c r="BV248" i="82" s="1"/>
  <c r="BW309" i="82"/>
  <c r="BX309" i="82"/>
  <c r="BK195" i="82"/>
  <c r="BL195" i="82" s="1"/>
  <c r="BW218" i="82"/>
  <c r="BX218" i="82" s="1"/>
  <c r="BR243" i="82"/>
  <c r="BS243" i="82"/>
  <c r="BT243" i="82" s="1"/>
  <c r="BG147" i="82"/>
  <c r="BH147" i="82" s="1"/>
  <c r="BR234" i="82"/>
  <c r="BS234" i="82"/>
  <c r="BT234" i="82" s="1"/>
  <c r="BW269" i="82"/>
  <c r="BX269" i="82" s="1"/>
  <c r="CA272" i="82"/>
  <c r="CB272" i="82"/>
  <c r="CA311" i="82"/>
  <c r="CB311" i="82" s="1"/>
  <c r="AS146" i="82"/>
  <c r="AP146" i="82"/>
  <c r="AR146" i="82" s="1"/>
  <c r="AQ146" i="82"/>
  <c r="W106" i="82"/>
  <c r="X106" i="82" s="1"/>
  <c r="AC161" i="82"/>
  <c r="BW126" i="82"/>
  <c r="BX126" i="82" s="1"/>
  <c r="BY126" i="82" s="1"/>
  <c r="BR57" i="82"/>
  <c r="BS57" i="82" s="1"/>
  <c r="BT57" i="82" s="1"/>
  <c r="BU204" i="82"/>
  <c r="BV204" i="82" s="1"/>
  <c r="AC168" i="82"/>
  <c r="AD168" i="82" s="1"/>
  <c r="BR213" i="82"/>
  <c r="BS213" i="82"/>
  <c r="BT213" i="82" s="1"/>
  <c r="BW270" i="82"/>
  <c r="BX270" i="82" s="1"/>
  <c r="BR217" i="82"/>
  <c r="BS217" i="82"/>
  <c r="BT217" i="82" s="1"/>
  <c r="CA326" i="82"/>
  <c r="CB326" i="82" s="1"/>
  <c r="BU227" i="82"/>
  <c r="BV227" i="82" s="1"/>
  <c r="BY284" i="82"/>
  <c r="BZ284" i="82" s="1"/>
  <c r="BU275" i="82"/>
  <c r="BV275" i="82" s="1"/>
  <c r="BR313" i="82"/>
  <c r="BS313" i="82"/>
  <c r="BT313" i="82"/>
  <c r="BW228" i="82"/>
  <c r="BX228" i="82" s="1"/>
  <c r="BW86" i="82"/>
  <c r="BX86" i="82" s="1"/>
  <c r="BS77" i="82"/>
  <c r="BR77" i="82"/>
  <c r="BT77" i="82" s="1"/>
  <c r="BV77" i="82" s="1"/>
  <c r="BX77" i="82" s="1"/>
  <c r="BZ77" i="82" s="1"/>
  <c r="CB77" i="82" s="1"/>
  <c r="CD77" i="82" s="1"/>
  <c r="CF77" i="82" s="1"/>
  <c r="CH77" i="82" s="1"/>
  <c r="CJ77" i="82" s="1"/>
  <c r="CL77" i="82" s="1"/>
  <c r="CN77" i="82" s="1"/>
  <c r="CP77" i="82" s="1"/>
  <c r="CR77" i="82" s="1"/>
  <c r="CT77" i="82" s="1"/>
  <c r="CV77" i="82" s="1"/>
  <c r="CX77" i="82" s="1"/>
  <c r="CZ77" i="82" s="1"/>
  <c r="DB77" i="82" s="1"/>
  <c r="DD77" i="82" s="1"/>
  <c r="DF77" i="82" s="1"/>
  <c r="DH77" i="82" s="1"/>
  <c r="DJ77" i="82" s="1"/>
  <c r="DL77" i="82" s="1"/>
  <c r="DN77" i="82" s="1"/>
  <c r="DP77" i="82" s="1"/>
  <c r="DR77" i="82" s="1"/>
  <c r="DT77" i="82" s="1"/>
  <c r="DV77" i="82" s="1"/>
  <c r="DX77" i="82" s="1"/>
  <c r="DX125" i="82"/>
  <c r="DV125" i="82"/>
  <c r="CA129" i="82"/>
  <c r="CB129" i="82" s="1"/>
  <c r="BW279" i="82"/>
  <c r="BX279" i="82" s="1"/>
  <c r="AC114" i="82"/>
  <c r="AE114" i="82" s="1"/>
  <c r="AF114" i="82" s="1"/>
  <c r="CA319" i="82"/>
  <c r="CB319" i="82" s="1"/>
  <c r="BR308" i="82"/>
  <c r="BS308" i="82"/>
  <c r="BT308" i="82" s="1"/>
  <c r="BO76" i="82"/>
  <c r="BP76" i="82" s="1"/>
  <c r="BN76" i="82"/>
  <c r="BU137" i="82"/>
  <c r="BV137" i="82" s="1"/>
  <c r="Z63" i="82"/>
  <c r="BU290" i="82"/>
  <c r="BV290" i="82" s="1"/>
  <c r="BU220" i="82"/>
  <c r="BV220" i="82" s="1"/>
  <c r="BU316" i="82"/>
  <c r="BV316" i="82" s="1"/>
  <c r="BS325" i="82"/>
  <c r="BT325" i="82" s="1"/>
  <c r="BR325" i="82"/>
  <c r="BU283" i="82"/>
  <c r="BV283" i="82" s="1"/>
  <c r="BW257" i="82"/>
  <c r="BX257" i="82"/>
  <c r="BU209" i="82"/>
  <c r="BV209" i="82" s="1"/>
  <c r="BY266" i="82"/>
  <c r="BZ266" i="82" s="1"/>
  <c r="BV229" i="82"/>
  <c r="BU229" i="82"/>
  <c r="BW246" i="82"/>
  <c r="BX246" i="82" s="1"/>
  <c r="BU276" i="82"/>
  <c r="BV276" i="82"/>
  <c r="BW271" i="82"/>
  <c r="BX271" i="82" s="1"/>
  <c r="BS226" i="82"/>
  <c r="BT226" i="82" s="1"/>
  <c r="BR226" i="82"/>
  <c r="BR315" i="82"/>
  <c r="BS315" i="82"/>
  <c r="BT315" i="82" s="1"/>
  <c r="BS256" i="82"/>
  <c r="BT256" i="82" s="1"/>
  <c r="BR256" i="82"/>
  <c r="BN304" i="82"/>
  <c r="BO304" i="82"/>
  <c r="BL330" i="82"/>
  <c r="BI197" i="82"/>
  <c r="BJ197" i="82" s="1"/>
  <c r="BW251" i="82"/>
  <c r="BX251" i="82" s="1"/>
  <c r="BU123" i="82"/>
  <c r="BV123" i="82" s="1"/>
  <c r="BS201" i="82"/>
  <c r="BT201" i="82" s="1"/>
  <c r="BR201" i="82"/>
  <c r="BR212" i="82"/>
  <c r="BS212" i="82"/>
  <c r="BT212" i="82" s="1"/>
  <c r="BR254" i="82"/>
  <c r="BS254" i="82"/>
  <c r="BT254" i="82" s="1"/>
  <c r="BU153" i="82"/>
  <c r="BV153" i="82" s="1"/>
  <c r="AP122" i="82"/>
  <c r="AS122" i="82"/>
  <c r="AU122" i="82" s="1"/>
  <c r="AQ122" i="82"/>
  <c r="AN175" i="82"/>
  <c r="AT175" i="82" s="1"/>
  <c r="AK175" i="82"/>
  <c r="AO175" i="82" s="1"/>
  <c r="BW240" i="82"/>
  <c r="BX240" i="82" s="1"/>
  <c r="X158" i="82"/>
  <c r="AX119" i="82"/>
  <c r="AY119" i="82" s="1"/>
  <c r="AC171" i="82"/>
  <c r="AE171" i="82" s="1"/>
  <c r="AF171" i="82" s="1"/>
  <c r="AC180" i="82"/>
  <c r="AE180" i="82" s="1"/>
  <c r="AF180" i="82" s="1"/>
  <c r="BU258" i="82"/>
  <c r="BV258" i="82" s="1"/>
  <c r="Z167" i="82"/>
  <c r="AA167" i="82" s="1"/>
  <c r="X165" i="82"/>
  <c r="T9" i="82"/>
  <c r="R59" i="82"/>
  <c r="J23" i="1"/>
  <c r="D32" i="65"/>
  <c r="AD109" i="82"/>
  <c r="AG109" i="82" s="1"/>
  <c r="BU236" i="82"/>
  <c r="BV236" i="82" s="1"/>
  <c r="W62" i="82"/>
  <c r="W95" i="82" s="1"/>
  <c r="U95" i="82"/>
  <c r="AX184" i="82"/>
  <c r="AY184" i="82" s="1"/>
  <c r="BU221" i="82"/>
  <c r="BV221" i="82"/>
  <c r="BR265" i="82"/>
  <c r="BS265" i="82"/>
  <c r="BT265" i="82" s="1"/>
  <c r="BU285" i="82"/>
  <c r="BV285" i="82" s="1"/>
  <c r="AD108" i="82"/>
  <c r="AG108" i="82" s="1"/>
  <c r="BR230" i="82"/>
  <c r="BS230" i="82"/>
  <c r="BT230" i="82" s="1"/>
  <c r="BI198" i="82"/>
  <c r="BJ198" i="82" s="1"/>
  <c r="BN69" i="82"/>
  <c r="BP69" i="82"/>
  <c r="BR69" i="82" s="1"/>
  <c r="BT69" i="82" s="1"/>
  <c r="BV69" i="82" s="1"/>
  <c r="BX69" i="82" s="1"/>
  <c r="BZ69" i="82" s="1"/>
  <c r="CB69" i="82" s="1"/>
  <c r="CD69" i="82" s="1"/>
  <c r="CF69" i="82" s="1"/>
  <c r="CH69" i="82" s="1"/>
  <c r="CJ69" i="82" s="1"/>
  <c r="CL69" i="82" s="1"/>
  <c r="CN69" i="82" s="1"/>
  <c r="CP69" i="82" s="1"/>
  <c r="CR69" i="82" s="1"/>
  <c r="CT69" i="82" s="1"/>
  <c r="CV69" i="82" s="1"/>
  <c r="CX69" i="82" s="1"/>
  <c r="CZ69" i="82" s="1"/>
  <c r="DB69" i="82" s="1"/>
  <c r="DD69" i="82" s="1"/>
  <c r="DF69" i="82" s="1"/>
  <c r="DH69" i="82" s="1"/>
  <c r="DJ69" i="82" s="1"/>
  <c r="DL69" i="82" s="1"/>
  <c r="DN69" i="82" s="1"/>
  <c r="DP69" i="82" s="1"/>
  <c r="DR69" i="82" s="1"/>
  <c r="BS231" i="82"/>
  <c r="BT231" i="82" s="1"/>
  <c r="BR231" i="82"/>
  <c r="BU268" i="82"/>
  <c r="BV268" i="82" s="1"/>
  <c r="AX98" i="82"/>
  <c r="AY98" i="82" s="1"/>
  <c r="BN199" i="82"/>
  <c r="BO199" i="82"/>
  <c r="BP199" i="82" s="1"/>
  <c r="BW286" i="82"/>
  <c r="BX286" i="82" s="1"/>
  <c r="BA181" i="82"/>
  <c r="BB181" i="82" s="1"/>
  <c r="AX182" i="82"/>
  <c r="AY182" i="82" s="1"/>
  <c r="AC163" i="82"/>
  <c r="AE163" i="82" s="1"/>
  <c r="AF163" i="82" s="1"/>
  <c r="AC118" i="82"/>
  <c r="AD118" i="82" s="1"/>
  <c r="BU310" i="82"/>
  <c r="BV310" i="82" s="1"/>
  <c r="BI186" i="82"/>
  <c r="BJ186" i="82" s="1"/>
  <c r="U134" i="82"/>
  <c r="W97" i="82"/>
  <c r="BU238" i="82"/>
  <c r="BV238" i="82" s="1"/>
  <c r="T134" i="82"/>
  <c r="AD175" i="82"/>
  <c r="AG175" i="82" s="1"/>
  <c r="X110" i="82"/>
  <c r="AX142" i="82"/>
  <c r="AY142" i="82" s="1"/>
  <c r="X99" i="82"/>
  <c r="AN172" i="82"/>
  <c r="AT172" i="82" s="1"/>
  <c r="AK172" i="82"/>
  <c r="AO172" i="82" s="1"/>
  <c r="AA173" i="82"/>
  <c r="AV193" i="82"/>
  <c r="AN170" i="82"/>
  <c r="AT170" i="82" s="1"/>
  <c r="AK170" i="82"/>
  <c r="AO170" i="82" s="1"/>
  <c r="BL70" i="82"/>
  <c r="BK70" i="82"/>
  <c r="BK95" i="82" s="1"/>
  <c r="AN115" i="82"/>
  <c r="AT115" i="82" s="1"/>
  <c r="AK115" i="82"/>
  <c r="AO115" i="82" s="1"/>
  <c r="AT176" i="82"/>
  <c r="AK176" i="82"/>
  <c r="AO176" i="82" s="1"/>
  <c r="AS176" i="82" s="1"/>
  <c r="AN176" i="82"/>
  <c r="X116" i="82"/>
  <c r="AC166" i="82"/>
  <c r="AE166" i="82" s="1"/>
  <c r="AF166" i="82" s="1"/>
  <c r="AX145" i="82"/>
  <c r="AY145" i="82" s="1"/>
  <c r="Z104" i="82"/>
  <c r="AP143" i="82"/>
  <c r="AR143" i="82" s="1"/>
  <c r="BT303" i="82"/>
  <c r="T95" i="82"/>
  <c r="AV187" i="82"/>
  <c r="BR306" i="82"/>
  <c r="BS306" i="82"/>
  <c r="BT306" i="82" s="1"/>
  <c r="BU239" i="82"/>
  <c r="BV239" i="82" s="1"/>
  <c r="BU242" i="82"/>
  <c r="BV242" i="82"/>
  <c r="BA194" i="82"/>
  <c r="BB194" i="82" s="1"/>
  <c r="BX233" i="82"/>
  <c r="BW233" i="82"/>
  <c r="AR122" i="82"/>
  <c r="X162" i="82"/>
  <c r="BU128" i="82"/>
  <c r="BV128" i="82" s="1"/>
  <c r="BS151" i="82"/>
  <c r="BT151" i="82" s="1"/>
  <c r="BR151" i="82"/>
  <c r="BN317" i="82"/>
  <c r="BO317" i="82"/>
  <c r="BP317" i="82" s="1"/>
  <c r="BN68" i="82"/>
  <c r="BP68" i="82"/>
  <c r="BR68" i="82" s="1"/>
  <c r="BT68" i="82" s="1"/>
  <c r="BV68" i="82" s="1"/>
  <c r="BX68" i="82" s="1"/>
  <c r="BZ68" i="82" s="1"/>
  <c r="CB68" i="82" s="1"/>
  <c r="CD68" i="82" s="1"/>
  <c r="CF68" i="82" s="1"/>
  <c r="CH68" i="82" s="1"/>
  <c r="CJ68" i="82" s="1"/>
  <c r="CL68" i="82" s="1"/>
  <c r="CN68" i="82" s="1"/>
  <c r="CP68" i="82" s="1"/>
  <c r="CR68" i="82" s="1"/>
  <c r="CT68" i="82" s="1"/>
  <c r="CV68" i="82" s="1"/>
  <c r="CX68" i="82" s="1"/>
  <c r="CZ68" i="82" s="1"/>
  <c r="DB68" i="82" s="1"/>
  <c r="DD68" i="82" s="1"/>
  <c r="DF68" i="82" s="1"/>
  <c r="DH68" i="82" s="1"/>
  <c r="DJ68" i="82" s="1"/>
  <c r="DL68" i="82" s="1"/>
  <c r="DN68" i="82" s="1"/>
  <c r="DP68" i="82" s="1"/>
  <c r="DR68" i="82" s="1"/>
  <c r="AX193" i="82"/>
  <c r="AY193" i="82" s="1"/>
  <c r="BI196" i="82"/>
  <c r="BJ196" i="82" s="1"/>
  <c r="AN164" i="82"/>
  <c r="AT164" i="82" s="1"/>
  <c r="AO164" i="82"/>
  <c r="AS164" i="82" s="1"/>
  <c r="AK164" i="82"/>
  <c r="AN179" i="82"/>
  <c r="AT179" i="82" s="1"/>
  <c r="AK179" i="82"/>
  <c r="AO179" i="82" s="1"/>
  <c r="BU264" i="82"/>
  <c r="BV264" i="82" s="1"/>
  <c r="BW289" i="82"/>
  <c r="BX289" i="82" s="1"/>
  <c r="BS261" i="82"/>
  <c r="BT261" i="82" s="1"/>
  <c r="BR261" i="82"/>
  <c r="BU273" i="82"/>
  <c r="BV273" i="82" s="1"/>
  <c r="CC207" i="82"/>
  <c r="CD207" i="82" s="1"/>
  <c r="BA121" i="82"/>
  <c r="BB121" i="82" s="1"/>
  <c r="AS120" i="82"/>
  <c r="AU120" i="82" s="1"/>
  <c r="AV120" i="82" s="1"/>
  <c r="BN148" i="82"/>
  <c r="BO148" i="82"/>
  <c r="BP148" i="82" s="1"/>
  <c r="BU205" i="82"/>
  <c r="BV205" i="82" s="1"/>
  <c r="BU127" i="82"/>
  <c r="BV127" i="82" s="1"/>
  <c r="AQ67" i="82"/>
  <c r="AS67" i="82"/>
  <c r="AU67" i="82" s="1"/>
  <c r="AR67" i="82"/>
  <c r="AP67" i="82"/>
  <c r="AP95" i="82" s="1"/>
  <c r="AU146" i="82"/>
  <c r="AV146" i="82" s="1"/>
  <c r="AC169" i="82"/>
  <c r="AE169" i="82" s="1"/>
  <c r="AF169" i="82" s="1"/>
  <c r="AE161" i="82"/>
  <c r="AF161" i="82" s="1"/>
  <c r="AQ143" i="82"/>
  <c r="BR81" i="82"/>
  <c r="BS81" i="82"/>
  <c r="BU232" i="82"/>
  <c r="BV232" i="82" s="1"/>
  <c r="D35" i="65"/>
  <c r="J24" i="1"/>
  <c r="BW102" i="82"/>
  <c r="BX102" i="82" s="1"/>
  <c r="BY102" i="82" s="1"/>
  <c r="AE168" i="82"/>
  <c r="AF168" i="82" s="1"/>
  <c r="BU323" i="82"/>
  <c r="BV323" i="82" s="1"/>
  <c r="AX66" i="82"/>
  <c r="AY66" i="82" s="1"/>
  <c r="AV66" i="82"/>
  <c r="BU281" i="82"/>
  <c r="BV281" i="82" s="1"/>
  <c r="AC177" i="82"/>
  <c r="AE177" i="82" s="1"/>
  <c r="AF177" i="82" s="1"/>
  <c r="BN72" i="82"/>
  <c r="BP72" i="82"/>
  <c r="BR72" i="82" s="1"/>
  <c r="BT72" i="82" s="1"/>
  <c r="BV72" i="82" s="1"/>
  <c r="BX72" i="82" s="1"/>
  <c r="BZ72" i="82" s="1"/>
  <c r="CB72" i="82" s="1"/>
  <c r="CD72" i="82" s="1"/>
  <c r="CF72" i="82" s="1"/>
  <c r="CH72" i="82" s="1"/>
  <c r="CJ72" i="82" s="1"/>
  <c r="CL72" i="82" s="1"/>
  <c r="CN72" i="82" s="1"/>
  <c r="CP72" i="82" s="1"/>
  <c r="CR72" i="82" s="1"/>
  <c r="CT72" i="82" s="1"/>
  <c r="CV72" i="82" s="1"/>
  <c r="CX72" i="82" s="1"/>
  <c r="CZ72" i="82" s="1"/>
  <c r="DB72" i="82" s="1"/>
  <c r="DD72" i="82" s="1"/>
  <c r="DF72" i="82" s="1"/>
  <c r="DH72" i="82" s="1"/>
  <c r="DJ72" i="82" s="1"/>
  <c r="DL72" i="82" s="1"/>
  <c r="DN72" i="82" s="1"/>
  <c r="DP72" i="82" s="1"/>
  <c r="DR72" i="82" s="1"/>
  <c r="BR245" i="82"/>
  <c r="BS245" i="82"/>
  <c r="BT245" i="82" s="1"/>
  <c r="BU202" i="82"/>
  <c r="BV202" i="82" s="1"/>
  <c r="BU203" i="82"/>
  <c r="BV203" i="82" s="1"/>
  <c r="BS262" i="82"/>
  <c r="BT262" i="82" s="1"/>
  <c r="BR262" i="82"/>
  <c r="BU124" i="82"/>
  <c r="BV124" i="82" s="1"/>
  <c r="D632" i="71"/>
  <c r="D634" i="71" s="1"/>
  <c r="BV149" i="82"/>
  <c r="W107" i="82"/>
  <c r="AP120" i="82"/>
  <c r="BW287" i="82"/>
  <c r="BX287" i="82" s="1"/>
  <c r="BN73" i="82"/>
  <c r="BO73" i="82"/>
  <c r="BS312" i="82"/>
  <c r="BT312" i="82" s="1"/>
  <c r="BR312" i="82"/>
  <c r="BU216" i="82"/>
  <c r="BV216" i="82" s="1"/>
  <c r="AX117" i="82"/>
  <c r="AY117" i="82" s="1"/>
  <c r="AV117" i="82"/>
  <c r="AU145" i="82"/>
  <c r="AV145" i="82" s="1"/>
  <c r="BR152" i="82"/>
  <c r="BS152" i="82"/>
  <c r="BU237" i="82"/>
  <c r="BV237" i="82" s="1"/>
  <c r="AX189" i="82"/>
  <c r="AY189" i="82" s="1"/>
  <c r="BV267" i="82"/>
  <c r="BU267" i="82"/>
  <c r="BS210" i="82"/>
  <c r="BT210" i="82" s="1"/>
  <c r="BR210" i="82"/>
  <c r="BW259" i="82"/>
  <c r="BX259" i="82" s="1"/>
  <c r="BW101" i="82"/>
  <c r="BX101" i="82" s="1"/>
  <c r="BZ101" i="82" s="1"/>
  <c r="CB101" i="82" s="1"/>
  <c r="CD101" i="82" s="1"/>
  <c r="CF101" i="82" s="1"/>
  <c r="CH101" i="82" s="1"/>
  <c r="CJ101" i="82" s="1"/>
  <c r="CL101" i="82" s="1"/>
  <c r="CN101" i="82" s="1"/>
  <c r="CP101" i="82" s="1"/>
  <c r="CR101" i="82" s="1"/>
  <c r="CT101" i="82" s="1"/>
  <c r="CV101" i="82" s="1"/>
  <c r="CX101" i="82" s="1"/>
  <c r="CZ101" i="82" s="1"/>
  <c r="DB101" i="82" s="1"/>
  <c r="DD101" i="82" s="1"/>
  <c r="DF101" i="82" s="1"/>
  <c r="DH101" i="82" s="1"/>
  <c r="DJ101" i="82" s="1"/>
  <c r="DL101" i="82" s="1"/>
  <c r="DN101" i="82" s="1"/>
  <c r="DP101" i="82" s="1"/>
  <c r="DR101" i="82" s="1"/>
  <c r="DT101" i="82" s="1"/>
  <c r="BW327" i="82"/>
  <c r="BX327" i="82" s="1"/>
  <c r="AK108" i="82"/>
  <c r="AO108" i="82" s="1"/>
  <c r="AN108" i="82"/>
  <c r="AT108" i="82" s="1"/>
  <c r="BK330" i="82"/>
  <c r="AG164" i="82"/>
  <c r="AC64" i="82"/>
  <c r="AE64" i="82" s="1"/>
  <c r="AF64" i="82" s="1"/>
  <c r="AG115" i="82"/>
  <c r="AX187" i="82"/>
  <c r="AY187" i="82" s="1"/>
  <c r="BW208" i="82" l="1"/>
  <c r="BX208" i="82" s="1"/>
  <c r="BY208" i="82" s="1"/>
  <c r="BZ208" i="82" s="1"/>
  <c r="AD61" i="82"/>
  <c r="AE61" i="82"/>
  <c r="BW224" i="82"/>
  <c r="BX224" i="82" s="1"/>
  <c r="BY224" i="82" s="1"/>
  <c r="BZ224" i="82" s="1"/>
  <c r="BR320" i="82"/>
  <c r="BS320" i="82"/>
  <c r="BT320" i="82" s="1"/>
  <c r="BU320" i="82" s="1"/>
  <c r="BV320" i="82" s="1"/>
  <c r="AD64" i="82"/>
  <c r="AG64" i="82" s="1"/>
  <c r="BU282" i="82"/>
  <c r="BV282" i="82" s="1"/>
  <c r="AS109" i="82"/>
  <c r="BU235" i="82"/>
  <c r="BV235" i="82" s="1"/>
  <c r="BW235" i="82" s="1"/>
  <c r="BX235" i="82" s="1"/>
  <c r="BY235" i="82" s="1"/>
  <c r="BZ235" i="82" s="1"/>
  <c r="BK138" i="82"/>
  <c r="BL136" i="82"/>
  <c r="BU280" i="82"/>
  <c r="BV280" i="82" s="1"/>
  <c r="BW280" i="82" s="1"/>
  <c r="BX280" i="82" s="1"/>
  <c r="BY280" i="82" s="1"/>
  <c r="BZ280" i="82" s="1"/>
  <c r="AP183" i="82"/>
  <c r="AR183" i="82" s="1"/>
  <c r="AS183" i="82"/>
  <c r="AU183" i="82" s="1"/>
  <c r="AV183" i="82" s="1"/>
  <c r="BU253" i="82"/>
  <c r="BV253" i="82" s="1"/>
  <c r="BW253" i="82" s="1"/>
  <c r="BX253" i="82" s="1"/>
  <c r="BY253" i="82" s="1"/>
  <c r="BZ253" i="82" s="1"/>
  <c r="AP144" i="82"/>
  <c r="AR144" i="82" s="1"/>
  <c r="AQ144" i="82"/>
  <c r="AS144" i="82"/>
  <c r="AU144" i="82" s="1"/>
  <c r="AQ183" i="82"/>
  <c r="AX183" i="82" s="1"/>
  <c r="AY183" i="82" s="1"/>
  <c r="BA183" i="82" s="1"/>
  <c r="BB183" i="82" s="1"/>
  <c r="AG174" i="82"/>
  <c r="R160" i="82"/>
  <c r="BS200" i="82"/>
  <c r="BT200" i="82" s="1"/>
  <c r="BU200" i="82" s="1"/>
  <c r="BV200" i="82" s="1"/>
  <c r="BW200" i="82" s="1"/>
  <c r="BX200" i="82" s="1"/>
  <c r="BR200" i="82"/>
  <c r="BS255" i="82"/>
  <c r="BT255" i="82" s="1"/>
  <c r="BU255" i="82" s="1"/>
  <c r="BV255" i="82" s="1"/>
  <c r="BR255" i="82"/>
  <c r="D67" i="65"/>
  <c r="D80" i="65" s="1"/>
  <c r="I7" i="2"/>
  <c r="I8" i="2" s="1"/>
  <c r="I9" i="2" s="1"/>
  <c r="B34" i="87"/>
  <c r="C42" i="87"/>
  <c r="C18" i="87"/>
  <c r="C17" i="87" s="1"/>
  <c r="B44" i="87"/>
  <c r="AS185" i="82"/>
  <c r="AU185" i="82" s="1"/>
  <c r="AP185" i="82"/>
  <c r="AR185" i="82" s="1"/>
  <c r="AQ185" i="82"/>
  <c r="BU260" i="82"/>
  <c r="BV260" i="82" s="1"/>
  <c r="BW260" i="82" s="1"/>
  <c r="BX260" i="82" s="1"/>
  <c r="BY260" i="82" s="1"/>
  <c r="BZ260" i="82" s="1"/>
  <c r="BY324" i="82"/>
  <c r="BZ324" i="82" s="1"/>
  <c r="CA324" i="82" s="1"/>
  <c r="CB324" i="82" s="1"/>
  <c r="CC324" i="82" s="1"/>
  <c r="CD324" i="82" s="1"/>
  <c r="CE324" i="82" s="1"/>
  <c r="CF324" i="82" s="1"/>
  <c r="CG324" i="82" s="1"/>
  <c r="CH324" i="82" s="1"/>
  <c r="CJ324" i="82" s="1"/>
  <c r="CL324" i="82" s="1"/>
  <c r="CN324" i="82" s="1"/>
  <c r="CP324" i="82" s="1"/>
  <c r="CR324" i="82" s="1"/>
  <c r="CT324" i="82" s="1"/>
  <c r="CV324" i="82" s="1"/>
  <c r="CX324" i="82" s="1"/>
  <c r="CZ324" i="82" s="1"/>
  <c r="DB324" i="82" s="1"/>
  <c r="DD324" i="82" s="1"/>
  <c r="DF324" i="82" s="1"/>
  <c r="DH324" i="82" s="1"/>
  <c r="DJ324" i="82" s="1"/>
  <c r="DL324" i="82" s="1"/>
  <c r="DN324" i="82" s="1"/>
  <c r="DP324" i="82" s="1"/>
  <c r="DR324" i="82" s="1"/>
  <c r="DT324" i="82" s="1"/>
  <c r="DV324" i="82" s="1"/>
  <c r="DX324" i="82" s="1"/>
  <c r="CC307" i="82"/>
  <c r="CD307" i="82" s="1"/>
  <c r="BU322" i="82"/>
  <c r="BV322" i="82" s="1"/>
  <c r="CC277" i="82"/>
  <c r="CD277" i="82"/>
  <c r="BU318" i="82"/>
  <c r="BV318" i="82" s="1"/>
  <c r="BW318" i="82" s="1"/>
  <c r="BX318" i="82" s="1"/>
  <c r="BY318" i="82" s="1"/>
  <c r="BZ318" i="82" s="1"/>
  <c r="BW249" i="82"/>
  <c r="BX249" i="82" s="1"/>
  <c r="BY249" i="82" s="1"/>
  <c r="BZ249" i="82" s="1"/>
  <c r="BU263" i="82"/>
  <c r="BV263" i="82" s="1"/>
  <c r="BW263" i="82" s="1"/>
  <c r="BX263" i="82" s="1"/>
  <c r="BY223" i="82"/>
  <c r="BZ223" i="82" s="1"/>
  <c r="CA223" i="82" s="1"/>
  <c r="CB223" i="82" s="1"/>
  <c r="CC223" i="82" s="1"/>
  <c r="CD223" i="82" s="1"/>
  <c r="AP170" i="82"/>
  <c r="AR170" i="82" s="1"/>
  <c r="AQ170" i="82"/>
  <c r="BY58" i="82"/>
  <c r="BZ58" i="82"/>
  <c r="AU109" i="82"/>
  <c r="BW288" i="82"/>
  <c r="BX288" i="82" s="1"/>
  <c r="BY288" i="82" s="1"/>
  <c r="BZ288" i="82" s="1"/>
  <c r="BS158" i="82"/>
  <c r="I19" i="4" s="1"/>
  <c r="K19" i="4" s="1"/>
  <c r="M19" i="4" s="1"/>
  <c r="AS179" i="82"/>
  <c r="BU215" i="82"/>
  <c r="BV215" i="82" s="1"/>
  <c r="AS178" i="82"/>
  <c r="AQ178" i="82"/>
  <c r="AX178" i="82" s="1"/>
  <c r="AY178" i="82" s="1"/>
  <c r="CA244" i="82"/>
  <c r="CB244" i="82"/>
  <c r="CC244" i="82" s="1"/>
  <c r="CD244" i="82" s="1"/>
  <c r="BU219" i="82"/>
  <c r="BV219" i="82"/>
  <c r="BW219" i="82" s="1"/>
  <c r="BX219" i="82" s="1"/>
  <c r="BY219" i="82" s="1"/>
  <c r="BZ219" i="82" s="1"/>
  <c r="BU241" i="82"/>
  <c r="BV241" i="82" s="1"/>
  <c r="AU178" i="82"/>
  <c r="BS206" i="82"/>
  <c r="BT206" i="82" s="1"/>
  <c r="BR206" i="82"/>
  <c r="BR74" i="82"/>
  <c r="BS74" i="82"/>
  <c r="BT152" i="82"/>
  <c r="AP179" i="82"/>
  <c r="AD171" i="82"/>
  <c r="AG171" i="82" s="1"/>
  <c r="AA140" i="82"/>
  <c r="AE118" i="82"/>
  <c r="AF118" i="82" s="1"/>
  <c r="AN118" i="82" s="1"/>
  <c r="BZ321" i="82"/>
  <c r="AP109" i="82"/>
  <c r="BT82" i="82"/>
  <c r="BV82" i="82" s="1"/>
  <c r="BX82" i="82" s="1"/>
  <c r="BZ82" i="82" s="1"/>
  <c r="CB82" i="82" s="1"/>
  <c r="CD82" i="82" s="1"/>
  <c r="CF82" i="82" s="1"/>
  <c r="CH82" i="82" s="1"/>
  <c r="CJ82" i="82" s="1"/>
  <c r="CL82" i="82" s="1"/>
  <c r="CN82" i="82" s="1"/>
  <c r="CP82" i="82" s="1"/>
  <c r="CR82" i="82" s="1"/>
  <c r="CT82" i="82" s="1"/>
  <c r="CV82" i="82" s="1"/>
  <c r="CX82" i="82" s="1"/>
  <c r="CZ82" i="82" s="1"/>
  <c r="DB82" i="82" s="1"/>
  <c r="DD82" i="82" s="1"/>
  <c r="DF82" i="82" s="1"/>
  <c r="DH82" i="82" s="1"/>
  <c r="DJ82" i="82" s="1"/>
  <c r="DL82" i="82" s="1"/>
  <c r="DN82" i="82" s="1"/>
  <c r="DP82" i="82" s="1"/>
  <c r="DR82" i="82" s="1"/>
  <c r="DT82" i="82" s="1"/>
  <c r="DV82" i="82" s="1"/>
  <c r="DX82" i="82" s="1"/>
  <c r="BU314" i="82"/>
  <c r="BV314" i="82" s="1"/>
  <c r="BW314" i="82" s="1"/>
  <c r="BX314" i="82" s="1"/>
  <c r="AU179" i="82"/>
  <c r="BO95" i="82"/>
  <c r="X62" i="82"/>
  <c r="X95" i="82" s="1"/>
  <c r="AG168" i="82"/>
  <c r="BT80" i="82"/>
  <c r="BV80" i="82" s="1"/>
  <c r="BX80" i="82" s="1"/>
  <c r="BZ80" i="82" s="1"/>
  <c r="CB80" i="82" s="1"/>
  <c r="CD80" i="82" s="1"/>
  <c r="CF80" i="82" s="1"/>
  <c r="CH80" i="82" s="1"/>
  <c r="CJ80" i="82" s="1"/>
  <c r="CL80" i="82" s="1"/>
  <c r="CN80" i="82" s="1"/>
  <c r="CP80" i="82" s="1"/>
  <c r="CR80" i="82" s="1"/>
  <c r="CT80" i="82" s="1"/>
  <c r="CV80" i="82" s="1"/>
  <c r="CX80" i="82" s="1"/>
  <c r="CZ80" i="82" s="1"/>
  <c r="DB80" i="82" s="1"/>
  <c r="DD80" i="82" s="1"/>
  <c r="DF80" i="82" s="1"/>
  <c r="DH80" i="82" s="1"/>
  <c r="DJ80" i="82" s="1"/>
  <c r="DL80" i="82" s="1"/>
  <c r="DN80" i="82" s="1"/>
  <c r="DP80" i="82" s="1"/>
  <c r="DR80" i="82" s="1"/>
  <c r="DT80" i="82" s="1"/>
  <c r="DV80" i="82" s="1"/>
  <c r="DX80" i="82" s="1"/>
  <c r="AE141" i="82"/>
  <c r="AF141" i="82" s="1"/>
  <c r="AG141" i="82" s="1"/>
  <c r="AN174" i="82"/>
  <c r="AT174" i="82" s="1"/>
  <c r="AK174" i="82"/>
  <c r="AO174" i="82"/>
  <c r="AP174" i="82" s="1"/>
  <c r="AQ174" i="82"/>
  <c r="BR247" i="82"/>
  <c r="BS247" i="82"/>
  <c r="BT247" i="82" s="1"/>
  <c r="BU247" i="82" s="1"/>
  <c r="BV247" i="82" s="1"/>
  <c r="BW323" i="82"/>
  <c r="BX323" i="82" s="1"/>
  <c r="BW264" i="82"/>
  <c r="BX264" i="82" s="1"/>
  <c r="BA117" i="82"/>
  <c r="BB117" i="82"/>
  <c r="BU312" i="82"/>
  <c r="BV312" i="82" s="1"/>
  <c r="BK196" i="82"/>
  <c r="BL196" i="82" s="1"/>
  <c r="BK186" i="82"/>
  <c r="BL186" i="82" s="1"/>
  <c r="BK198" i="82"/>
  <c r="BL198" i="82"/>
  <c r="BY246" i="82"/>
  <c r="BZ246" i="82"/>
  <c r="BU325" i="82"/>
  <c r="BV325" i="82" s="1"/>
  <c r="BW290" i="82"/>
  <c r="BX290" i="82" s="1"/>
  <c r="BR76" i="82"/>
  <c r="BS76" i="82"/>
  <c r="BU57" i="82"/>
  <c r="BV57" i="82"/>
  <c r="BY269" i="82"/>
  <c r="BZ269" i="82"/>
  <c r="BG183" i="82"/>
  <c r="BH183" i="82"/>
  <c r="BA65" i="82"/>
  <c r="BB65" i="82" s="1"/>
  <c r="BH65" i="82" s="1"/>
  <c r="BJ65" i="82" s="1"/>
  <c r="BL65" i="82" s="1"/>
  <c r="BY214" i="82"/>
  <c r="BZ214" i="82" s="1"/>
  <c r="BY327" i="82"/>
  <c r="BZ327" i="82" s="1"/>
  <c r="BA189" i="82"/>
  <c r="BB189" i="82" s="1"/>
  <c r="BU210" i="82"/>
  <c r="BV210" i="82" s="1"/>
  <c r="AS108" i="82"/>
  <c r="AU108" i="82" s="1"/>
  <c r="AQ108" i="82"/>
  <c r="AP108" i="82"/>
  <c r="BY259" i="82"/>
  <c r="BZ259" i="82" s="1"/>
  <c r="BW124" i="82"/>
  <c r="BX124" i="82" s="1"/>
  <c r="BZ124" i="82" s="1"/>
  <c r="CB124" i="82" s="1"/>
  <c r="CD124" i="82" s="1"/>
  <c r="CF124" i="82" s="1"/>
  <c r="CH124" i="82" s="1"/>
  <c r="CJ124" i="82" s="1"/>
  <c r="CL124" i="82" s="1"/>
  <c r="CN124" i="82" s="1"/>
  <c r="CP124" i="82" s="1"/>
  <c r="CR124" i="82" s="1"/>
  <c r="CT124" i="82" s="1"/>
  <c r="CV124" i="82" s="1"/>
  <c r="CX124" i="82" s="1"/>
  <c r="CZ124" i="82" s="1"/>
  <c r="DB124" i="82" s="1"/>
  <c r="DD124" i="82" s="1"/>
  <c r="DF124" i="82" s="1"/>
  <c r="DH124" i="82" s="1"/>
  <c r="DJ124" i="82" s="1"/>
  <c r="DL124" i="82" s="1"/>
  <c r="DN124" i="82" s="1"/>
  <c r="DP124" i="82" s="1"/>
  <c r="DR124" i="82" s="1"/>
  <c r="DT124" i="82" s="1"/>
  <c r="BW127" i="82"/>
  <c r="BX127" i="82" s="1"/>
  <c r="BY127" i="82" s="1"/>
  <c r="BA193" i="82"/>
  <c r="BB193" i="82" s="1"/>
  <c r="BW239" i="82"/>
  <c r="BX239" i="82" s="1"/>
  <c r="BG181" i="82"/>
  <c r="BH181" i="82" s="1"/>
  <c r="BA98" i="82"/>
  <c r="BB98" i="82" s="1"/>
  <c r="AS175" i="82"/>
  <c r="AP175" i="82"/>
  <c r="AR175" i="82" s="1"/>
  <c r="AQ175" i="82"/>
  <c r="BU256" i="82"/>
  <c r="BV256" i="82" s="1"/>
  <c r="BV226" i="82"/>
  <c r="BU226" i="82"/>
  <c r="BU308" i="82"/>
  <c r="BV308" i="82" s="1"/>
  <c r="BY218" i="82"/>
  <c r="BZ218" i="82" s="1"/>
  <c r="BY278" i="82"/>
  <c r="BZ278" i="82" s="1"/>
  <c r="BW216" i="82"/>
  <c r="BX216" i="82" s="1"/>
  <c r="BW205" i="82"/>
  <c r="BX205" i="82" s="1"/>
  <c r="BW273" i="82"/>
  <c r="BX273" i="82" s="1"/>
  <c r="BY289" i="82"/>
  <c r="BZ289" i="82" s="1"/>
  <c r="BU151" i="82"/>
  <c r="BG194" i="82"/>
  <c r="BH194" i="82" s="1"/>
  <c r="BA142" i="82"/>
  <c r="BB142" i="82" s="1"/>
  <c r="BW310" i="82"/>
  <c r="BX310" i="82" s="1"/>
  <c r="BY286" i="82"/>
  <c r="BZ286" i="82" s="1"/>
  <c r="BW268" i="82"/>
  <c r="BX268" i="82" s="1"/>
  <c r="AC167" i="82"/>
  <c r="AE167" i="82" s="1"/>
  <c r="AF167" i="82" s="1"/>
  <c r="AU175" i="82"/>
  <c r="BY251" i="82"/>
  <c r="BZ251" i="82" s="1"/>
  <c r="BU315" i="82"/>
  <c r="BV315" i="82" s="1"/>
  <c r="BW283" i="82"/>
  <c r="BX283" i="82" s="1"/>
  <c r="BW316" i="82"/>
  <c r="BX316" i="82" s="1"/>
  <c r="BW137" i="82"/>
  <c r="BX137" i="82"/>
  <c r="BY279" i="82"/>
  <c r="BZ279" i="82" s="1"/>
  <c r="BY228" i="82"/>
  <c r="BZ228" i="82" s="1"/>
  <c r="BW275" i="82"/>
  <c r="BX275" i="82"/>
  <c r="CC326" i="82"/>
  <c r="CD326" i="82" s="1"/>
  <c r="BY270" i="82"/>
  <c r="BZ270" i="82" s="1"/>
  <c r="BW247" i="82"/>
  <c r="BX247" i="82" s="1"/>
  <c r="BW248" i="82"/>
  <c r="BX248" i="82" s="1"/>
  <c r="BA187" i="82"/>
  <c r="BB187" i="82" s="1"/>
  <c r="BW281" i="82"/>
  <c r="BX281" i="82" s="1"/>
  <c r="BT148" i="82"/>
  <c r="BV148" i="82" s="1"/>
  <c r="BX148" i="82" s="1"/>
  <c r="BZ148" i="82" s="1"/>
  <c r="CB148" i="82" s="1"/>
  <c r="CD148" i="82" s="1"/>
  <c r="CF148" i="82" s="1"/>
  <c r="CH148" i="82" s="1"/>
  <c r="CJ148" i="82" s="1"/>
  <c r="CL148" i="82" s="1"/>
  <c r="CN148" i="82" s="1"/>
  <c r="CP148" i="82" s="1"/>
  <c r="CR148" i="82" s="1"/>
  <c r="CT148" i="82" s="1"/>
  <c r="CV148" i="82" s="1"/>
  <c r="CX148" i="82" s="1"/>
  <c r="CZ148" i="82" s="1"/>
  <c r="DB148" i="82" s="1"/>
  <c r="DD148" i="82" s="1"/>
  <c r="DF148" i="82" s="1"/>
  <c r="DH148" i="82" s="1"/>
  <c r="DJ148" i="82" s="1"/>
  <c r="DL148" i="82" s="1"/>
  <c r="DN148" i="82" s="1"/>
  <c r="DP148" i="82" s="1"/>
  <c r="DR148" i="82" s="1"/>
  <c r="BR148" i="82"/>
  <c r="BW128" i="82"/>
  <c r="BX128" i="82" s="1"/>
  <c r="BY128" i="82" s="1"/>
  <c r="AS115" i="82"/>
  <c r="AU115" i="82" s="1"/>
  <c r="AP115" i="82"/>
  <c r="AR115" i="82" s="1"/>
  <c r="AQ115" i="82"/>
  <c r="AS172" i="82"/>
  <c r="AU172" i="82" s="1"/>
  <c r="AV172" i="82" s="1"/>
  <c r="AQ172" i="82"/>
  <c r="AP172" i="82"/>
  <c r="AR172" i="82" s="1"/>
  <c r="BW238" i="82"/>
  <c r="BX238" i="82" s="1"/>
  <c r="CE244" i="82"/>
  <c r="CF244" i="82" s="1"/>
  <c r="BR199" i="82"/>
  <c r="BS199" i="82"/>
  <c r="BT199" i="82" s="1"/>
  <c r="BW258" i="82"/>
  <c r="BX258" i="82" s="1"/>
  <c r="BA119" i="82"/>
  <c r="BB119" i="82" s="1"/>
  <c r="BY240" i="82"/>
  <c r="BZ240" i="82" s="1"/>
  <c r="BU212" i="82"/>
  <c r="BV212" i="82" s="1"/>
  <c r="CA266" i="82"/>
  <c r="CB266" i="82" s="1"/>
  <c r="BW220" i="82"/>
  <c r="BX220" i="82"/>
  <c r="CA284" i="82"/>
  <c r="CB284" i="82" s="1"/>
  <c r="BU213" i="82"/>
  <c r="BV213" i="82" s="1"/>
  <c r="BU243" i="82"/>
  <c r="BV243" i="82" s="1"/>
  <c r="BY252" i="82"/>
  <c r="BZ252" i="82" s="1"/>
  <c r="BG191" i="82"/>
  <c r="BH191" i="82" s="1"/>
  <c r="BW250" i="82"/>
  <c r="BX250" i="82" s="1"/>
  <c r="BX225" i="82"/>
  <c r="BW225" i="82"/>
  <c r="BY287" i="82"/>
  <c r="BZ287" i="82" s="1"/>
  <c r="CE207" i="82"/>
  <c r="CF207" i="82" s="1"/>
  <c r="BR317" i="82"/>
  <c r="BS317" i="82"/>
  <c r="BT317" i="82" s="1"/>
  <c r="BU306" i="82"/>
  <c r="BV306" i="82" s="1"/>
  <c r="BP70" i="82"/>
  <c r="BR70" i="82" s="1"/>
  <c r="BT70" i="82" s="1"/>
  <c r="BV70" i="82" s="1"/>
  <c r="BX70" i="82" s="1"/>
  <c r="BZ70" i="82" s="1"/>
  <c r="CB70" i="82" s="1"/>
  <c r="CD70" i="82" s="1"/>
  <c r="CF70" i="82" s="1"/>
  <c r="CH70" i="82" s="1"/>
  <c r="CJ70" i="82" s="1"/>
  <c r="CL70" i="82" s="1"/>
  <c r="CN70" i="82" s="1"/>
  <c r="CP70" i="82" s="1"/>
  <c r="CR70" i="82" s="1"/>
  <c r="CT70" i="82" s="1"/>
  <c r="CV70" i="82" s="1"/>
  <c r="CX70" i="82" s="1"/>
  <c r="CZ70" i="82" s="1"/>
  <c r="DB70" i="82" s="1"/>
  <c r="DD70" i="82" s="1"/>
  <c r="DF70" i="82" s="1"/>
  <c r="DH70" i="82" s="1"/>
  <c r="DJ70" i="82" s="1"/>
  <c r="DL70" i="82" s="1"/>
  <c r="DN70" i="82" s="1"/>
  <c r="DP70" i="82" s="1"/>
  <c r="DR70" i="82" s="1"/>
  <c r="BN70" i="82"/>
  <c r="AC173" i="82"/>
  <c r="AE173" i="82" s="1"/>
  <c r="AF173" i="82" s="1"/>
  <c r="Z99" i="82"/>
  <c r="AA99" i="82" s="1"/>
  <c r="W134" i="82"/>
  <c r="AN163" i="82"/>
  <c r="AT163" i="82" s="1"/>
  <c r="AK163" i="82"/>
  <c r="AO163" i="82"/>
  <c r="AS163" i="82" s="1"/>
  <c r="BA182" i="82"/>
  <c r="BB182" i="82"/>
  <c r="BU231" i="82"/>
  <c r="BV231" i="82" s="1"/>
  <c r="BA184" i="82"/>
  <c r="BB184" i="82" s="1"/>
  <c r="BW236" i="82"/>
  <c r="BX236" i="82" s="1"/>
  <c r="T59" i="82"/>
  <c r="AN180" i="82"/>
  <c r="AT180" i="82" s="1"/>
  <c r="AK180" i="82"/>
  <c r="AO180" i="82" s="1"/>
  <c r="AX122" i="82"/>
  <c r="AY122" i="82" s="1"/>
  <c r="BW153" i="82"/>
  <c r="BX153" i="82" s="1"/>
  <c r="BU201" i="82"/>
  <c r="BV201" i="82" s="1"/>
  <c r="BW123" i="82"/>
  <c r="BX123" i="82" s="1"/>
  <c r="BZ123" i="82" s="1"/>
  <c r="CB123" i="82" s="1"/>
  <c r="CD123" i="82" s="1"/>
  <c r="CF123" i="82" s="1"/>
  <c r="CH123" i="82" s="1"/>
  <c r="CJ123" i="82" s="1"/>
  <c r="CL123" i="82" s="1"/>
  <c r="CN123" i="82" s="1"/>
  <c r="CP123" i="82" s="1"/>
  <c r="CR123" i="82" s="1"/>
  <c r="CT123" i="82" s="1"/>
  <c r="CV123" i="82" s="1"/>
  <c r="CX123" i="82" s="1"/>
  <c r="CZ123" i="82" s="1"/>
  <c r="DB123" i="82" s="1"/>
  <c r="DD123" i="82" s="1"/>
  <c r="DF123" i="82" s="1"/>
  <c r="DH123" i="82" s="1"/>
  <c r="DJ123" i="82" s="1"/>
  <c r="DL123" i="82" s="1"/>
  <c r="DN123" i="82" s="1"/>
  <c r="DP123" i="82" s="1"/>
  <c r="DR123" i="82" s="1"/>
  <c r="DT123" i="82" s="1"/>
  <c r="BL197" i="82"/>
  <c r="BK197" i="82"/>
  <c r="BN330" i="82"/>
  <c r="CA321" i="82"/>
  <c r="CB321" i="82"/>
  <c r="BW229" i="82"/>
  <c r="BX229" i="82" s="1"/>
  <c r="BW209" i="82"/>
  <c r="BX209" i="82" s="1"/>
  <c r="BY257" i="82"/>
  <c r="BZ257" i="82" s="1"/>
  <c r="AL114" i="82"/>
  <c r="AO114" i="82" s="1"/>
  <c r="AS114" i="82" s="1"/>
  <c r="AN114" i="82"/>
  <c r="AT114" i="82"/>
  <c r="BU313" i="82"/>
  <c r="BV313" i="82" s="1"/>
  <c r="BW227" i="82"/>
  <c r="BX227" i="82" s="1"/>
  <c r="AX146" i="82"/>
  <c r="AY146" i="82" s="1"/>
  <c r="CC311" i="82"/>
  <c r="CD311" i="82"/>
  <c r="CA58" i="82"/>
  <c r="BY309" i="82"/>
  <c r="BZ309" i="82" s="1"/>
  <c r="BY211" i="82"/>
  <c r="BZ211" i="82" s="1"/>
  <c r="BW320" i="82"/>
  <c r="BX320" i="82"/>
  <c r="BW150" i="82"/>
  <c r="BX150" i="82" s="1"/>
  <c r="BY274" i="82"/>
  <c r="BZ274" i="82" s="1"/>
  <c r="BK188" i="82"/>
  <c r="BL188" i="82" s="1"/>
  <c r="AO177" i="82"/>
  <c r="AP177" i="82" s="1"/>
  <c r="AR177" i="82" s="1"/>
  <c r="AK177" i="82"/>
  <c r="AN177" i="82"/>
  <c r="AT177" i="82" s="1"/>
  <c r="AP164" i="82"/>
  <c r="AR164" i="82" s="1"/>
  <c r="BW242" i="82"/>
  <c r="BX242" i="82" s="1"/>
  <c r="AN166" i="82"/>
  <c r="AT166" i="82" s="1"/>
  <c r="AK166" i="82"/>
  <c r="AO166" i="82" s="1"/>
  <c r="F33" i="2"/>
  <c r="F34" i="2" s="1"/>
  <c r="BW149" i="82"/>
  <c r="BX149" i="82" s="1"/>
  <c r="AF61" i="82"/>
  <c r="AK168" i="82"/>
  <c r="AO168" i="82" s="1"/>
  <c r="AN168" i="82"/>
  <c r="AT168" i="82" s="1"/>
  <c r="BT81" i="82"/>
  <c r="BV81" i="82" s="1"/>
  <c r="BX81" i="82" s="1"/>
  <c r="BZ81" i="82" s="1"/>
  <c r="CB81" i="82" s="1"/>
  <c r="CD81" i="82" s="1"/>
  <c r="CF81" i="82" s="1"/>
  <c r="CH81" i="82" s="1"/>
  <c r="CJ81" i="82" s="1"/>
  <c r="CL81" i="82" s="1"/>
  <c r="CN81" i="82" s="1"/>
  <c r="CP81" i="82" s="1"/>
  <c r="CR81" i="82" s="1"/>
  <c r="CT81" i="82" s="1"/>
  <c r="CV81" i="82" s="1"/>
  <c r="CX81" i="82" s="1"/>
  <c r="CZ81" i="82" s="1"/>
  <c r="DB81" i="82" s="1"/>
  <c r="DD81" i="82" s="1"/>
  <c r="DF81" i="82" s="1"/>
  <c r="DH81" i="82" s="1"/>
  <c r="DJ81" i="82" s="1"/>
  <c r="DL81" i="82" s="1"/>
  <c r="DN81" i="82" s="1"/>
  <c r="DP81" i="82" s="1"/>
  <c r="DR81" i="82" s="1"/>
  <c r="DT81" i="82" s="1"/>
  <c r="DV81" i="82" s="1"/>
  <c r="DX81" i="82" s="1"/>
  <c r="AR179" i="82"/>
  <c r="AQ164" i="82"/>
  <c r="AA104" i="82"/>
  <c r="AD166" i="82"/>
  <c r="AG166" i="82" s="1"/>
  <c r="BU230" i="82"/>
  <c r="BV230" i="82" s="1"/>
  <c r="BU265" i="82"/>
  <c r="BV265" i="82" s="1"/>
  <c r="Z165" i="82"/>
  <c r="AN171" i="82"/>
  <c r="AT171" i="82" s="1"/>
  <c r="AK171" i="82"/>
  <c r="AO171" i="82" s="1"/>
  <c r="AQ171" i="82" s="1"/>
  <c r="AV122" i="82"/>
  <c r="AA63" i="82"/>
  <c r="AD114" i="82"/>
  <c r="AG114" i="82" s="1"/>
  <c r="BU217" i="82"/>
  <c r="BV217" i="82" s="1"/>
  <c r="AD161" i="82"/>
  <c r="AQ109" i="82"/>
  <c r="BU305" i="82"/>
  <c r="BV305" i="82" s="1"/>
  <c r="BW202" i="82"/>
  <c r="BX202" i="82" s="1"/>
  <c r="BU245" i="82"/>
  <c r="BV245" i="82" s="1"/>
  <c r="AN64" i="82"/>
  <c r="AT64" i="82" s="1"/>
  <c r="AL64" i="82"/>
  <c r="AO64" i="82" s="1"/>
  <c r="BP73" i="82"/>
  <c r="BW232" i="82"/>
  <c r="BX232" i="82" s="1"/>
  <c r="AX143" i="82"/>
  <c r="AY143" i="82" s="1"/>
  <c r="AN169" i="82"/>
  <c r="AT169" i="82" s="1"/>
  <c r="AK169" i="82"/>
  <c r="AO169" i="82" s="1"/>
  <c r="BU261" i="82"/>
  <c r="BV261" i="82" s="1"/>
  <c r="DT68" i="82"/>
  <c r="DX68" i="82"/>
  <c r="Z162" i="82"/>
  <c r="BU303" i="82"/>
  <c r="BV303" i="82" s="1"/>
  <c r="Z116" i="82"/>
  <c r="AA116" i="82" s="1"/>
  <c r="AP176" i="82"/>
  <c r="AR176" i="82" s="1"/>
  <c r="AS170" i="82"/>
  <c r="AU170" i="82" s="1"/>
  <c r="AV170" i="82" s="1"/>
  <c r="X97" i="82"/>
  <c r="BW285" i="82"/>
  <c r="BX285" i="82" s="1"/>
  <c r="BW221" i="82"/>
  <c r="BX221" i="82" s="1"/>
  <c r="U9" i="82"/>
  <c r="AC140" i="82"/>
  <c r="AC158" i="82" s="1"/>
  <c r="AA158" i="82"/>
  <c r="BU254" i="82"/>
  <c r="BV254" i="82" s="1"/>
  <c r="BO330" i="82"/>
  <c r="BY271" i="82"/>
  <c r="BZ271" i="82" s="1"/>
  <c r="BW276" i="82"/>
  <c r="BX276" i="82" s="1"/>
  <c r="AV143" i="82"/>
  <c r="BK190" i="82"/>
  <c r="BL190" i="82" s="1"/>
  <c r="CC319" i="82"/>
  <c r="CD319" i="82" s="1"/>
  <c r="BW204" i="82"/>
  <c r="BX204" i="82" s="1"/>
  <c r="Z106" i="82"/>
  <c r="CC272" i="82"/>
  <c r="CD272" i="82" s="1"/>
  <c r="BX255" i="82"/>
  <c r="BW255" i="82"/>
  <c r="BU234" i="82"/>
  <c r="BV234" i="82" s="1"/>
  <c r="BI147" i="82"/>
  <c r="BJ147" i="82" s="1"/>
  <c r="BO195" i="82"/>
  <c r="BP195" i="82" s="1"/>
  <c r="BN195" i="82"/>
  <c r="BG192" i="82"/>
  <c r="BH192" i="82" s="1"/>
  <c r="BU222" i="82"/>
  <c r="BV222" i="82" s="1"/>
  <c r="AV109" i="82"/>
  <c r="BA120" i="82"/>
  <c r="BB120" i="82" s="1"/>
  <c r="BW95" i="82"/>
  <c r="DX71" i="82"/>
  <c r="DT71" i="82"/>
  <c r="DX101" i="82"/>
  <c r="DV101" i="82"/>
  <c r="BW267" i="82"/>
  <c r="BX267" i="82" s="1"/>
  <c r="BW237" i="82"/>
  <c r="BX237" i="82" s="1"/>
  <c r="BU152" i="82"/>
  <c r="X107" i="82"/>
  <c r="BU262" i="82"/>
  <c r="BV262" i="82" s="1"/>
  <c r="BW203" i="82"/>
  <c r="BX203" i="82" s="1"/>
  <c r="DT72" i="82"/>
  <c r="DX72" i="82"/>
  <c r="AD177" i="82"/>
  <c r="AG177" i="82" s="1"/>
  <c r="BA66" i="82"/>
  <c r="BB66" i="82" s="1"/>
  <c r="BH66" i="82" s="1"/>
  <c r="BJ66" i="82" s="1"/>
  <c r="BL66" i="82" s="1"/>
  <c r="AK161" i="82"/>
  <c r="AO161" i="82" s="1"/>
  <c r="AN161" i="82"/>
  <c r="AT161" i="82" s="1"/>
  <c r="AD169" i="82"/>
  <c r="AG169" i="82" s="1"/>
  <c r="AV67" i="82"/>
  <c r="AX67" i="82"/>
  <c r="AY67" i="82" s="1"/>
  <c r="AQ179" i="82"/>
  <c r="AV179" i="82" s="1"/>
  <c r="AU164" i="82"/>
  <c r="BY233" i="82"/>
  <c r="BZ233" i="82"/>
  <c r="BA145" i="82"/>
  <c r="BB145" i="82" s="1"/>
  <c r="AQ176" i="82"/>
  <c r="AU176" i="82"/>
  <c r="AX170" i="82"/>
  <c r="AY170" i="82" s="1"/>
  <c r="Z110" i="82"/>
  <c r="AD163" i="82"/>
  <c r="AG163" i="82" s="1"/>
  <c r="DT69" i="82"/>
  <c r="DX69" i="82"/>
  <c r="AD180" i="82"/>
  <c r="AG180" i="82" s="1"/>
  <c r="Z158" i="82"/>
  <c r="BP304" i="82"/>
  <c r="BW282" i="82" l="1"/>
  <c r="BX282" i="82" s="1"/>
  <c r="BY282" i="82" s="1"/>
  <c r="BZ282" i="82" s="1"/>
  <c r="CA282" i="82" s="1"/>
  <c r="CB282" i="82" s="1"/>
  <c r="AE140" i="82"/>
  <c r="AV176" i="82"/>
  <c r="AD140" i="82"/>
  <c r="AV175" i="82"/>
  <c r="T160" i="82"/>
  <c r="R301" i="82"/>
  <c r="AX144" i="82"/>
  <c r="AY144" i="82" s="1"/>
  <c r="BA144" i="82" s="1"/>
  <c r="BB144" i="82" s="1"/>
  <c r="BG144" i="82" s="1"/>
  <c r="BH144" i="82" s="1"/>
  <c r="BN136" i="82"/>
  <c r="BO136" i="82"/>
  <c r="BO138" i="82" s="1"/>
  <c r="BL138" i="82"/>
  <c r="AR64" i="82"/>
  <c r="AD173" i="82"/>
  <c r="AG173" i="82" s="1"/>
  <c r="AV115" i="82"/>
  <c r="BV152" i="82"/>
  <c r="AU163" i="82"/>
  <c r="CB58" i="82"/>
  <c r="AV144" i="82"/>
  <c r="B33" i="87"/>
  <c r="D33" i="87" s="1"/>
  <c r="BW241" i="82"/>
  <c r="BX241" i="82"/>
  <c r="BY241" i="82" s="1"/>
  <c r="BZ241" i="82" s="1"/>
  <c r="CA241" i="82" s="1"/>
  <c r="CB241" i="82" s="1"/>
  <c r="CC241" i="82" s="1"/>
  <c r="CD241" i="82" s="1"/>
  <c r="BY314" i="82"/>
  <c r="BZ314" i="82" s="1"/>
  <c r="CA314" i="82" s="1"/>
  <c r="CB314" i="82" s="1"/>
  <c r="CC314" i="82" s="1"/>
  <c r="CD314" i="82" s="1"/>
  <c r="CE314" i="82" s="1"/>
  <c r="CF314" i="82" s="1"/>
  <c r="CG314" i="82" s="1"/>
  <c r="CH314" i="82" s="1"/>
  <c r="CJ314" i="82" s="1"/>
  <c r="CL314" i="82" s="1"/>
  <c r="CN314" i="82" s="1"/>
  <c r="CP314" i="82" s="1"/>
  <c r="CR314" i="82" s="1"/>
  <c r="CT314" i="82" s="1"/>
  <c r="CV314" i="82" s="1"/>
  <c r="CX314" i="82" s="1"/>
  <c r="CZ314" i="82" s="1"/>
  <c r="DB314" i="82" s="1"/>
  <c r="DD314" i="82" s="1"/>
  <c r="DF314" i="82" s="1"/>
  <c r="DH314" i="82" s="1"/>
  <c r="DJ314" i="82" s="1"/>
  <c r="DL314" i="82" s="1"/>
  <c r="DN314" i="82" s="1"/>
  <c r="DP314" i="82" s="1"/>
  <c r="DR314" i="82" s="1"/>
  <c r="DT314" i="82" s="1"/>
  <c r="DV314" i="82" s="1"/>
  <c r="DX314" i="82" s="1"/>
  <c r="BY263" i="82"/>
  <c r="BZ263" i="82" s="1"/>
  <c r="CA263" i="82" s="1"/>
  <c r="CB263" i="82" s="1"/>
  <c r="CE307" i="82"/>
  <c r="CF307" i="82" s="1"/>
  <c r="CH307" i="82" s="1"/>
  <c r="CJ307" i="82" s="1"/>
  <c r="CL307" i="82" s="1"/>
  <c r="CN307" i="82" s="1"/>
  <c r="CP307" i="82" s="1"/>
  <c r="CR307" i="82" s="1"/>
  <c r="CT307" i="82" s="1"/>
  <c r="CV307" i="82" s="1"/>
  <c r="CX307" i="82" s="1"/>
  <c r="CZ307" i="82" s="1"/>
  <c r="DB307" i="82" s="1"/>
  <c r="DD307" i="82" s="1"/>
  <c r="DF307" i="82" s="1"/>
  <c r="DH307" i="82" s="1"/>
  <c r="DJ307" i="82" s="1"/>
  <c r="DL307" i="82" s="1"/>
  <c r="DN307" i="82" s="1"/>
  <c r="DP307" i="82" s="1"/>
  <c r="DR307" i="82" s="1"/>
  <c r="CE223" i="82"/>
  <c r="CF223" i="82" s="1"/>
  <c r="CG223" i="82" s="1"/>
  <c r="CH223" i="82" s="1"/>
  <c r="BW322" i="82"/>
  <c r="BX322" i="82" s="1"/>
  <c r="BY322" i="82" s="1"/>
  <c r="BZ322" i="82" s="1"/>
  <c r="CA322" i="82" s="1"/>
  <c r="CB322" i="82" s="1"/>
  <c r="AY174" i="82"/>
  <c r="AX174" i="82"/>
  <c r="BU206" i="82"/>
  <c r="BV206" i="82" s="1"/>
  <c r="BW206" i="82" s="1"/>
  <c r="BX206" i="82" s="1"/>
  <c r="AQ177" i="82"/>
  <c r="AT118" i="82"/>
  <c r="Z62" i="82"/>
  <c r="Z95" i="82" s="1"/>
  <c r="AN141" i="82"/>
  <c r="AK141" i="82"/>
  <c r="AT141" i="82"/>
  <c r="AO141" i="82"/>
  <c r="AS141" i="82" s="1"/>
  <c r="AU141" i="82" s="1"/>
  <c r="AV178" i="82"/>
  <c r="CA288" i="82"/>
  <c r="CB288" i="82" s="1"/>
  <c r="CE277" i="82"/>
  <c r="CF277" i="82" s="1"/>
  <c r="CG277" i="82" s="1"/>
  <c r="CH277" i="82" s="1"/>
  <c r="AX185" i="82"/>
  <c r="AY185" i="82" s="1"/>
  <c r="BW215" i="82"/>
  <c r="BX215" i="82" s="1"/>
  <c r="BY215" i="82" s="1"/>
  <c r="BZ215" i="82" s="1"/>
  <c r="CA215" i="82" s="1"/>
  <c r="CB215" i="82" s="1"/>
  <c r="AS169" i="82"/>
  <c r="AU169" i="82" s="1"/>
  <c r="AK118" i="82"/>
  <c r="AO118" i="82" s="1"/>
  <c r="BA178" i="82"/>
  <c r="BB178" i="82" s="1"/>
  <c r="BG178" i="82" s="1"/>
  <c r="BH178" i="82" s="1"/>
  <c r="AV108" i="82"/>
  <c r="AS174" i="82"/>
  <c r="AU174" i="82" s="1"/>
  <c r="AV174" i="82" s="1"/>
  <c r="BT74" i="82"/>
  <c r="BV74" i="82" s="1"/>
  <c r="BX74" i="82" s="1"/>
  <c r="BZ74" i="82" s="1"/>
  <c r="CB74" i="82" s="1"/>
  <c r="CD74" i="82" s="1"/>
  <c r="CF74" i="82" s="1"/>
  <c r="CH74" i="82" s="1"/>
  <c r="CJ74" i="82" s="1"/>
  <c r="CL74" i="82" s="1"/>
  <c r="CN74" i="82" s="1"/>
  <c r="CP74" i="82" s="1"/>
  <c r="CR74" i="82" s="1"/>
  <c r="CT74" i="82" s="1"/>
  <c r="CV74" i="82" s="1"/>
  <c r="CX74" i="82" s="1"/>
  <c r="CZ74" i="82" s="1"/>
  <c r="DB74" i="82" s="1"/>
  <c r="DD74" i="82" s="1"/>
  <c r="DF74" i="82" s="1"/>
  <c r="DH74" i="82" s="1"/>
  <c r="DJ74" i="82" s="1"/>
  <c r="DL74" i="82" s="1"/>
  <c r="DN74" i="82" s="1"/>
  <c r="DP74" i="82" s="1"/>
  <c r="DR74" i="82" s="1"/>
  <c r="DT74" i="82" s="1"/>
  <c r="DV74" i="82" s="1"/>
  <c r="DX74" i="82" s="1"/>
  <c r="AG118" i="82"/>
  <c r="AV164" i="82"/>
  <c r="AQ114" i="82"/>
  <c r="AY114" i="82" s="1"/>
  <c r="AP163" i="82"/>
  <c r="AR174" i="82"/>
  <c r="AV185" i="82"/>
  <c r="BY276" i="82"/>
  <c r="BZ276" i="82" s="1"/>
  <c r="BW222" i="82"/>
  <c r="BX222" i="82" s="1"/>
  <c r="BR195" i="82"/>
  <c r="BS195" i="82"/>
  <c r="BT195" i="82" s="1"/>
  <c r="CA271" i="82"/>
  <c r="CB271" i="82" s="1"/>
  <c r="CA280" i="82"/>
  <c r="CB280" i="82" s="1"/>
  <c r="BY221" i="82"/>
  <c r="BZ221" i="82" s="1"/>
  <c r="BA143" i="82"/>
  <c r="BB143" i="82"/>
  <c r="BY200" i="82"/>
  <c r="BZ200" i="82" s="1"/>
  <c r="BY150" i="82"/>
  <c r="BZ150" i="82" s="1"/>
  <c r="BY229" i="82"/>
  <c r="BZ229" i="82" s="1"/>
  <c r="BW231" i="82"/>
  <c r="BX231" i="82" s="1"/>
  <c r="CA318" i="82"/>
  <c r="CB318" i="82" s="1"/>
  <c r="CG244" i="82"/>
  <c r="CH244" i="82" s="1"/>
  <c r="BG187" i="82"/>
  <c r="BH187" i="82" s="1"/>
  <c r="CA279" i="82"/>
  <c r="CB279" i="82" s="1"/>
  <c r="BY268" i="82"/>
  <c r="BZ268" i="82" s="1"/>
  <c r="CA219" i="82"/>
  <c r="CB219" i="82"/>
  <c r="BY205" i="82"/>
  <c r="BZ205" i="82" s="1"/>
  <c r="BW308" i="82"/>
  <c r="BX308" i="82" s="1"/>
  <c r="BW256" i="82"/>
  <c r="BX256" i="82" s="1"/>
  <c r="CA235" i="82"/>
  <c r="CB235" i="82" s="1"/>
  <c r="CA327" i="82"/>
  <c r="CB327" i="82" s="1"/>
  <c r="AS161" i="82"/>
  <c r="AU161" i="82" s="1"/>
  <c r="AP161" i="82"/>
  <c r="AR161" i="82" s="1"/>
  <c r="AQ161" i="82"/>
  <c r="BY237" i="82"/>
  <c r="BZ237" i="82" s="1"/>
  <c r="BN190" i="82"/>
  <c r="BO190" i="82"/>
  <c r="BP190" i="82" s="1"/>
  <c r="BY232" i="82"/>
  <c r="BZ232" i="82" s="1"/>
  <c r="BW217" i="82"/>
  <c r="BX217" i="82" s="1"/>
  <c r="AS118" i="82"/>
  <c r="AQ118" i="82"/>
  <c r="AP118" i="82"/>
  <c r="AR118" i="82" s="1"/>
  <c r="CC266" i="82"/>
  <c r="CD266" i="82" s="1"/>
  <c r="BY258" i="82"/>
  <c r="BZ258" i="82" s="1"/>
  <c r="BY238" i="82"/>
  <c r="BZ238" i="82" s="1"/>
  <c r="BY248" i="82"/>
  <c r="BZ248" i="82" s="1"/>
  <c r="CA286" i="82"/>
  <c r="CB286" i="82" s="1"/>
  <c r="BY216" i="82"/>
  <c r="BZ216" i="82" s="1"/>
  <c r="CE241" i="82"/>
  <c r="CF241" i="82"/>
  <c r="BZ239" i="82"/>
  <c r="BY239" i="82"/>
  <c r="CA214" i="82"/>
  <c r="CB214" i="82" s="1"/>
  <c r="BY290" i="82"/>
  <c r="BZ290" i="82" s="1"/>
  <c r="BA170" i="82"/>
  <c r="BB170" i="82" s="1"/>
  <c r="BP66" i="82"/>
  <c r="BR66" i="82" s="1"/>
  <c r="BT66" i="82" s="1"/>
  <c r="BV66" i="82" s="1"/>
  <c r="BX66" i="82" s="1"/>
  <c r="BZ66" i="82" s="1"/>
  <c r="CB66" i="82" s="1"/>
  <c r="CD66" i="82" s="1"/>
  <c r="CF66" i="82" s="1"/>
  <c r="CH66" i="82" s="1"/>
  <c r="CJ66" i="82" s="1"/>
  <c r="CL66" i="82" s="1"/>
  <c r="CN66" i="82" s="1"/>
  <c r="CP66" i="82" s="1"/>
  <c r="CR66" i="82" s="1"/>
  <c r="CT66" i="82" s="1"/>
  <c r="CV66" i="82" s="1"/>
  <c r="CX66" i="82" s="1"/>
  <c r="CZ66" i="82" s="1"/>
  <c r="DB66" i="82" s="1"/>
  <c r="DD66" i="82" s="1"/>
  <c r="DF66" i="82" s="1"/>
  <c r="DH66" i="82" s="1"/>
  <c r="DJ66" i="82" s="1"/>
  <c r="DL66" i="82" s="1"/>
  <c r="DN66" i="82" s="1"/>
  <c r="DP66" i="82" s="1"/>
  <c r="DR66" i="82" s="1"/>
  <c r="BN66" i="82"/>
  <c r="BY203" i="82"/>
  <c r="BZ203" i="82" s="1"/>
  <c r="CB208" i="82"/>
  <c r="CA208" i="82"/>
  <c r="CE272" i="82"/>
  <c r="CF272" i="82" s="1"/>
  <c r="BY204" i="82"/>
  <c r="BZ204" i="82" s="1"/>
  <c r="BW303" i="82"/>
  <c r="BX303" i="82" s="1"/>
  <c r="CA224" i="82"/>
  <c r="CB224" i="82" s="1"/>
  <c r="BX265" i="82"/>
  <c r="BW265" i="82"/>
  <c r="AS166" i="82"/>
  <c r="AP166" i="82"/>
  <c r="AR166" i="82" s="1"/>
  <c r="AQ166" i="82"/>
  <c r="CA257" i="82"/>
  <c r="CB257" i="82" s="1"/>
  <c r="BY153" i="82"/>
  <c r="BZ153" i="82" s="1"/>
  <c r="CA249" i="82"/>
  <c r="CB249" i="82" s="1"/>
  <c r="CH207" i="82"/>
  <c r="CG207" i="82"/>
  <c r="BY250" i="82"/>
  <c r="BZ250" i="82" s="1"/>
  <c r="CC284" i="82"/>
  <c r="CD284" i="82" s="1"/>
  <c r="BU199" i="82"/>
  <c r="BV199" i="82" s="1"/>
  <c r="BW315" i="82"/>
  <c r="BX315" i="82" s="1"/>
  <c r="BY310" i="82"/>
  <c r="BZ310" i="82" s="1"/>
  <c r="CA289" i="82"/>
  <c r="CB289" i="82" s="1"/>
  <c r="CA278" i="82"/>
  <c r="CB278" i="82" s="1"/>
  <c r="CA259" i="82"/>
  <c r="CB259" i="82" s="1"/>
  <c r="BW210" i="82"/>
  <c r="BX210" i="82" s="1"/>
  <c r="BP65" i="82"/>
  <c r="BR65" i="82" s="1"/>
  <c r="BT65" i="82" s="1"/>
  <c r="BV65" i="82" s="1"/>
  <c r="BX65" i="82" s="1"/>
  <c r="BZ65" i="82" s="1"/>
  <c r="CB65" i="82" s="1"/>
  <c r="CD65" i="82" s="1"/>
  <c r="CF65" i="82" s="1"/>
  <c r="CH65" i="82" s="1"/>
  <c r="CJ65" i="82" s="1"/>
  <c r="CL65" i="82" s="1"/>
  <c r="CN65" i="82" s="1"/>
  <c r="CP65" i="82" s="1"/>
  <c r="CR65" i="82" s="1"/>
  <c r="CT65" i="82" s="1"/>
  <c r="CV65" i="82" s="1"/>
  <c r="CX65" i="82" s="1"/>
  <c r="CZ65" i="82" s="1"/>
  <c r="DB65" i="82" s="1"/>
  <c r="DD65" i="82" s="1"/>
  <c r="DF65" i="82" s="1"/>
  <c r="DH65" i="82" s="1"/>
  <c r="DJ65" i="82" s="1"/>
  <c r="DL65" i="82" s="1"/>
  <c r="DN65" i="82" s="1"/>
  <c r="DP65" i="82" s="1"/>
  <c r="DR65" i="82" s="1"/>
  <c r="BN65" i="82"/>
  <c r="BY264" i="82"/>
  <c r="BZ264" i="82" s="1"/>
  <c r="BW234" i="82"/>
  <c r="BX234" i="82" s="1"/>
  <c r="BW261" i="82"/>
  <c r="BX261" i="82" s="1"/>
  <c r="BW230" i="82"/>
  <c r="BX230" i="82" s="1"/>
  <c r="AS168" i="82"/>
  <c r="AP168" i="82"/>
  <c r="AR168" i="82" s="1"/>
  <c r="AQ168" i="82"/>
  <c r="BA146" i="82"/>
  <c r="BB146" i="82" s="1"/>
  <c r="BY209" i="82"/>
  <c r="BZ209" i="82" s="1"/>
  <c r="BA122" i="82"/>
  <c r="BB122" i="82" s="1"/>
  <c r="AS180" i="82"/>
  <c r="AP180" i="82"/>
  <c r="AR180" i="82" s="1"/>
  <c r="AQ180" i="82"/>
  <c r="CA287" i="82"/>
  <c r="CB287" i="82" s="1"/>
  <c r="BI191" i="82"/>
  <c r="BJ191" i="82"/>
  <c r="BY316" i="82"/>
  <c r="BZ316" i="82" s="1"/>
  <c r="CA251" i="82"/>
  <c r="CB251" i="82" s="1"/>
  <c r="CA260" i="82"/>
  <c r="CB260" i="82"/>
  <c r="BY273" i="82"/>
  <c r="BZ273" i="82" s="1"/>
  <c r="CA218" i="82"/>
  <c r="CB218" i="82" s="1"/>
  <c r="DV124" i="82"/>
  <c r="DX124" i="82"/>
  <c r="BG189" i="82"/>
  <c r="BH189" i="82" s="1"/>
  <c r="BY323" i="82"/>
  <c r="BZ323" i="82" s="1"/>
  <c r="CA233" i="82"/>
  <c r="CB233" i="82" s="1"/>
  <c r="AX176" i="82"/>
  <c r="AY176" i="82" s="1"/>
  <c r="BS304" i="82"/>
  <c r="BS330" i="82" s="1"/>
  <c r="BR304" i="82"/>
  <c r="BR330" i="82" s="1"/>
  <c r="BP330" i="82"/>
  <c r="BG145" i="82"/>
  <c r="BH145" i="82" s="1"/>
  <c r="BK147" i="82"/>
  <c r="BL147" i="82" s="1"/>
  <c r="BY255" i="82"/>
  <c r="BZ255" i="82" s="1"/>
  <c r="BW254" i="82"/>
  <c r="BX254" i="82" s="1"/>
  <c r="U59" i="82"/>
  <c r="AG161" i="82"/>
  <c r="AC63" i="82"/>
  <c r="AE63" i="82" s="1"/>
  <c r="AF63" i="82" s="1"/>
  <c r="AS171" i="82"/>
  <c r="AU171" i="82" s="1"/>
  <c r="AV171" i="82" s="1"/>
  <c r="AC104" i="82"/>
  <c r="AE104" i="82" s="1"/>
  <c r="AF104" i="82" s="1"/>
  <c r="AN61" i="82"/>
  <c r="AT61" i="82" s="1"/>
  <c r="AL61" i="82"/>
  <c r="AG61" i="82"/>
  <c r="BW313" i="82"/>
  <c r="BX313" i="82" s="1"/>
  <c r="BY225" i="82"/>
  <c r="BZ225" i="82" s="1"/>
  <c r="BW243" i="82"/>
  <c r="BX243" i="82" s="1"/>
  <c r="CA240" i="82"/>
  <c r="CB240" i="82" s="1"/>
  <c r="AX172" i="82"/>
  <c r="AY172" i="82" s="1"/>
  <c r="BY247" i="82"/>
  <c r="BZ247" i="82" s="1"/>
  <c r="CE326" i="82"/>
  <c r="CF326" i="82" s="1"/>
  <c r="CA228" i="82"/>
  <c r="CB228" i="82" s="1"/>
  <c r="BZ137" i="82"/>
  <c r="BY137" i="82"/>
  <c r="BY283" i="82"/>
  <c r="BZ283" i="82" s="1"/>
  <c r="BI194" i="82"/>
  <c r="BJ194" i="82" s="1"/>
  <c r="BW226" i="82"/>
  <c r="BX226" i="82" s="1"/>
  <c r="AX108" i="82"/>
  <c r="AY108" i="82" s="1"/>
  <c r="BI183" i="82"/>
  <c r="BJ183" i="82" s="1"/>
  <c r="BW57" i="82"/>
  <c r="BX57" i="82" s="1"/>
  <c r="BW325" i="82"/>
  <c r="BX325" i="82" s="1"/>
  <c r="BP186" i="82"/>
  <c r="BN186" i="82"/>
  <c r="BO186" i="82"/>
  <c r="BN196" i="82"/>
  <c r="BP196" i="82"/>
  <c r="BO196" i="82"/>
  <c r="AF140" i="82"/>
  <c r="AE158" i="82"/>
  <c r="BW262" i="82"/>
  <c r="BX262" i="82" s="1"/>
  <c r="BW152" i="82"/>
  <c r="BX152" i="82" s="1"/>
  <c r="BY267" i="82"/>
  <c r="BZ267" i="82" s="1"/>
  <c r="BY285" i="82"/>
  <c r="BZ285" i="82" s="1"/>
  <c r="X134" i="82"/>
  <c r="X96" i="82"/>
  <c r="Z97" i="82"/>
  <c r="AA97" i="82" s="1"/>
  <c r="AC116" i="82"/>
  <c r="AD116" i="82" s="1"/>
  <c r="BY202" i="82"/>
  <c r="BZ202" i="82" s="1"/>
  <c r="BW305" i="82"/>
  <c r="BX305" i="82" s="1"/>
  <c r="AX171" i="82"/>
  <c r="AY171" i="82" s="1"/>
  <c r="AX164" i="82"/>
  <c r="AY164" i="82" s="1"/>
  <c r="BY149" i="82"/>
  <c r="BZ149" i="82" s="1"/>
  <c r="AU166" i="82"/>
  <c r="AV166" i="82" s="1"/>
  <c r="AX177" i="82"/>
  <c r="AY177" i="82" s="1"/>
  <c r="BN188" i="82"/>
  <c r="BO188" i="82"/>
  <c r="BP188" i="82" s="1"/>
  <c r="CA211" i="82"/>
  <c r="CB211" i="82" s="1"/>
  <c r="CC58" i="82"/>
  <c r="CD58" i="82" s="1"/>
  <c r="BY227" i="82"/>
  <c r="BZ227" i="82" s="1"/>
  <c r="BA114" i="82"/>
  <c r="CC321" i="82"/>
  <c r="CD321" i="82" s="1"/>
  <c r="BN197" i="82"/>
  <c r="BO197" i="82"/>
  <c r="BP197" i="82" s="1"/>
  <c r="BW201" i="82"/>
  <c r="BX201" i="82" s="1"/>
  <c r="BY236" i="82"/>
  <c r="BZ236" i="82" s="1"/>
  <c r="AC99" i="82"/>
  <c r="AE99" i="82" s="1"/>
  <c r="AF99" i="82" s="1"/>
  <c r="DT70" i="82"/>
  <c r="DX70" i="82"/>
  <c r="BU317" i="82"/>
  <c r="BV317" i="82" s="1"/>
  <c r="CA252" i="82"/>
  <c r="CB252" i="82" s="1"/>
  <c r="BW213" i="82"/>
  <c r="BX213" i="82" s="1"/>
  <c r="BY220" i="82"/>
  <c r="BZ220" i="82" s="1"/>
  <c r="BW212" i="82"/>
  <c r="BX212" i="82" s="1"/>
  <c r="DX148" i="82"/>
  <c r="DT148" i="82"/>
  <c r="AD167" i="82"/>
  <c r="AG167" i="82" s="1"/>
  <c r="BT76" i="82"/>
  <c r="BV76" i="82" s="1"/>
  <c r="BX76" i="82" s="1"/>
  <c r="BZ76" i="82" s="1"/>
  <c r="CB76" i="82" s="1"/>
  <c r="CD76" i="82" s="1"/>
  <c r="CF76" i="82" s="1"/>
  <c r="CH76" i="82" s="1"/>
  <c r="CJ76" i="82" s="1"/>
  <c r="CL76" i="82" s="1"/>
  <c r="CN76" i="82" s="1"/>
  <c r="CP76" i="82" s="1"/>
  <c r="CR76" i="82" s="1"/>
  <c r="CT76" i="82" s="1"/>
  <c r="CV76" i="82" s="1"/>
  <c r="CX76" i="82" s="1"/>
  <c r="CZ76" i="82" s="1"/>
  <c r="DB76" i="82" s="1"/>
  <c r="DD76" i="82" s="1"/>
  <c r="DF76" i="82" s="1"/>
  <c r="DH76" i="82" s="1"/>
  <c r="DJ76" i="82" s="1"/>
  <c r="DL76" i="82" s="1"/>
  <c r="DN76" i="82" s="1"/>
  <c r="DP76" i="82" s="1"/>
  <c r="DR76" i="82" s="1"/>
  <c r="DT76" i="82" s="1"/>
  <c r="DV76" i="82" s="1"/>
  <c r="DX76" i="82" s="1"/>
  <c r="AX179" i="82"/>
  <c r="AY179" i="82" s="1"/>
  <c r="BA67" i="82"/>
  <c r="BB67" i="82" s="1"/>
  <c r="BH67" i="82" s="1"/>
  <c r="BJ67" i="82" s="1"/>
  <c r="BL67" i="82" s="1"/>
  <c r="CE319" i="82"/>
  <c r="CF319" i="82" s="1"/>
  <c r="AG140" i="82"/>
  <c r="AG158" i="82" s="1"/>
  <c r="AD158" i="82"/>
  <c r="AP169" i="82"/>
  <c r="AR169" i="82" s="1"/>
  <c r="BR73" i="82"/>
  <c r="BS73" i="82"/>
  <c r="BS95" i="82" s="1"/>
  <c r="I13" i="4" s="1"/>
  <c r="K13" i="4" s="1"/>
  <c r="M13" i="4" s="1"/>
  <c r="BW245" i="82"/>
  <c r="BX245" i="82" s="1"/>
  <c r="AU168" i="82"/>
  <c r="AV168" i="82" s="1"/>
  <c r="BY242" i="82"/>
  <c r="BZ242" i="82" s="1"/>
  <c r="AS177" i="82"/>
  <c r="AU177" i="82" s="1"/>
  <c r="AV177" i="82" s="1"/>
  <c r="CA253" i="82"/>
  <c r="CB253" i="82" s="1"/>
  <c r="CA274" i="82"/>
  <c r="CB274" i="82" s="1"/>
  <c r="BY320" i="82"/>
  <c r="BZ320" i="82" s="1"/>
  <c r="CA309" i="82"/>
  <c r="CB309" i="82" s="1"/>
  <c r="CE311" i="82"/>
  <c r="CF311" i="82" s="1"/>
  <c r="AU114" i="82"/>
  <c r="DX123" i="82"/>
  <c r="DV123" i="82"/>
  <c r="DV134" i="82" s="1"/>
  <c r="AU118" i="82"/>
  <c r="AV118" i="82" s="1"/>
  <c r="AU180" i="82"/>
  <c r="BG184" i="82"/>
  <c r="BH184" i="82"/>
  <c r="BG182" i="82"/>
  <c r="BH182" i="82" s="1"/>
  <c r="AQ163" i="82"/>
  <c r="BW306" i="82"/>
  <c r="BX306" i="82" s="1"/>
  <c r="AX115" i="82"/>
  <c r="AY115" i="82" s="1"/>
  <c r="BY281" i="82"/>
  <c r="BZ281" i="82" s="1"/>
  <c r="CA270" i="82"/>
  <c r="CB270" i="82" s="1"/>
  <c r="BY275" i="82"/>
  <c r="BZ275" i="82" s="1"/>
  <c r="AN167" i="82"/>
  <c r="AT167" i="82" s="1"/>
  <c r="AK167" i="82"/>
  <c r="AO167" i="82" s="1"/>
  <c r="BG142" i="82"/>
  <c r="BH142" i="82" s="1"/>
  <c r="BU158" i="82"/>
  <c r="BJ181" i="82"/>
  <c r="BI181" i="82"/>
  <c r="BG193" i="82"/>
  <c r="BH193" i="82" s="1"/>
  <c r="CA269" i="82"/>
  <c r="CB269" i="82" s="1"/>
  <c r="CA246" i="82"/>
  <c r="CB246" i="82" s="1"/>
  <c r="BO198" i="82"/>
  <c r="BP198" i="82" s="1"/>
  <c r="BN198" i="82"/>
  <c r="BW312" i="82"/>
  <c r="BX312" i="82"/>
  <c r="BI192" i="82"/>
  <c r="BJ192" i="82" s="1"/>
  <c r="AA110" i="82"/>
  <c r="Z107" i="82"/>
  <c r="AA107" i="82" s="1"/>
  <c r="AA106" i="82"/>
  <c r="AA162" i="82"/>
  <c r="AQ169" i="82"/>
  <c r="AS64" i="82"/>
  <c r="AU64" i="82" s="1"/>
  <c r="AQ64" i="82"/>
  <c r="AX109" i="82"/>
  <c r="AY109" i="82" s="1"/>
  <c r="AP171" i="82"/>
  <c r="AR171" i="82" s="1"/>
  <c r="AA165" i="82"/>
  <c r="AR114" i="82"/>
  <c r="AR163" i="82"/>
  <c r="AT173" i="82"/>
  <c r="AK173" i="82"/>
  <c r="AO173" i="82" s="1"/>
  <c r="AS173" i="82" s="1"/>
  <c r="AN173" i="82"/>
  <c r="BV151" i="82"/>
  <c r="AX175" i="82"/>
  <c r="AY175" i="82" s="1"/>
  <c r="U160" i="82" l="1"/>
  <c r="T301" i="82"/>
  <c r="BT73" i="82"/>
  <c r="BV73" i="82" s="1"/>
  <c r="BX73" i="82" s="1"/>
  <c r="BZ73" i="82" s="1"/>
  <c r="CB73" i="82" s="1"/>
  <c r="CD73" i="82" s="1"/>
  <c r="CF73" i="82" s="1"/>
  <c r="CH73" i="82" s="1"/>
  <c r="CJ73" i="82" s="1"/>
  <c r="CL73" i="82" s="1"/>
  <c r="CN73" i="82" s="1"/>
  <c r="CP73" i="82" s="1"/>
  <c r="CR73" i="82" s="1"/>
  <c r="CT73" i="82" s="1"/>
  <c r="CV73" i="82" s="1"/>
  <c r="CX73" i="82" s="1"/>
  <c r="CZ73" i="82" s="1"/>
  <c r="DB73" i="82" s="1"/>
  <c r="DD73" i="82" s="1"/>
  <c r="DF73" i="82" s="1"/>
  <c r="DH73" i="82" s="1"/>
  <c r="DJ73" i="82" s="1"/>
  <c r="DL73" i="82" s="1"/>
  <c r="DN73" i="82" s="1"/>
  <c r="DP73" i="82" s="1"/>
  <c r="DR73" i="82" s="1"/>
  <c r="DT73" i="82" s="1"/>
  <c r="DV73" i="82" s="1"/>
  <c r="BB114" i="82"/>
  <c r="BP136" i="82"/>
  <c r="CC288" i="82"/>
  <c r="CD288" i="82" s="1"/>
  <c r="CE288" i="82" s="1"/>
  <c r="CF288" i="82" s="1"/>
  <c r="CG288" i="82" s="1"/>
  <c r="CH288" i="82" s="1"/>
  <c r="CC282" i="82"/>
  <c r="CD282" i="82" s="1"/>
  <c r="BA185" i="82"/>
  <c r="BB185" i="82" s="1"/>
  <c r="DT307" i="82"/>
  <c r="DX307" i="82"/>
  <c r="AS167" i="82"/>
  <c r="AQ167" i="82"/>
  <c r="AP167" i="82"/>
  <c r="AR167" i="82" s="1"/>
  <c r="CI277" i="82"/>
  <c r="CJ277" i="82" s="1"/>
  <c r="CK277" i="82" s="1"/>
  <c r="CL277" i="82" s="1"/>
  <c r="CC322" i="82"/>
  <c r="CD322" i="82" s="1"/>
  <c r="AU167" i="82"/>
  <c r="AV167" i="82" s="1"/>
  <c r="AE116" i="82"/>
  <c r="AF116" i="82" s="1"/>
  <c r="AG116" i="82" s="1"/>
  <c r="BY206" i="82"/>
  <c r="BZ206" i="82" s="1"/>
  <c r="BA174" i="82"/>
  <c r="BB174" i="82"/>
  <c r="AA62" i="82"/>
  <c r="AV180" i="82"/>
  <c r="AV114" i="82"/>
  <c r="AD104" i="82"/>
  <c r="AG104" i="82" s="1"/>
  <c r="AV161" i="82"/>
  <c r="AP141" i="82"/>
  <c r="AR141" i="82" s="1"/>
  <c r="AQ141" i="82"/>
  <c r="AX141" i="82" s="1"/>
  <c r="AY141" i="82" s="1"/>
  <c r="CC269" i="82"/>
  <c r="CD269" i="82" s="1"/>
  <c r="AX64" i="82"/>
  <c r="AY64" i="82" s="1"/>
  <c r="AV64" i="82"/>
  <c r="CC246" i="82"/>
  <c r="CD246" i="82" s="1"/>
  <c r="BI193" i="82"/>
  <c r="BJ193" i="82" s="1"/>
  <c r="CG311" i="82"/>
  <c r="CH311" i="82" s="1"/>
  <c r="CJ311" i="82" s="1"/>
  <c r="CL311" i="82" s="1"/>
  <c r="CN311" i="82" s="1"/>
  <c r="CP311" i="82" s="1"/>
  <c r="CR311" i="82" s="1"/>
  <c r="CT311" i="82" s="1"/>
  <c r="CV311" i="82" s="1"/>
  <c r="CX311" i="82" s="1"/>
  <c r="CZ311" i="82" s="1"/>
  <c r="DB311" i="82" s="1"/>
  <c r="DD311" i="82" s="1"/>
  <c r="DF311" i="82" s="1"/>
  <c r="DH311" i="82" s="1"/>
  <c r="DJ311" i="82" s="1"/>
  <c r="DL311" i="82" s="1"/>
  <c r="DN311" i="82" s="1"/>
  <c r="DP311" i="82" s="1"/>
  <c r="DR311" i="82" s="1"/>
  <c r="DT311" i="82" s="1"/>
  <c r="DV311" i="82" s="1"/>
  <c r="DX311" i="82" s="1"/>
  <c r="CC253" i="82"/>
  <c r="CD253" i="82" s="1"/>
  <c r="BY245" i="82"/>
  <c r="BZ245" i="82" s="1"/>
  <c r="BY213" i="82"/>
  <c r="BZ213" i="82" s="1"/>
  <c r="CA236" i="82"/>
  <c r="CB236" i="82" s="1"/>
  <c r="BA164" i="82"/>
  <c r="BB164" i="82" s="1"/>
  <c r="CA267" i="82"/>
  <c r="CB267" i="82" s="1"/>
  <c r="BI189" i="82"/>
  <c r="BJ189" i="82" s="1"/>
  <c r="CA264" i="82"/>
  <c r="CB264" i="82" s="1"/>
  <c r="CC257" i="82"/>
  <c r="CD257" i="82" s="1"/>
  <c r="CA258" i="82"/>
  <c r="CB258" i="82" s="1"/>
  <c r="BU195" i="82"/>
  <c r="BV195" i="82" s="1"/>
  <c r="CA320" i="82"/>
  <c r="CB320" i="82" s="1"/>
  <c r="CI223" i="82"/>
  <c r="CJ223" i="82" s="1"/>
  <c r="CC309" i="82"/>
  <c r="CD309" i="82" s="1"/>
  <c r="CE321" i="82"/>
  <c r="CF321" i="82" s="1"/>
  <c r="BA171" i="82"/>
  <c r="BB171" i="82" s="1"/>
  <c r="BY152" i="82"/>
  <c r="BZ152" i="82" s="1"/>
  <c r="BK183" i="82"/>
  <c r="BL183" i="82" s="1"/>
  <c r="BA172" i="82"/>
  <c r="BB172" i="82" s="1"/>
  <c r="CA225" i="82"/>
  <c r="CB225" i="82" s="1"/>
  <c r="BI145" i="82"/>
  <c r="BJ145" i="82" s="1"/>
  <c r="BA176" i="82"/>
  <c r="BB176" i="82" s="1"/>
  <c r="CC251" i="82"/>
  <c r="CD251" i="82" s="1"/>
  <c r="CE266" i="82"/>
  <c r="CF266" i="82" s="1"/>
  <c r="BY217" i="82"/>
  <c r="BZ217" i="82" s="1"/>
  <c r="CA237" i="82"/>
  <c r="CB237" i="82" s="1"/>
  <c r="CA221" i="82"/>
  <c r="CB221" i="82" s="1"/>
  <c r="BK192" i="82"/>
  <c r="BL192" i="82" s="1"/>
  <c r="BY201" i="82"/>
  <c r="BZ201" i="82" s="1"/>
  <c r="BS188" i="82"/>
  <c r="BT188" i="82" s="1"/>
  <c r="BR188" i="82"/>
  <c r="BA177" i="82"/>
  <c r="BB177" i="82" s="1"/>
  <c r="BY325" i="82"/>
  <c r="BZ325" i="82"/>
  <c r="BA108" i="82"/>
  <c r="BB108" i="82" s="1"/>
  <c r="BH108" i="82" s="1"/>
  <c r="BJ108" i="82" s="1"/>
  <c r="BL108" i="82" s="1"/>
  <c r="BI178" i="82"/>
  <c r="BJ178" i="82"/>
  <c r="CC240" i="82"/>
  <c r="CD240" i="82" s="1"/>
  <c r="CA255" i="82"/>
  <c r="CB255" i="82" s="1"/>
  <c r="CA316" i="82"/>
  <c r="CB316" i="82" s="1"/>
  <c r="CC278" i="82"/>
  <c r="CD278" i="82" s="1"/>
  <c r="BY315" i="82"/>
  <c r="BZ315" i="82"/>
  <c r="CC249" i="82"/>
  <c r="CD249" i="82" s="1"/>
  <c r="CC224" i="82"/>
  <c r="CD224" i="82"/>
  <c r="CA216" i="82"/>
  <c r="CB216" i="82" s="1"/>
  <c r="CC215" i="82"/>
  <c r="CD215" i="82" s="1"/>
  <c r="CA232" i="82"/>
  <c r="CB232" i="82"/>
  <c r="CC327" i="82"/>
  <c r="CD327" i="82" s="1"/>
  <c r="BY308" i="82"/>
  <c r="BZ308" i="82" s="1"/>
  <c r="CA268" i="82"/>
  <c r="CB268" i="82" s="1"/>
  <c r="BY231" i="82"/>
  <c r="BZ231" i="82" s="1"/>
  <c r="CA200" i="82"/>
  <c r="CB200" i="82" s="1"/>
  <c r="CC280" i="82"/>
  <c r="CD280" i="82" s="1"/>
  <c r="BY222" i="82"/>
  <c r="BZ222" i="82" s="1"/>
  <c r="CC270" i="82"/>
  <c r="CD270" i="82" s="1"/>
  <c r="CA242" i="82"/>
  <c r="CB242" i="82" s="1"/>
  <c r="CC263" i="82"/>
  <c r="CD263" i="82"/>
  <c r="CA281" i="82"/>
  <c r="CB281" i="82" s="1"/>
  <c r="CC274" i="82"/>
  <c r="CD274" i="82" s="1"/>
  <c r="CA220" i="82"/>
  <c r="CB220" i="82" s="1"/>
  <c r="AK99" i="82"/>
  <c r="AO99" i="82" s="1"/>
  <c r="AN99" i="82"/>
  <c r="AT99" i="82" s="1"/>
  <c r="BR197" i="82"/>
  <c r="BS197" i="82"/>
  <c r="BT197" i="82" s="1"/>
  <c r="AA134" i="82"/>
  <c r="AC97" i="82"/>
  <c r="AD97" i="82" s="1"/>
  <c r="BY262" i="82"/>
  <c r="BZ262" i="82" s="1"/>
  <c r="BY226" i="82"/>
  <c r="BZ226" i="82" s="1"/>
  <c r="CA209" i="82"/>
  <c r="CB209" i="82" s="1"/>
  <c r="BI144" i="82"/>
  <c r="BJ144" i="82"/>
  <c r="BY210" i="82"/>
  <c r="BZ210" i="82" s="1"/>
  <c r="CC289" i="82"/>
  <c r="CD289" i="82" s="1"/>
  <c r="CA250" i="82"/>
  <c r="CB250" i="82"/>
  <c r="CA153" i="82"/>
  <c r="CB153" i="82" s="1"/>
  <c r="CG272" i="82"/>
  <c r="CH272" i="82" s="1"/>
  <c r="CC286" i="82"/>
  <c r="CD286" i="82" s="1"/>
  <c r="BR190" i="82"/>
  <c r="BS190" i="82"/>
  <c r="BT190" i="82" s="1"/>
  <c r="CC235" i="82"/>
  <c r="CD235" i="82" s="1"/>
  <c r="CA205" i="82"/>
  <c r="CB205" i="82" s="1"/>
  <c r="CC279" i="82"/>
  <c r="CD279" i="82"/>
  <c r="CA229" i="82"/>
  <c r="CB229" i="82" s="1"/>
  <c r="CC271" i="82"/>
  <c r="CD271" i="82"/>
  <c r="CA276" i="82"/>
  <c r="CB276" i="82" s="1"/>
  <c r="AC165" i="82"/>
  <c r="AE165" i="82" s="1"/>
  <c r="AF165" i="82" s="1"/>
  <c r="AD165" i="82"/>
  <c r="BY312" i="82"/>
  <c r="BZ312" i="82" s="1"/>
  <c r="BK181" i="82"/>
  <c r="BL181" i="82" s="1"/>
  <c r="BY306" i="82"/>
  <c r="BZ306" i="82" s="1"/>
  <c r="BW151" i="82"/>
  <c r="BW158" i="82" s="1"/>
  <c r="AC106" i="82"/>
  <c r="AE106" i="82" s="1"/>
  <c r="AF106" i="82" s="1"/>
  <c r="AD106" i="82"/>
  <c r="AG106" i="82" s="1"/>
  <c r="AX163" i="82"/>
  <c r="AY163" i="82" s="1"/>
  <c r="AD99" i="82"/>
  <c r="AG99" i="82" s="1"/>
  <c r="AO61" i="82"/>
  <c r="AN104" i="82"/>
  <c r="AT104" i="82" s="1"/>
  <c r="AK104" i="82"/>
  <c r="AO104" i="82" s="1"/>
  <c r="AD63" i="82"/>
  <c r="AG63" i="82" s="1"/>
  <c r="AX166" i="82"/>
  <c r="AY166" i="82" s="1"/>
  <c r="CA290" i="82"/>
  <c r="CB290" i="82" s="1"/>
  <c r="CG241" i="82"/>
  <c r="CH241" i="82" s="1"/>
  <c r="CA238" i="82"/>
  <c r="CB238" i="82" s="1"/>
  <c r="BG143" i="82"/>
  <c r="BH143" i="82" s="1"/>
  <c r="AQ173" i="82"/>
  <c r="BA109" i="82"/>
  <c r="BB109" i="82" s="1"/>
  <c r="BH109" i="82" s="1"/>
  <c r="BJ109" i="82" s="1"/>
  <c r="BL109" i="82" s="1"/>
  <c r="AC107" i="82"/>
  <c r="AD107" i="82" s="1"/>
  <c r="BI142" i="82"/>
  <c r="BJ142" i="82" s="1"/>
  <c r="BL142" i="82" s="1"/>
  <c r="BA115" i="82"/>
  <c r="BB115" i="82" s="1"/>
  <c r="BI182" i="82"/>
  <c r="BJ182" i="82" s="1"/>
  <c r="AK116" i="82"/>
  <c r="AO116" i="82" s="1"/>
  <c r="AS116" i="82" s="1"/>
  <c r="AN116" i="82"/>
  <c r="AT116" i="82" s="1"/>
  <c r="BP67" i="82"/>
  <c r="BR67" i="82" s="1"/>
  <c r="BT67" i="82" s="1"/>
  <c r="BV67" i="82" s="1"/>
  <c r="BX67" i="82" s="1"/>
  <c r="BZ67" i="82" s="1"/>
  <c r="CB67" i="82" s="1"/>
  <c r="CD67" i="82" s="1"/>
  <c r="CF67" i="82" s="1"/>
  <c r="CH67" i="82" s="1"/>
  <c r="CJ67" i="82" s="1"/>
  <c r="CL67" i="82" s="1"/>
  <c r="CN67" i="82" s="1"/>
  <c r="CP67" i="82" s="1"/>
  <c r="CR67" i="82" s="1"/>
  <c r="CT67" i="82" s="1"/>
  <c r="CV67" i="82" s="1"/>
  <c r="CX67" i="82" s="1"/>
  <c r="CZ67" i="82" s="1"/>
  <c r="DB67" i="82" s="1"/>
  <c r="DD67" i="82" s="1"/>
  <c r="DF67" i="82" s="1"/>
  <c r="DH67" i="82" s="1"/>
  <c r="DJ67" i="82" s="1"/>
  <c r="DL67" i="82" s="1"/>
  <c r="DN67" i="82" s="1"/>
  <c r="DP67" i="82" s="1"/>
  <c r="DR67" i="82" s="1"/>
  <c r="BN67" i="82"/>
  <c r="CC252" i="82"/>
  <c r="CD252" i="82" s="1"/>
  <c r="AV163" i="82"/>
  <c r="CE58" i="82"/>
  <c r="CF58" i="82" s="1"/>
  <c r="BZ305" i="82"/>
  <c r="BY305" i="82"/>
  <c r="Z134" i="82"/>
  <c r="CB285" i="82"/>
  <c r="CA285" i="82"/>
  <c r="BY57" i="82"/>
  <c r="BZ57" i="82" s="1"/>
  <c r="CA137" i="82"/>
  <c r="CB137" i="82" s="1"/>
  <c r="CG326" i="82"/>
  <c r="CH326" i="82" s="1"/>
  <c r="CI326" i="82" s="1"/>
  <c r="BY243" i="82"/>
  <c r="BZ243" i="82" s="1"/>
  <c r="BY254" i="82"/>
  <c r="BZ254" i="82" s="1"/>
  <c r="BO147" i="82"/>
  <c r="BP147" i="82" s="1"/>
  <c r="BN147" i="82"/>
  <c r="CC218" i="82"/>
  <c r="CD218" i="82" s="1"/>
  <c r="CC260" i="82"/>
  <c r="CD260" i="82" s="1"/>
  <c r="CD287" i="82"/>
  <c r="CC287" i="82"/>
  <c r="AX168" i="82"/>
  <c r="AY168" i="82" s="1"/>
  <c r="BZ230" i="82"/>
  <c r="BY230" i="82"/>
  <c r="BY261" i="82"/>
  <c r="BZ261" i="82" s="1"/>
  <c r="BY234" i="82"/>
  <c r="BZ234" i="82" s="1"/>
  <c r="DT65" i="82"/>
  <c r="DX65" i="82"/>
  <c r="CC259" i="82"/>
  <c r="CD259" i="82" s="1"/>
  <c r="CE284" i="82"/>
  <c r="CF284" i="82" s="1"/>
  <c r="CI207" i="82"/>
  <c r="CJ207" i="82" s="1"/>
  <c r="BY265" i="82"/>
  <c r="BZ265" i="82" s="1"/>
  <c r="BZ303" i="82"/>
  <c r="BY303" i="82"/>
  <c r="CA204" i="82"/>
  <c r="CB204" i="82" s="1"/>
  <c r="CC208" i="82"/>
  <c r="CD208" i="82" s="1"/>
  <c r="DT66" i="82"/>
  <c r="DX66" i="82"/>
  <c r="AX118" i="82"/>
  <c r="AY118" i="82" s="1"/>
  <c r="AX161" i="82"/>
  <c r="AY161" i="82" s="1"/>
  <c r="AC62" i="82"/>
  <c r="AD62" i="82" s="1"/>
  <c r="AA95" i="82"/>
  <c r="AX169" i="82"/>
  <c r="AY169" i="82" s="1"/>
  <c r="AC110" i="82"/>
  <c r="AE110" i="82" s="1"/>
  <c r="AF110" i="82" s="1"/>
  <c r="BT198" i="82"/>
  <c r="BS198" i="82"/>
  <c r="BR198" i="82"/>
  <c r="AP173" i="82"/>
  <c r="AR173" i="82" s="1"/>
  <c r="AD162" i="82"/>
  <c r="AC162" i="82"/>
  <c r="AE107" i="82"/>
  <c r="AF107" i="82" s="1"/>
  <c r="W22" i="82"/>
  <c r="W44" i="82"/>
  <c r="W36" i="82"/>
  <c r="W17" i="82"/>
  <c r="W53" i="82"/>
  <c r="W38" i="82"/>
  <c r="W50" i="82"/>
  <c r="W23" i="82"/>
  <c r="W29" i="82"/>
  <c r="W43" i="82"/>
  <c r="W41" i="82"/>
  <c r="W16" i="82"/>
  <c r="W11" i="82"/>
  <c r="W31" i="82"/>
  <c r="W28" i="82"/>
  <c r="W26" i="82"/>
  <c r="W42" i="82"/>
  <c r="W12" i="82"/>
  <c r="W54" i="82"/>
  <c r="W15" i="82"/>
  <c r="W30" i="82"/>
  <c r="W18" i="82"/>
  <c r="W8" i="82"/>
  <c r="W46" i="82"/>
  <c r="W40" i="82"/>
  <c r="W56" i="82"/>
  <c r="W35" i="82"/>
  <c r="W33" i="82"/>
  <c r="W55" i="82"/>
  <c r="W25" i="82"/>
  <c r="W10" i="82"/>
  <c r="W52" i="82"/>
  <c r="W20" i="82"/>
  <c r="W24" i="82"/>
  <c r="W51" i="82"/>
  <c r="W34" i="82"/>
  <c r="W14" i="82"/>
  <c r="W45" i="82"/>
  <c r="W47" i="82"/>
  <c r="W13" i="82"/>
  <c r="W49" i="82"/>
  <c r="W27" i="82"/>
  <c r="W39" i="82"/>
  <c r="W19" i="82"/>
  <c r="W21" i="82"/>
  <c r="W37" i="82"/>
  <c r="W32" i="82"/>
  <c r="W48" i="82"/>
  <c r="W9" i="82"/>
  <c r="BT304" i="82"/>
  <c r="BY256" i="82"/>
  <c r="BZ256" i="82" s="1"/>
  <c r="BI187" i="82"/>
  <c r="BJ187" i="82" s="1"/>
  <c r="CC318" i="82"/>
  <c r="CD318" i="82" s="1"/>
  <c r="BA175" i="82"/>
  <c r="BB175" i="82" s="1"/>
  <c r="AU173" i="82"/>
  <c r="AX167" i="82"/>
  <c r="AY167" i="82" s="1"/>
  <c r="CA275" i="82"/>
  <c r="CB275" i="82" s="1"/>
  <c r="BI184" i="82"/>
  <c r="BJ184" i="82" s="1"/>
  <c r="DX73" i="82"/>
  <c r="DV95" i="82"/>
  <c r="CG319" i="82"/>
  <c r="CH319" i="82"/>
  <c r="CJ319" i="82" s="1"/>
  <c r="CL319" i="82" s="1"/>
  <c r="CN319" i="82" s="1"/>
  <c r="CP319" i="82" s="1"/>
  <c r="CR319" i="82" s="1"/>
  <c r="CT319" i="82" s="1"/>
  <c r="CV319" i="82" s="1"/>
  <c r="CX319" i="82" s="1"/>
  <c r="CZ319" i="82" s="1"/>
  <c r="DB319" i="82" s="1"/>
  <c r="DD319" i="82" s="1"/>
  <c r="DF319" i="82" s="1"/>
  <c r="DH319" i="82" s="1"/>
  <c r="DJ319" i="82" s="1"/>
  <c r="DL319" i="82" s="1"/>
  <c r="DN319" i="82" s="1"/>
  <c r="DP319" i="82" s="1"/>
  <c r="DR319" i="82" s="1"/>
  <c r="DT319" i="82" s="1"/>
  <c r="DV319" i="82" s="1"/>
  <c r="DX319" i="82" s="1"/>
  <c r="BA179" i="82"/>
  <c r="BB179" i="82" s="1"/>
  <c r="BY212" i="82"/>
  <c r="BZ212" i="82" s="1"/>
  <c r="BW317" i="82"/>
  <c r="BX317" i="82" s="1"/>
  <c r="CA227" i="82"/>
  <c r="CB227" i="82" s="1"/>
  <c r="CC211" i="82"/>
  <c r="CD211" i="82" s="1"/>
  <c r="CA149" i="82"/>
  <c r="CA202" i="82"/>
  <c r="CB202" i="82" s="1"/>
  <c r="AN140" i="82"/>
  <c r="AN158" i="82" s="1"/>
  <c r="AK140" i="82"/>
  <c r="AK158" i="82" s="1"/>
  <c r="AF158" i="82"/>
  <c r="BS196" i="82"/>
  <c r="BT196" i="82" s="1"/>
  <c r="BR196" i="82"/>
  <c r="BR186" i="82"/>
  <c r="BS186" i="82"/>
  <c r="BT186" i="82" s="1"/>
  <c r="BK194" i="82"/>
  <c r="BL194" i="82" s="1"/>
  <c r="CA283" i="82"/>
  <c r="CB283" i="82" s="1"/>
  <c r="CC228" i="82"/>
  <c r="CD228" i="82" s="1"/>
  <c r="CA247" i="82"/>
  <c r="CB247" i="82" s="1"/>
  <c r="BY313" i="82"/>
  <c r="BZ313" i="82" s="1"/>
  <c r="AN63" i="82"/>
  <c r="AT63" i="82" s="1"/>
  <c r="AL63" i="82"/>
  <c r="AO63" i="82" s="1"/>
  <c r="AS63" i="82" s="1"/>
  <c r="AV169" i="82"/>
  <c r="I21" i="4"/>
  <c r="K21" i="4" s="1"/>
  <c r="M21" i="4" s="1"/>
  <c r="CC233" i="82"/>
  <c r="CD233" i="82" s="1"/>
  <c r="CA323" i="82"/>
  <c r="CB323" i="82" s="1"/>
  <c r="CA273" i="82"/>
  <c r="CB273" i="82" s="1"/>
  <c r="BK191" i="82"/>
  <c r="BL191" i="82" s="1"/>
  <c r="AX180" i="82"/>
  <c r="AY180" i="82" s="1"/>
  <c r="BG146" i="82"/>
  <c r="BH146" i="82" s="1"/>
  <c r="CA310" i="82"/>
  <c r="CB310" i="82" s="1"/>
  <c r="BW199" i="82"/>
  <c r="BX199" i="82" s="1"/>
  <c r="CA203" i="82"/>
  <c r="CB203" i="82" s="1"/>
  <c r="BG170" i="82"/>
  <c r="BH170" i="82" s="1"/>
  <c r="CC214" i="82"/>
  <c r="CD214" i="82"/>
  <c r="CA239" i="82"/>
  <c r="CB239" i="82" s="1"/>
  <c r="CA248" i="82"/>
  <c r="CB248" i="82" s="1"/>
  <c r="CC219" i="82"/>
  <c r="CD219" i="82" s="1"/>
  <c r="CI244" i="82"/>
  <c r="CJ244" i="82" s="1"/>
  <c r="CA150" i="82"/>
  <c r="CB150" i="82"/>
  <c r="CE322" i="82" l="1"/>
  <c r="CF322" i="82" s="1"/>
  <c r="CG322" i="82" s="1"/>
  <c r="CH322" i="82" s="1"/>
  <c r="CJ322" i="82" s="1"/>
  <c r="CL322" i="82" s="1"/>
  <c r="CN322" i="82" s="1"/>
  <c r="CP322" i="82" s="1"/>
  <c r="CR322" i="82" s="1"/>
  <c r="CT322" i="82" s="1"/>
  <c r="CV322" i="82" s="1"/>
  <c r="CX322" i="82" s="1"/>
  <c r="CZ322" i="82" s="1"/>
  <c r="DB322" i="82" s="1"/>
  <c r="DD322" i="82" s="1"/>
  <c r="DF322" i="82" s="1"/>
  <c r="DH322" i="82" s="1"/>
  <c r="DJ322" i="82" s="1"/>
  <c r="DL322" i="82" s="1"/>
  <c r="DN322" i="82" s="1"/>
  <c r="DP322" i="82" s="1"/>
  <c r="DR322" i="82" s="1"/>
  <c r="DT322" i="82" s="1"/>
  <c r="DV322" i="82" s="1"/>
  <c r="DX322" i="82" s="1"/>
  <c r="AS104" i="82"/>
  <c r="AO140" i="82"/>
  <c r="AG165" i="82"/>
  <c r="AV141" i="82"/>
  <c r="BS136" i="82"/>
  <c r="BS138" i="82" s="1"/>
  <c r="I20" i="4" s="1"/>
  <c r="K20" i="4" s="1"/>
  <c r="M20" i="4" s="1"/>
  <c r="BR136" i="82"/>
  <c r="BR138" i="82" s="1"/>
  <c r="BP138" i="82"/>
  <c r="BT136" i="82"/>
  <c r="W160" i="82"/>
  <c r="U301" i="82"/>
  <c r="CA206" i="82"/>
  <c r="CB206" i="82" s="1"/>
  <c r="CC206" i="82" s="1"/>
  <c r="CD206" i="82" s="1"/>
  <c r="CE206" i="82" s="1"/>
  <c r="CF206" i="82" s="1"/>
  <c r="CE282" i="82"/>
  <c r="CF282" i="82" s="1"/>
  <c r="AD110" i="82"/>
  <c r="AG110" i="82" s="1"/>
  <c r="AE97" i="82"/>
  <c r="AV173" i="82"/>
  <c r="BA141" i="82"/>
  <c r="BB141" i="82" s="1"/>
  <c r="BG174" i="82"/>
  <c r="BH174" i="82" s="1"/>
  <c r="BI174" i="82" s="1"/>
  <c r="BJ174" i="82" s="1"/>
  <c r="BK174" i="82" s="1"/>
  <c r="BG185" i="82"/>
  <c r="BH185" i="82" s="1"/>
  <c r="BI185" i="82" s="1"/>
  <c r="BJ185" i="82" s="1"/>
  <c r="CK244" i="82"/>
  <c r="CL244" i="82" s="1"/>
  <c r="CC310" i="82"/>
  <c r="CD310" i="82" s="1"/>
  <c r="CC227" i="82"/>
  <c r="CD227" i="82" s="1"/>
  <c r="CE259" i="82"/>
  <c r="CF259" i="82" s="1"/>
  <c r="BP142" i="82"/>
  <c r="BN142" i="82"/>
  <c r="CC239" i="82"/>
  <c r="CD239" i="82" s="1"/>
  <c r="CC273" i="82"/>
  <c r="CD273" i="82" s="1"/>
  <c r="BG179" i="82"/>
  <c r="BH179" i="82" s="1"/>
  <c r="BI146" i="82"/>
  <c r="BJ146" i="82" s="1"/>
  <c r="CC323" i="82"/>
  <c r="CD323" i="82" s="1"/>
  <c r="CC247" i="82"/>
  <c r="CD247" i="82" s="1"/>
  <c r="BN194" i="82"/>
  <c r="BO194" i="82"/>
  <c r="BP194" i="82"/>
  <c r="BK184" i="82"/>
  <c r="BL184" i="82" s="1"/>
  <c r="BK187" i="82"/>
  <c r="BL187" i="82" s="1"/>
  <c r="BR147" i="82"/>
  <c r="BT147" i="82"/>
  <c r="BV147" i="82" s="1"/>
  <c r="BX147" i="82" s="1"/>
  <c r="BZ147" i="82" s="1"/>
  <c r="CB147" i="82" s="1"/>
  <c r="CD147" i="82" s="1"/>
  <c r="CF147" i="82" s="1"/>
  <c r="CH147" i="82" s="1"/>
  <c r="CJ147" i="82" s="1"/>
  <c r="CL147" i="82" s="1"/>
  <c r="CN147" i="82" s="1"/>
  <c r="CP147" i="82" s="1"/>
  <c r="CR147" i="82" s="1"/>
  <c r="CT147" i="82" s="1"/>
  <c r="CV147" i="82" s="1"/>
  <c r="CX147" i="82" s="1"/>
  <c r="CZ147" i="82" s="1"/>
  <c r="DB147" i="82" s="1"/>
  <c r="DD147" i="82" s="1"/>
  <c r="DF147" i="82" s="1"/>
  <c r="DH147" i="82" s="1"/>
  <c r="DJ147" i="82" s="1"/>
  <c r="DL147" i="82" s="1"/>
  <c r="DN147" i="82" s="1"/>
  <c r="DP147" i="82" s="1"/>
  <c r="DR147" i="82" s="1"/>
  <c r="CE252" i="82"/>
  <c r="CF252" i="82" s="1"/>
  <c r="CE289" i="82"/>
  <c r="CF289" i="82"/>
  <c r="CA226" i="82"/>
  <c r="CB226" i="82" s="1"/>
  <c r="BU197" i="82"/>
  <c r="BV197" i="82" s="1"/>
  <c r="CC220" i="82"/>
  <c r="CD220" i="82" s="1"/>
  <c r="CC255" i="82"/>
  <c r="CD255" i="82" s="1"/>
  <c r="BN192" i="82"/>
  <c r="BO192" i="82"/>
  <c r="BP192" i="82" s="1"/>
  <c r="CG266" i="82"/>
  <c r="CH266" i="82" s="1"/>
  <c r="BK145" i="82"/>
  <c r="BL145" i="82" s="1"/>
  <c r="CG321" i="82"/>
  <c r="CH321" i="82" s="1"/>
  <c r="CJ321" i="82" s="1"/>
  <c r="CL321" i="82" s="1"/>
  <c r="CN321" i="82" s="1"/>
  <c r="CP321" i="82" s="1"/>
  <c r="CR321" i="82" s="1"/>
  <c r="CT321" i="82" s="1"/>
  <c r="CV321" i="82" s="1"/>
  <c r="CX321" i="82" s="1"/>
  <c r="CZ321" i="82" s="1"/>
  <c r="DB321" i="82" s="1"/>
  <c r="DD321" i="82" s="1"/>
  <c r="DF321" i="82" s="1"/>
  <c r="DH321" i="82" s="1"/>
  <c r="DJ321" i="82" s="1"/>
  <c r="DL321" i="82" s="1"/>
  <c r="DN321" i="82" s="1"/>
  <c r="DP321" i="82" s="1"/>
  <c r="DR321" i="82" s="1"/>
  <c r="DT321" i="82" s="1"/>
  <c r="DV321" i="82" s="1"/>
  <c r="DX321" i="82" s="1"/>
  <c r="CE246" i="82"/>
  <c r="CF246" i="82" s="1"/>
  <c r="BO191" i="82"/>
  <c r="BP191" i="82" s="1"/>
  <c r="BN191" i="82"/>
  <c r="CC204" i="82"/>
  <c r="CD204" i="82" s="1"/>
  <c r="CA243" i="82"/>
  <c r="CB243" i="82" s="1"/>
  <c r="BA166" i="82"/>
  <c r="BB166" i="82" s="1"/>
  <c r="CM277" i="82"/>
  <c r="CN277" i="82" s="1"/>
  <c r="CA313" i="82"/>
  <c r="CB313" i="82" s="1"/>
  <c r="CE260" i="82"/>
  <c r="CF260" i="82" s="1"/>
  <c r="BY199" i="82"/>
  <c r="BZ199" i="82" s="1"/>
  <c r="BA180" i="82"/>
  <c r="BB180" i="82" s="1"/>
  <c r="CE233" i="82"/>
  <c r="CF233" i="82" s="1"/>
  <c r="CE228" i="82"/>
  <c r="CF228" i="82" s="1"/>
  <c r="CE211" i="82"/>
  <c r="CF211" i="82" s="1"/>
  <c r="CC275" i="82"/>
  <c r="CD275" i="82" s="1"/>
  <c r="BG175" i="82"/>
  <c r="BH175" i="82" s="1"/>
  <c r="BA169" i="82"/>
  <c r="BB169" i="82" s="1"/>
  <c r="BA161" i="82"/>
  <c r="BB161" i="82" s="1"/>
  <c r="CE208" i="82"/>
  <c r="CF208" i="82" s="1"/>
  <c r="CA254" i="82"/>
  <c r="CB254" i="82" s="1"/>
  <c r="BN109" i="82"/>
  <c r="BP109" i="82"/>
  <c r="CC290" i="82"/>
  <c r="CD290" i="82" s="1"/>
  <c r="CE286" i="82"/>
  <c r="CF286" i="82" s="1"/>
  <c r="CA262" i="82"/>
  <c r="CB262" i="82" s="1"/>
  <c r="CF274" i="82"/>
  <c r="CE274" i="82"/>
  <c r="CC242" i="82"/>
  <c r="CD242" i="82" s="1"/>
  <c r="CE280" i="82"/>
  <c r="CF280" i="82" s="1"/>
  <c r="BU188" i="82"/>
  <c r="BV188" i="82" s="1"/>
  <c r="CC221" i="82"/>
  <c r="CD221" i="82" s="1"/>
  <c r="CE309" i="82"/>
  <c r="CF309" i="82" s="1"/>
  <c r="CE257" i="82"/>
  <c r="CF257" i="82" s="1"/>
  <c r="CC267" i="82"/>
  <c r="CD267" i="82" s="1"/>
  <c r="CE253" i="82"/>
  <c r="CF253" i="82" s="1"/>
  <c r="BA118" i="82"/>
  <c r="BB118" i="82" s="1"/>
  <c r="CI241" i="82"/>
  <c r="CJ241" i="82" s="1"/>
  <c r="BA163" i="82"/>
  <c r="BB163" i="82" s="1"/>
  <c r="CE235" i="82"/>
  <c r="CF235" i="82" s="1"/>
  <c r="AD134" i="82"/>
  <c r="CC281" i="82"/>
  <c r="CD281" i="82" s="1"/>
  <c r="CE270" i="82"/>
  <c r="CF270" i="82"/>
  <c r="CC200" i="82"/>
  <c r="CD200" i="82" s="1"/>
  <c r="CE249" i="82"/>
  <c r="CF249" i="82" s="1"/>
  <c r="CC237" i="82"/>
  <c r="CD237" i="82" s="1"/>
  <c r="CA152" i="82"/>
  <c r="CB152" i="82" s="1"/>
  <c r="CK223" i="82"/>
  <c r="CL223" i="82" s="1"/>
  <c r="BW195" i="82"/>
  <c r="BX195" i="82" s="1"/>
  <c r="CC264" i="82"/>
  <c r="CD264" i="82" s="1"/>
  <c r="CA213" i="82"/>
  <c r="CB213" i="82"/>
  <c r="BB64" i="82"/>
  <c r="BH64" i="82" s="1"/>
  <c r="BJ64" i="82" s="1"/>
  <c r="BL64" i="82" s="1"/>
  <c r="BA64" i="82"/>
  <c r="BI170" i="82"/>
  <c r="BJ170" i="82"/>
  <c r="CC202" i="82"/>
  <c r="CD202" i="82" s="1"/>
  <c r="CK207" i="82"/>
  <c r="CL207" i="82" s="1"/>
  <c r="BK182" i="82"/>
  <c r="BL182" i="82" s="1"/>
  <c r="BI143" i="82"/>
  <c r="BJ143" i="82" s="1"/>
  <c r="CA312" i="82"/>
  <c r="CB312" i="82" s="1"/>
  <c r="BU190" i="82"/>
  <c r="BV190" i="82" s="1"/>
  <c r="AS99" i="82"/>
  <c r="AU99" i="82" s="1"/>
  <c r="AV99" i="82" s="1"/>
  <c r="AP99" i="82"/>
  <c r="AR99" i="82" s="1"/>
  <c r="AQ99" i="82"/>
  <c r="CA308" i="82"/>
  <c r="CB308" i="82"/>
  <c r="CC216" i="82"/>
  <c r="CD216" i="82" s="1"/>
  <c r="CC316" i="82"/>
  <c r="CD316" i="82" s="1"/>
  <c r="CA217" i="82"/>
  <c r="CB217" i="82" s="1"/>
  <c r="BG176" i="82"/>
  <c r="BH176" i="82" s="1"/>
  <c r="BG172" i="82"/>
  <c r="BH172" i="82" s="1"/>
  <c r="BG171" i="82"/>
  <c r="BH171" i="82" s="1"/>
  <c r="CI288" i="82"/>
  <c r="CJ288" i="82" s="1"/>
  <c r="BK193" i="82"/>
  <c r="BL193" i="82" s="1"/>
  <c r="CE269" i="82"/>
  <c r="CF269" i="82" s="1"/>
  <c r="CE214" i="82"/>
  <c r="CF214" i="82" s="1"/>
  <c r="AS140" i="82"/>
  <c r="AS158" i="82" s="1"/>
  <c r="AO158" i="82"/>
  <c r="AQ140" i="82"/>
  <c r="CA212" i="82"/>
  <c r="CB212" i="82" s="1"/>
  <c r="CC150" i="82"/>
  <c r="CD150" i="82" s="1"/>
  <c r="CE219" i="82"/>
  <c r="CF219" i="82" s="1"/>
  <c r="AQ63" i="82"/>
  <c r="CA256" i="82"/>
  <c r="CB256" i="82" s="1"/>
  <c r="AP140" i="82"/>
  <c r="AP158" i="82" s="1"/>
  <c r="X9" i="82"/>
  <c r="X21" i="82"/>
  <c r="X49" i="82"/>
  <c r="X14" i="82"/>
  <c r="X20" i="82"/>
  <c r="X55" i="82"/>
  <c r="X40" i="82"/>
  <c r="X30" i="82"/>
  <c r="X42" i="82"/>
  <c r="X11" i="82"/>
  <c r="X29" i="82"/>
  <c r="X53" i="82"/>
  <c r="X22" i="82"/>
  <c r="AN110" i="82"/>
  <c r="AT110" i="82" s="1"/>
  <c r="AK110" i="82"/>
  <c r="AO110" i="82" s="1"/>
  <c r="AS110" i="82" s="1"/>
  <c r="AC95" i="82"/>
  <c r="AE62" i="82"/>
  <c r="AX173" i="82"/>
  <c r="AY173" i="82" s="1"/>
  <c r="AP104" i="82"/>
  <c r="BX151" i="82"/>
  <c r="AN165" i="82"/>
  <c r="AT165" i="82" s="1"/>
  <c r="AK165" i="82"/>
  <c r="AO165" i="82" s="1"/>
  <c r="CE215" i="82"/>
  <c r="CF215" i="82"/>
  <c r="CE224" i="82"/>
  <c r="CF224" i="82" s="1"/>
  <c r="CA315" i="82"/>
  <c r="CB315" i="82" s="1"/>
  <c r="BK178" i="82"/>
  <c r="BL178" i="82" s="1"/>
  <c r="CA325" i="82"/>
  <c r="CB325" i="82" s="1"/>
  <c r="BG177" i="82"/>
  <c r="BH177" i="82" s="1"/>
  <c r="CC225" i="82"/>
  <c r="CD225" i="82" s="1"/>
  <c r="BN183" i="82"/>
  <c r="BO183" i="82"/>
  <c r="BP183" i="82" s="1"/>
  <c r="BK189" i="82"/>
  <c r="BL189" i="82" s="1"/>
  <c r="BG164" i="82"/>
  <c r="BH164" i="82" s="1"/>
  <c r="CC283" i="82"/>
  <c r="CD283" i="82" s="1"/>
  <c r="BU186" i="82"/>
  <c r="BV186" i="82" s="1"/>
  <c r="BU196" i="82"/>
  <c r="BV196" i="82" s="1"/>
  <c r="AR63" i="82"/>
  <c r="AT140" i="82"/>
  <c r="BY317" i="82"/>
  <c r="BZ317" i="82" s="1"/>
  <c r="X48" i="82"/>
  <c r="X19" i="82"/>
  <c r="X13" i="82"/>
  <c r="X34" i="82"/>
  <c r="X52" i="82"/>
  <c r="X33" i="82"/>
  <c r="X46" i="82"/>
  <c r="X15" i="82"/>
  <c r="X26" i="82"/>
  <c r="X16" i="82"/>
  <c r="X23" i="82"/>
  <c r="X17" i="82"/>
  <c r="AE162" i="82"/>
  <c r="AD95" i="82"/>
  <c r="DT67" i="82"/>
  <c r="DX67" i="82"/>
  <c r="AQ116" i="82"/>
  <c r="AR104" i="82"/>
  <c r="AQ104" i="82"/>
  <c r="BO181" i="82"/>
  <c r="BP181" i="82" s="1"/>
  <c r="BN181" i="82"/>
  <c r="CC153" i="82"/>
  <c r="CD153" i="82" s="1"/>
  <c r="CE153" i="82" s="1"/>
  <c r="CC209" i="82"/>
  <c r="CD209" i="82" s="1"/>
  <c r="AC134" i="82"/>
  <c r="BA167" i="82"/>
  <c r="BB167" i="82"/>
  <c r="X32" i="82"/>
  <c r="X39" i="82"/>
  <c r="X47" i="82"/>
  <c r="X51" i="82"/>
  <c r="X10" i="82"/>
  <c r="X35" i="82"/>
  <c r="W59" i="82"/>
  <c r="X8" i="82"/>
  <c r="X54" i="82"/>
  <c r="X28" i="82"/>
  <c r="X41" i="82"/>
  <c r="X50" i="82"/>
  <c r="X36" i="82"/>
  <c r="BU198" i="82"/>
  <c r="BV198" i="82" s="1"/>
  <c r="CA303" i="82"/>
  <c r="CA234" i="82"/>
  <c r="CB234" i="82" s="1"/>
  <c r="CA230" i="82"/>
  <c r="CB230" i="82" s="1"/>
  <c r="CE287" i="82"/>
  <c r="CF287" i="82" s="1"/>
  <c r="CF218" i="82"/>
  <c r="CE218" i="82"/>
  <c r="CA57" i="82"/>
  <c r="CB57" i="82"/>
  <c r="CC285" i="82"/>
  <c r="CD285" i="82" s="1"/>
  <c r="CA305" i="82"/>
  <c r="CB305" i="82"/>
  <c r="CG58" i="82"/>
  <c r="CH58" i="82" s="1"/>
  <c r="AP116" i="82"/>
  <c r="AU116" i="82"/>
  <c r="AV116" i="82" s="1"/>
  <c r="BI158" i="82"/>
  <c r="AU104" i="82"/>
  <c r="AV104" i="82" s="1"/>
  <c r="AS61" i="82"/>
  <c r="AR61" i="82"/>
  <c r="AQ61" i="82"/>
  <c r="CA306" i="82"/>
  <c r="CB306" i="82" s="1"/>
  <c r="CC276" i="82"/>
  <c r="CD276" i="82" s="1"/>
  <c r="CC229" i="82"/>
  <c r="CD229" i="82" s="1"/>
  <c r="CC205" i="82"/>
  <c r="CD205" i="82" s="1"/>
  <c r="CI272" i="82"/>
  <c r="CJ272" i="82" s="1"/>
  <c r="CC250" i="82"/>
  <c r="CD250" i="82" s="1"/>
  <c r="CA210" i="82"/>
  <c r="CB210" i="82" s="1"/>
  <c r="BK144" i="82"/>
  <c r="BL144" i="82" s="1"/>
  <c r="CA222" i="82"/>
  <c r="CB222" i="82"/>
  <c r="CC268" i="82"/>
  <c r="CD268" i="82" s="1"/>
  <c r="CE327" i="82"/>
  <c r="CF327" i="82" s="1"/>
  <c r="CC232" i="82"/>
  <c r="CD232" i="82" s="1"/>
  <c r="CE278" i="82"/>
  <c r="CF278" i="82" s="1"/>
  <c r="CE240" i="82"/>
  <c r="CF240" i="82" s="1"/>
  <c r="BP108" i="82"/>
  <c r="BN108" i="82"/>
  <c r="CA201" i="82"/>
  <c r="CB201" i="82" s="1"/>
  <c r="CE251" i="82"/>
  <c r="CF251" i="82" s="1"/>
  <c r="CC320" i="82"/>
  <c r="CD320" i="82" s="1"/>
  <c r="CC258" i="82"/>
  <c r="CD258" i="82" s="1"/>
  <c r="CC236" i="82"/>
  <c r="CD236" i="82" s="1"/>
  <c r="CB245" i="82"/>
  <c r="CA245" i="82"/>
  <c r="CC248" i="82"/>
  <c r="CD248" i="82" s="1"/>
  <c r="CC203" i="82"/>
  <c r="CD203" i="82" s="1"/>
  <c r="AU63" i="82"/>
  <c r="CB149" i="82"/>
  <c r="CE318" i="82"/>
  <c r="CF318" i="82" s="1"/>
  <c r="BU304" i="82"/>
  <c r="BU330" i="82" s="1"/>
  <c r="BT330" i="82"/>
  <c r="X37" i="82"/>
  <c r="X27" i="82"/>
  <c r="X45" i="82"/>
  <c r="X24" i="82"/>
  <c r="X25" i="82"/>
  <c r="X56" i="82"/>
  <c r="X18" i="82"/>
  <c r="X12" i="82"/>
  <c r="X31" i="82"/>
  <c r="X43" i="82"/>
  <c r="X38" i="82"/>
  <c r="X44" i="82"/>
  <c r="AN107" i="82"/>
  <c r="AT107" i="82" s="1"/>
  <c r="AK107" i="82"/>
  <c r="AO107" i="82" s="1"/>
  <c r="CB265" i="82"/>
  <c r="CA265" i="82"/>
  <c r="CG284" i="82"/>
  <c r="CH284" i="82"/>
  <c r="CB261" i="82"/>
  <c r="CA261" i="82"/>
  <c r="BA168" i="82"/>
  <c r="BB168" i="82"/>
  <c r="CC137" i="82"/>
  <c r="CD137" i="82" s="1"/>
  <c r="AE134" i="82"/>
  <c r="AF97" i="82"/>
  <c r="AG107" i="82"/>
  <c r="CC238" i="82"/>
  <c r="CD238" i="82" s="1"/>
  <c r="AL106" i="82"/>
  <c r="AN106" i="82"/>
  <c r="AT106" i="82" s="1"/>
  <c r="AF96" i="82"/>
  <c r="CE271" i="82"/>
  <c r="CF271" i="82" s="1"/>
  <c r="CE279" i="82"/>
  <c r="CF279" i="82" s="1"/>
  <c r="CE263" i="82"/>
  <c r="CF263" i="82" s="1"/>
  <c r="CA231" i="82"/>
  <c r="CB231" i="82" s="1"/>
  <c r="X160" i="82" l="1"/>
  <c r="W301" i="82"/>
  <c r="BT138" i="82"/>
  <c r="N20" i="4" s="1"/>
  <c r="O20" i="4" s="1"/>
  <c r="BU136" i="82"/>
  <c r="AS107" i="82"/>
  <c r="AU107" i="82" s="1"/>
  <c r="AR107" i="82"/>
  <c r="AR140" i="82"/>
  <c r="AR158" i="82" s="1"/>
  <c r="CG282" i="82"/>
  <c r="CH282" i="82" s="1"/>
  <c r="CI282" i="82" s="1"/>
  <c r="CJ282" i="82" s="1"/>
  <c r="CK282" i="82" s="1"/>
  <c r="CL282" i="82" s="1"/>
  <c r="AU110" i="82"/>
  <c r="BL174" i="82"/>
  <c r="BL185" i="82"/>
  <c r="BK185" i="82"/>
  <c r="BG141" i="82"/>
  <c r="BH141" i="82" s="1"/>
  <c r="BJ141" i="82" s="1"/>
  <c r="BL141" i="82" s="1"/>
  <c r="BV304" i="82"/>
  <c r="AS165" i="82"/>
  <c r="AP165" i="82"/>
  <c r="AR165" i="82" s="1"/>
  <c r="AQ165" i="82"/>
  <c r="CG214" i="82"/>
  <c r="CH214" i="82" s="1"/>
  <c r="BW190" i="82"/>
  <c r="BX190" i="82" s="1"/>
  <c r="CM207" i="82"/>
  <c r="CN207" i="82" s="1"/>
  <c r="CE264" i="82"/>
  <c r="CF264" i="82" s="1"/>
  <c r="CG249" i="82"/>
  <c r="CH249" i="82" s="1"/>
  <c r="CE267" i="82"/>
  <c r="CF267" i="82" s="1"/>
  <c r="CE221" i="82"/>
  <c r="CF221" i="82" s="1"/>
  <c r="BG161" i="82"/>
  <c r="BH161" i="82" s="1"/>
  <c r="CG211" i="82"/>
  <c r="CH211" i="82" s="1"/>
  <c r="BG180" i="82"/>
  <c r="BH180" i="82" s="1"/>
  <c r="CC313" i="82"/>
  <c r="CD313" i="82" s="1"/>
  <c r="CC226" i="82"/>
  <c r="CD226" i="82" s="1"/>
  <c r="CE323" i="82"/>
  <c r="CF323" i="82" s="1"/>
  <c r="CE238" i="82"/>
  <c r="CF238" i="82" s="1"/>
  <c r="CE205" i="82"/>
  <c r="CF205" i="82" s="1"/>
  <c r="CE209" i="82"/>
  <c r="CF209" i="82" s="1"/>
  <c r="CE137" i="82"/>
  <c r="CF137" i="82" s="1"/>
  <c r="CE203" i="82"/>
  <c r="CF203" i="82" s="1"/>
  <c r="CE236" i="82"/>
  <c r="CF236" i="82" s="1"/>
  <c r="CC306" i="82"/>
  <c r="CD306" i="82" s="1"/>
  <c r="CI58" i="82"/>
  <c r="CJ58" i="82" s="1"/>
  <c r="CA317" i="82"/>
  <c r="CB317" i="82"/>
  <c r="CE283" i="82"/>
  <c r="CF283" i="82" s="1"/>
  <c r="AU165" i="82"/>
  <c r="AV165" i="82" s="1"/>
  <c r="CK288" i="82"/>
  <c r="CL288" i="82" s="1"/>
  <c r="CC312" i="82"/>
  <c r="CD312" i="82" s="1"/>
  <c r="CE202" i="82"/>
  <c r="CF202" i="82" s="1"/>
  <c r="BW188" i="82"/>
  <c r="BX188" i="82" s="1"/>
  <c r="BG169" i="82"/>
  <c r="BH169" i="82" s="1"/>
  <c r="CG228" i="82"/>
  <c r="CH228" i="82" s="1"/>
  <c r="CA199" i="82"/>
  <c r="CB199" i="82" s="1"/>
  <c r="CC243" i="82"/>
  <c r="CD243" i="82" s="1"/>
  <c r="BR191" i="82"/>
  <c r="BS191" i="82"/>
  <c r="BT191" i="82" s="1"/>
  <c r="BR192" i="82"/>
  <c r="BS192" i="82"/>
  <c r="BT192" i="82" s="1"/>
  <c r="CE220" i="82"/>
  <c r="CF220" i="82" s="1"/>
  <c r="CG206" i="82"/>
  <c r="CH206" i="82" s="1"/>
  <c r="CH263" i="82"/>
  <c r="CG263" i="82"/>
  <c r="CE268" i="82"/>
  <c r="CF268" i="82" s="1"/>
  <c r="BX198" i="82"/>
  <c r="BW198" i="82"/>
  <c r="CE216" i="82"/>
  <c r="CF216" i="82" s="1"/>
  <c r="CG279" i="82"/>
  <c r="CH279" i="82" s="1"/>
  <c r="CG318" i="82"/>
  <c r="CH318" i="82" s="1"/>
  <c r="CJ318" i="82" s="1"/>
  <c r="CL318" i="82" s="1"/>
  <c r="CN318" i="82" s="1"/>
  <c r="CP318" i="82" s="1"/>
  <c r="CR318" i="82" s="1"/>
  <c r="CT318" i="82" s="1"/>
  <c r="CV318" i="82" s="1"/>
  <c r="CX318" i="82" s="1"/>
  <c r="CZ318" i="82" s="1"/>
  <c r="DB318" i="82" s="1"/>
  <c r="DD318" i="82" s="1"/>
  <c r="DF318" i="82" s="1"/>
  <c r="DH318" i="82" s="1"/>
  <c r="DJ318" i="82" s="1"/>
  <c r="DL318" i="82" s="1"/>
  <c r="DN318" i="82" s="1"/>
  <c r="DP318" i="82" s="1"/>
  <c r="DR318" i="82" s="1"/>
  <c r="DT318" i="82" s="1"/>
  <c r="DV318" i="82" s="1"/>
  <c r="DX318" i="82" s="1"/>
  <c r="CE248" i="82"/>
  <c r="CF248" i="82" s="1"/>
  <c r="CG251" i="82"/>
  <c r="CH251" i="82" s="1"/>
  <c r="CE232" i="82"/>
  <c r="CF232" i="82" s="1"/>
  <c r="CE250" i="82"/>
  <c r="CF250" i="82" s="1"/>
  <c r="CG287" i="82"/>
  <c r="CH287" i="82" s="1"/>
  <c r="BI164" i="82"/>
  <c r="BJ164" i="82" s="1"/>
  <c r="CC256" i="82"/>
  <c r="CD256" i="82" s="1"/>
  <c r="CE150" i="82"/>
  <c r="CF150" i="82" s="1"/>
  <c r="BI171" i="82"/>
  <c r="BJ171" i="82" s="1"/>
  <c r="CC217" i="82"/>
  <c r="CD217" i="82" s="1"/>
  <c r="BK143" i="82"/>
  <c r="BL143" i="82" s="1"/>
  <c r="CG235" i="82"/>
  <c r="CH235" i="82" s="1"/>
  <c r="CG280" i="82"/>
  <c r="CH280" i="82" s="1"/>
  <c r="CC262" i="82"/>
  <c r="CD262" i="82" s="1"/>
  <c r="BI175" i="82"/>
  <c r="BJ175" i="82" s="1"/>
  <c r="BN184" i="82"/>
  <c r="BO184" i="82"/>
  <c r="BP184" i="82" s="1"/>
  <c r="CE239" i="82"/>
  <c r="CF239" i="82" s="1"/>
  <c r="CG240" i="82"/>
  <c r="CH240" i="82"/>
  <c r="CG327" i="82"/>
  <c r="CH327" i="82" s="1"/>
  <c r="CI327" i="82" s="1"/>
  <c r="CI330" i="82" s="1"/>
  <c r="BN144" i="82"/>
  <c r="BO144" i="82"/>
  <c r="BP144" i="82" s="1"/>
  <c r="CK272" i="82"/>
  <c r="CL272" i="82" s="1"/>
  <c r="BN189" i="82"/>
  <c r="BO189" i="82"/>
  <c r="BP189" i="82" s="1"/>
  <c r="CE225" i="82"/>
  <c r="CF225" i="82" s="1"/>
  <c r="BI172" i="82"/>
  <c r="BJ172" i="82" s="1"/>
  <c r="CE316" i="82"/>
  <c r="CF316" i="82" s="1"/>
  <c r="BO182" i="82"/>
  <c r="BP182" i="82" s="1"/>
  <c r="BN182" i="82"/>
  <c r="CE237" i="82"/>
  <c r="CF237" i="82" s="1"/>
  <c r="CE281" i="82"/>
  <c r="CF281" i="82"/>
  <c r="CG253" i="82"/>
  <c r="CH253" i="82" s="1"/>
  <c r="CG309" i="82"/>
  <c r="CH309" i="82" s="1"/>
  <c r="CJ309" i="82" s="1"/>
  <c r="CL309" i="82" s="1"/>
  <c r="CN309" i="82" s="1"/>
  <c r="CP309" i="82" s="1"/>
  <c r="CR309" i="82" s="1"/>
  <c r="CT309" i="82" s="1"/>
  <c r="CV309" i="82" s="1"/>
  <c r="CX309" i="82" s="1"/>
  <c r="CZ309" i="82" s="1"/>
  <c r="DB309" i="82" s="1"/>
  <c r="DD309" i="82" s="1"/>
  <c r="DF309" i="82" s="1"/>
  <c r="DH309" i="82" s="1"/>
  <c r="DJ309" i="82" s="1"/>
  <c r="DL309" i="82" s="1"/>
  <c r="DN309" i="82" s="1"/>
  <c r="DP309" i="82" s="1"/>
  <c r="DR309" i="82" s="1"/>
  <c r="DT309" i="82" s="1"/>
  <c r="DV309" i="82" s="1"/>
  <c r="DX309" i="82" s="1"/>
  <c r="CE242" i="82"/>
  <c r="CF242" i="82" s="1"/>
  <c r="CG208" i="82"/>
  <c r="CH208" i="82" s="1"/>
  <c r="CE275" i="82"/>
  <c r="CF275" i="82" s="1"/>
  <c r="BI179" i="82"/>
  <c r="BJ179" i="82"/>
  <c r="CM244" i="82"/>
  <c r="CN244" i="82" s="1"/>
  <c r="CC265" i="82"/>
  <c r="CD265" i="82" s="1"/>
  <c r="Z43" i="82"/>
  <c r="AA43" i="82" s="1"/>
  <c r="Z24" i="82"/>
  <c r="AA24" i="82" s="1"/>
  <c r="BW304" i="82"/>
  <c r="BW330" i="82" s="1"/>
  <c r="BV330" i="82"/>
  <c r="CC245" i="82"/>
  <c r="CD245" i="82" s="1"/>
  <c r="CE258" i="82"/>
  <c r="CF258" i="82" s="1"/>
  <c r="CC222" i="82"/>
  <c r="CD222" i="82" s="1"/>
  <c r="CD210" i="82"/>
  <c r="CC210" i="82"/>
  <c r="CE229" i="82"/>
  <c r="CF229" i="82" s="1"/>
  <c r="AU61" i="82"/>
  <c r="CC305" i="82"/>
  <c r="CD305" i="82" s="1"/>
  <c r="CC57" i="82"/>
  <c r="CD57" i="82" s="1"/>
  <c r="CC234" i="82"/>
  <c r="CD234" i="82" s="1"/>
  <c r="Z50" i="82"/>
  <c r="Z28" i="82"/>
  <c r="AA28" i="82" s="1"/>
  <c r="BG167" i="82"/>
  <c r="BH167" i="82" s="1"/>
  <c r="BR181" i="82"/>
  <c r="BS181" i="82"/>
  <c r="BT181" i="82" s="1"/>
  <c r="AX116" i="82"/>
  <c r="AY116" i="82" s="1"/>
  <c r="BW186" i="82"/>
  <c r="BX186" i="82" s="1"/>
  <c r="BR183" i="82"/>
  <c r="BS183" i="82"/>
  <c r="BT183" i="82" s="1"/>
  <c r="BI177" i="82"/>
  <c r="BJ177" i="82" s="1"/>
  <c r="BO178" i="82"/>
  <c r="BP178" i="82" s="1"/>
  <c r="BN178" i="82"/>
  <c r="CG224" i="82"/>
  <c r="CH224" i="82" s="1"/>
  <c r="BY151" i="82"/>
  <c r="BY158" i="82" s="1"/>
  <c r="BA173" i="82"/>
  <c r="BB173" i="82" s="1"/>
  <c r="AQ110" i="82"/>
  <c r="Z53" i="82"/>
  <c r="AA53" i="82" s="1"/>
  <c r="Z11" i="82"/>
  <c r="AA11" i="82" s="1"/>
  <c r="Z30" i="82"/>
  <c r="Z55" i="82"/>
  <c r="AA55" i="82" s="1"/>
  <c r="Z21" i="82"/>
  <c r="AA21" i="82"/>
  <c r="CG219" i="82"/>
  <c r="CH219" i="82" s="1"/>
  <c r="CC212" i="82"/>
  <c r="CD212" i="82" s="1"/>
  <c r="CG269" i="82"/>
  <c r="CH269" i="82" s="1"/>
  <c r="BP64" i="82"/>
  <c r="BR64" i="82" s="1"/>
  <c r="BT64" i="82" s="1"/>
  <c r="BV64" i="82" s="1"/>
  <c r="BX64" i="82" s="1"/>
  <c r="BZ64" i="82" s="1"/>
  <c r="CB64" i="82" s="1"/>
  <c r="CD64" i="82" s="1"/>
  <c r="CF64" i="82" s="1"/>
  <c r="CH64" i="82" s="1"/>
  <c r="CJ64" i="82" s="1"/>
  <c r="CL64" i="82" s="1"/>
  <c r="CN64" i="82" s="1"/>
  <c r="CP64" i="82" s="1"/>
  <c r="CR64" i="82" s="1"/>
  <c r="CT64" i="82" s="1"/>
  <c r="CV64" i="82" s="1"/>
  <c r="CX64" i="82" s="1"/>
  <c r="CZ64" i="82" s="1"/>
  <c r="DB64" i="82" s="1"/>
  <c r="DD64" i="82" s="1"/>
  <c r="DF64" i="82" s="1"/>
  <c r="DH64" i="82" s="1"/>
  <c r="DJ64" i="82" s="1"/>
  <c r="DL64" i="82" s="1"/>
  <c r="DN64" i="82" s="1"/>
  <c r="DP64" i="82" s="1"/>
  <c r="DR64" i="82" s="1"/>
  <c r="BN64" i="82"/>
  <c r="CM223" i="82"/>
  <c r="CN223" i="82"/>
  <c r="CH270" i="82"/>
  <c r="CG270" i="82"/>
  <c r="CK241" i="82"/>
  <c r="CL241" i="82" s="1"/>
  <c r="CE290" i="82"/>
  <c r="CF290" i="82"/>
  <c r="CC254" i="82"/>
  <c r="CD254" i="82" s="1"/>
  <c r="CG233" i="82"/>
  <c r="CH233" i="82" s="1"/>
  <c r="BG166" i="82"/>
  <c r="BH166" i="82" s="1"/>
  <c r="CE204" i="82"/>
  <c r="CF204" i="82" s="1"/>
  <c r="CI266" i="82"/>
  <c r="CJ266" i="82" s="1"/>
  <c r="CE255" i="82"/>
  <c r="CF255" i="82" s="1"/>
  <c r="BW197" i="82"/>
  <c r="BX197" i="82" s="1"/>
  <c r="CG289" i="82"/>
  <c r="CH289" i="82" s="1"/>
  <c r="CG252" i="82"/>
  <c r="CH252" i="82" s="1"/>
  <c r="DX147" i="82"/>
  <c r="DT147" i="82"/>
  <c r="CG259" i="82"/>
  <c r="CH259" i="82" s="1"/>
  <c r="CE310" i="82"/>
  <c r="CF310" i="82" s="1"/>
  <c r="Z12" i="82"/>
  <c r="AA12" i="82" s="1"/>
  <c r="Z27" i="82"/>
  <c r="AA27" i="82" s="1"/>
  <c r="CC149" i="82"/>
  <c r="CD149" i="82" s="1"/>
  <c r="AO106" i="82"/>
  <c r="AL134" i="82"/>
  <c r="AF134" i="82"/>
  <c r="AK97" i="82"/>
  <c r="AO97" i="82" s="1"/>
  <c r="AN97" i="82"/>
  <c r="AN134" i="82" s="1"/>
  <c r="BG168" i="82"/>
  <c r="BH168" i="82" s="1"/>
  <c r="CI284" i="82"/>
  <c r="CJ284" i="82" s="1"/>
  <c r="Z18" i="82"/>
  <c r="AA18" i="82" s="1"/>
  <c r="CE320" i="82"/>
  <c r="CF320" i="82" s="1"/>
  <c r="CC201" i="82"/>
  <c r="CD201" i="82" s="1"/>
  <c r="BR108" i="82"/>
  <c r="BT108" i="82"/>
  <c r="BV108" i="82" s="1"/>
  <c r="BX108" i="82" s="1"/>
  <c r="BZ108" i="82" s="1"/>
  <c r="CB108" i="82" s="1"/>
  <c r="CD108" i="82" s="1"/>
  <c r="CF108" i="82" s="1"/>
  <c r="CH108" i="82" s="1"/>
  <c r="CJ108" i="82" s="1"/>
  <c r="CL108" i="82" s="1"/>
  <c r="CN108" i="82" s="1"/>
  <c r="CP108" i="82" s="1"/>
  <c r="CR108" i="82" s="1"/>
  <c r="CT108" i="82" s="1"/>
  <c r="CV108" i="82" s="1"/>
  <c r="CX108" i="82" s="1"/>
  <c r="CZ108" i="82" s="1"/>
  <c r="DB108" i="82" s="1"/>
  <c r="DD108" i="82" s="1"/>
  <c r="DF108" i="82" s="1"/>
  <c r="DH108" i="82" s="1"/>
  <c r="DJ108" i="82" s="1"/>
  <c r="DL108" i="82" s="1"/>
  <c r="DN108" i="82" s="1"/>
  <c r="DP108" i="82" s="1"/>
  <c r="DR108" i="82" s="1"/>
  <c r="Z10" i="82"/>
  <c r="Z47" i="82"/>
  <c r="AA47" i="82"/>
  <c r="Z32" i="82"/>
  <c r="AA32" i="82" s="1"/>
  <c r="Z17" i="82"/>
  <c r="AA17" i="82" s="1"/>
  <c r="Z16" i="82"/>
  <c r="AA16" i="82" s="1"/>
  <c r="Z15" i="82"/>
  <c r="AA15" i="82" s="1"/>
  <c r="Z33" i="82"/>
  <c r="Z34" i="82"/>
  <c r="AA34" i="82" s="1"/>
  <c r="Z19" i="82"/>
  <c r="AF62" i="82"/>
  <c r="AE95" i="82"/>
  <c r="Z9" i="82"/>
  <c r="AA9" i="82" s="1"/>
  <c r="BN193" i="82"/>
  <c r="BO193" i="82"/>
  <c r="BP193" i="82" s="1"/>
  <c r="BI176" i="82"/>
  <c r="BJ176" i="82"/>
  <c r="CC308" i="82"/>
  <c r="CD308" i="82" s="1"/>
  <c r="BK170" i="82"/>
  <c r="BL170" i="82" s="1"/>
  <c r="CC213" i="82"/>
  <c r="CD213" i="82" s="1"/>
  <c r="BY195" i="82"/>
  <c r="BZ195" i="82" s="1"/>
  <c r="CC152" i="82"/>
  <c r="CD152" i="82" s="1"/>
  <c r="CF152" i="82" s="1"/>
  <c r="CH152" i="82" s="1"/>
  <c r="CJ152" i="82" s="1"/>
  <c r="CL152" i="82" s="1"/>
  <c r="CN152" i="82" s="1"/>
  <c r="CP152" i="82" s="1"/>
  <c r="CR152" i="82" s="1"/>
  <c r="CT152" i="82" s="1"/>
  <c r="CV152" i="82" s="1"/>
  <c r="CX152" i="82" s="1"/>
  <c r="CZ152" i="82" s="1"/>
  <c r="DB152" i="82" s="1"/>
  <c r="DD152" i="82" s="1"/>
  <c r="DF152" i="82" s="1"/>
  <c r="DH152" i="82" s="1"/>
  <c r="DJ152" i="82" s="1"/>
  <c r="DL152" i="82" s="1"/>
  <c r="DN152" i="82" s="1"/>
  <c r="DP152" i="82" s="1"/>
  <c r="DR152" i="82" s="1"/>
  <c r="DT152" i="82" s="1"/>
  <c r="DV152" i="82" s="1"/>
  <c r="DX152" i="82" s="1"/>
  <c r="BG163" i="82"/>
  <c r="BH163" i="82" s="1"/>
  <c r="CG257" i="82"/>
  <c r="CH257" i="82" s="1"/>
  <c r="BR109" i="82"/>
  <c r="BT109" i="82"/>
  <c r="BV109" i="82" s="1"/>
  <c r="BX109" i="82" s="1"/>
  <c r="BZ109" i="82" s="1"/>
  <c r="CB109" i="82" s="1"/>
  <c r="CD109" i="82" s="1"/>
  <c r="CF109" i="82" s="1"/>
  <c r="CH109" i="82" s="1"/>
  <c r="CJ109" i="82" s="1"/>
  <c r="CL109" i="82" s="1"/>
  <c r="CN109" i="82" s="1"/>
  <c r="CP109" i="82" s="1"/>
  <c r="CR109" i="82" s="1"/>
  <c r="CT109" i="82" s="1"/>
  <c r="CV109" i="82" s="1"/>
  <c r="CX109" i="82" s="1"/>
  <c r="CZ109" i="82" s="1"/>
  <c r="DB109" i="82" s="1"/>
  <c r="DD109" i="82" s="1"/>
  <c r="DF109" i="82" s="1"/>
  <c r="DH109" i="82" s="1"/>
  <c r="DJ109" i="82" s="1"/>
  <c r="DL109" i="82" s="1"/>
  <c r="DN109" i="82" s="1"/>
  <c r="DP109" i="82" s="1"/>
  <c r="DR109" i="82" s="1"/>
  <c r="CG246" i="82"/>
  <c r="CH246" i="82" s="1"/>
  <c r="BN145" i="82"/>
  <c r="BO145" i="82"/>
  <c r="BP145" i="82" s="1"/>
  <c r="CE247" i="82"/>
  <c r="CF247" i="82" s="1"/>
  <c r="BK146" i="82"/>
  <c r="BL146" i="82" s="1"/>
  <c r="CC231" i="82"/>
  <c r="CD231" i="82" s="1"/>
  <c r="CC261" i="82"/>
  <c r="CD261" i="82" s="1"/>
  <c r="Z44" i="82"/>
  <c r="AA44" i="82" s="1"/>
  <c r="Z56" i="82"/>
  <c r="AA56" i="82" s="1"/>
  <c r="CG278" i="82"/>
  <c r="CH278" i="82" s="1"/>
  <c r="AQ107" i="82"/>
  <c r="AY107" i="82" s="1"/>
  <c r="Z38" i="82"/>
  <c r="Z31" i="82"/>
  <c r="AA31" i="82" s="1"/>
  <c r="Z25" i="82"/>
  <c r="AA25" i="82" s="1"/>
  <c r="Z45" i="82"/>
  <c r="AA45" i="82" s="1"/>
  <c r="Z37" i="82"/>
  <c r="AX63" i="82"/>
  <c r="AY63" i="82" s="1"/>
  <c r="AV63" i="82"/>
  <c r="Z36" i="82"/>
  <c r="AA36" i="82" s="1"/>
  <c r="Z41" i="82"/>
  <c r="AA41" i="82" s="1"/>
  <c r="Z54" i="82"/>
  <c r="AA54" i="82" s="1"/>
  <c r="AX104" i="82"/>
  <c r="AY104" i="82" s="1"/>
  <c r="AF162" i="82"/>
  <c r="BW196" i="82"/>
  <c r="BX196" i="82" s="1"/>
  <c r="CC325" i="82"/>
  <c r="CD325" i="82" s="1"/>
  <c r="CC315" i="82"/>
  <c r="CD315" i="82"/>
  <c r="CG215" i="82"/>
  <c r="CH215" i="82" s="1"/>
  <c r="Z22" i="82"/>
  <c r="AA22" i="82"/>
  <c r="Z29" i="82"/>
  <c r="AA29" i="82" s="1"/>
  <c r="Z42" i="82"/>
  <c r="AA42" i="82"/>
  <c r="Z40" i="82"/>
  <c r="AA40" i="82" s="1"/>
  <c r="Z20" i="82"/>
  <c r="AA20" i="82" s="1"/>
  <c r="Z49" i="82"/>
  <c r="AA49" i="82" s="1"/>
  <c r="AX140" i="82"/>
  <c r="AX158" i="82" s="1"/>
  <c r="AQ158" i="82"/>
  <c r="CE200" i="82"/>
  <c r="CF200" i="82" s="1"/>
  <c r="AG97" i="82"/>
  <c r="AG134" i="82" s="1"/>
  <c r="CG274" i="82"/>
  <c r="CH274" i="82" s="1"/>
  <c r="CG286" i="82"/>
  <c r="CH286" i="82" s="1"/>
  <c r="BN187" i="82"/>
  <c r="BO187" i="82"/>
  <c r="BP187" i="82" s="1"/>
  <c r="BR194" i="82"/>
  <c r="BS194" i="82"/>
  <c r="BT194" i="82" s="1"/>
  <c r="CE273" i="82"/>
  <c r="CF273" i="82" s="1"/>
  <c r="CE227" i="82"/>
  <c r="CF227" i="82" s="1"/>
  <c r="CG271" i="82"/>
  <c r="CH271" i="82" s="1"/>
  <c r="N21" i="4"/>
  <c r="O21" i="4" s="1"/>
  <c r="CE276" i="82"/>
  <c r="CF276" i="82"/>
  <c r="CE285" i="82"/>
  <c r="CF285" i="82" s="1"/>
  <c r="CG218" i="82"/>
  <c r="CH218" i="82" s="1"/>
  <c r="CC230" i="82"/>
  <c r="CD230" i="82" s="1"/>
  <c r="CB303" i="82"/>
  <c r="Z8" i="82"/>
  <c r="X59" i="82"/>
  <c r="Z35" i="82"/>
  <c r="AA35" i="82" s="1"/>
  <c r="Z51" i="82"/>
  <c r="Z39" i="82"/>
  <c r="AA39" i="82" s="1"/>
  <c r="Z23" i="82"/>
  <c r="AA23" i="82" s="1"/>
  <c r="Z26" i="82"/>
  <c r="AA26" i="82" s="1"/>
  <c r="Z46" i="82"/>
  <c r="Z52" i="82"/>
  <c r="AA52" i="82" s="1"/>
  <c r="Z13" i="82"/>
  <c r="AA13" i="82"/>
  <c r="Z48" i="82"/>
  <c r="AA48" i="82" s="1"/>
  <c r="AU140" i="82"/>
  <c r="AT158" i="82"/>
  <c r="AP110" i="82"/>
  <c r="Z14" i="82"/>
  <c r="AA14" i="82" s="1"/>
  <c r="AX99" i="82"/>
  <c r="AY99" i="82" s="1"/>
  <c r="CG260" i="82"/>
  <c r="CH260" i="82" s="1"/>
  <c r="CO277" i="82"/>
  <c r="CP277" i="82"/>
  <c r="BR142" i="82"/>
  <c r="BT142" i="82"/>
  <c r="BV142" i="82" s="1"/>
  <c r="BX142" i="82" s="1"/>
  <c r="BZ142" i="82" s="1"/>
  <c r="CB142" i="82" s="1"/>
  <c r="CD142" i="82" s="1"/>
  <c r="CF142" i="82" s="1"/>
  <c r="CH142" i="82" s="1"/>
  <c r="CJ142" i="82" s="1"/>
  <c r="CL142" i="82" s="1"/>
  <c r="CN142" i="82" s="1"/>
  <c r="CP142" i="82" s="1"/>
  <c r="CR142" i="82" s="1"/>
  <c r="CT142" i="82" s="1"/>
  <c r="CV142" i="82" s="1"/>
  <c r="CX142" i="82" s="1"/>
  <c r="CZ142" i="82" s="1"/>
  <c r="DB142" i="82" s="1"/>
  <c r="DD142" i="82" s="1"/>
  <c r="DF142" i="82" s="1"/>
  <c r="DH142" i="82" s="1"/>
  <c r="DJ142" i="82" s="1"/>
  <c r="DL142" i="82" s="1"/>
  <c r="DN142" i="82" s="1"/>
  <c r="DP142" i="82" s="1"/>
  <c r="DR142" i="82" s="1"/>
  <c r="BU138" i="82" l="1"/>
  <c r="BV136" i="82"/>
  <c r="AV107" i="82"/>
  <c r="Z160" i="82"/>
  <c r="Z301" i="82" s="1"/>
  <c r="X301" i="82"/>
  <c r="BP141" i="82"/>
  <c r="BN141" i="82"/>
  <c r="BO174" i="82"/>
  <c r="BP174" i="82" s="1"/>
  <c r="AY140" i="82"/>
  <c r="BN174" i="82"/>
  <c r="AT97" i="82"/>
  <c r="BO185" i="82"/>
  <c r="BP185" i="82" s="1"/>
  <c r="BN185" i="82"/>
  <c r="BA99" i="82"/>
  <c r="BB99" i="82" s="1"/>
  <c r="AC40" i="82"/>
  <c r="AD40" i="82" s="1"/>
  <c r="BO146" i="82"/>
  <c r="BP146" i="82" s="1"/>
  <c r="BN146" i="82"/>
  <c r="CE201" i="82"/>
  <c r="CF201" i="82" s="1"/>
  <c r="CI259" i="82"/>
  <c r="CJ259" i="82" s="1"/>
  <c r="CE254" i="82"/>
  <c r="CF254" i="82" s="1"/>
  <c r="BY186" i="82"/>
  <c r="BZ186" i="82" s="1"/>
  <c r="CF305" i="82"/>
  <c r="CH305" i="82" s="1"/>
  <c r="CJ305" i="82" s="1"/>
  <c r="CL305" i="82" s="1"/>
  <c r="CN305" i="82" s="1"/>
  <c r="CP305" i="82" s="1"/>
  <c r="CR305" i="82" s="1"/>
  <c r="CT305" i="82" s="1"/>
  <c r="CV305" i="82" s="1"/>
  <c r="CX305" i="82" s="1"/>
  <c r="CZ305" i="82" s="1"/>
  <c r="DB305" i="82" s="1"/>
  <c r="DD305" i="82" s="1"/>
  <c r="DF305" i="82" s="1"/>
  <c r="DH305" i="82" s="1"/>
  <c r="DJ305" i="82" s="1"/>
  <c r="DL305" i="82" s="1"/>
  <c r="DN305" i="82" s="1"/>
  <c r="DP305" i="82" s="1"/>
  <c r="DR305" i="82" s="1"/>
  <c r="CE305" i="82"/>
  <c r="CE245" i="82"/>
  <c r="CF245" i="82" s="1"/>
  <c r="CH225" i="82"/>
  <c r="CG225" i="82"/>
  <c r="CM272" i="82"/>
  <c r="CN272" i="82" s="1"/>
  <c r="CH150" i="82"/>
  <c r="CJ150" i="82" s="1"/>
  <c r="CL150" i="82" s="1"/>
  <c r="CN150" i="82" s="1"/>
  <c r="CP150" i="82" s="1"/>
  <c r="CR150" i="82" s="1"/>
  <c r="CT150" i="82" s="1"/>
  <c r="CV150" i="82" s="1"/>
  <c r="CX150" i="82" s="1"/>
  <c r="CZ150" i="82" s="1"/>
  <c r="DB150" i="82" s="1"/>
  <c r="DD150" i="82" s="1"/>
  <c r="DF150" i="82" s="1"/>
  <c r="DH150" i="82" s="1"/>
  <c r="DJ150" i="82" s="1"/>
  <c r="DL150" i="82" s="1"/>
  <c r="DN150" i="82" s="1"/>
  <c r="DP150" i="82" s="1"/>
  <c r="DR150" i="82" s="1"/>
  <c r="DT150" i="82" s="1"/>
  <c r="DV150" i="82" s="1"/>
  <c r="DX150" i="82" s="1"/>
  <c r="CG150" i="82"/>
  <c r="CI251" i="82"/>
  <c r="CJ251" i="82" s="1"/>
  <c r="CC199" i="82"/>
  <c r="CD199" i="82" s="1"/>
  <c r="CG202" i="82"/>
  <c r="CH202" i="82" s="1"/>
  <c r="CK58" i="82"/>
  <c r="CL58" i="82" s="1"/>
  <c r="CG205" i="82"/>
  <c r="CH205" i="82" s="1"/>
  <c r="CE313" i="82"/>
  <c r="CF313" i="82" s="1"/>
  <c r="CG273" i="82"/>
  <c r="CH273" i="82" s="1"/>
  <c r="BA63" i="82"/>
  <c r="BB63" i="82" s="1"/>
  <c r="BH63" i="82" s="1"/>
  <c r="BJ63" i="82" s="1"/>
  <c r="BL63" i="82" s="1"/>
  <c r="BU194" i="82"/>
  <c r="BV194" i="82" s="1"/>
  <c r="CG200" i="82"/>
  <c r="CH200" i="82" s="1"/>
  <c r="AC49" i="82"/>
  <c r="AD49" i="82" s="1"/>
  <c r="CI278" i="82"/>
  <c r="CJ278" i="82" s="1"/>
  <c r="CG247" i="82"/>
  <c r="CH247" i="82" s="1"/>
  <c r="BJ163" i="82"/>
  <c r="BI163" i="82"/>
  <c r="CA195" i="82"/>
  <c r="CB195" i="82" s="1"/>
  <c r="BT193" i="82"/>
  <c r="BR193" i="82"/>
  <c r="BS193" i="82"/>
  <c r="AC12" i="82"/>
  <c r="AD12" i="82" s="1"/>
  <c r="BA116" i="82"/>
  <c r="BB116" i="82" s="1"/>
  <c r="BH116" i="82" s="1"/>
  <c r="BJ116" i="82" s="1"/>
  <c r="BL116" i="82" s="1"/>
  <c r="CE222" i="82"/>
  <c r="CF222" i="82" s="1"/>
  <c r="CO244" i="82"/>
  <c r="CP244" i="82" s="1"/>
  <c r="BK175" i="82"/>
  <c r="BL175" i="82" s="1"/>
  <c r="CE256" i="82"/>
  <c r="CF256" i="82" s="1"/>
  <c r="CG248" i="82"/>
  <c r="CH248" i="82" s="1"/>
  <c r="CI206" i="82"/>
  <c r="CJ206" i="82" s="1"/>
  <c r="BU191" i="82"/>
  <c r="BV191" i="82" s="1"/>
  <c r="CI228" i="82"/>
  <c r="CJ228" i="82" s="1"/>
  <c r="CE312" i="82"/>
  <c r="CF312" i="82" s="1"/>
  <c r="CE306" i="82"/>
  <c r="CF306" i="82" s="1"/>
  <c r="CH306" i="82" s="1"/>
  <c r="CJ306" i="82" s="1"/>
  <c r="CL306" i="82" s="1"/>
  <c r="CN306" i="82" s="1"/>
  <c r="CP306" i="82" s="1"/>
  <c r="CR306" i="82" s="1"/>
  <c r="CT306" i="82" s="1"/>
  <c r="CV306" i="82" s="1"/>
  <c r="CX306" i="82" s="1"/>
  <c r="CZ306" i="82" s="1"/>
  <c r="DB306" i="82" s="1"/>
  <c r="DD306" i="82" s="1"/>
  <c r="DF306" i="82" s="1"/>
  <c r="DH306" i="82" s="1"/>
  <c r="DJ306" i="82" s="1"/>
  <c r="DL306" i="82" s="1"/>
  <c r="DN306" i="82" s="1"/>
  <c r="DP306" i="82" s="1"/>
  <c r="DR306" i="82" s="1"/>
  <c r="CG137" i="82"/>
  <c r="CH137" i="82" s="1"/>
  <c r="CI137" i="82" s="1"/>
  <c r="CI138" i="82" s="1"/>
  <c r="CG238" i="82"/>
  <c r="CH238" i="82" s="1"/>
  <c r="BI180" i="82"/>
  <c r="BJ180" i="82" s="1"/>
  <c r="CO207" i="82"/>
  <c r="CP207" i="82" s="1"/>
  <c r="CI218" i="82"/>
  <c r="CJ218" i="82" s="1"/>
  <c r="AC54" i="82"/>
  <c r="AD54" i="82" s="1"/>
  <c r="CE261" i="82"/>
  <c r="CF261" i="82" s="1"/>
  <c r="AS97" i="82"/>
  <c r="AO134" i="82"/>
  <c r="AQ97" i="82"/>
  <c r="AP97" i="82"/>
  <c r="AP134" i="82" s="1"/>
  <c r="CE149" i="82"/>
  <c r="CF149" i="82" s="1"/>
  <c r="BI166" i="82"/>
  <c r="BJ166" i="82" s="1"/>
  <c r="BU181" i="82"/>
  <c r="BV181" i="82" s="1"/>
  <c r="CG229" i="82"/>
  <c r="CH229" i="82" s="1"/>
  <c r="CI235" i="82"/>
  <c r="CJ235" i="82" s="1"/>
  <c r="BK164" i="82"/>
  <c r="BL164" i="82" s="1"/>
  <c r="CG268" i="82"/>
  <c r="CH268" i="82" s="1"/>
  <c r="CG220" i="82"/>
  <c r="CH220" i="82" s="1"/>
  <c r="BI169" i="82"/>
  <c r="BJ169" i="82" s="1"/>
  <c r="CM288" i="82"/>
  <c r="CN288" i="82" s="1"/>
  <c r="CG236" i="82"/>
  <c r="CH236" i="82" s="1"/>
  <c r="CG323" i="82"/>
  <c r="CH323" i="82" s="1"/>
  <c r="CJ323" i="82" s="1"/>
  <c r="CL323" i="82" s="1"/>
  <c r="CN323" i="82" s="1"/>
  <c r="CP323" i="82" s="1"/>
  <c r="CR323" i="82" s="1"/>
  <c r="CT323" i="82" s="1"/>
  <c r="CV323" i="82" s="1"/>
  <c r="CX323" i="82" s="1"/>
  <c r="CZ323" i="82" s="1"/>
  <c r="DB323" i="82" s="1"/>
  <c r="DD323" i="82" s="1"/>
  <c r="DF323" i="82" s="1"/>
  <c r="DH323" i="82" s="1"/>
  <c r="DJ323" i="82" s="1"/>
  <c r="DL323" i="82" s="1"/>
  <c r="DN323" i="82" s="1"/>
  <c r="DP323" i="82" s="1"/>
  <c r="DR323" i="82" s="1"/>
  <c r="DT323" i="82" s="1"/>
  <c r="DV323" i="82" s="1"/>
  <c r="DX323" i="82" s="1"/>
  <c r="CG221" i="82"/>
  <c r="CH221" i="82" s="1"/>
  <c r="BY190" i="82"/>
  <c r="BZ190" i="82" s="1"/>
  <c r="AC31" i="82"/>
  <c r="AD31" i="82" s="1"/>
  <c r="BT145" i="82"/>
  <c r="BV145" i="82" s="1"/>
  <c r="BX145" i="82" s="1"/>
  <c r="BZ145" i="82" s="1"/>
  <c r="CB145" i="82" s="1"/>
  <c r="CD145" i="82" s="1"/>
  <c r="CF145" i="82" s="1"/>
  <c r="CH145" i="82" s="1"/>
  <c r="CJ145" i="82" s="1"/>
  <c r="CL145" i="82" s="1"/>
  <c r="CN145" i="82" s="1"/>
  <c r="CP145" i="82" s="1"/>
  <c r="CR145" i="82" s="1"/>
  <c r="CT145" i="82" s="1"/>
  <c r="CV145" i="82" s="1"/>
  <c r="CX145" i="82" s="1"/>
  <c r="CZ145" i="82" s="1"/>
  <c r="DB145" i="82" s="1"/>
  <c r="DD145" i="82" s="1"/>
  <c r="DF145" i="82" s="1"/>
  <c r="DH145" i="82" s="1"/>
  <c r="DJ145" i="82" s="1"/>
  <c r="DL145" i="82" s="1"/>
  <c r="DN145" i="82" s="1"/>
  <c r="DP145" i="82" s="1"/>
  <c r="DR145" i="82" s="1"/>
  <c r="BR145" i="82"/>
  <c r="CE308" i="82"/>
  <c r="CF308" i="82" s="1"/>
  <c r="CG227" i="82"/>
  <c r="CH227" i="82" s="1"/>
  <c r="BR187" i="82"/>
  <c r="BS187" i="82"/>
  <c r="BT187" i="82" s="1"/>
  <c r="CI274" i="82"/>
  <c r="CJ274" i="82"/>
  <c r="CE325" i="82"/>
  <c r="CF325" i="82" s="1"/>
  <c r="CE231" i="82"/>
  <c r="CF231" i="82" s="1"/>
  <c r="BI168" i="82"/>
  <c r="BJ168" i="82" s="1"/>
  <c r="CI252" i="82"/>
  <c r="CJ252" i="82" s="1"/>
  <c r="CI233" i="82"/>
  <c r="CJ233" i="82" s="1"/>
  <c r="CM241" i="82"/>
  <c r="CN241" i="82" s="1"/>
  <c r="CI224" i="82"/>
  <c r="CJ224" i="82" s="1"/>
  <c r="CE57" i="82"/>
  <c r="CF57" i="82" s="1"/>
  <c r="BK172" i="82"/>
  <c r="BL172" i="82" s="1"/>
  <c r="BN143" i="82"/>
  <c r="BO143" i="82"/>
  <c r="BO158" i="82" s="1"/>
  <c r="CG232" i="82"/>
  <c r="CH232" i="82" s="1"/>
  <c r="CM282" i="82"/>
  <c r="CN282" i="82" s="1"/>
  <c r="BU192" i="82"/>
  <c r="BV192" i="82" s="1"/>
  <c r="CE243" i="82"/>
  <c r="CF243" i="82" s="1"/>
  <c r="BY188" i="82"/>
  <c r="BZ188" i="82" s="1"/>
  <c r="CE226" i="82"/>
  <c r="CF226" i="82" s="1"/>
  <c r="CI214" i="82"/>
  <c r="CJ214" i="82" s="1"/>
  <c r="CE230" i="82"/>
  <c r="CF230" i="82" s="1"/>
  <c r="CG285" i="82"/>
  <c r="CH285" i="82" s="1"/>
  <c r="BA107" i="82"/>
  <c r="BB107" i="82" s="1"/>
  <c r="BH107" i="82" s="1"/>
  <c r="BJ107" i="82" s="1"/>
  <c r="BL107" i="82" s="1"/>
  <c r="AC56" i="82"/>
  <c r="AD56" i="82" s="1"/>
  <c r="DX109" i="82"/>
  <c r="DT109" i="82"/>
  <c r="AC9" i="82"/>
  <c r="AD9" i="82" s="1"/>
  <c r="AC16" i="82"/>
  <c r="AD16" i="82" s="1"/>
  <c r="AC32" i="82"/>
  <c r="AD32" i="82" s="1"/>
  <c r="CI269" i="82"/>
  <c r="CJ269" i="82" s="1"/>
  <c r="CI219" i="82"/>
  <c r="CJ219" i="82" s="1"/>
  <c r="AC55" i="82"/>
  <c r="AD55" i="82" s="1"/>
  <c r="AC11" i="82"/>
  <c r="AD11" i="82" s="1"/>
  <c r="AX110" i="82"/>
  <c r="AY110" i="82" s="1"/>
  <c r="BR178" i="82"/>
  <c r="BS178" i="82"/>
  <c r="BT178" i="82" s="1"/>
  <c r="AC28" i="82"/>
  <c r="AD28" i="82" s="1"/>
  <c r="CE210" i="82"/>
  <c r="CF210" i="82" s="1"/>
  <c r="CG258" i="82"/>
  <c r="CH258" i="82" s="1"/>
  <c r="AC43" i="82"/>
  <c r="AD43" i="82" s="1"/>
  <c r="CG275" i="82"/>
  <c r="CH275" i="82" s="1"/>
  <c r="CG242" i="82"/>
  <c r="CH242" i="82" s="1"/>
  <c r="CI253" i="82"/>
  <c r="CJ253" i="82" s="1"/>
  <c r="CG237" i="82"/>
  <c r="CH237" i="82" s="1"/>
  <c r="BS182" i="82"/>
  <c r="BT182" i="82" s="1"/>
  <c r="BR182" i="82"/>
  <c r="BR189" i="82"/>
  <c r="BS189" i="82"/>
  <c r="BT189" i="82" s="1"/>
  <c r="CG239" i="82"/>
  <c r="CH239" i="82"/>
  <c r="BS184" i="82"/>
  <c r="BT184" i="82" s="1"/>
  <c r="BR184" i="82"/>
  <c r="CE262" i="82"/>
  <c r="CF262" i="82" s="1"/>
  <c r="CE217" i="82"/>
  <c r="CF217" i="82" s="1"/>
  <c r="CG250" i="82"/>
  <c r="CH250" i="82" s="1"/>
  <c r="CI279" i="82"/>
  <c r="CJ279" i="82" s="1"/>
  <c r="BY198" i="82"/>
  <c r="BZ198" i="82" s="1"/>
  <c r="CI263" i="82"/>
  <c r="CJ263" i="82" s="1"/>
  <c r="CG283" i="82"/>
  <c r="CH283" i="82" s="1"/>
  <c r="CG209" i="82"/>
  <c r="CH209" i="82" s="1"/>
  <c r="BI161" i="82"/>
  <c r="BJ161" i="82" s="1"/>
  <c r="CG267" i="82"/>
  <c r="CH267" i="82" s="1"/>
  <c r="CG264" i="82"/>
  <c r="CH264" i="82" s="1"/>
  <c r="AX165" i="82"/>
  <c r="AY165" i="82" s="1"/>
  <c r="CQ277" i="82"/>
  <c r="CR277" i="82" s="1"/>
  <c r="CS277" i="82" s="1"/>
  <c r="AC14" i="82"/>
  <c r="AD14" i="82" s="1"/>
  <c r="AC48" i="82"/>
  <c r="AD48" i="82" s="1"/>
  <c r="AC26" i="82"/>
  <c r="AD26" i="82" s="1"/>
  <c r="AC39" i="82"/>
  <c r="AD39" i="82" s="1"/>
  <c r="Z59" i="82"/>
  <c r="CG276" i="82"/>
  <c r="CH276" i="82" s="1"/>
  <c r="AE49" i="82"/>
  <c r="AF49" i="82" s="1"/>
  <c r="AE40" i="82"/>
  <c r="AF40" i="82" s="1"/>
  <c r="AC29" i="82"/>
  <c r="AE29" i="82" s="1"/>
  <c r="AF29" i="82" s="1"/>
  <c r="CI215" i="82"/>
  <c r="CJ215" i="82"/>
  <c r="AK162" i="82"/>
  <c r="AN162" i="82"/>
  <c r="AG162" i="82"/>
  <c r="AE54" i="82"/>
  <c r="AF54" i="82" s="1"/>
  <c r="AC36" i="82"/>
  <c r="AD36" i="82" s="1"/>
  <c r="AC45" i="82"/>
  <c r="AE45" i="82" s="1"/>
  <c r="AF45" i="82" s="1"/>
  <c r="AE31" i="82"/>
  <c r="AF31" i="82" s="1"/>
  <c r="AD44" i="82"/>
  <c r="AC44" i="82"/>
  <c r="CE213" i="82"/>
  <c r="CF213" i="82" s="1"/>
  <c r="AC34" i="82"/>
  <c r="AD34" i="82" s="1"/>
  <c r="AC15" i="82"/>
  <c r="AD15" i="82"/>
  <c r="AG15" i="82" s="1"/>
  <c r="AC17" i="82"/>
  <c r="AD17" i="82" s="1"/>
  <c r="AC47" i="82"/>
  <c r="AE47" i="82" s="1"/>
  <c r="AF47" i="82" s="1"/>
  <c r="AD47" i="82"/>
  <c r="DT108" i="82"/>
  <c r="DX108" i="82"/>
  <c r="CG320" i="82"/>
  <c r="CH320" i="82"/>
  <c r="CJ320" i="82" s="1"/>
  <c r="CL320" i="82" s="1"/>
  <c r="CN320" i="82" s="1"/>
  <c r="CP320" i="82" s="1"/>
  <c r="CR320" i="82" s="1"/>
  <c r="CT320" i="82" s="1"/>
  <c r="CV320" i="82" s="1"/>
  <c r="CX320" i="82" s="1"/>
  <c r="CZ320" i="82" s="1"/>
  <c r="DB320" i="82" s="1"/>
  <c r="DD320" i="82" s="1"/>
  <c r="DF320" i="82" s="1"/>
  <c r="DH320" i="82" s="1"/>
  <c r="DJ320" i="82" s="1"/>
  <c r="DL320" i="82" s="1"/>
  <c r="DN320" i="82" s="1"/>
  <c r="DP320" i="82" s="1"/>
  <c r="DR320" i="82" s="1"/>
  <c r="DT320" i="82" s="1"/>
  <c r="DV320" i="82" s="1"/>
  <c r="DX320" i="82" s="1"/>
  <c r="AC18" i="82"/>
  <c r="AE18" i="82" s="1"/>
  <c r="AF18" i="82" s="1"/>
  <c r="AE12" i="82"/>
  <c r="AF12" i="82" s="1"/>
  <c r="BY197" i="82"/>
  <c r="BZ197" i="82" s="1"/>
  <c r="CK266" i="82"/>
  <c r="CL266" i="82" s="1"/>
  <c r="CI270" i="82"/>
  <c r="CJ270" i="82"/>
  <c r="DX64" i="82"/>
  <c r="DT64" i="82"/>
  <c r="AE11" i="82"/>
  <c r="AF11" i="82" s="1"/>
  <c r="AE28" i="82"/>
  <c r="AF28" i="82" s="1"/>
  <c r="BX304" i="82"/>
  <c r="AV110" i="82"/>
  <c r="CI211" i="82"/>
  <c r="CJ211" i="82" s="1"/>
  <c r="DX142" i="82"/>
  <c r="DT142" i="82"/>
  <c r="CI260" i="82"/>
  <c r="CJ260" i="82" s="1"/>
  <c r="AV140" i="82"/>
  <c r="AV158" i="82" s="1"/>
  <c r="AU158" i="82"/>
  <c r="AA46" i="82"/>
  <c r="AE39" i="82"/>
  <c r="AF39" i="82" s="1"/>
  <c r="CC303" i="82"/>
  <c r="CD303" i="82" s="1"/>
  <c r="CI271" i="82"/>
  <c r="CJ271" i="82" s="1"/>
  <c r="CI286" i="82"/>
  <c r="CJ286" i="82" s="1"/>
  <c r="BA140" i="82"/>
  <c r="BA158" i="82" s="1"/>
  <c r="AY158" i="82"/>
  <c r="AC20" i="82"/>
  <c r="AD20" i="82" s="1"/>
  <c r="AC42" i="82"/>
  <c r="AD42" i="82" s="1"/>
  <c r="AC22" i="82"/>
  <c r="AD22" i="82" s="1"/>
  <c r="CE315" i="82"/>
  <c r="CF315" i="82"/>
  <c r="BY196" i="82"/>
  <c r="BZ196" i="82" s="1"/>
  <c r="BA104" i="82"/>
  <c r="BB104" i="82"/>
  <c r="AC41" i="82"/>
  <c r="AD41" i="82" s="1"/>
  <c r="AC25" i="82"/>
  <c r="AD25" i="82" s="1"/>
  <c r="AE44" i="82"/>
  <c r="AF44" i="82" s="1"/>
  <c r="CI246" i="82"/>
  <c r="CJ246" i="82" s="1"/>
  <c r="CI257" i="82"/>
  <c r="CJ257" i="82" s="1"/>
  <c r="BO170" i="82"/>
  <c r="BP170" i="82" s="1"/>
  <c r="BN170" i="82"/>
  <c r="BK176" i="82"/>
  <c r="BL176" i="82" s="1"/>
  <c r="AL62" i="82"/>
  <c r="AN62" i="82"/>
  <c r="AN95" i="82" s="1"/>
  <c r="AF95" i="82"/>
  <c r="AG62" i="82"/>
  <c r="AG95" i="82" s="1"/>
  <c r="AE34" i="82"/>
  <c r="AF34" i="82" s="1"/>
  <c r="AE15" i="82"/>
  <c r="AF15" i="82" s="1"/>
  <c r="AE17" i="82"/>
  <c r="AF17" i="82" s="1"/>
  <c r="CK284" i="82"/>
  <c r="CL284" i="82" s="1"/>
  <c r="AT134" i="82"/>
  <c r="AU97" i="82"/>
  <c r="AC27" i="82"/>
  <c r="AD27" i="82" s="1"/>
  <c r="CG310" i="82"/>
  <c r="CH310" i="82" s="1"/>
  <c r="CJ310" i="82" s="1"/>
  <c r="CL310" i="82" s="1"/>
  <c r="CN310" i="82" s="1"/>
  <c r="CP310" i="82" s="1"/>
  <c r="CR310" i="82" s="1"/>
  <c r="CT310" i="82" s="1"/>
  <c r="CV310" i="82" s="1"/>
  <c r="CX310" i="82" s="1"/>
  <c r="CZ310" i="82" s="1"/>
  <c r="DB310" i="82" s="1"/>
  <c r="DD310" i="82" s="1"/>
  <c r="DF310" i="82" s="1"/>
  <c r="DH310" i="82" s="1"/>
  <c r="DJ310" i="82" s="1"/>
  <c r="DL310" i="82" s="1"/>
  <c r="DN310" i="82" s="1"/>
  <c r="DP310" i="82" s="1"/>
  <c r="DR310" i="82" s="1"/>
  <c r="DT310" i="82" s="1"/>
  <c r="DV310" i="82" s="1"/>
  <c r="DX310" i="82" s="1"/>
  <c r="CI289" i="82"/>
  <c r="CJ289" i="82" s="1"/>
  <c r="CG255" i="82"/>
  <c r="CH255" i="82" s="1"/>
  <c r="CG204" i="82"/>
  <c r="CH204" i="82" s="1"/>
  <c r="CG290" i="82"/>
  <c r="CH290" i="82" s="1"/>
  <c r="CO223" i="82"/>
  <c r="CP223" i="82" s="1"/>
  <c r="CE212" i="82"/>
  <c r="CF212" i="82" s="1"/>
  <c r="AC21" i="82"/>
  <c r="AD21" i="82" s="1"/>
  <c r="AC53" i="82"/>
  <c r="AD53" i="82" s="1"/>
  <c r="BG173" i="82"/>
  <c r="BH173" i="82" s="1"/>
  <c r="BK177" i="82"/>
  <c r="BL177" i="82" s="1"/>
  <c r="BU183" i="82"/>
  <c r="BV183" i="82" s="1"/>
  <c r="BI167" i="82"/>
  <c r="BJ167" i="82" s="1"/>
  <c r="CE234" i="82"/>
  <c r="CF234" i="82" s="1"/>
  <c r="AC24" i="82"/>
  <c r="AD24" i="82" s="1"/>
  <c r="CF265" i="82"/>
  <c r="CE265" i="82"/>
  <c r="BK179" i="82"/>
  <c r="BL179" i="82" s="1"/>
  <c r="CI208" i="82"/>
  <c r="CJ208" i="82" s="1"/>
  <c r="CG281" i="82"/>
  <c r="CH281" i="82" s="1"/>
  <c r="CG316" i="82"/>
  <c r="CH316" i="82" s="1"/>
  <c r="CJ316" i="82" s="1"/>
  <c r="CL316" i="82" s="1"/>
  <c r="CN316" i="82" s="1"/>
  <c r="CP316" i="82" s="1"/>
  <c r="CR316" i="82" s="1"/>
  <c r="CT316" i="82" s="1"/>
  <c r="CV316" i="82" s="1"/>
  <c r="CX316" i="82" s="1"/>
  <c r="CZ316" i="82" s="1"/>
  <c r="DB316" i="82" s="1"/>
  <c r="DD316" i="82" s="1"/>
  <c r="DF316" i="82" s="1"/>
  <c r="DH316" i="82" s="1"/>
  <c r="DJ316" i="82" s="1"/>
  <c r="DL316" i="82" s="1"/>
  <c r="DN316" i="82" s="1"/>
  <c r="DP316" i="82" s="1"/>
  <c r="DR316" i="82" s="1"/>
  <c r="DT316" i="82" s="1"/>
  <c r="DV316" i="82" s="1"/>
  <c r="DX316" i="82" s="1"/>
  <c r="BR144" i="82"/>
  <c r="BT144" i="82"/>
  <c r="BV144" i="82" s="1"/>
  <c r="BX144" i="82" s="1"/>
  <c r="BZ144" i="82" s="1"/>
  <c r="CB144" i="82" s="1"/>
  <c r="CD144" i="82" s="1"/>
  <c r="CF144" i="82" s="1"/>
  <c r="CH144" i="82" s="1"/>
  <c r="CJ144" i="82" s="1"/>
  <c r="CL144" i="82" s="1"/>
  <c r="CN144" i="82" s="1"/>
  <c r="CP144" i="82" s="1"/>
  <c r="CR144" i="82" s="1"/>
  <c r="CT144" i="82" s="1"/>
  <c r="CV144" i="82" s="1"/>
  <c r="CX144" i="82" s="1"/>
  <c r="CZ144" i="82" s="1"/>
  <c r="DB144" i="82" s="1"/>
  <c r="DD144" i="82" s="1"/>
  <c r="DF144" i="82" s="1"/>
  <c r="DH144" i="82" s="1"/>
  <c r="DJ144" i="82" s="1"/>
  <c r="DL144" i="82" s="1"/>
  <c r="DN144" i="82" s="1"/>
  <c r="DP144" i="82" s="1"/>
  <c r="DR144" i="82" s="1"/>
  <c r="CI240" i="82"/>
  <c r="CJ240" i="82" s="1"/>
  <c r="CI280" i="82"/>
  <c r="CJ280" i="82" s="1"/>
  <c r="BK158" i="82"/>
  <c r="BK171" i="82"/>
  <c r="BL171" i="82" s="1"/>
  <c r="CI287" i="82"/>
  <c r="CJ287" i="82" s="1"/>
  <c r="CG216" i="82"/>
  <c r="CH216" i="82"/>
  <c r="CC317" i="82"/>
  <c r="CD317" i="82"/>
  <c r="CG203" i="82"/>
  <c r="CH203" i="82" s="1"/>
  <c r="CI249" i="82"/>
  <c r="CJ249" i="82" s="1"/>
  <c r="AC52" i="82"/>
  <c r="AD52" i="82" s="1"/>
  <c r="AC13" i="82"/>
  <c r="AE13" i="82" s="1"/>
  <c r="AF13" i="82" s="1"/>
  <c r="AC23" i="82"/>
  <c r="AD23" i="82" s="1"/>
  <c r="AC35" i="82"/>
  <c r="AE35" i="82" s="1"/>
  <c r="AF35" i="82" s="1"/>
  <c r="AE14" i="82"/>
  <c r="AF14" i="82" s="1"/>
  <c r="AE48" i="82"/>
  <c r="AF48" i="82" s="1"/>
  <c r="AE26" i="82"/>
  <c r="AF26" i="82" s="1"/>
  <c r="AA51" i="82"/>
  <c r="AA8" i="82"/>
  <c r="AE20" i="82"/>
  <c r="AF20" i="82" s="1"/>
  <c r="AE22" i="82"/>
  <c r="AF22" i="82" s="1"/>
  <c r="AA37" i="82"/>
  <c r="AE25" i="82"/>
  <c r="AF25" i="82" s="1"/>
  <c r="AA38" i="82"/>
  <c r="AE56" i="82"/>
  <c r="AF56" i="82" s="1"/>
  <c r="AE9" i="82"/>
  <c r="AF9" i="82" s="1"/>
  <c r="AA19" i="82"/>
  <c r="AA33" i="82"/>
  <c r="AE16" i="82"/>
  <c r="AF16" i="82" s="1"/>
  <c r="AA10" i="82"/>
  <c r="AS106" i="82"/>
  <c r="AU106" i="82" s="1"/>
  <c r="AQ106" i="82"/>
  <c r="AY106" i="82" s="1"/>
  <c r="AR106" i="82"/>
  <c r="AE27" i="82"/>
  <c r="AF27" i="82" s="1"/>
  <c r="AA30" i="82"/>
  <c r="BZ151" i="82"/>
  <c r="AA50" i="82"/>
  <c r="AV61" i="82"/>
  <c r="AX61" i="82"/>
  <c r="AE23" i="82" l="1"/>
  <c r="AF23" i="82" s="1"/>
  <c r="AE41" i="82"/>
  <c r="AF41" i="82" s="1"/>
  <c r="AE24" i="82"/>
  <c r="AF24" i="82" s="1"/>
  <c r="AD18" i="82"/>
  <c r="AA160" i="82"/>
  <c r="BW136" i="82"/>
  <c r="BW138" i="82" s="1"/>
  <c r="BV138" i="82"/>
  <c r="AE42" i="82"/>
  <c r="AF42" i="82" s="1"/>
  <c r="BS174" i="82"/>
  <c r="BT174" i="82" s="1"/>
  <c r="BU174" i="82" s="1"/>
  <c r="BV174" i="82" s="1"/>
  <c r="BR174" i="82"/>
  <c r="AG26" i="82"/>
  <c r="AG25" i="82"/>
  <c r="AG20" i="82"/>
  <c r="AG48" i="82"/>
  <c r="AG16" i="82"/>
  <c r="AG56" i="82"/>
  <c r="AG47" i="82"/>
  <c r="BR185" i="82"/>
  <c r="BS185" i="82"/>
  <c r="BT185" i="82" s="1"/>
  <c r="BU185" i="82" s="1"/>
  <c r="BV185" i="82" s="1"/>
  <c r="AE52" i="82"/>
  <c r="AF52" i="82" s="1"/>
  <c r="AG52" i="82" s="1"/>
  <c r="AG22" i="82"/>
  <c r="AG39" i="82"/>
  <c r="AG14" i="82"/>
  <c r="AG9" i="82"/>
  <c r="AG12" i="82"/>
  <c r="BT141" i="82"/>
  <c r="BV141" i="82" s="1"/>
  <c r="BX141" i="82" s="1"/>
  <c r="BZ141" i="82" s="1"/>
  <c r="CB141" i="82" s="1"/>
  <c r="CD141" i="82" s="1"/>
  <c r="CF141" i="82" s="1"/>
  <c r="CH141" i="82" s="1"/>
  <c r="CJ141" i="82" s="1"/>
  <c r="CL141" i="82" s="1"/>
  <c r="CN141" i="82" s="1"/>
  <c r="CP141" i="82" s="1"/>
  <c r="CR141" i="82" s="1"/>
  <c r="CT141" i="82" s="1"/>
  <c r="CV141" i="82" s="1"/>
  <c r="CX141" i="82" s="1"/>
  <c r="CZ141" i="82" s="1"/>
  <c r="DB141" i="82" s="1"/>
  <c r="DD141" i="82" s="1"/>
  <c r="DF141" i="82" s="1"/>
  <c r="DH141" i="82" s="1"/>
  <c r="DJ141" i="82" s="1"/>
  <c r="DL141" i="82" s="1"/>
  <c r="DN141" i="82" s="1"/>
  <c r="DP141" i="82" s="1"/>
  <c r="DR141" i="82" s="1"/>
  <c r="BR141" i="82"/>
  <c r="AE53" i="82"/>
  <c r="AF53" i="82" s="1"/>
  <c r="AE32" i="82"/>
  <c r="AF32" i="82" s="1"/>
  <c r="AG32" i="82" s="1"/>
  <c r="AE21" i="82"/>
  <c r="AF21" i="82" s="1"/>
  <c r="AG21" i="82" s="1"/>
  <c r="AG27" i="82"/>
  <c r="AD29" i="82"/>
  <c r="AG29" i="82" s="1"/>
  <c r="AG11" i="82"/>
  <c r="CK240" i="82"/>
  <c r="CL240" i="82" s="1"/>
  <c r="BW183" i="82"/>
  <c r="BX183" i="82"/>
  <c r="CM284" i="82"/>
  <c r="CN284" i="82" s="1"/>
  <c r="CE303" i="82"/>
  <c r="CK211" i="82"/>
  <c r="CL211" i="82" s="1"/>
  <c r="CI209" i="82"/>
  <c r="CJ209" i="82" s="1"/>
  <c r="AK13" i="82"/>
  <c r="AN13" i="82"/>
  <c r="AT13" i="82" s="1"/>
  <c r="AO13" i="82"/>
  <c r="CI203" i="82"/>
  <c r="CJ203" i="82" s="1"/>
  <c r="CI281" i="82"/>
  <c r="CJ281" i="82"/>
  <c r="CG234" i="82"/>
  <c r="CH234" i="82" s="1"/>
  <c r="CK246" i="82"/>
  <c r="CL246" i="82" s="1"/>
  <c r="CM266" i="82"/>
  <c r="CN266" i="82" s="1"/>
  <c r="AK18" i="82"/>
  <c r="AO18" i="82" s="1"/>
  <c r="AN18" i="82"/>
  <c r="AT18" i="82" s="1"/>
  <c r="CI283" i="82"/>
  <c r="CJ283" i="82" s="1"/>
  <c r="CK279" i="82"/>
  <c r="CL279" i="82" s="1"/>
  <c r="BV182" i="82"/>
  <c r="BU182" i="82"/>
  <c r="CI285" i="82"/>
  <c r="CJ285" i="82" s="1"/>
  <c r="CG243" i="82"/>
  <c r="CH243" i="82" s="1"/>
  <c r="CI232" i="82"/>
  <c r="CJ232" i="82" s="1"/>
  <c r="CG325" i="82"/>
  <c r="CH325" i="82" s="1"/>
  <c r="CJ325" i="82" s="1"/>
  <c r="CL325" i="82" s="1"/>
  <c r="CN325" i="82" s="1"/>
  <c r="CP325" i="82" s="1"/>
  <c r="CR325" i="82" s="1"/>
  <c r="CT325" i="82" s="1"/>
  <c r="CV325" i="82" s="1"/>
  <c r="CX325" i="82" s="1"/>
  <c r="CZ325" i="82" s="1"/>
  <c r="DB325" i="82" s="1"/>
  <c r="DD325" i="82" s="1"/>
  <c r="DF325" i="82" s="1"/>
  <c r="DH325" i="82" s="1"/>
  <c r="DJ325" i="82" s="1"/>
  <c r="DL325" i="82" s="1"/>
  <c r="DN325" i="82" s="1"/>
  <c r="DP325" i="82" s="1"/>
  <c r="DR325" i="82" s="1"/>
  <c r="DT325" i="82" s="1"/>
  <c r="DV325" i="82" s="1"/>
  <c r="DX325" i="82" s="1"/>
  <c r="CA190" i="82"/>
  <c r="CB190" i="82" s="1"/>
  <c r="CI236" i="82"/>
  <c r="CJ236" i="82" s="1"/>
  <c r="BK166" i="82"/>
  <c r="BL166" i="82" s="1"/>
  <c r="CK278" i="82"/>
  <c r="CL278" i="82" s="1"/>
  <c r="CI273" i="82"/>
  <c r="CJ273" i="82" s="1"/>
  <c r="CM58" i="82"/>
  <c r="CN58" i="82" s="1"/>
  <c r="BR146" i="82"/>
  <c r="BT146" i="82"/>
  <c r="BV146" i="82" s="1"/>
  <c r="BX146" i="82" s="1"/>
  <c r="BZ146" i="82" s="1"/>
  <c r="CB146" i="82" s="1"/>
  <c r="CD146" i="82" s="1"/>
  <c r="CF146" i="82" s="1"/>
  <c r="CH146" i="82" s="1"/>
  <c r="CJ146" i="82" s="1"/>
  <c r="CL146" i="82" s="1"/>
  <c r="CN146" i="82" s="1"/>
  <c r="CP146" i="82" s="1"/>
  <c r="CR146" i="82" s="1"/>
  <c r="CT146" i="82" s="1"/>
  <c r="CV146" i="82" s="1"/>
  <c r="CX146" i="82" s="1"/>
  <c r="CZ146" i="82" s="1"/>
  <c r="DB146" i="82" s="1"/>
  <c r="DD146" i="82" s="1"/>
  <c r="DF146" i="82" s="1"/>
  <c r="DH146" i="82" s="1"/>
  <c r="DJ146" i="82" s="1"/>
  <c r="DL146" i="82" s="1"/>
  <c r="DN146" i="82" s="1"/>
  <c r="DP146" i="82" s="1"/>
  <c r="DR146" i="82" s="1"/>
  <c r="CG212" i="82"/>
  <c r="CH212" i="82" s="1"/>
  <c r="AK35" i="82"/>
  <c r="AO35" i="82" s="1"/>
  <c r="AN35" i="82"/>
  <c r="AT35" i="82" s="1"/>
  <c r="CQ223" i="82"/>
  <c r="CR223" i="82" s="1"/>
  <c r="CT223" i="82" s="1"/>
  <c r="CV223" i="82" s="1"/>
  <c r="CX223" i="82" s="1"/>
  <c r="CZ223" i="82" s="1"/>
  <c r="DB223" i="82" s="1"/>
  <c r="DD223" i="82" s="1"/>
  <c r="DF223" i="82" s="1"/>
  <c r="DH223" i="82" s="1"/>
  <c r="DJ223" i="82" s="1"/>
  <c r="DL223" i="82" s="1"/>
  <c r="DN223" i="82" s="1"/>
  <c r="DP223" i="82" s="1"/>
  <c r="DR223" i="82" s="1"/>
  <c r="CK286" i="82"/>
  <c r="CL286" i="82" s="1"/>
  <c r="CA197" i="82"/>
  <c r="CB197" i="82"/>
  <c r="CG213" i="82"/>
  <c r="CH213" i="82" s="1"/>
  <c r="AN29" i="82"/>
  <c r="AT29" i="82"/>
  <c r="AK29" i="82"/>
  <c r="AO29" i="82" s="1"/>
  <c r="AS29" i="82" s="1"/>
  <c r="CI267" i="82"/>
  <c r="CJ267" i="82" s="1"/>
  <c r="CI250" i="82"/>
  <c r="CJ250" i="82" s="1"/>
  <c r="BU189" i="82"/>
  <c r="BV189" i="82" s="1"/>
  <c r="CI237" i="82"/>
  <c r="CJ237" i="82" s="1"/>
  <c r="CI275" i="82"/>
  <c r="CJ275" i="82" s="1"/>
  <c r="CK214" i="82"/>
  <c r="CL214" i="82" s="1"/>
  <c r="CI227" i="82"/>
  <c r="CJ227" i="82" s="1"/>
  <c r="CK235" i="82"/>
  <c r="CL235" i="82" s="1"/>
  <c r="CI238" i="82"/>
  <c r="CJ238" i="82" s="1"/>
  <c r="BW191" i="82"/>
  <c r="BX191" i="82" s="1"/>
  <c r="CG256" i="82"/>
  <c r="CH256" i="82" s="1"/>
  <c r="CG222" i="82"/>
  <c r="CH222" i="82" s="1"/>
  <c r="BW194" i="82"/>
  <c r="BX194" i="82" s="1"/>
  <c r="CG313" i="82"/>
  <c r="CH313" i="82" s="1"/>
  <c r="CJ313" i="82" s="1"/>
  <c r="CL313" i="82" s="1"/>
  <c r="CN313" i="82" s="1"/>
  <c r="CP313" i="82" s="1"/>
  <c r="CR313" i="82" s="1"/>
  <c r="CT313" i="82" s="1"/>
  <c r="CV313" i="82" s="1"/>
  <c r="CX313" i="82" s="1"/>
  <c r="CZ313" i="82" s="1"/>
  <c r="DB313" i="82" s="1"/>
  <c r="DD313" i="82" s="1"/>
  <c r="DF313" i="82" s="1"/>
  <c r="DH313" i="82" s="1"/>
  <c r="DJ313" i="82" s="1"/>
  <c r="DL313" i="82" s="1"/>
  <c r="DN313" i="82" s="1"/>
  <c r="DP313" i="82" s="1"/>
  <c r="DR313" i="82" s="1"/>
  <c r="DT313" i="82" s="1"/>
  <c r="DV313" i="82" s="1"/>
  <c r="DX313" i="82" s="1"/>
  <c r="CI202" i="82"/>
  <c r="CJ202" i="82" s="1"/>
  <c r="CK257" i="82"/>
  <c r="CL257" i="82" s="1"/>
  <c r="CK287" i="82"/>
  <c r="CL287" i="82" s="1"/>
  <c r="CK208" i="82"/>
  <c r="CL208" i="82" s="1"/>
  <c r="CI255" i="82"/>
  <c r="CJ255" i="82" s="1"/>
  <c r="CJ290" i="82"/>
  <c r="CI290" i="82"/>
  <c r="CK289" i="82"/>
  <c r="CL289" i="82" s="1"/>
  <c r="CK271" i="82"/>
  <c r="CL271" i="82" s="1"/>
  <c r="BK161" i="82"/>
  <c r="BL161" i="82" s="1"/>
  <c r="CG217" i="82"/>
  <c r="CH217" i="82" s="1"/>
  <c r="CK253" i="82"/>
  <c r="CL253" i="82" s="1"/>
  <c r="CK219" i="82"/>
  <c r="CL219" i="82" s="1"/>
  <c r="CH226" i="82"/>
  <c r="CG226" i="82"/>
  <c r="CK233" i="82"/>
  <c r="CL233" i="82"/>
  <c r="CI268" i="82"/>
  <c r="CJ268" i="82" s="1"/>
  <c r="CI229" i="82"/>
  <c r="CJ229" i="82" s="1"/>
  <c r="CK206" i="82"/>
  <c r="CL206" i="82" s="1"/>
  <c r="BN175" i="82"/>
  <c r="BO175" i="82"/>
  <c r="BP175" i="82" s="1"/>
  <c r="BP116" i="82"/>
  <c r="BN116" i="82"/>
  <c r="CE199" i="82"/>
  <c r="CF199" i="82" s="1"/>
  <c r="CA186" i="82"/>
  <c r="CB186" i="82" s="1"/>
  <c r="CG201" i="82"/>
  <c r="CH201" i="82" s="1"/>
  <c r="BS170" i="82"/>
  <c r="BT170" i="82" s="1"/>
  <c r="BR170" i="82"/>
  <c r="AK45" i="82"/>
  <c r="AO45" i="82" s="1"/>
  <c r="AN45" i="82"/>
  <c r="AT45" i="82" s="1"/>
  <c r="CA198" i="82"/>
  <c r="CB198" i="82" s="1"/>
  <c r="CG262" i="82"/>
  <c r="CH262" i="82" s="1"/>
  <c r="CI258" i="82"/>
  <c r="CJ258" i="82" s="1"/>
  <c r="BA110" i="82"/>
  <c r="BB110" i="82" s="1"/>
  <c r="BH110" i="82" s="1"/>
  <c r="BJ110" i="82" s="1"/>
  <c r="BL110" i="82" s="1"/>
  <c r="BN107" i="82"/>
  <c r="BP107" i="82"/>
  <c r="CA188" i="82"/>
  <c r="CB188" i="82" s="1"/>
  <c r="CO282" i="82"/>
  <c r="CP282" i="82" s="1"/>
  <c r="CL224" i="82"/>
  <c r="CK224" i="82"/>
  <c r="CK252" i="82"/>
  <c r="CL252" i="82" s="1"/>
  <c r="BV187" i="82"/>
  <c r="BU187" i="82"/>
  <c r="BK169" i="82"/>
  <c r="BL169" i="82" s="1"/>
  <c r="BW181" i="82"/>
  <c r="BX181" i="82" s="1"/>
  <c r="CC195" i="82"/>
  <c r="CD195" i="82" s="1"/>
  <c r="CK251" i="82"/>
  <c r="CL251" i="82" s="1"/>
  <c r="CG254" i="82"/>
  <c r="CH254" i="82"/>
  <c r="CA151" i="82"/>
  <c r="CA158" i="82" s="1"/>
  <c r="AN25" i="82"/>
  <c r="AT25" i="82" s="1"/>
  <c r="AK25" i="82"/>
  <c r="AO25" i="82"/>
  <c r="CK249" i="82"/>
  <c r="CL249" i="82" s="1"/>
  <c r="AK34" i="82"/>
  <c r="AO34" i="82" s="1"/>
  <c r="AS34" i="82" s="1"/>
  <c r="AN34" i="82"/>
  <c r="AT34" i="82" s="1"/>
  <c r="AG42" i="82"/>
  <c r="AN23" i="82"/>
  <c r="AT23" i="82" s="1"/>
  <c r="AK23" i="82"/>
  <c r="AO23" i="82" s="1"/>
  <c r="CK260" i="82"/>
  <c r="CL260" i="82" s="1"/>
  <c r="AN12" i="82"/>
  <c r="AT12" i="82" s="1"/>
  <c r="AK12" i="82"/>
  <c r="AO12" i="82" s="1"/>
  <c r="AK54" i="82"/>
  <c r="AO54" i="82" s="1"/>
  <c r="AN54" i="82"/>
  <c r="AT54" i="82" s="1"/>
  <c r="CI276" i="82"/>
  <c r="CJ276" i="82" s="1"/>
  <c r="BA165" i="82"/>
  <c r="BB165" i="82" s="1"/>
  <c r="CK263" i="82"/>
  <c r="CL263" i="82" s="1"/>
  <c r="BU184" i="82"/>
  <c r="BV184" i="82" s="1"/>
  <c r="CI242" i="82"/>
  <c r="CJ242" i="82" s="1"/>
  <c r="CG210" i="82"/>
  <c r="CH210" i="82" s="1"/>
  <c r="BU178" i="82"/>
  <c r="BV178" i="82" s="1"/>
  <c r="CK269" i="82"/>
  <c r="CL269" i="82" s="1"/>
  <c r="BW192" i="82"/>
  <c r="BX192" i="82" s="1"/>
  <c r="BN172" i="82"/>
  <c r="BO172" i="82"/>
  <c r="BP172" i="82" s="1"/>
  <c r="BK168" i="82"/>
  <c r="BL168" i="82" s="1"/>
  <c r="DX145" i="82"/>
  <c r="DT145" i="82"/>
  <c r="CO288" i="82"/>
  <c r="CP288" i="82" s="1"/>
  <c r="CI220" i="82"/>
  <c r="CJ220" i="82" s="1"/>
  <c r="BN164" i="82"/>
  <c r="BO164" i="82"/>
  <c r="BP164" i="82" s="1"/>
  <c r="CG261" i="82"/>
  <c r="CH261" i="82"/>
  <c r="CK218" i="82"/>
  <c r="CL218" i="82" s="1"/>
  <c r="BK180" i="82"/>
  <c r="BL180" i="82" s="1"/>
  <c r="CG312" i="82"/>
  <c r="CH312" i="82" s="1"/>
  <c r="CJ312" i="82" s="1"/>
  <c r="CL312" i="82" s="1"/>
  <c r="CN312" i="82" s="1"/>
  <c r="CP312" i="82" s="1"/>
  <c r="CR312" i="82" s="1"/>
  <c r="CT312" i="82" s="1"/>
  <c r="CV312" i="82" s="1"/>
  <c r="CX312" i="82" s="1"/>
  <c r="CZ312" i="82" s="1"/>
  <c r="DB312" i="82" s="1"/>
  <c r="DD312" i="82" s="1"/>
  <c r="DF312" i="82" s="1"/>
  <c r="DH312" i="82" s="1"/>
  <c r="DJ312" i="82" s="1"/>
  <c r="DL312" i="82" s="1"/>
  <c r="DN312" i="82" s="1"/>
  <c r="DP312" i="82" s="1"/>
  <c r="DR312" i="82" s="1"/>
  <c r="DT312" i="82" s="1"/>
  <c r="DV312" i="82" s="1"/>
  <c r="DX312" i="82" s="1"/>
  <c r="CI248" i="82"/>
  <c r="CJ248" i="82" s="1"/>
  <c r="BU193" i="82"/>
  <c r="BV193" i="82" s="1"/>
  <c r="BK163" i="82"/>
  <c r="BL163" i="82"/>
  <c r="CI200" i="82"/>
  <c r="CJ200" i="82" s="1"/>
  <c r="BN63" i="82"/>
  <c r="BP63" i="82"/>
  <c r="BR63" i="82" s="1"/>
  <c r="BT63" i="82" s="1"/>
  <c r="BV63" i="82" s="1"/>
  <c r="BX63" i="82" s="1"/>
  <c r="BZ63" i="82" s="1"/>
  <c r="CB63" i="82" s="1"/>
  <c r="CD63" i="82" s="1"/>
  <c r="CF63" i="82" s="1"/>
  <c r="CH63" i="82" s="1"/>
  <c r="CJ63" i="82" s="1"/>
  <c r="CL63" i="82" s="1"/>
  <c r="CN63" i="82" s="1"/>
  <c r="CP63" i="82" s="1"/>
  <c r="CR63" i="82" s="1"/>
  <c r="CT63" i="82" s="1"/>
  <c r="CV63" i="82" s="1"/>
  <c r="CX63" i="82" s="1"/>
  <c r="CZ63" i="82" s="1"/>
  <c r="DB63" i="82" s="1"/>
  <c r="DD63" i="82" s="1"/>
  <c r="DF63" i="82" s="1"/>
  <c r="DH63" i="82" s="1"/>
  <c r="DJ63" i="82" s="1"/>
  <c r="DL63" i="82" s="1"/>
  <c r="DN63" i="82" s="1"/>
  <c r="DP63" i="82" s="1"/>
  <c r="DR63" i="82" s="1"/>
  <c r="CI225" i="82"/>
  <c r="CJ225" i="82" s="1"/>
  <c r="DT305" i="82"/>
  <c r="DX305" i="82"/>
  <c r="AG40" i="82"/>
  <c r="AC19" i="82"/>
  <c r="AE19" i="82" s="1"/>
  <c r="AF19" i="82" s="1"/>
  <c r="AN26" i="82"/>
  <c r="AT26" i="82" s="1"/>
  <c r="AK26" i="82"/>
  <c r="AO26" i="82"/>
  <c r="CI204" i="82"/>
  <c r="CJ204" i="82" s="1"/>
  <c r="BY304" i="82"/>
  <c r="BY330" i="82" s="1"/>
  <c r="BX330" i="82"/>
  <c r="AN24" i="82"/>
  <c r="AT24" i="82" s="1"/>
  <c r="AK24" i="82"/>
  <c r="AO24" i="82" s="1"/>
  <c r="AN32" i="82"/>
  <c r="AT32" i="82" s="1"/>
  <c r="AK32" i="82"/>
  <c r="AO32" i="82" s="1"/>
  <c r="AQ32" i="82" s="1"/>
  <c r="AN9" i="82"/>
  <c r="AT9" i="82" s="1"/>
  <c r="AK9" i="82"/>
  <c r="AO9" i="82" s="1"/>
  <c r="AC37" i="82"/>
  <c r="AE37" i="82" s="1"/>
  <c r="AF37" i="82" s="1"/>
  <c r="AK20" i="82"/>
  <c r="AO20" i="82" s="1"/>
  <c r="AN20" i="82"/>
  <c r="AT20" i="82" s="1"/>
  <c r="AK52" i="82"/>
  <c r="AO52" i="82" s="1"/>
  <c r="AN52" i="82"/>
  <c r="AT52" i="82" s="1"/>
  <c r="AD35" i="82"/>
  <c r="AG35" i="82" s="1"/>
  <c r="AD13" i="82"/>
  <c r="AG13" i="82" s="1"/>
  <c r="DX144" i="82"/>
  <c r="DT144" i="82"/>
  <c r="AU134" i="82"/>
  <c r="AV97" i="82"/>
  <c r="AN47" i="82"/>
  <c r="AT47" i="82" s="1"/>
  <c r="AK47" i="82"/>
  <c r="AO47" i="82" s="1"/>
  <c r="AO62" i="82"/>
  <c r="AL95" i="82"/>
  <c r="AK44" i="82"/>
  <c r="AO44" i="82"/>
  <c r="AS44" i="82" s="1"/>
  <c r="AN44" i="82"/>
  <c r="AT44" i="82" s="1"/>
  <c r="BB140" i="82"/>
  <c r="AC46" i="82"/>
  <c r="AE46" i="82" s="1"/>
  <c r="AF46" i="82" s="1"/>
  <c r="AK28" i="82"/>
  <c r="AO28" i="82" s="1"/>
  <c r="AS28" i="82" s="1"/>
  <c r="AN28" i="82"/>
  <c r="AT28" i="82" s="1"/>
  <c r="AD45" i="82"/>
  <c r="AG45" i="82" s="1"/>
  <c r="AT162" i="82"/>
  <c r="BP143" i="82"/>
  <c r="AX97" i="82"/>
  <c r="AX134" i="82" s="1"/>
  <c r="AQ134" i="82"/>
  <c r="CI247" i="82"/>
  <c r="CJ247" i="82" s="1"/>
  <c r="AG49" i="82"/>
  <c r="CI205" i="82"/>
  <c r="CJ205" i="82" s="1"/>
  <c r="CO272" i="82"/>
  <c r="CP272" i="82" s="1"/>
  <c r="CG245" i="82"/>
  <c r="CH245" i="82" s="1"/>
  <c r="CK259" i="82"/>
  <c r="CL259" i="82" s="1"/>
  <c r="BN176" i="82"/>
  <c r="BO176" i="82"/>
  <c r="BP176" i="82" s="1"/>
  <c r="CG315" i="82"/>
  <c r="CH315" i="82" s="1"/>
  <c r="CJ315" i="82" s="1"/>
  <c r="CL315" i="82" s="1"/>
  <c r="CN315" i="82" s="1"/>
  <c r="CP315" i="82" s="1"/>
  <c r="CR315" i="82" s="1"/>
  <c r="CT315" i="82" s="1"/>
  <c r="CV315" i="82" s="1"/>
  <c r="CX315" i="82" s="1"/>
  <c r="CZ315" i="82" s="1"/>
  <c r="DB315" i="82" s="1"/>
  <c r="DD315" i="82" s="1"/>
  <c r="DF315" i="82" s="1"/>
  <c r="DH315" i="82" s="1"/>
  <c r="DJ315" i="82" s="1"/>
  <c r="DL315" i="82" s="1"/>
  <c r="DN315" i="82" s="1"/>
  <c r="DP315" i="82" s="1"/>
  <c r="DR315" i="82" s="1"/>
  <c r="DT315" i="82" s="1"/>
  <c r="DV315" i="82" s="1"/>
  <c r="DX315" i="82" s="1"/>
  <c r="AN16" i="82"/>
  <c r="AT16" i="82" s="1"/>
  <c r="AK16" i="82"/>
  <c r="AO16" i="82" s="1"/>
  <c r="AN41" i="82"/>
  <c r="AT41" i="82" s="1"/>
  <c r="AK41" i="82"/>
  <c r="AO41" i="82" s="1"/>
  <c r="AS41" i="82" s="1"/>
  <c r="AN48" i="82"/>
  <c r="AT48" i="82" s="1"/>
  <c r="AK48" i="82"/>
  <c r="AO48" i="82" s="1"/>
  <c r="CI216" i="82"/>
  <c r="CJ216" i="82"/>
  <c r="CK280" i="82"/>
  <c r="CL280" i="82" s="1"/>
  <c r="AG24" i="82"/>
  <c r="BK167" i="82"/>
  <c r="BL167" i="82" s="1"/>
  <c r="BN177" i="82"/>
  <c r="BO177" i="82"/>
  <c r="BP177" i="82" s="1"/>
  <c r="AN17" i="82"/>
  <c r="AT17" i="82" s="1"/>
  <c r="AK17" i="82"/>
  <c r="AO17" i="82" s="1"/>
  <c r="AG41" i="82"/>
  <c r="CA196" i="82"/>
  <c r="CB196" i="82" s="1"/>
  <c r="AK11" i="82"/>
  <c r="AO11" i="82" s="1"/>
  <c r="AQ11" i="82" s="1"/>
  <c r="AN11" i="82"/>
  <c r="AT11" i="82" s="1"/>
  <c r="CK270" i="82"/>
  <c r="CL270" i="82" s="1"/>
  <c r="AG18" i="82"/>
  <c r="AG17" i="82"/>
  <c r="AG34" i="82"/>
  <c r="AG44" i="82"/>
  <c r="CK215" i="82"/>
  <c r="CL215" i="82" s="1"/>
  <c r="AK40" i="82"/>
  <c r="AO40" i="82" s="1"/>
  <c r="AN40" i="82"/>
  <c r="AT40" i="82" s="1"/>
  <c r="CI264" i="82"/>
  <c r="CJ264" i="82" s="1"/>
  <c r="CI239" i="82"/>
  <c r="CJ239" i="82" s="1"/>
  <c r="AG28" i="82"/>
  <c r="AE36" i="82"/>
  <c r="AF36" i="82" s="1"/>
  <c r="AG36" i="82" s="1"/>
  <c r="CG230" i="82"/>
  <c r="CH230" i="82" s="1"/>
  <c r="CG57" i="82"/>
  <c r="CH57" i="82" s="1"/>
  <c r="CO241" i="82"/>
  <c r="CP241" i="82" s="1"/>
  <c r="CG231" i="82"/>
  <c r="CH231" i="82" s="1"/>
  <c r="CK274" i="82"/>
  <c r="CL274" i="82" s="1"/>
  <c r="CG308" i="82"/>
  <c r="CH308" i="82" s="1"/>
  <c r="CJ308" i="82" s="1"/>
  <c r="CL308" i="82" s="1"/>
  <c r="CN308" i="82" s="1"/>
  <c r="CP308" i="82" s="1"/>
  <c r="CR308" i="82" s="1"/>
  <c r="CT308" i="82" s="1"/>
  <c r="CV308" i="82" s="1"/>
  <c r="CX308" i="82" s="1"/>
  <c r="CZ308" i="82" s="1"/>
  <c r="DB308" i="82" s="1"/>
  <c r="DD308" i="82" s="1"/>
  <c r="DF308" i="82" s="1"/>
  <c r="DH308" i="82" s="1"/>
  <c r="DJ308" i="82" s="1"/>
  <c r="DL308" i="82" s="1"/>
  <c r="DN308" i="82" s="1"/>
  <c r="DP308" i="82" s="1"/>
  <c r="DR308" i="82" s="1"/>
  <c r="DT308" i="82" s="1"/>
  <c r="DV308" i="82" s="1"/>
  <c r="AG31" i="82"/>
  <c r="CI221" i="82"/>
  <c r="CJ221" i="82" s="1"/>
  <c r="CG149" i="82"/>
  <c r="AG54" i="82"/>
  <c r="CQ207" i="82"/>
  <c r="CR207" i="82" s="1"/>
  <c r="CT207" i="82" s="1"/>
  <c r="CV207" i="82" s="1"/>
  <c r="CX207" i="82" s="1"/>
  <c r="CZ207" i="82" s="1"/>
  <c r="DB207" i="82" s="1"/>
  <c r="DD207" i="82" s="1"/>
  <c r="DF207" i="82" s="1"/>
  <c r="DH207" i="82" s="1"/>
  <c r="DJ207" i="82" s="1"/>
  <c r="DL207" i="82" s="1"/>
  <c r="DN207" i="82" s="1"/>
  <c r="DP207" i="82" s="1"/>
  <c r="DR207" i="82" s="1"/>
  <c r="DT306" i="82"/>
  <c r="DX306" i="82"/>
  <c r="CK228" i="82"/>
  <c r="CL228" i="82" s="1"/>
  <c r="AN27" i="82"/>
  <c r="AT27" i="82" s="1"/>
  <c r="AK27" i="82"/>
  <c r="AO27" i="82" s="1"/>
  <c r="AC10" i="82"/>
  <c r="AE10" i="82" s="1"/>
  <c r="AF10" i="82" s="1"/>
  <c r="AN42" i="82"/>
  <c r="AT42" i="82" s="1"/>
  <c r="AK42" i="82"/>
  <c r="AO42" i="82" s="1"/>
  <c r="AS42" i="82" s="1"/>
  <c r="CE317" i="82"/>
  <c r="CF317" i="82" s="1"/>
  <c r="CG265" i="82"/>
  <c r="CH265" i="82" s="1"/>
  <c r="BI173" i="82"/>
  <c r="BJ173" i="82" s="1"/>
  <c r="BH104" i="82"/>
  <c r="BG104" i="82"/>
  <c r="AK53" i="82"/>
  <c r="AC30" i="82"/>
  <c r="AE30" i="82" s="1"/>
  <c r="AF30" i="82" s="1"/>
  <c r="BA106" i="82"/>
  <c r="BB106" i="82" s="1"/>
  <c r="AK56" i="82"/>
  <c r="AO56" i="82" s="1"/>
  <c r="AN56" i="82"/>
  <c r="AT56" i="82" s="1"/>
  <c r="AA59" i="82"/>
  <c r="AC8" i="82"/>
  <c r="AD8" i="82" s="1"/>
  <c r="AG23" i="82"/>
  <c r="BN171" i="82"/>
  <c r="BO171" i="82"/>
  <c r="BP171" i="82" s="1"/>
  <c r="BO179" i="82"/>
  <c r="BP179" i="82" s="1"/>
  <c r="BN179" i="82"/>
  <c r="AY61" i="82"/>
  <c r="AD50" i="82"/>
  <c r="AG50" i="82" s="1"/>
  <c r="AC50" i="82"/>
  <c r="AE50" i="82" s="1"/>
  <c r="AF50" i="82" s="1"/>
  <c r="AK21" i="82"/>
  <c r="AO21" i="82" s="1"/>
  <c r="AN21" i="82"/>
  <c r="AT21" i="82" s="1"/>
  <c r="AV106" i="82"/>
  <c r="AC33" i="82"/>
  <c r="AE33" i="82" s="1"/>
  <c r="AF33" i="82" s="1"/>
  <c r="AC38" i="82"/>
  <c r="AE38" i="82" s="1"/>
  <c r="AF38" i="82" s="1"/>
  <c r="AK22" i="82"/>
  <c r="AO22" i="82" s="1"/>
  <c r="AN22" i="82"/>
  <c r="AT22" i="82" s="1"/>
  <c r="AC51" i="82"/>
  <c r="AE51" i="82" s="1"/>
  <c r="AF51" i="82" s="1"/>
  <c r="AK14" i="82"/>
  <c r="AO14" i="82" s="1"/>
  <c r="AN14" i="82"/>
  <c r="AT14" i="82" s="1"/>
  <c r="AN15" i="82"/>
  <c r="AT15" i="82" s="1"/>
  <c r="AK15" i="82"/>
  <c r="AO15" i="82" s="1"/>
  <c r="AT62" i="82"/>
  <c r="AN39" i="82"/>
  <c r="AT39" i="82" s="1"/>
  <c r="AK39" i="82"/>
  <c r="AO39" i="82" s="1"/>
  <c r="AE43" i="82"/>
  <c r="AF43" i="82" s="1"/>
  <c r="AE55" i="82"/>
  <c r="AF55" i="82" s="1"/>
  <c r="AG55" i="82" s="1"/>
  <c r="AN31" i="82"/>
  <c r="AT31" i="82" s="1"/>
  <c r="AK31" i="82"/>
  <c r="AO31" i="82" s="1"/>
  <c r="AO162" i="82"/>
  <c r="AN49" i="82"/>
  <c r="AT49" i="82" s="1"/>
  <c r="AK49" i="82"/>
  <c r="AO49" i="82" s="1"/>
  <c r="AS49" i="82" s="1"/>
  <c r="AR97" i="82"/>
  <c r="AR134" i="82" s="1"/>
  <c r="AS134" i="82"/>
  <c r="CQ244" i="82"/>
  <c r="CR244" i="82" s="1"/>
  <c r="CT244" i="82" s="1"/>
  <c r="CV244" i="82" s="1"/>
  <c r="CX244" i="82" s="1"/>
  <c r="CZ244" i="82" s="1"/>
  <c r="DB244" i="82" s="1"/>
  <c r="DD244" i="82" s="1"/>
  <c r="DF244" i="82" s="1"/>
  <c r="DH244" i="82" s="1"/>
  <c r="DJ244" i="82" s="1"/>
  <c r="DL244" i="82" s="1"/>
  <c r="DN244" i="82" s="1"/>
  <c r="DP244" i="82" s="1"/>
  <c r="DR244" i="82" s="1"/>
  <c r="AS54" i="82" l="1"/>
  <c r="AP54" i="82"/>
  <c r="AD33" i="82"/>
  <c r="AG33" i="82" s="1"/>
  <c r="AS31" i="82"/>
  <c r="AU29" i="82"/>
  <c r="AS13" i="82"/>
  <c r="AC160" i="82"/>
  <c r="AD160" i="82" s="1"/>
  <c r="AA301" i="82"/>
  <c r="AS26" i="82"/>
  <c r="BX136" i="82"/>
  <c r="AP52" i="82"/>
  <c r="AR52" i="82" s="1"/>
  <c r="AS12" i="82"/>
  <c r="AP12" i="82"/>
  <c r="AR12" i="82" s="1"/>
  <c r="AS20" i="82"/>
  <c r="AU20" i="82" s="1"/>
  <c r="AX20" i="82" s="1"/>
  <c r="AY20" i="82" s="1"/>
  <c r="AP20" i="82"/>
  <c r="AR20" i="82" s="1"/>
  <c r="AU34" i="82"/>
  <c r="AU49" i="82"/>
  <c r="AU31" i="82"/>
  <c r="AO53" i="82"/>
  <c r="AP53" i="82" s="1"/>
  <c r="AR53" i="82" s="1"/>
  <c r="AD10" i="82"/>
  <c r="AG10" i="82" s="1"/>
  <c r="AG53" i="82"/>
  <c r="AD46" i="82"/>
  <c r="AG46" i="82" s="1"/>
  <c r="AU54" i="82"/>
  <c r="AN53" i="82"/>
  <c r="AT53" i="82" s="1"/>
  <c r="AU53" i="82" s="1"/>
  <c r="AU26" i="82"/>
  <c r="AS25" i="82"/>
  <c r="AU25" i="82" s="1"/>
  <c r="AX25" i="82" s="1"/>
  <c r="AY25" i="82" s="1"/>
  <c r="AP29" i="82"/>
  <c r="AR29" i="82" s="1"/>
  <c r="BW185" i="82"/>
  <c r="BX185" i="82" s="1"/>
  <c r="AU28" i="82"/>
  <c r="AU42" i="82"/>
  <c r="AP11" i="82"/>
  <c r="AR11" i="82" s="1"/>
  <c r="AU41" i="82"/>
  <c r="AY97" i="82"/>
  <c r="DT141" i="82"/>
  <c r="DX141" i="82"/>
  <c r="DX308" i="82"/>
  <c r="CC196" i="82"/>
  <c r="CD196" i="82"/>
  <c r="AS9" i="82"/>
  <c r="AQ9" i="82"/>
  <c r="AP9" i="82"/>
  <c r="AR9" i="82" s="1"/>
  <c r="AX31" i="82"/>
  <c r="AY31" i="82" s="1"/>
  <c r="AS15" i="82"/>
  <c r="AP15" i="82"/>
  <c r="AR15" i="82" s="1"/>
  <c r="AQ15" i="82"/>
  <c r="CI265" i="82"/>
  <c r="CJ265" i="82" s="1"/>
  <c r="AS27" i="82"/>
  <c r="AQ27" i="82"/>
  <c r="AP27" i="82"/>
  <c r="AR27" i="82" s="1"/>
  <c r="CI231" i="82"/>
  <c r="CJ231" i="82" s="1"/>
  <c r="AS40" i="82"/>
  <c r="AP40" i="82"/>
  <c r="AR40" i="82" s="1"/>
  <c r="AQ40" i="82"/>
  <c r="AS17" i="82"/>
  <c r="AP17" i="82"/>
  <c r="AR17" i="82" s="1"/>
  <c r="AQ17" i="82"/>
  <c r="CM280" i="82"/>
  <c r="CN280" i="82" s="1"/>
  <c r="AS48" i="82"/>
  <c r="AP48" i="82"/>
  <c r="AR48" i="82" s="1"/>
  <c r="AQ48" i="82"/>
  <c r="AX41" i="82"/>
  <c r="AY41" i="82" s="1"/>
  <c r="CK205" i="82"/>
  <c r="CL205" i="82" s="1"/>
  <c r="CK225" i="82"/>
  <c r="CL225" i="82" s="1"/>
  <c r="CK248" i="82"/>
  <c r="CL248" i="82" s="1"/>
  <c r="CM218" i="82"/>
  <c r="CN218" i="82" s="1"/>
  <c r="CI210" i="82"/>
  <c r="CJ210" i="82" s="1"/>
  <c r="CN263" i="82"/>
  <c r="CM263" i="82"/>
  <c r="CC188" i="82"/>
  <c r="CD188" i="82" s="1"/>
  <c r="CC198" i="82"/>
  <c r="CD198" i="82" s="1"/>
  <c r="CC186" i="82"/>
  <c r="CD186" i="82" s="1"/>
  <c r="CF186" i="82" s="1"/>
  <c r="CH186" i="82" s="1"/>
  <c r="CJ186" i="82" s="1"/>
  <c r="CL186" i="82" s="1"/>
  <c r="CN186" i="82" s="1"/>
  <c r="CP186" i="82" s="1"/>
  <c r="CR186" i="82" s="1"/>
  <c r="CT186" i="82" s="1"/>
  <c r="CV186" i="82" s="1"/>
  <c r="CX186" i="82" s="1"/>
  <c r="CZ186" i="82" s="1"/>
  <c r="DB186" i="82" s="1"/>
  <c r="DD186" i="82" s="1"/>
  <c r="DF186" i="82" s="1"/>
  <c r="DH186" i="82" s="1"/>
  <c r="DJ186" i="82" s="1"/>
  <c r="DL186" i="82" s="1"/>
  <c r="DN186" i="82" s="1"/>
  <c r="DP186" i="82" s="1"/>
  <c r="DR186" i="82" s="1"/>
  <c r="BS175" i="82"/>
  <c r="BT175" i="82" s="1"/>
  <c r="BR175" i="82"/>
  <c r="CK229" i="82"/>
  <c r="CL229" i="82" s="1"/>
  <c r="CI217" i="82"/>
  <c r="CJ217" i="82" s="1"/>
  <c r="CK202" i="82"/>
  <c r="CL202" i="82" s="1"/>
  <c r="CI222" i="82"/>
  <c r="CJ222" i="82" s="1"/>
  <c r="CK275" i="82"/>
  <c r="CL275" i="82" s="1"/>
  <c r="CI213" i="82"/>
  <c r="CJ213" i="82" s="1"/>
  <c r="CO58" i="82"/>
  <c r="CP58" i="82" s="1"/>
  <c r="CI234" i="82"/>
  <c r="CJ234" i="82" s="1"/>
  <c r="CO284" i="82"/>
  <c r="CP284" i="82" s="1"/>
  <c r="AS21" i="82"/>
  <c r="AU21" i="82" s="1"/>
  <c r="AQ21" i="82"/>
  <c r="AP21" i="82"/>
  <c r="AR21" i="82" s="1"/>
  <c r="AX28" i="82"/>
  <c r="AY28" i="82"/>
  <c r="CK220" i="82"/>
  <c r="CL220" i="82" s="1"/>
  <c r="BO168" i="82"/>
  <c r="BP168" i="82" s="1"/>
  <c r="BN168" i="82"/>
  <c r="CL242" i="82"/>
  <c r="CK242" i="82"/>
  <c r="CG199" i="82"/>
  <c r="CH199" i="82" s="1"/>
  <c r="CK268" i="82"/>
  <c r="CL268" i="82" s="1"/>
  <c r="BO161" i="82"/>
  <c r="BP161" i="82" s="1"/>
  <c r="BN161" i="82"/>
  <c r="CI256" i="82"/>
  <c r="CJ256" i="82" s="1"/>
  <c r="CK250" i="82"/>
  <c r="CL250" i="82" s="1"/>
  <c r="CI212" i="82"/>
  <c r="CJ212" i="82" s="1"/>
  <c r="CI243" i="82"/>
  <c r="CJ243" i="82" s="1"/>
  <c r="CM246" i="82"/>
  <c r="CN246" i="82" s="1"/>
  <c r="CK209" i="82"/>
  <c r="CL209" i="82" s="1"/>
  <c r="AS16" i="82"/>
  <c r="AQ16" i="82"/>
  <c r="AP16" i="82"/>
  <c r="AR16" i="82" s="1"/>
  <c r="BR179" i="82"/>
  <c r="BS179" i="82"/>
  <c r="BT179" i="82" s="1"/>
  <c r="AS56" i="82"/>
  <c r="AU56" i="82" s="1"/>
  <c r="AP56" i="82"/>
  <c r="AR56" i="82" s="1"/>
  <c r="AQ56" i="82"/>
  <c r="CK264" i="82"/>
  <c r="CL264" i="82" s="1"/>
  <c r="BN167" i="82"/>
  <c r="BO167" i="82"/>
  <c r="BP167" i="82"/>
  <c r="BS176" i="82"/>
  <c r="BT176" i="82" s="1"/>
  <c r="BR176" i="82"/>
  <c r="CI245" i="82"/>
  <c r="CJ245" i="82" s="1"/>
  <c r="CK247" i="82"/>
  <c r="CL247" i="82" s="1"/>
  <c r="AS47" i="82"/>
  <c r="AU47" i="82" s="1"/>
  <c r="AQ47" i="82"/>
  <c r="AP47" i="82"/>
  <c r="AR47" i="82" s="1"/>
  <c r="AU9" i="82"/>
  <c r="CQ288" i="82"/>
  <c r="CR288" i="82" s="1"/>
  <c r="CS288" i="82" s="1"/>
  <c r="BR172" i="82"/>
  <c r="BS172" i="82"/>
  <c r="BT172" i="82"/>
  <c r="CM269" i="82"/>
  <c r="CN269" i="82" s="1"/>
  <c r="AX54" i="82"/>
  <c r="AY54" i="82" s="1"/>
  <c r="CM260" i="82"/>
  <c r="CN260" i="82" s="1"/>
  <c r="CM249" i="82"/>
  <c r="CN249" i="82" s="1"/>
  <c r="CM219" i="82"/>
  <c r="CN219" i="82"/>
  <c r="CM271" i="82"/>
  <c r="CN271" i="82" s="1"/>
  <c r="CK255" i="82"/>
  <c r="CL255" i="82" s="1"/>
  <c r="BY191" i="82"/>
  <c r="BZ191" i="82" s="1"/>
  <c r="CK227" i="82"/>
  <c r="CL227" i="82" s="1"/>
  <c r="CK267" i="82"/>
  <c r="CL267" i="82" s="1"/>
  <c r="CK236" i="82"/>
  <c r="CL236" i="82" s="1"/>
  <c r="CN279" i="82"/>
  <c r="CM279" i="82"/>
  <c r="AS18" i="82"/>
  <c r="AP18" i="82"/>
  <c r="AR18" i="82" s="1"/>
  <c r="AQ18" i="82"/>
  <c r="CM211" i="82"/>
  <c r="CN211" i="82"/>
  <c r="AS39" i="82"/>
  <c r="AU39" i="82" s="1"/>
  <c r="AQ39" i="82"/>
  <c r="AP39" i="82"/>
  <c r="AR39" i="82" s="1"/>
  <c r="AU15" i="82"/>
  <c r="CQ241" i="82"/>
  <c r="CR241" i="82" s="1"/>
  <c r="CT241" i="82" s="1"/>
  <c r="CV241" i="82" s="1"/>
  <c r="CX241" i="82" s="1"/>
  <c r="CZ241" i="82" s="1"/>
  <c r="DB241" i="82" s="1"/>
  <c r="DD241" i="82" s="1"/>
  <c r="DF241" i="82" s="1"/>
  <c r="DH241" i="82" s="1"/>
  <c r="DJ241" i="82" s="1"/>
  <c r="DL241" i="82" s="1"/>
  <c r="DN241" i="82" s="1"/>
  <c r="DP241" i="82" s="1"/>
  <c r="DR241" i="82" s="1"/>
  <c r="AU17" i="82"/>
  <c r="AX49" i="82"/>
  <c r="AY49" i="82" s="1"/>
  <c r="AS14" i="82"/>
  <c r="AP14" i="82"/>
  <c r="AR14" i="82" s="1"/>
  <c r="AQ14" i="82"/>
  <c r="AS22" i="82"/>
  <c r="AU22" i="82" s="1"/>
  <c r="AQ22" i="82"/>
  <c r="AP22" i="82"/>
  <c r="AR22" i="82" s="1"/>
  <c r="BR171" i="82"/>
  <c r="BS171" i="82"/>
  <c r="BT171" i="82" s="1"/>
  <c r="DX207" i="82"/>
  <c r="DT207" i="82"/>
  <c r="DV207" i="82" s="1"/>
  <c r="AU40" i="82"/>
  <c r="CM270" i="82"/>
  <c r="CN270" i="82" s="1"/>
  <c r="BW174" i="82"/>
  <c r="BX174" i="82" s="1"/>
  <c r="BZ174" i="82" s="1"/>
  <c r="CB174" i="82" s="1"/>
  <c r="CD174" i="82" s="1"/>
  <c r="CF174" i="82" s="1"/>
  <c r="CH174" i="82" s="1"/>
  <c r="CJ174" i="82" s="1"/>
  <c r="CL174" i="82" s="1"/>
  <c r="CN174" i="82" s="1"/>
  <c r="CP174" i="82" s="1"/>
  <c r="CR174" i="82" s="1"/>
  <c r="CT174" i="82" s="1"/>
  <c r="CV174" i="82" s="1"/>
  <c r="CX174" i="82" s="1"/>
  <c r="CZ174" i="82" s="1"/>
  <c r="DB174" i="82" s="1"/>
  <c r="DD174" i="82" s="1"/>
  <c r="DF174" i="82" s="1"/>
  <c r="DH174" i="82" s="1"/>
  <c r="DJ174" i="82" s="1"/>
  <c r="DL174" i="82" s="1"/>
  <c r="DN174" i="82" s="1"/>
  <c r="DP174" i="82" s="1"/>
  <c r="DR174" i="82" s="1"/>
  <c r="CQ272" i="82"/>
  <c r="CR272" i="82" s="1"/>
  <c r="CS272" i="82" s="1"/>
  <c r="AS24" i="82"/>
  <c r="AU24" i="82" s="1"/>
  <c r="AQ24" i="82"/>
  <c r="AR24" i="82"/>
  <c r="AP24" i="82"/>
  <c r="AX26" i="82"/>
  <c r="AY26" i="82" s="1"/>
  <c r="BW193" i="82"/>
  <c r="BX193" i="82"/>
  <c r="BR164" i="82"/>
  <c r="BS164" i="82"/>
  <c r="BT164" i="82" s="1"/>
  <c r="BW178" i="82"/>
  <c r="BX178" i="82" s="1"/>
  <c r="CK276" i="82"/>
  <c r="CL276" i="82" s="1"/>
  <c r="AS23" i="82"/>
  <c r="AU23" i="82" s="1"/>
  <c r="AQ23" i="82"/>
  <c r="AP23" i="82"/>
  <c r="AR23" i="82" s="1"/>
  <c r="CE195" i="82"/>
  <c r="CF195" i="82" s="1"/>
  <c r="CI262" i="82"/>
  <c r="CJ262" i="82" s="1"/>
  <c r="AS45" i="82"/>
  <c r="AP45" i="82"/>
  <c r="AR45" i="82" s="1"/>
  <c r="AQ45" i="82"/>
  <c r="CI201" i="82"/>
  <c r="CJ201" i="82" s="1"/>
  <c r="CM253" i="82"/>
  <c r="CN253" i="82" s="1"/>
  <c r="CN289" i="82"/>
  <c r="CM289" i="82"/>
  <c r="CM208" i="82"/>
  <c r="CN208" i="82" s="1"/>
  <c r="CK238" i="82"/>
  <c r="CL238" i="82" s="1"/>
  <c r="CM214" i="82"/>
  <c r="CN214" i="82" s="1"/>
  <c r="CM286" i="82"/>
  <c r="CN286" i="82" s="1"/>
  <c r="AS35" i="82"/>
  <c r="AQ35" i="82"/>
  <c r="AP35" i="82"/>
  <c r="AR35" i="82" s="1"/>
  <c r="CM278" i="82"/>
  <c r="CN278" i="82" s="1"/>
  <c r="CK283" i="82"/>
  <c r="CL283" i="82" s="1"/>
  <c r="CN240" i="82"/>
  <c r="CM240" i="82"/>
  <c r="AQ42" i="82"/>
  <c r="BT143" i="82"/>
  <c r="BV143" i="82" s="1"/>
  <c r="BX143" i="82" s="1"/>
  <c r="BZ143" i="82" s="1"/>
  <c r="CB143" i="82" s="1"/>
  <c r="CD143" i="82" s="1"/>
  <c r="CF143" i="82" s="1"/>
  <c r="CH143" i="82" s="1"/>
  <c r="CJ143" i="82" s="1"/>
  <c r="CL143" i="82" s="1"/>
  <c r="CN143" i="82" s="1"/>
  <c r="CP143" i="82" s="1"/>
  <c r="CR143" i="82" s="1"/>
  <c r="CT143" i="82" s="1"/>
  <c r="CV143" i="82" s="1"/>
  <c r="CX143" i="82" s="1"/>
  <c r="CZ143" i="82" s="1"/>
  <c r="DB143" i="82" s="1"/>
  <c r="DD143" i="82" s="1"/>
  <c r="DF143" i="82" s="1"/>
  <c r="DH143" i="82" s="1"/>
  <c r="DJ143" i="82" s="1"/>
  <c r="DL143" i="82" s="1"/>
  <c r="DN143" i="82" s="1"/>
  <c r="DP143" i="82" s="1"/>
  <c r="DR143" i="82" s="1"/>
  <c r="BR143" i="82"/>
  <c r="AU44" i="82"/>
  <c r="CK204" i="82"/>
  <c r="CL204" i="82" s="1"/>
  <c r="CK200" i="82"/>
  <c r="CL200" i="82" s="1"/>
  <c r="BW184" i="82"/>
  <c r="BX184" i="82" s="1"/>
  <c r="BG165" i="82"/>
  <c r="BH165" i="82" s="1"/>
  <c r="AY34" i="82"/>
  <c r="AX34" i="82"/>
  <c r="CI254" i="82"/>
  <c r="CJ254" i="82" s="1"/>
  <c r="BN169" i="82"/>
  <c r="BO169" i="82"/>
  <c r="BP169" i="82" s="1"/>
  <c r="CM252" i="82"/>
  <c r="CN252" i="82" s="1"/>
  <c r="CQ282" i="82"/>
  <c r="CR282" i="82"/>
  <c r="CS282" i="82" s="1"/>
  <c r="BT107" i="82"/>
  <c r="BV107" i="82" s="1"/>
  <c r="BX107" i="82" s="1"/>
  <c r="BZ107" i="82" s="1"/>
  <c r="CB107" i="82" s="1"/>
  <c r="CD107" i="82" s="1"/>
  <c r="CF107" i="82" s="1"/>
  <c r="CH107" i="82" s="1"/>
  <c r="CJ107" i="82" s="1"/>
  <c r="CL107" i="82" s="1"/>
  <c r="CN107" i="82" s="1"/>
  <c r="CP107" i="82" s="1"/>
  <c r="CR107" i="82" s="1"/>
  <c r="CT107" i="82" s="1"/>
  <c r="CV107" i="82" s="1"/>
  <c r="CX107" i="82" s="1"/>
  <c r="CZ107" i="82" s="1"/>
  <c r="DB107" i="82" s="1"/>
  <c r="DD107" i="82" s="1"/>
  <c r="DF107" i="82" s="1"/>
  <c r="DH107" i="82" s="1"/>
  <c r="DJ107" i="82" s="1"/>
  <c r="DL107" i="82" s="1"/>
  <c r="DN107" i="82" s="1"/>
  <c r="DP107" i="82" s="1"/>
  <c r="DR107" i="82" s="1"/>
  <c r="BR107" i="82"/>
  <c r="CK258" i="82"/>
  <c r="CL258" i="82"/>
  <c r="CN206" i="82"/>
  <c r="CM206" i="82"/>
  <c r="CI226" i="82"/>
  <c r="CJ226" i="82"/>
  <c r="CL290" i="82"/>
  <c r="CK290" i="82"/>
  <c r="CM257" i="82"/>
  <c r="CN257" i="82"/>
  <c r="CN235" i="82"/>
  <c r="CM235" i="82"/>
  <c r="CK237" i="82"/>
  <c r="CL237" i="82"/>
  <c r="AY29" i="82"/>
  <c r="AX29" i="82"/>
  <c r="DX146" i="82"/>
  <c r="DT146" i="82"/>
  <c r="CK273" i="82"/>
  <c r="CL273" i="82" s="1"/>
  <c r="BO166" i="82"/>
  <c r="BP166" i="82" s="1"/>
  <c r="BN166" i="82"/>
  <c r="CC190" i="82"/>
  <c r="CD190" i="82" s="1"/>
  <c r="CK232" i="82"/>
  <c r="CL232" i="82" s="1"/>
  <c r="CK285" i="82"/>
  <c r="CL285" i="82" s="1"/>
  <c r="AU18" i="82"/>
  <c r="CO266" i="82"/>
  <c r="CP266" i="82" s="1"/>
  <c r="CK281" i="82"/>
  <c r="CL281" i="82" s="1"/>
  <c r="AQ13" i="82"/>
  <c r="BY183" i="82"/>
  <c r="BZ183" i="82" s="1"/>
  <c r="DT244" i="82"/>
  <c r="DV244" i="82" s="1"/>
  <c r="DX244" i="82"/>
  <c r="CK221" i="82"/>
  <c r="CL221" i="82" s="1"/>
  <c r="CI230" i="82"/>
  <c r="CJ230" i="82" s="1"/>
  <c r="CN215" i="82"/>
  <c r="CM215" i="82"/>
  <c r="BS177" i="82"/>
  <c r="BT177" i="82"/>
  <c r="BR177" i="82"/>
  <c r="CK216" i="82"/>
  <c r="CL216" i="82" s="1"/>
  <c r="AP31" i="82"/>
  <c r="AR31" i="82" s="1"/>
  <c r="AN30" i="82"/>
  <c r="AT30" i="82" s="1"/>
  <c r="AK30" i="82"/>
  <c r="AO30" i="82" s="1"/>
  <c r="AS30" i="82" s="1"/>
  <c r="CM259" i="82"/>
  <c r="CN259" i="82" s="1"/>
  <c r="BA97" i="82"/>
  <c r="BA134" i="82" s="1"/>
  <c r="AY134" i="82"/>
  <c r="AQ28" i="82"/>
  <c r="AV28" i="82" s="1"/>
  <c r="BG140" i="82"/>
  <c r="BG158" i="82" s="1"/>
  <c r="BB158" i="82"/>
  <c r="AP44" i="82"/>
  <c r="AS52" i="82"/>
  <c r="AU52" i="82" s="1"/>
  <c r="AQ20" i="82"/>
  <c r="AS32" i="82"/>
  <c r="AU32" i="82" s="1"/>
  <c r="AQ26" i="82"/>
  <c r="AV26" i="82" s="1"/>
  <c r="AN19" i="82"/>
  <c r="AT19" i="82" s="1"/>
  <c r="AK19" i="82"/>
  <c r="AO19" i="82" s="1"/>
  <c r="DT63" i="82"/>
  <c r="DX63" i="82"/>
  <c r="BN163" i="82"/>
  <c r="BO163" i="82"/>
  <c r="BP163" i="82" s="1"/>
  <c r="BN180" i="82"/>
  <c r="BO180" i="82"/>
  <c r="BP180" i="82" s="1"/>
  <c r="CI261" i="82"/>
  <c r="CJ261" i="82" s="1"/>
  <c r="BY192" i="82"/>
  <c r="BZ192" i="82" s="1"/>
  <c r="AR54" i="82"/>
  <c r="AU12" i="82"/>
  <c r="AQ34" i="82"/>
  <c r="AV34" i="82" s="1"/>
  <c r="AP34" i="82"/>
  <c r="AQ25" i="82"/>
  <c r="CB151" i="82"/>
  <c r="AU45" i="82"/>
  <c r="CM233" i="82"/>
  <c r="CN233" i="82" s="1"/>
  <c r="CM287" i="82"/>
  <c r="CN287" i="82"/>
  <c r="BY194" i="82"/>
  <c r="BZ194" i="82" s="1"/>
  <c r="CC197" i="82"/>
  <c r="CD197" i="82" s="1"/>
  <c r="DX223" i="82"/>
  <c r="DT223" i="82"/>
  <c r="DV223" i="82" s="1"/>
  <c r="AU35" i="82"/>
  <c r="AU13" i="82"/>
  <c r="AP13" i="82"/>
  <c r="AK38" i="82"/>
  <c r="AO38" i="82" s="1"/>
  <c r="AN38" i="82"/>
  <c r="AT38" i="82" s="1"/>
  <c r="BG106" i="82"/>
  <c r="BH106" i="82" s="1"/>
  <c r="BK173" i="82"/>
  <c r="BL173" i="82" s="1"/>
  <c r="AU27" i="82"/>
  <c r="CM274" i="82"/>
  <c r="CN274" i="82" s="1"/>
  <c r="AU16" i="82"/>
  <c r="AU14" i="82"/>
  <c r="BA61" i="82"/>
  <c r="BB61" i="82" s="1"/>
  <c r="AQ49" i="82"/>
  <c r="AV49" i="82" s="1"/>
  <c r="AS162" i="82"/>
  <c r="AP162" i="82"/>
  <c r="AR162" i="82"/>
  <c r="AQ162" i="82"/>
  <c r="AQ31" i="82"/>
  <c r="AV31" i="82" s="1"/>
  <c r="AN55" i="82"/>
  <c r="AT55" i="82"/>
  <c r="AK55" i="82"/>
  <c r="AO55" i="82" s="1"/>
  <c r="AD51" i="82"/>
  <c r="AG51" i="82" s="1"/>
  <c r="AK33" i="82"/>
  <c r="AO33" i="82"/>
  <c r="AN33" i="82"/>
  <c r="AT33" i="82" s="1"/>
  <c r="AC59" i="82"/>
  <c r="AE8" i="82"/>
  <c r="AD30" i="82"/>
  <c r="AG30" i="82" s="1"/>
  <c r="AP42" i="82"/>
  <c r="AR42" i="82" s="1"/>
  <c r="AK10" i="82"/>
  <c r="AO10" i="82" s="1"/>
  <c r="AP10" i="82" s="1"/>
  <c r="AN10" i="82"/>
  <c r="AT10" i="82" s="1"/>
  <c r="CH149" i="82"/>
  <c r="CJ149" i="82" s="1"/>
  <c r="CL149" i="82" s="1"/>
  <c r="CN149" i="82" s="1"/>
  <c r="CP149" i="82" s="1"/>
  <c r="CR149" i="82" s="1"/>
  <c r="CT149" i="82" s="1"/>
  <c r="CV149" i="82" s="1"/>
  <c r="CX149" i="82" s="1"/>
  <c r="CZ149" i="82" s="1"/>
  <c r="DB149" i="82" s="1"/>
  <c r="DD149" i="82" s="1"/>
  <c r="DF149" i="82" s="1"/>
  <c r="DH149" i="82" s="1"/>
  <c r="DJ149" i="82" s="1"/>
  <c r="DL149" i="82" s="1"/>
  <c r="DN149" i="82" s="1"/>
  <c r="DP149" i="82" s="1"/>
  <c r="DR149" i="82" s="1"/>
  <c r="DT149" i="82" s="1"/>
  <c r="DV149" i="82" s="1"/>
  <c r="AN36" i="82"/>
  <c r="AT36" i="82" s="1"/>
  <c r="AK36" i="82"/>
  <c r="AO36" i="82" s="1"/>
  <c r="AU48" i="82"/>
  <c r="AP41" i="82"/>
  <c r="AR41" i="82" s="1"/>
  <c r="AS62" i="82"/>
  <c r="AS95" i="82" s="1"/>
  <c r="AO95" i="82"/>
  <c r="AQ62" i="82"/>
  <c r="AQ95" i="82" s="1"/>
  <c r="AR62" i="82"/>
  <c r="AD37" i="82"/>
  <c r="AG37" i="82" s="1"/>
  <c r="BU115" i="82"/>
  <c r="BV115" i="82" s="1"/>
  <c r="BI113" i="82"/>
  <c r="BJ113" i="82" s="1"/>
  <c r="BU121" i="82"/>
  <c r="BV121" i="82" s="1"/>
  <c r="BU100" i="82"/>
  <c r="BV100" i="82" s="1"/>
  <c r="BU112" i="82"/>
  <c r="BV112" i="82" s="1"/>
  <c r="BU122" i="82"/>
  <c r="BV122" i="82" s="1"/>
  <c r="BU113" i="82"/>
  <c r="BV113" i="82" s="1"/>
  <c r="BU118" i="82"/>
  <c r="BV118" i="82" s="1"/>
  <c r="BU97" i="82"/>
  <c r="BI112" i="82"/>
  <c r="BJ112" i="82" s="1"/>
  <c r="BU98" i="82"/>
  <c r="BV98" i="82" s="1"/>
  <c r="BU119" i="82"/>
  <c r="BV119" i="82" s="1"/>
  <c r="BU117" i="82"/>
  <c r="BV117" i="82" s="1"/>
  <c r="BU120" i="82"/>
  <c r="BV120" i="82" s="1"/>
  <c r="BU104" i="82"/>
  <c r="BV104" i="82" s="1"/>
  <c r="BI100" i="82"/>
  <c r="BJ100" i="82" s="1"/>
  <c r="CM99" i="82"/>
  <c r="CN99" i="82" s="1"/>
  <c r="BG121" i="82"/>
  <c r="BH121" i="82" s="1"/>
  <c r="BG120" i="82"/>
  <c r="BH120" i="82" s="1"/>
  <c r="BG98" i="82"/>
  <c r="BH98" i="82" s="1"/>
  <c r="BG119" i="82"/>
  <c r="BH119" i="82" s="1"/>
  <c r="BG117" i="82"/>
  <c r="BH117" i="82" s="1"/>
  <c r="BG114" i="82"/>
  <c r="BH114" i="82" s="1"/>
  <c r="BG122" i="82"/>
  <c r="BH122" i="82" s="1"/>
  <c r="BG115" i="82"/>
  <c r="BH115" i="82" s="1"/>
  <c r="BG118" i="82"/>
  <c r="BH118" i="82" s="1"/>
  <c r="BZ304" i="82"/>
  <c r="AP26" i="82"/>
  <c r="AD19" i="82"/>
  <c r="AG19" i="82" s="1"/>
  <c r="AQ54" i="82"/>
  <c r="AV54" i="82" s="1"/>
  <c r="CK203" i="82"/>
  <c r="CL203" i="82" s="1"/>
  <c r="AR13" i="82"/>
  <c r="CG317" i="82"/>
  <c r="CH317" i="82" s="1"/>
  <c r="CJ317" i="82" s="1"/>
  <c r="CL317" i="82" s="1"/>
  <c r="CN317" i="82" s="1"/>
  <c r="CP317" i="82" s="1"/>
  <c r="CR317" i="82" s="1"/>
  <c r="CT317" i="82" s="1"/>
  <c r="CV317" i="82" s="1"/>
  <c r="CX317" i="82" s="1"/>
  <c r="CZ317" i="82" s="1"/>
  <c r="DB317" i="82" s="1"/>
  <c r="DD317" i="82" s="1"/>
  <c r="DF317" i="82" s="1"/>
  <c r="DH317" i="82" s="1"/>
  <c r="DJ317" i="82" s="1"/>
  <c r="DL317" i="82" s="1"/>
  <c r="DN317" i="82" s="1"/>
  <c r="DP317" i="82" s="1"/>
  <c r="DR317" i="82" s="1"/>
  <c r="DT317" i="82" s="1"/>
  <c r="DV317" i="82" s="1"/>
  <c r="CK239" i="82"/>
  <c r="CL239" i="82" s="1"/>
  <c r="AP49" i="82"/>
  <c r="AR49" i="82" s="1"/>
  <c r="AK43" i="82"/>
  <c r="AO43" i="82" s="1"/>
  <c r="AN43" i="82"/>
  <c r="AT43" i="82" s="1"/>
  <c r="AU62" i="82"/>
  <c r="AT95" i="82"/>
  <c r="AN51" i="82"/>
  <c r="AT51" i="82" s="1"/>
  <c r="AK51" i="82"/>
  <c r="AO51" i="82" s="1"/>
  <c r="AD38" i="82"/>
  <c r="AG38" i="82" s="1"/>
  <c r="AN50" i="82"/>
  <c r="AT50" i="82" s="1"/>
  <c r="AK50" i="82"/>
  <c r="AO50" i="82" s="1"/>
  <c r="AS53" i="82"/>
  <c r="AQ53" i="82"/>
  <c r="BI104" i="82"/>
  <c r="BJ104" i="82" s="1"/>
  <c r="CM228" i="82"/>
  <c r="CN228" i="82" s="1"/>
  <c r="CG330" i="82"/>
  <c r="CI57" i="82"/>
  <c r="CJ57" i="82"/>
  <c r="AS11" i="82"/>
  <c r="AU11" i="82" s="1"/>
  <c r="AQ41" i="82"/>
  <c r="AV41" i="82" s="1"/>
  <c r="AP28" i="82"/>
  <c r="AR28" i="82" s="1"/>
  <c r="AK46" i="82"/>
  <c r="AO46" i="82" s="1"/>
  <c r="AN46" i="82"/>
  <c r="AT46" i="82" s="1"/>
  <c r="AQ44" i="82"/>
  <c r="AR44" i="82"/>
  <c r="AQ52" i="82"/>
  <c r="AN37" i="82"/>
  <c r="AT37" i="82" s="1"/>
  <c r="AK37" i="82"/>
  <c r="AO37" i="82" s="1"/>
  <c r="AP32" i="82"/>
  <c r="AR32" i="82" s="1"/>
  <c r="AR26" i="82"/>
  <c r="AQ12" i="82"/>
  <c r="AR34" i="82"/>
  <c r="AP25" i="82"/>
  <c r="AR25" i="82" s="1"/>
  <c r="BG99" i="82"/>
  <c r="BH99" i="82" s="1"/>
  <c r="CM251" i="82"/>
  <c r="CN251" i="82" s="1"/>
  <c r="BY181" i="82"/>
  <c r="BZ181" i="82" s="1"/>
  <c r="BW187" i="82"/>
  <c r="BX187" i="82" s="1"/>
  <c r="CM224" i="82"/>
  <c r="CN224" i="82" s="1"/>
  <c r="BN110" i="82"/>
  <c r="BP110" i="82"/>
  <c r="BU170" i="82"/>
  <c r="BV170" i="82" s="1"/>
  <c r="BT116" i="82"/>
  <c r="BV116" i="82" s="1"/>
  <c r="BX116" i="82" s="1"/>
  <c r="BZ116" i="82" s="1"/>
  <c r="CB116" i="82" s="1"/>
  <c r="CD116" i="82" s="1"/>
  <c r="CF116" i="82" s="1"/>
  <c r="CH116" i="82" s="1"/>
  <c r="CJ116" i="82" s="1"/>
  <c r="CL116" i="82" s="1"/>
  <c r="CN116" i="82" s="1"/>
  <c r="CP116" i="82" s="1"/>
  <c r="CR116" i="82" s="1"/>
  <c r="CT116" i="82" s="1"/>
  <c r="CV116" i="82" s="1"/>
  <c r="CX116" i="82" s="1"/>
  <c r="CZ116" i="82" s="1"/>
  <c r="DB116" i="82" s="1"/>
  <c r="DD116" i="82" s="1"/>
  <c r="DF116" i="82" s="1"/>
  <c r="DH116" i="82" s="1"/>
  <c r="DJ116" i="82" s="1"/>
  <c r="DL116" i="82" s="1"/>
  <c r="DN116" i="82" s="1"/>
  <c r="DP116" i="82" s="1"/>
  <c r="DR116" i="82" s="1"/>
  <c r="BR116" i="82"/>
  <c r="AG43" i="82"/>
  <c r="BW189" i="82"/>
  <c r="BX189" i="82" s="1"/>
  <c r="AQ29" i="82"/>
  <c r="AV29" i="82" s="1"/>
  <c r="BW182" i="82"/>
  <c r="BX182" i="82" s="1"/>
  <c r="CF303" i="82"/>
  <c r="AD301" i="82" l="1"/>
  <c r="BB97" i="82"/>
  <c r="AS36" i="82"/>
  <c r="AU36" i="82" s="1"/>
  <c r="AX36" i="82" s="1"/>
  <c r="AY36" i="82" s="1"/>
  <c r="BY136" i="82"/>
  <c r="BY138" i="82" s="1"/>
  <c r="BX138" i="82"/>
  <c r="AE160" i="82"/>
  <c r="AC301" i="82"/>
  <c r="AS37" i="82"/>
  <c r="AX42" i="82"/>
  <c r="AY42" i="82" s="1"/>
  <c r="BY185" i="82"/>
  <c r="BZ185" i="82" s="1"/>
  <c r="CA185" i="82" s="1"/>
  <c r="CB185" i="82" s="1"/>
  <c r="AV25" i="82"/>
  <c r="BH140" i="82"/>
  <c r="AQ30" i="82"/>
  <c r="AV42" i="82"/>
  <c r="AV20" i="82"/>
  <c r="AU30" i="82"/>
  <c r="AV30" i="82" s="1"/>
  <c r="DX317" i="82"/>
  <c r="DV330" i="82"/>
  <c r="AS55" i="82"/>
  <c r="AU55" i="82" s="1"/>
  <c r="AP55" i="82"/>
  <c r="AR55" i="82" s="1"/>
  <c r="AQ55" i="82"/>
  <c r="BR163" i="82"/>
  <c r="BS163" i="82"/>
  <c r="BT163" i="82" s="1"/>
  <c r="AV32" i="82"/>
  <c r="AX32" i="82"/>
  <c r="AY32" i="82" s="1"/>
  <c r="CQ266" i="82"/>
  <c r="CR266" i="82" s="1"/>
  <c r="CS266" i="82" s="1"/>
  <c r="CO252" i="82"/>
  <c r="CP252" i="82" s="1"/>
  <c r="CO214" i="82"/>
  <c r="CP214" i="82" s="1"/>
  <c r="CM276" i="82"/>
  <c r="CN276" i="82" s="1"/>
  <c r="AX22" i="82"/>
  <c r="AY22" i="82" s="1"/>
  <c r="AV22" i="82"/>
  <c r="CO249" i="82"/>
  <c r="CP249" i="82" s="1"/>
  <c r="CK212" i="82"/>
  <c r="CL212" i="82" s="1"/>
  <c r="BS161" i="82"/>
  <c r="BT161" i="82" s="1"/>
  <c r="BR161" i="82"/>
  <c r="CQ284" i="82"/>
  <c r="CR284" i="82" s="1"/>
  <c r="CS284" i="82" s="1"/>
  <c r="CM202" i="82"/>
  <c r="CN202" i="82" s="1"/>
  <c r="BU175" i="82"/>
  <c r="BV175" i="82" s="1"/>
  <c r="CM248" i="82"/>
  <c r="CN248" i="82" s="1"/>
  <c r="BA41" i="82"/>
  <c r="BB41" i="82" s="1"/>
  <c r="CO280" i="82"/>
  <c r="CP280" i="82" s="1"/>
  <c r="CK231" i="82"/>
  <c r="CL231" i="82" s="1"/>
  <c r="BY182" i="82"/>
  <c r="BZ182" i="82" s="1"/>
  <c r="AX11" i="82"/>
  <c r="AY11" i="82" s="1"/>
  <c r="AV11" i="82"/>
  <c r="AS50" i="82"/>
  <c r="AP50" i="82"/>
  <c r="AR50" i="82" s="1"/>
  <c r="AQ50" i="82"/>
  <c r="CK261" i="82"/>
  <c r="CL261" i="82" s="1"/>
  <c r="AS19" i="82"/>
  <c r="AP19" i="82"/>
  <c r="AR19" i="82" s="1"/>
  <c r="AQ19" i="82"/>
  <c r="CM281" i="82"/>
  <c r="CN281" i="82" s="1"/>
  <c r="CM273" i="82"/>
  <c r="CN273" i="82"/>
  <c r="BS169" i="82"/>
  <c r="BT169" i="82" s="1"/>
  <c r="BR169" i="82"/>
  <c r="CK262" i="82"/>
  <c r="CL262" i="82" s="1"/>
  <c r="BA49" i="82"/>
  <c r="BB49" i="82" s="1"/>
  <c r="CO271" i="82"/>
  <c r="CP271" i="82" s="1"/>
  <c r="CO269" i="82"/>
  <c r="CP269" i="82"/>
  <c r="BU176" i="82"/>
  <c r="BV176" i="82" s="1"/>
  <c r="CM264" i="82"/>
  <c r="CN264" i="82" s="1"/>
  <c r="CM250" i="82"/>
  <c r="CN250" i="82" s="1"/>
  <c r="CM268" i="82"/>
  <c r="CN268" i="82" s="1"/>
  <c r="CK217" i="82"/>
  <c r="CL217" i="82" s="1"/>
  <c r="DX186" i="82"/>
  <c r="DT186" i="82"/>
  <c r="DV186" i="82" s="1"/>
  <c r="AS51" i="82"/>
  <c r="AU51" i="82" s="1"/>
  <c r="AP51" i="82"/>
  <c r="AR51" i="82" s="1"/>
  <c r="AQ51" i="82"/>
  <c r="BY187" i="82"/>
  <c r="BZ187" i="82" s="1"/>
  <c r="AS43" i="82"/>
  <c r="AQ43" i="82"/>
  <c r="AP43" i="82"/>
  <c r="AR43" i="82" s="1"/>
  <c r="CA181" i="82"/>
  <c r="CB181" i="82" s="1"/>
  <c r="CD181" i="82" s="1"/>
  <c r="CF181" i="82" s="1"/>
  <c r="CH181" i="82" s="1"/>
  <c r="CJ181" i="82" s="1"/>
  <c r="CL181" i="82" s="1"/>
  <c r="CN181" i="82" s="1"/>
  <c r="CP181" i="82" s="1"/>
  <c r="CR181" i="82" s="1"/>
  <c r="CT181" i="82" s="1"/>
  <c r="CV181" i="82" s="1"/>
  <c r="CX181" i="82" s="1"/>
  <c r="CZ181" i="82" s="1"/>
  <c r="DB181" i="82" s="1"/>
  <c r="DD181" i="82" s="1"/>
  <c r="DF181" i="82" s="1"/>
  <c r="DH181" i="82" s="1"/>
  <c r="DJ181" i="82" s="1"/>
  <c r="DL181" i="82" s="1"/>
  <c r="DN181" i="82" s="1"/>
  <c r="DP181" i="82" s="1"/>
  <c r="DR181" i="82" s="1"/>
  <c r="BK104" i="82"/>
  <c r="BL104" i="82" s="1"/>
  <c r="AU50" i="82"/>
  <c r="BS180" i="82"/>
  <c r="BT180" i="82" s="1"/>
  <c r="BR180" i="82"/>
  <c r="AX52" i="82"/>
  <c r="AY52" i="82" s="1"/>
  <c r="AV52" i="82"/>
  <c r="CK230" i="82"/>
  <c r="CL230" i="82" s="1"/>
  <c r="CM285" i="82"/>
  <c r="CN285" i="82" s="1"/>
  <c r="CM204" i="82"/>
  <c r="CN204" i="82" s="1"/>
  <c r="CM283" i="82"/>
  <c r="CN283" i="82" s="1"/>
  <c r="CO253" i="82"/>
  <c r="CP253" i="82" s="1"/>
  <c r="BA20" i="82"/>
  <c r="BB20" i="82" s="1"/>
  <c r="AV39" i="82"/>
  <c r="AX39" i="82"/>
  <c r="AY39" i="82" s="1"/>
  <c r="CM236" i="82"/>
  <c r="CN236" i="82" s="1"/>
  <c r="CA191" i="82"/>
  <c r="CB191" i="82" s="1"/>
  <c r="CM247" i="82"/>
  <c r="CN247" i="82" s="1"/>
  <c r="CO246" i="82"/>
  <c r="CP246" i="82" s="1"/>
  <c r="CK256" i="82"/>
  <c r="CL256" i="82" s="1"/>
  <c r="CI199" i="82"/>
  <c r="CJ199" i="82" s="1"/>
  <c r="CL199" i="82" s="1"/>
  <c r="CN199" i="82" s="1"/>
  <c r="CP199" i="82" s="1"/>
  <c r="CR199" i="82" s="1"/>
  <c r="CT199" i="82" s="1"/>
  <c r="CV199" i="82" s="1"/>
  <c r="CX199" i="82" s="1"/>
  <c r="CZ199" i="82" s="1"/>
  <c r="DB199" i="82" s="1"/>
  <c r="DD199" i="82" s="1"/>
  <c r="DF199" i="82" s="1"/>
  <c r="DH199" i="82" s="1"/>
  <c r="DJ199" i="82" s="1"/>
  <c r="DL199" i="82" s="1"/>
  <c r="DN199" i="82" s="1"/>
  <c r="DP199" i="82" s="1"/>
  <c r="DR199" i="82" s="1"/>
  <c r="CM275" i="82"/>
  <c r="CN275" i="82" s="1"/>
  <c r="CM229" i="82"/>
  <c r="CN229" i="82" s="1"/>
  <c r="CE198" i="82"/>
  <c r="CF198" i="82" s="1"/>
  <c r="CK210" i="82"/>
  <c r="CL210" i="82" s="1"/>
  <c r="AS46" i="82"/>
  <c r="AQ46" i="82"/>
  <c r="AP46" i="82"/>
  <c r="AR46" i="82" s="1"/>
  <c r="AU43" i="82"/>
  <c r="CM239" i="82"/>
  <c r="CN239" i="82" s="1"/>
  <c r="CM203" i="82"/>
  <c r="CN203" i="82" s="1"/>
  <c r="AS38" i="82"/>
  <c r="AU38" i="82" s="1"/>
  <c r="AP38" i="82"/>
  <c r="AR38" i="82" s="1"/>
  <c r="AQ38" i="82"/>
  <c r="CO233" i="82"/>
  <c r="CP233" i="82" s="1"/>
  <c r="CM221" i="82"/>
  <c r="CN221" i="82" s="1"/>
  <c r="CM232" i="82"/>
  <c r="CN232" i="82" s="1"/>
  <c r="CK254" i="82"/>
  <c r="CL254" i="82" s="1"/>
  <c r="CO278" i="82"/>
  <c r="CP278" i="82"/>
  <c r="CO286" i="82"/>
  <c r="CP286" i="82" s="1"/>
  <c r="CO208" i="82"/>
  <c r="CP208" i="82" s="1"/>
  <c r="AV23" i="82"/>
  <c r="AY23" i="82"/>
  <c r="AX23" i="82"/>
  <c r="BU164" i="82"/>
  <c r="BV164" i="82" s="1"/>
  <c r="BA26" i="82"/>
  <c r="BB26" i="82" s="1"/>
  <c r="AX24" i="82"/>
  <c r="AY24" i="82" s="1"/>
  <c r="AV24" i="82"/>
  <c r="CO270" i="82"/>
  <c r="CP270" i="82" s="1"/>
  <c r="BU171" i="82"/>
  <c r="BV171" i="82" s="1"/>
  <c r="CM267" i="82"/>
  <c r="CN267" i="82" s="1"/>
  <c r="CK245" i="82"/>
  <c r="CL245" i="82"/>
  <c r="CK243" i="82"/>
  <c r="CL243" i="82" s="1"/>
  <c r="BA25" i="82"/>
  <c r="BB25" i="82" s="1"/>
  <c r="BS168" i="82"/>
  <c r="BT168" i="82" s="1"/>
  <c r="BR168" i="82"/>
  <c r="AV21" i="82"/>
  <c r="AX21" i="82"/>
  <c r="AY21" i="82" s="1"/>
  <c r="CQ58" i="82"/>
  <c r="CR58" i="82" s="1"/>
  <c r="CK222" i="82"/>
  <c r="CL222" i="82" s="1"/>
  <c r="CE188" i="82"/>
  <c r="CF188" i="82" s="1"/>
  <c r="CH188" i="82" s="1"/>
  <c r="CJ188" i="82" s="1"/>
  <c r="CL188" i="82" s="1"/>
  <c r="CN188" i="82" s="1"/>
  <c r="CP188" i="82" s="1"/>
  <c r="CR188" i="82" s="1"/>
  <c r="CT188" i="82" s="1"/>
  <c r="CV188" i="82" s="1"/>
  <c r="CX188" i="82" s="1"/>
  <c r="CZ188" i="82" s="1"/>
  <c r="DB188" i="82" s="1"/>
  <c r="DD188" i="82" s="1"/>
  <c r="DF188" i="82" s="1"/>
  <c r="DH188" i="82" s="1"/>
  <c r="DJ188" i="82" s="1"/>
  <c r="DL188" i="82" s="1"/>
  <c r="DN188" i="82" s="1"/>
  <c r="DP188" i="82" s="1"/>
  <c r="DR188" i="82" s="1"/>
  <c r="CO218" i="82"/>
  <c r="CP218" i="82" s="1"/>
  <c r="CM205" i="82"/>
  <c r="CN205" i="82" s="1"/>
  <c r="CL265" i="82"/>
  <c r="CK265" i="82"/>
  <c r="CH303" i="82"/>
  <c r="CO251" i="82"/>
  <c r="CP251" i="82" s="1"/>
  <c r="AQ37" i="82"/>
  <c r="BW104" i="82"/>
  <c r="BX104" i="82" s="1"/>
  <c r="BW98" i="82"/>
  <c r="BX98" i="82" s="1"/>
  <c r="BW113" i="82"/>
  <c r="BX113" i="82" s="1"/>
  <c r="BW121" i="82"/>
  <c r="BX121" i="82" s="1"/>
  <c r="AV48" i="82"/>
  <c r="AY48" i="82"/>
  <c r="AX48" i="82"/>
  <c r="DX149" i="82"/>
  <c r="AD59" i="82"/>
  <c r="CO274" i="82"/>
  <c r="CP274" i="82" s="1"/>
  <c r="BN173" i="82"/>
  <c r="BO173" i="82"/>
  <c r="BP173" i="82" s="1"/>
  <c r="AY13" i="82"/>
  <c r="AV13" i="82"/>
  <c r="AX13" i="82"/>
  <c r="CE197" i="82"/>
  <c r="CF197" i="82" s="1"/>
  <c r="CO287" i="82"/>
  <c r="CP287" i="82" s="1"/>
  <c r="AV45" i="82"/>
  <c r="AX45" i="82"/>
  <c r="AY45" i="82" s="1"/>
  <c r="AU19" i="82"/>
  <c r="BJ140" i="82"/>
  <c r="BH158" i="82"/>
  <c r="BG97" i="82"/>
  <c r="BG134" i="82" s="1"/>
  <c r="BB134" i="82"/>
  <c r="CO259" i="82"/>
  <c r="CP259" i="82" s="1"/>
  <c r="CO215" i="82"/>
  <c r="CP215" i="82" s="1"/>
  <c r="CA183" i="82"/>
  <c r="CB183" i="82" s="1"/>
  <c r="AX18" i="82"/>
  <c r="AY18" i="82" s="1"/>
  <c r="AV18" i="82"/>
  <c r="BR166" i="82"/>
  <c r="BS166" i="82"/>
  <c r="BT166" i="82" s="1"/>
  <c r="BA29" i="82"/>
  <c r="BB29" i="82" s="1"/>
  <c r="CO235" i="82"/>
  <c r="CP235" i="82" s="1"/>
  <c r="CM290" i="82"/>
  <c r="CN290" i="82" s="1"/>
  <c r="CO206" i="82"/>
  <c r="CP206" i="82" s="1"/>
  <c r="DT107" i="82"/>
  <c r="DX107" i="82"/>
  <c r="BA34" i="82"/>
  <c r="BB34" i="82" s="1"/>
  <c r="BY184" i="82"/>
  <c r="BZ184" i="82" s="1"/>
  <c r="DT143" i="82"/>
  <c r="DX143" i="82"/>
  <c r="AX40" i="82"/>
  <c r="AY40" i="82" s="1"/>
  <c r="AV40" i="82"/>
  <c r="AX17" i="82"/>
  <c r="AY17" i="82" s="1"/>
  <c r="AV17" i="82"/>
  <c r="AV15" i="82"/>
  <c r="AX15" i="82"/>
  <c r="AY15" i="82" s="1"/>
  <c r="CO279" i="82"/>
  <c r="CP279" i="82" s="1"/>
  <c r="BA54" i="82"/>
  <c r="BB54" i="82" s="1"/>
  <c r="BU172" i="82"/>
  <c r="BV172" i="82" s="1"/>
  <c r="BV179" i="82"/>
  <c r="BU179" i="82"/>
  <c r="CM242" i="82"/>
  <c r="CN242" i="82" s="1"/>
  <c r="CM220" i="82"/>
  <c r="CN220" i="82" s="1"/>
  <c r="BA28" i="82"/>
  <c r="BB28" i="82" s="1"/>
  <c r="CO263" i="82"/>
  <c r="CP263" i="82" s="1"/>
  <c r="CM225" i="82"/>
  <c r="CN225" i="82" s="1"/>
  <c r="CE196" i="82"/>
  <c r="CF196" i="82" s="1"/>
  <c r="DX116" i="82"/>
  <c r="DT116" i="82"/>
  <c r="AV53" i="82"/>
  <c r="AX53" i="82"/>
  <c r="AY53" i="82" s="1"/>
  <c r="CA304" i="82"/>
  <c r="CA330" i="82" s="1"/>
  <c r="CB304" i="82"/>
  <c r="BZ330" i="82"/>
  <c r="AU46" i="82"/>
  <c r="BI117" i="82"/>
  <c r="BJ117" i="82" s="1"/>
  <c r="BW120" i="82"/>
  <c r="BX120" i="82" s="1"/>
  <c r="BL112" i="82"/>
  <c r="BK112" i="82"/>
  <c r="BW122" i="82"/>
  <c r="BX122" i="82" s="1"/>
  <c r="BK113" i="82"/>
  <c r="BL113" i="82" s="1"/>
  <c r="AS10" i="82"/>
  <c r="AU10" i="82" s="1"/>
  <c r="AS33" i="82"/>
  <c r="AU33" i="82" s="1"/>
  <c r="AX162" i="82"/>
  <c r="AV14" i="82"/>
  <c r="AX14" i="82"/>
  <c r="AY14" i="82" s="1"/>
  <c r="BI106" i="82"/>
  <c r="BJ106" i="82" s="1"/>
  <c r="AV35" i="82"/>
  <c r="AX35" i="82"/>
  <c r="AY35" i="82" s="1"/>
  <c r="CC151" i="82"/>
  <c r="CC158" i="82" s="1"/>
  <c r="CB192" i="82"/>
  <c r="CA192" i="82"/>
  <c r="BU177" i="82"/>
  <c r="BV177" i="82" s="1"/>
  <c r="CE190" i="82"/>
  <c r="CF190" i="82" s="1"/>
  <c r="CM237" i="82"/>
  <c r="CN237" i="82" s="1"/>
  <c r="CO257" i="82"/>
  <c r="CP257" i="82" s="1"/>
  <c r="CK226" i="82"/>
  <c r="CL226" i="82" s="1"/>
  <c r="CM258" i="82"/>
  <c r="CN258" i="82" s="1"/>
  <c r="BI165" i="82"/>
  <c r="BJ165" i="82" s="1"/>
  <c r="CM200" i="82"/>
  <c r="CN200" i="82" s="1"/>
  <c r="AV47" i="82"/>
  <c r="AX47" i="82"/>
  <c r="AY47" i="82" s="1"/>
  <c r="CM238" i="82"/>
  <c r="CN238" i="82" s="1"/>
  <c r="CO289" i="82"/>
  <c r="CP289" i="82" s="1"/>
  <c r="CK201" i="82"/>
  <c r="CL201" i="82" s="1"/>
  <c r="CG195" i="82"/>
  <c r="CH195" i="82" s="1"/>
  <c r="BY178" i="82"/>
  <c r="BZ178" i="82" s="1"/>
  <c r="CB178" i="82" s="1"/>
  <c r="CD178" i="82" s="1"/>
  <c r="CF178" i="82" s="1"/>
  <c r="CH178" i="82" s="1"/>
  <c r="CJ178" i="82" s="1"/>
  <c r="CL178" i="82" s="1"/>
  <c r="CN178" i="82" s="1"/>
  <c r="CP178" i="82" s="1"/>
  <c r="CR178" i="82" s="1"/>
  <c r="CT178" i="82" s="1"/>
  <c r="CV178" i="82" s="1"/>
  <c r="CX178" i="82" s="1"/>
  <c r="CZ178" i="82" s="1"/>
  <c r="DB178" i="82" s="1"/>
  <c r="DD178" i="82" s="1"/>
  <c r="DF178" i="82" s="1"/>
  <c r="DH178" i="82" s="1"/>
  <c r="DJ178" i="82" s="1"/>
  <c r="DL178" i="82" s="1"/>
  <c r="DN178" i="82" s="1"/>
  <c r="DP178" i="82" s="1"/>
  <c r="DR178" i="82" s="1"/>
  <c r="BZ193" i="82"/>
  <c r="BY193" i="82"/>
  <c r="DX174" i="82"/>
  <c r="DT174" i="82"/>
  <c r="DV174" i="82" s="1"/>
  <c r="DT241" i="82"/>
  <c r="DV241" i="82" s="1"/>
  <c r="DX241" i="82"/>
  <c r="CO211" i="82"/>
  <c r="CP211" i="82" s="1"/>
  <c r="CM227" i="82"/>
  <c r="CN227" i="82" s="1"/>
  <c r="CM255" i="82"/>
  <c r="CN255" i="82" s="1"/>
  <c r="CO219" i="82"/>
  <c r="CP219" i="82" s="1"/>
  <c r="CO260" i="82"/>
  <c r="CP260" i="82" s="1"/>
  <c r="AX9" i="82"/>
  <c r="AY9" i="82" s="1"/>
  <c r="AV9" i="82"/>
  <c r="BR167" i="82"/>
  <c r="BS167" i="82"/>
  <c r="BT167" i="82" s="1"/>
  <c r="CM209" i="82"/>
  <c r="CN209" i="82" s="1"/>
  <c r="CK234" i="82"/>
  <c r="CL234" i="82" s="1"/>
  <c r="CK213" i="82"/>
  <c r="CL213" i="82" s="1"/>
  <c r="BA31" i="82"/>
  <c r="BB31" i="82" s="1"/>
  <c r="BI120" i="82"/>
  <c r="BJ120" i="82" s="1"/>
  <c r="BW170" i="82"/>
  <c r="BX170" i="82" s="1"/>
  <c r="BZ170" i="82" s="1"/>
  <c r="CB170" i="82" s="1"/>
  <c r="CD170" i="82" s="1"/>
  <c r="CF170" i="82" s="1"/>
  <c r="CH170" i="82" s="1"/>
  <c r="CJ170" i="82" s="1"/>
  <c r="CL170" i="82" s="1"/>
  <c r="CN170" i="82" s="1"/>
  <c r="CP170" i="82" s="1"/>
  <c r="CR170" i="82" s="1"/>
  <c r="CT170" i="82" s="1"/>
  <c r="CV170" i="82" s="1"/>
  <c r="CX170" i="82" s="1"/>
  <c r="CZ170" i="82" s="1"/>
  <c r="DB170" i="82" s="1"/>
  <c r="DD170" i="82" s="1"/>
  <c r="DF170" i="82" s="1"/>
  <c r="DH170" i="82" s="1"/>
  <c r="DJ170" i="82" s="1"/>
  <c r="DL170" i="82" s="1"/>
  <c r="DN170" i="82" s="1"/>
  <c r="DP170" i="82" s="1"/>
  <c r="DR170" i="82" s="1"/>
  <c r="CO224" i="82"/>
  <c r="CP224" i="82" s="1"/>
  <c r="BI118" i="82"/>
  <c r="BJ118" i="82" s="1"/>
  <c r="BI121" i="82"/>
  <c r="BJ121" i="82" s="1"/>
  <c r="AV62" i="82"/>
  <c r="AX62" i="82"/>
  <c r="AX95" i="82" s="1"/>
  <c r="AU95" i="82"/>
  <c r="BI115" i="82"/>
  <c r="BJ115" i="82" s="1"/>
  <c r="BI119" i="82"/>
  <c r="BJ119" i="82" s="1"/>
  <c r="CO99" i="82"/>
  <c r="CP99" i="82" s="1"/>
  <c r="BW117" i="82"/>
  <c r="BX117" i="82" s="1"/>
  <c r="BV97" i="82"/>
  <c r="BX112" i="82"/>
  <c r="BW112" i="82"/>
  <c r="BW115" i="82"/>
  <c r="BX115" i="82" s="1"/>
  <c r="AP36" i="82"/>
  <c r="AR36" i="82" s="1"/>
  <c r="AR10" i="82"/>
  <c r="AQ10" i="82"/>
  <c r="AQ33" i="82"/>
  <c r="BH61" i="82"/>
  <c r="AX27" i="82"/>
  <c r="AY27" i="82" s="1"/>
  <c r="AV27" i="82"/>
  <c r="CA194" i="82"/>
  <c r="CB194" i="82" s="1"/>
  <c r="AX12" i="82"/>
  <c r="AY12" i="82" s="1"/>
  <c r="AV12" i="82"/>
  <c r="AV44" i="82"/>
  <c r="AX44" i="82"/>
  <c r="AY44" i="82" s="1"/>
  <c r="BY189" i="82"/>
  <c r="BZ189" i="82" s="1"/>
  <c r="CO228" i="82"/>
  <c r="CP228" i="82" s="1"/>
  <c r="BI114" i="82"/>
  <c r="BJ114" i="82" s="1"/>
  <c r="BI99" i="82"/>
  <c r="BJ99" i="82" s="1"/>
  <c r="AU37" i="82"/>
  <c r="CK57" i="82"/>
  <c r="CL57" i="82" s="1"/>
  <c r="BR110" i="82"/>
  <c r="BT110" i="82"/>
  <c r="BV110" i="82" s="1"/>
  <c r="BX110" i="82" s="1"/>
  <c r="BZ110" i="82" s="1"/>
  <c r="CB110" i="82" s="1"/>
  <c r="CD110" i="82" s="1"/>
  <c r="CF110" i="82" s="1"/>
  <c r="CH110" i="82" s="1"/>
  <c r="CJ110" i="82" s="1"/>
  <c r="CL110" i="82" s="1"/>
  <c r="CN110" i="82" s="1"/>
  <c r="CP110" i="82" s="1"/>
  <c r="CR110" i="82" s="1"/>
  <c r="CT110" i="82" s="1"/>
  <c r="CV110" i="82" s="1"/>
  <c r="CX110" i="82" s="1"/>
  <c r="CZ110" i="82" s="1"/>
  <c r="DB110" i="82" s="1"/>
  <c r="DD110" i="82" s="1"/>
  <c r="DF110" i="82" s="1"/>
  <c r="DH110" i="82" s="1"/>
  <c r="DJ110" i="82" s="1"/>
  <c r="DL110" i="82" s="1"/>
  <c r="DN110" i="82" s="1"/>
  <c r="DP110" i="82" s="1"/>
  <c r="DR110" i="82" s="1"/>
  <c r="AP37" i="82"/>
  <c r="AR37" i="82" s="1"/>
  <c r="BI122" i="82"/>
  <c r="BJ122" i="82" s="1"/>
  <c r="BI98" i="82"/>
  <c r="BJ98" i="82" s="1"/>
  <c r="BK100" i="82"/>
  <c r="BL100" i="82" s="1"/>
  <c r="BW119" i="82"/>
  <c r="BX119" i="82" s="1"/>
  <c r="BW118" i="82"/>
  <c r="BX118" i="82" s="1"/>
  <c r="BW100" i="82"/>
  <c r="BX100" i="82" s="1"/>
  <c r="AQ36" i="82"/>
  <c r="AE59" i="82"/>
  <c r="AF8" i="82"/>
  <c r="AP33" i="82"/>
  <c r="AR33" i="82" s="1"/>
  <c r="AX16" i="82"/>
  <c r="AY16" i="82" s="1"/>
  <c r="AV16" i="82"/>
  <c r="AU162" i="82"/>
  <c r="AP30" i="82"/>
  <c r="AR30" i="82" s="1"/>
  <c r="CM216" i="82"/>
  <c r="CN216" i="82" s="1"/>
  <c r="CP240" i="82"/>
  <c r="CO240" i="82"/>
  <c r="AV56" i="82"/>
  <c r="AX56" i="82"/>
  <c r="AY56" i="82"/>
  <c r="BA42" i="82" l="1"/>
  <c r="BB42" i="82" s="1"/>
  <c r="BG42" i="82" s="1"/>
  <c r="BH42" i="82" s="1"/>
  <c r="AX30" i="82"/>
  <c r="AY30" i="82" s="1"/>
  <c r="AF160" i="82"/>
  <c r="AE301" i="82"/>
  <c r="AV36" i="82"/>
  <c r="BZ136" i="82"/>
  <c r="CC185" i="82"/>
  <c r="CD185" i="82"/>
  <c r="CF185" i="82" s="1"/>
  <c r="CH185" i="82" s="1"/>
  <c r="CJ185" i="82" s="1"/>
  <c r="CL185" i="82" s="1"/>
  <c r="CN185" i="82" s="1"/>
  <c r="CP185" i="82" s="1"/>
  <c r="CR185" i="82" s="1"/>
  <c r="CT185" i="82" s="1"/>
  <c r="CV185" i="82" s="1"/>
  <c r="CX185" i="82" s="1"/>
  <c r="CZ185" i="82" s="1"/>
  <c r="DB185" i="82" s="1"/>
  <c r="DD185" i="82" s="1"/>
  <c r="DF185" i="82" s="1"/>
  <c r="DH185" i="82" s="1"/>
  <c r="DJ185" i="82" s="1"/>
  <c r="DL185" i="82" s="1"/>
  <c r="DN185" i="82" s="1"/>
  <c r="DP185" i="82" s="1"/>
  <c r="DR185" i="82" s="1"/>
  <c r="CK301" i="82"/>
  <c r="CQ99" i="82"/>
  <c r="CR99" i="82" s="1"/>
  <c r="BY120" i="82"/>
  <c r="BZ120" i="82" s="1"/>
  <c r="CO290" i="82"/>
  <c r="CP290" i="82" s="1"/>
  <c r="BU166" i="82"/>
  <c r="BV166" i="82" s="1"/>
  <c r="BY121" i="82"/>
  <c r="BZ121" i="82"/>
  <c r="CM243" i="82"/>
  <c r="CN243" i="82" s="1"/>
  <c r="BW171" i="82"/>
  <c r="BX171" i="82" s="1"/>
  <c r="BZ171" i="82" s="1"/>
  <c r="CB171" i="82" s="1"/>
  <c r="CD171" i="82" s="1"/>
  <c r="CF171" i="82" s="1"/>
  <c r="CH171" i="82" s="1"/>
  <c r="CJ171" i="82" s="1"/>
  <c r="CL171" i="82" s="1"/>
  <c r="CN171" i="82" s="1"/>
  <c r="CP171" i="82" s="1"/>
  <c r="CR171" i="82" s="1"/>
  <c r="CT171" i="82" s="1"/>
  <c r="CV171" i="82" s="1"/>
  <c r="CX171" i="82" s="1"/>
  <c r="CZ171" i="82" s="1"/>
  <c r="DB171" i="82" s="1"/>
  <c r="DD171" i="82" s="1"/>
  <c r="DF171" i="82" s="1"/>
  <c r="DH171" i="82" s="1"/>
  <c r="DJ171" i="82" s="1"/>
  <c r="DL171" i="82" s="1"/>
  <c r="DN171" i="82" s="1"/>
  <c r="DP171" i="82" s="1"/>
  <c r="DR171" i="82" s="1"/>
  <c r="BG26" i="82"/>
  <c r="BH26" i="82" s="1"/>
  <c r="CM210" i="82"/>
  <c r="CN210" i="82" s="1"/>
  <c r="DX199" i="82"/>
  <c r="DT199" i="82"/>
  <c r="DV199" i="82" s="1"/>
  <c r="CC191" i="82"/>
  <c r="CD191" i="82" s="1"/>
  <c r="BG20" i="82"/>
  <c r="BH20" i="82"/>
  <c r="BA52" i="82"/>
  <c r="BB52" i="82" s="1"/>
  <c r="BA36" i="82"/>
  <c r="BB36" i="82" s="1"/>
  <c r="DT181" i="82"/>
  <c r="DV181" i="82" s="1"/>
  <c r="DX181" i="82"/>
  <c r="AV51" i="82"/>
  <c r="AX51" i="82"/>
  <c r="AY51" i="82" s="1"/>
  <c r="CO268" i="82"/>
  <c r="CP268" i="82" s="1"/>
  <c r="BW176" i="82"/>
  <c r="BX176" i="82" s="1"/>
  <c r="BU169" i="82"/>
  <c r="BV169" i="82" s="1"/>
  <c r="CO202" i="82"/>
  <c r="CP202" i="82" s="1"/>
  <c r="BA16" i="82"/>
  <c r="BB16" i="82" s="1"/>
  <c r="BA12" i="82"/>
  <c r="BB12" i="82" s="1"/>
  <c r="CM201" i="82"/>
  <c r="CN201" i="82" s="1"/>
  <c r="BG28" i="82"/>
  <c r="BH28" i="82" s="1"/>
  <c r="BY100" i="82"/>
  <c r="BZ100" i="82" s="1"/>
  <c r="BK119" i="82"/>
  <c r="BL119" i="82" s="1"/>
  <c r="CQ224" i="82"/>
  <c r="CR224" i="82" s="1"/>
  <c r="CT224" i="82" s="1"/>
  <c r="CV224" i="82" s="1"/>
  <c r="CX224" i="82" s="1"/>
  <c r="CZ224" i="82" s="1"/>
  <c r="DB224" i="82" s="1"/>
  <c r="DD224" i="82" s="1"/>
  <c r="DF224" i="82" s="1"/>
  <c r="DH224" i="82" s="1"/>
  <c r="DJ224" i="82" s="1"/>
  <c r="DL224" i="82" s="1"/>
  <c r="DN224" i="82" s="1"/>
  <c r="DP224" i="82" s="1"/>
  <c r="DR224" i="82" s="1"/>
  <c r="CO209" i="82"/>
  <c r="CP209" i="82" s="1"/>
  <c r="CO255" i="82"/>
  <c r="CP255" i="82" s="1"/>
  <c r="CQ289" i="82"/>
  <c r="CR289" i="82" s="1"/>
  <c r="CS289" i="82" s="1"/>
  <c r="CR257" i="82"/>
  <c r="CT257" i="82" s="1"/>
  <c r="CV257" i="82" s="1"/>
  <c r="CX257" i="82" s="1"/>
  <c r="CZ257" i="82" s="1"/>
  <c r="DB257" i="82" s="1"/>
  <c r="DD257" i="82" s="1"/>
  <c r="DF257" i="82" s="1"/>
  <c r="DH257" i="82" s="1"/>
  <c r="DJ257" i="82" s="1"/>
  <c r="DL257" i="82" s="1"/>
  <c r="DN257" i="82" s="1"/>
  <c r="DP257" i="82" s="1"/>
  <c r="DR257" i="82" s="1"/>
  <c r="CQ257" i="82"/>
  <c r="BY122" i="82"/>
  <c r="BZ122" i="82" s="1"/>
  <c r="CQ279" i="82"/>
  <c r="CR279" i="82" s="1"/>
  <c r="CS279" i="82" s="1"/>
  <c r="BA17" i="82"/>
  <c r="BB17" i="82" s="1"/>
  <c r="BA45" i="82"/>
  <c r="BB45" i="82" s="1"/>
  <c r="BY113" i="82"/>
  <c r="BZ113" i="82" s="1"/>
  <c r="CQ251" i="82"/>
  <c r="CR251" i="82" s="1"/>
  <c r="CT251" i="82" s="1"/>
  <c r="CV251" i="82" s="1"/>
  <c r="CX251" i="82" s="1"/>
  <c r="CZ251" i="82" s="1"/>
  <c r="DB251" i="82" s="1"/>
  <c r="DD251" i="82" s="1"/>
  <c r="DF251" i="82" s="1"/>
  <c r="DH251" i="82" s="1"/>
  <c r="DJ251" i="82" s="1"/>
  <c r="DL251" i="82" s="1"/>
  <c r="DN251" i="82" s="1"/>
  <c r="DP251" i="82" s="1"/>
  <c r="DR251" i="82" s="1"/>
  <c r="BA21" i="82"/>
  <c r="BB21" i="82" s="1"/>
  <c r="CQ270" i="82"/>
  <c r="CR270" i="82" s="1"/>
  <c r="CS270" i="82" s="1"/>
  <c r="BW164" i="82"/>
  <c r="BX164" i="82" s="1"/>
  <c r="BZ164" i="82" s="1"/>
  <c r="CB164" i="82" s="1"/>
  <c r="CD164" i="82" s="1"/>
  <c r="CF164" i="82" s="1"/>
  <c r="CH164" i="82" s="1"/>
  <c r="CJ164" i="82" s="1"/>
  <c r="CL164" i="82" s="1"/>
  <c r="CN164" i="82" s="1"/>
  <c r="CP164" i="82" s="1"/>
  <c r="CR164" i="82" s="1"/>
  <c r="CT164" i="82" s="1"/>
  <c r="CV164" i="82" s="1"/>
  <c r="CX164" i="82" s="1"/>
  <c r="CZ164" i="82" s="1"/>
  <c r="DB164" i="82" s="1"/>
  <c r="DD164" i="82" s="1"/>
  <c r="DF164" i="82" s="1"/>
  <c r="DH164" i="82" s="1"/>
  <c r="DJ164" i="82" s="1"/>
  <c r="DL164" i="82" s="1"/>
  <c r="DN164" i="82" s="1"/>
  <c r="DP164" i="82" s="1"/>
  <c r="DR164" i="82" s="1"/>
  <c r="CO203" i="82"/>
  <c r="CP203" i="82" s="1"/>
  <c r="CG198" i="82"/>
  <c r="CH198" i="82" s="1"/>
  <c r="CM256" i="82"/>
  <c r="CN256" i="82" s="1"/>
  <c r="CO236" i="82"/>
  <c r="CP236" i="82" s="1"/>
  <c r="CQ253" i="82"/>
  <c r="CR253" i="82" s="1"/>
  <c r="CT253" i="82" s="1"/>
  <c r="CV253" i="82" s="1"/>
  <c r="CX253" i="82" s="1"/>
  <c r="CZ253" i="82" s="1"/>
  <c r="DB253" i="82" s="1"/>
  <c r="DD253" i="82" s="1"/>
  <c r="DF253" i="82" s="1"/>
  <c r="DH253" i="82" s="1"/>
  <c r="DJ253" i="82" s="1"/>
  <c r="DL253" i="82" s="1"/>
  <c r="DN253" i="82" s="1"/>
  <c r="DP253" i="82" s="1"/>
  <c r="DR253" i="82" s="1"/>
  <c r="CO250" i="82"/>
  <c r="CP250" i="82" s="1"/>
  <c r="BG49" i="82"/>
  <c r="BH49" i="82" s="1"/>
  <c r="CQ214" i="82"/>
  <c r="CR214" i="82" s="1"/>
  <c r="CT214" i="82" s="1"/>
  <c r="CV214" i="82" s="1"/>
  <c r="CX214" i="82" s="1"/>
  <c r="CZ214" i="82" s="1"/>
  <c r="DB214" i="82" s="1"/>
  <c r="DD214" i="82" s="1"/>
  <c r="DF214" i="82" s="1"/>
  <c r="DH214" i="82" s="1"/>
  <c r="DJ214" i="82" s="1"/>
  <c r="DL214" i="82" s="1"/>
  <c r="DN214" i="82" s="1"/>
  <c r="DP214" i="82" s="1"/>
  <c r="DR214" i="82" s="1"/>
  <c r="BA30" i="82"/>
  <c r="BB30" i="82" s="1"/>
  <c r="BU163" i="82"/>
  <c r="BV163" i="82" s="1"/>
  <c r="BK118" i="82"/>
  <c r="BL118" i="82" s="1"/>
  <c r="CG190" i="82"/>
  <c r="CG196" i="82"/>
  <c r="CH196" i="82" s="1"/>
  <c r="CM57" i="82"/>
  <c r="CN57" i="82" s="1"/>
  <c r="CC194" i="82"/>
  <c r="CD194" i="82" s="1"/>
  <c r="CM213" i="82"/>
  <c r="CN213" i="82" s="1"/>
  <c r="BA9" i="82"/>
  <c r="BB9" i="82" s="1"/>
  <c r="CP227" i="82"/>
  <c r="CO227" i="82"/>
  <c r="DX178" i="82"/>
  <c r="DT178" i="82"/>
  <c r="DV178" i="82" s="1"/>
  <c r="CO258" i="82"/>
  <c r="CP258" i="82" s="1"/>
  <c r="BA35" i="82"/>
  <c r="BB35" i="82" s="1"/>
  <c r="BA14" i="82"/>
  <c r="BB14" i="82" s="1"/>
  <c r="AV33" i="82"/>
  <c r="AX33" i="82"/>
  <c r="AY33" i="82" s="1"/>
  <c r="BW172" i="82"/>
  <c r="BX172" i="82"/>
  <c r="BZ172" i="82" s="1"/>
  <c r="CB172" i="82" s="1"/>
  <c r="CD172" i="82" s="1"/>
  <c r="CF172" i="82" s="1"/>
  <c r="CH172" i="82" s="1"/>
  <c r="CJ172" i="82" s="1"/>
  <c r="CL172" i="82" s="1"/>
  <c r="CN172" i="82" s="1"/>
  <c r="CP172" i="82" s="1"/>
  <c r="CR172" i="82" s="1"/>
  <c r="CT172" i="82" s="1"/>
  <c r="CV172" i="82" s="1"/>
  <c r="CX172" i="82" s="1"/>
  <c r="CZ172" i="82" s="1"/>
  <c r="DB172" i="82" s="1"/>
  <c r="DD172" i="82" s="1"/>
  <c r="DF172" i="82" s="1"/>
  <c r="DH172" i="82" s="1"/>
  <c r="DJ172" i="82" s="1"/>
  <c r="DL172" i="82" s="1"/>
  <c r="DN172" i="82" s="1"/>
  <c r="DP172" i="82" s="1"/>
  <c r="DR172" i="82" s="1"/>
  <c r="BA15" i="82"/>
  <c r="BB15" i="82" s="1"/>
  <c r="CQ215" i="82"/>
  <c r="CR215" i="82" s="1"/>
  <c r="CT215" i="82" s="1"/>
  <c r="CV215" i="82" s="1"/>
  <c r="CX215" i="82" s="1"/>
  <c r="CZ215" i="82" s="1"/>
  <c r="DB215" i="82" s="1"/>
  <c r="DD215" i="82" s="1"/>
  <c r="DF215" i="82" s="1"/>
  <c r="DH215" i="82" s="1"/>
  <c r="DJ215" i="82" s="1"/>
  <c r="DL215" i="82" s="1"/>
  <c r="DN215" i="82" s="1"/>
  <c r="DP215" i="82" s="1"/>
  <c r="DR215" i="82" s="1"/>
  <c r="BY98" i="82"/>
  <c r="BZ98" i="82" s="1"/>
  <c r="CM222" i="82"/>
  <c r="CN222" i="82" s="1"/>
  <c r="CO229" i="82"/>
  <c r="CP229" i="82" s="1"/>
  <c r="CQ246" i="82"/>
  <c r="CR246" i="82" s="1"/>
  <c r="CT246" i="82" s="1"/>
  <c r="CV246" i="82" s="1"/>
  <c r="CX246" i="82" s="1"/>
  <c r="CZ246" i="82" s="1"/>
  <c r="DB246" i="82" s="1"/>
  <c r="DD246" i="82" s="1"/>
  <c r="DF246" i="82" s="1"/>
  <c r="DH246" i="82" s="1"/>
  <c r="DJ246" i="82" s="1"/>
  <c r="DL246" i="82" s="1"/>
  <c r="DN246" i="82" s="1"/>
  <c r="DP246" i="82" s="1"/>
  <c r="DR246" i="82" s="1"/>
  <c r="BA39" i="82"/>
  <c r="BB39" i="82" s="1"/>
  <c r="CO283" i="82"/>
  <c r="CP283" i="82" s="1"/>
  <c r="CM230" i="82"/>
  <c r="CN230" i="82" s="1"/>
  <c r="CM262" i="82"/>
  <c r="CN262" i="82" s="1"/>
  <c r="CO248" i="82"/>
  <c r="CP248" i="82" s="1"/>
  <c r="CM212" i="82"/>
  <c r="CN212" i="82" s="1"/>
  <c r="BY119" i="82"/>
  <c r="BZ119" i="82" s="1"/>
  <c r="CQ219" i="82"/>
  <c r="CR219" i="82" s="1"/>
  <c r="CT219" i="82" s="1"/>
  <c r="CV219" i="82" s="1"/>
  <c r="CX219" i="82" s="1"/>
  <c r="CZ219" i="82" s="1"/>
  <c r="DB219" i="82" s="1"/>
  <c r="DD219" i="82" s="1"/>
  <c r="DF219" i="82" s="1"/>
  <c r="DH219" i="82" s="1"/>
  <c r="DJ219" i="82" s="1"/>
  <c r="DL219" i="82" s="1"/>
  <c r="DN219" i="82" s="1"/>
  <c r="DP219" i="82" s="1"/>
  <c r="DR219" i="82" s="1"/>
  <c r="BO113" i="82"/>
  <c r="BP113" i="82" s="1"/>
  <c r="BN113" i="82"/>
  <c r="BG34" i="82"/>
  <c r="BH34" i="82" s="1"/>
  <c r="BK98" i="82"/>
  <c r="BL98" i="82" s="1"/>
  <c r="BY117" i="82"/>
  <c r="BZ117" i="82" s="1"/>
  <c r="BK121" i="82"/>
  <c r="BL121" i="82" s="1"/>
  <c r="CQ260" i="82"/>
  <c r="CR260" i="82" s="1"/>
  <c r="CT260" i="82" s="1"/>
  <c r="CV260" i="82" s="1"/>
  <c r="CX260" i="82" s="1"/>
  <c r="CZ260" i="82" s="1"/>
  <c r="DB260" i="82" s="1"/>
  <c r="DD260" i="82" s="1"/>
  <c r="DF260" i="82" s="1"/>
  <c r="DH260" i="82" s="1"/>
  <c r="DJ260" i="82" s="1"/>
  <c r="DL260" i="82" s="1"/>
  <c r="DN260" i="82" s="1"/>
  <c r="DP260" i="82" s="1"/>
  <c r="DR260" i="82" s="1"/>
  <c r="CQ211" i="82"/>
  <c r="CR211" i="82" s="1"/>
  <c r="CT211" i="82" s="1"/>
  <c r="CV211" i="82" s="1"/>
  <c r="CX211" i="82" s="1"/>
  <c r="CZ211" i="82" s="1"/>
  <c r="DB211" i="82" s="1"/>
  <c r="DD211" i="82" s="1"/>
  <c r="DF211" i="82" s="1"/>
  <c r="DH211" i="82" s="1"/>
  <c r="DJ211" i="82" s="1"/>
  <c r="DL211" i="82" s="1"/>
  <c r="DN211" i="82" s="1"/>
  <c r="DP211" i="82" s="1"/>
  <c r="DR211" i="82" s="1"/>
  <c r="CI195" i="82"/>
  <c r="CJ195" i="82" s="1"/>
  <c r="CL195" i="82" s="1"/>
  <c r="CN195" i="82" s="1"/>
  <c r="CP195" i="82" s="1"/>
  <c r="CR195" i="82" s="1"/>
  <c r="CT195" i="82" s="1"/>
  <c r="CV195" i="82" s="1"/>
  <c r="CX195" i="82" s="1"/>
  <c r="CZ195" i="82" s="1"/>
  <c r="DB195" i="82" s="1"/>
  <c r="DD195" i="82" s="1"/>
  <c r="DF195" i="82" s="1"/>
  <c r="DH195" i="82" s="1"/>
  <c r="DJ195" i="82" s="1"/>
  <c r="DL195" i="82" s="1"/>
  <c r="DN195" i="82" s="1"/>
  <c r="DP195" i="82" s="1"/>
  <c r="DR195" i="82" s="1"/>
  <c r="CO200" i="82"/>
  <c r="AX10" i="82"/>
  <c r="AY10" i="82" s="1"/>
  <c r="AV10" i="82"/>
  <c r="CQ263" i="82"/>
  <c r="CR263" i="82" s="1"/>
  <c r="CT263" i="82" s="1"/>
  <c r="CV263" i="82" s="1"/>
  <c r="CX263" i="82" s="1"/>
  <c r="CZ263" i="82" s="1"/>
  <c r="DB263" i="82" s="1"/>
  <c r="DD263" i="82" s="1"/>
  <c r="DF263" i="82" s="1"/>
  <c r="DH263" i="82" s="1"/>
  <c r="DJ263" i="82" s="1"/>
  <c r="DL263" i="82" s="1"/>
  <c r="DN263" i="82" s="1"/>
  <c r="DP263" i="82" s="1"/>
  <c r="DR263" i="82" s="1"/>
  <c r="CO242" i="82"/>
  <c r="CP242" i="82" s="1"/>
  <c r="BA40" i="82"/>
  <c r="BB40" i="82" s="1"/>
  <c r="CQ206" i="82"/>
  <c r="CR206" i="82" s="1"/>
  <c r="CT206" i="82" s="1"/>
  <c r="CV206" i="82" s="1"/>
  <c r="CX206" i="82" s="1"/>
  <c r="CZ206" i="82" s="1"/>
  <c r="DB206" i="82" s="1"/>
  <c r="DD206" i="82" s="1"/>
  <c r="DF206" i="82" s="1"/>
  <c r="DH206" i="82" s="1"/>
  <c r="DJ206" i="82" s="1"/>
  <c r="DL206" i="82" s="1"/>
  <c r="DN206" i="82" s="1"/>
  <c r="DP206" i="82" s="1"/>
  <c r="DR206" i="82" s="1"/>
  <c r="BG29" i="82"/>
  <c r="BH29" i="82" s="1"/>
  <c r="BA18" i="82"/>
  <c r="BB18" i="82" s="1"/>
  <c r="CQ259" i="82"/>
  <c r="CR259" i="82" s="1"/>
  <c r="CT259" i="82" s="1"/>
  <c r="CV259" i="82" s="1"/>
  <c r="CX259" i="82" s="1"/>
  <c r="CZ259" i="82" s="1"/>
  <c r="DB259" i="82" s="1"/>
  <c r="DD259" i="82" s="1"/>
  <c r="DF259" i="82" s="1"/>
  <c r="DH259" i="82" s="1"/>
  <c r="DJ259" i="82" s="1"/>
  <c r="DL259" i="82" s="1"/>
  <c r="DN259" i="82" s="1"/>
  <c r="DP259" i="82" s="1"/>
  <c r="DR259" i="82" s="1"/>
  <c r="CQ287" i="82"/>
  <c r="CR287" i="82" s="1"/>
  <c r="CS287" i="82" s="1"/>
  <c r="BY104" i="82"/>
  <c r="BZ104" i="82"/>
  <c r="CQ218" i="82"/>
  <c r="CR218" i="82" s="1"/>
  <c r="CT218" i="82" s="1"/>
  <c r="CV218" i="82" s="1"/>
  <c r="CX218" i="82" s="1"/>
  <c r="CZ218" i="82" s="1"/>
  <c r="DB218" i="82" s="1"/>
  <c r="DD218" i="82" s="1"/>
  <c r="DF218" i="82" s="1"/>
  <c r="DH218" i="82" s="1"/>
  <c r="DJ218" i="82" s="1"/>
  <c r="DL218" i="82" s="1"/>
  <c r="DN218" i="82" s="1"/>
  <c r="DP218" i="82" s="1"/>
  <c r="DR218" i="82" s="1"/>
  <c r="CO267" i="82"/>
  <c r="CP267" i="82" s="1"/>
  <c r="BA24" i="82"/>
  <c r="BB24" i="82" s="1"/>
  <c r="CM254" i="82"/>
  <c r="CN254" i="82" s="1"/>
  <c r="CO275" i="82"/>
  <c r="CP275" i="82" s="1"/>
  <c r="CO247" i="82"/>
  <c r="CP247" i="82" s="1"/>
  <c r="CO204" i="82"/>
  <c r="CP204" i="82" s="1"/>
  <c r="CM217" i="82"/>
  <c r="CN217" i="82"/>
  <c r="CO281" i="82"/>
  <c r="CP281" i="82" s="1"/>
  <c r="CM261" i="82"/>
  <c r="CN261" i="82"/>
  <c r="BW175" i="82"/>
  <c r="BX175" i="82" s="1"/>
  <c r="BZ175" i="82" s="1"/>
  <c r="CB175" i="82" s="1"/>
  <c r="CD175" i="82" s="1"/>
  <c r="CF175" i="82" s="1"/>
  <c r="CH175" i="82" s="1"/>
  <c r="CJ175" i="82" s="1"/>
  <c r="CL175" i="82" s="1"/>
  <c r="CN175" i="82" s="1"/>
  <c r="CP175" i="82" s="1"/>
  <c r="CR175" i="82" s="1"/>
  <c r="CT175" i="82" s="1"/>
  <c r="CV175" i="82" s="1"/>
  <c r="CX175" i="82" s="1"/>
  <c r="CZ175" i="82" s="1"/>
  <c r="DB175" i="82" s="1"/>
  <c r="DD175" i="82" s="1"/>
  <c r="DF175" i="82" s="1"/>
  <c r="DH175" i="82" s="1"/>
  <c r="DJ175" i="82" s="1"/>
  <c r="DL175" i="82" s="1"/>
  <c r="DN175" i="82" s="1"/>
  <c r="DP175" i="82" s="1"/>
  <c r="DR175" i="82" s="1"/>
  <c r="CQ249" i="82"/>
  <c r="CR249" i="82" s="1"/>
  <c r="CT249" i="82" s="1"/>
  <c r="CV249" i="82" s="1"/>
  <c r="CX249" i="82" s="1"/>
  <c r="CZ249" i="82" s="1"/>
  <c r="DB249" i="82" s="1"/>
  <c r="DD249" i="82" s="1"/>
  <c r="DF249" i="82" s="1"/>
  <c r="DH249" i="82" s="1"/>
  <c r="DJ249" i="82" s="1"/>
  <c r="DL249" i="82" s="1"/>
  <c r="DN249" i="82" s="1"/>
  <c r="DP249" i="82" s="1"/>
  <c r="DR249" i="82" s="1"/>
  <c r="BA32" i="82"/>
  <c r="BB32" i="82" s="1"/>
  <c r="CQ240" i="82"/>
  <c r="CR240" i="82" s="1"/>
  <c r="CT240" i="82" s="1"/>
  <c r="CV240" i="82" s="1"/>
  <c r="CX240" i="82" s="1"/>
  <c r="CZ240" i="82" s="1"/>
  <c r="DB240" i="82" s="1"/>
  <c r="DD240" i="82" s="1"/>
  <c r="DF240" i="82" s="1"/>
  <c r="DH240" i="82" s="1"/>
  <c r="DJ240" i="82" s="1"/>
  <c r="DL240" i="82" s="1"/>
  <c r="DN240" i="82" s="1"/>
  <c r="DP240" i="82" s="1"/>
  <c r="DR240" i="82" s="1"/>
  <c r="BY118" i="82"/>
  <c r="BZ118" i="82" s="1"/>
  <c r="BK122" i="82"/>
  <c r="BL122" i="82" s="1"/>
  <c r="BK114" i="82"/>
  <c r="BL114" i="82" s="1"/>
  <c r="BK115" i="82"/>
  <c r="BL115" i="82" s="1"/>
  <c r="BK99" i="82"/>
  <c r="BL99" i="82" s="1"/>
  <c r="BA44" i="82"/>
  <c r="BB44" i="82" s="1"/>
  <c r="BW97" i="82"/>
  <c r="BX97" i="82" s="1"/>
  <c r="BJ61" i="82"/>
  <c r="AX46" i="82"/>
  <c r="AY46" i="82" s="1"/>
  <c r="AV46" i="82"/>
  <c r="BL140" i="82"/>
  <c r="BJ158" i="82"/>
  <c r="AX38" i="82"/>
  <c r="AY38" i="82" s="1"/>
  <c r="AV38" i="82"/>
  <c r="CJ303" i="82"/>
  <c r="AX50" i="82"/>
  <c r="AY50" i="82" s="1"/>
  <c r="AV50" i="82"/>
  <c r="CO276" i="82"/>
  <c r="CP276" i="82" s="1"/>
  <c r="CQ252" i="82"/>
  <c r="CR252" i="82" s="1"/>
  <c r="CT252" i="82" s="1"/>
  <c r="CV252" i="82" s="1"/>
  <c r="CX252" i="82" s="1"/>
  <c r="CZ252" i="82" s="1"/>
  <c r="DB252" i="82" s="1"/>
  <c r="DD252" i="82" s="1"/>
  <c r="DF252" i="82" s="1"/>
  <c r="DH252" i="82" s="1"/>
  <c r="DJ252" i="82" s="1"/>
  <c r="DL252" i="82" s="1"/>
  <c r="DN252" i="82" s="1"/>
  <c r="DP252" i="82" s="1"/>
  <c r="DR252" i="82" s="1"/>
  <c r="DX110" i="82"/>
  <c r="DT110" i="82"/>
  <c r="CA189" i="82"/>
  <c r="CB189" i="82" s="1"/>
  <c r="CO216" i="82"/>
  <c r="CP216" i="82" s="1"/>
  <c r="AK8" i="82"/>
  <c r="AK59" i="82" s="1"/>
  <c r="AN8" i="82"/>
  <c r="AN59" i="82" s="1"/>
  <c r="AF59" i="82"/>
  <c r="AG8" i="82"/>
  <c r="AG59" i="82" s="1"/>
  <c r="BY112" i="82"/>
  <c r="BZ112" i="82" s="1"/>
  <c r="AY62" i="82"/>
  <c r="BK120" i="82"/>
  <c r="BL120" i="82" s="1"/>
  <c r="CM234" i="82"/>
  <c r="CN234" i="82" s="1"/>
  <c r="CA193" i="82"/>
  <c r="CB193" i="82" s="1"/>
  <c r="CC192" i="82"/>
  <c r="CD192" i="82"/>
  <c r="AY162" i="82"/>
  <c r="CO225" i="82"/>
  <c r="CP225" i="82" s="1"/>
  <c r="CQ235" i="82"/>
  <c r="CR235" i="82" s="1"/>
  <c r="CT235" i="82" s="1"/>
  <c r="CV235" i="82" s="1"/>
  <c r="CX235" i="82" s="1"/>
  <c r="CZ235" i="82" s="1"/>
  <c r="DB235" i="82" s="1"/>
  <c r="DD235" i="82" s="1"/>
  <c r="DF235" i="82" s="1"/>
  <c r="DH235" i="82" s="1"/>
  <c r="DJ235" i="82" s="1"/>
  <c r="DL235" i="82" s="1"/>
  <c r="DN235" i="82" s="1"/>
  <c r="DP235" i="82" s="1"/>
  <c r="DR235" i="82" s="1"/>
  <c r="BH97" i="82"/>
  <c r="AV19" i="82"/>
  <c r="AX19" i="82"/>
  <c r="AY19" i="82" s="1"/>
  <c r="BR173" i="82"/>
  <c r="BS173" i="82"/>
  <c r="BT173" i="82" s="1"/>
  <c r="CQ274" i="82"/>
  <c r="CR274" i="82" s="1"/>
  <c r="CS274" i="82" s="1"/>
  <c r="BU168" i="82"/>
  <c r="BV168" i="82"/>
  <c r="CQ208" i="82"/>
  <c r="CR208" i="82" s="1"/>
  <c r="CT208" i="82" s="1"/>
  <c r="CV208" i="82" s="1"/>
  <c r="CX208" i="82" s="1"/>
  <c r="CZ208" i="82" s="1"/>
  <c r="DB208" i="82" s="1"/>
  <c r="DD208" i="82" s="1"/>
  <c r="DF208" i="82" s="1"/>
  <c r="DH208" i="82" s="1"/>
  <c r="DJ208" i="82" s="1"/>
  <c r="DL208" i="82" s="1"/>
  <c r="DN208" i="82" s="1"/>
  <c r="DP208" i="82" s="1"/>
  <c r="DR208" i="82" s="1"/>
  <c r="CQ278" i="82"/>
  <c r="CR278" i="82" s="1"/>
  <c r="CS278" i="82" s="1"/>
  <c r="CO232" i="82"/>
  <c r="CP232" i="82" s="1"/>
  <c r="CQ233" i="82"/>
  <c r="CR233" i="82" s="1"/>
  <c r="CT233" i="82" s="1"/>
  <c r="CV233" i="82" s="1"/>
  <c r="CX233" i="82" s="1"/>
  <c r="CZ233" i="82" s="1"/>
  <c r="DB233" i="82" s="1"/>
  <c r="DD233" i="82" s="1"/>
  <c r="DF233" i="82" s="1"/>
  <c r="DH233" i="82" s="1"/>
  <c r="DJ233" i="82" s="1"/>
  <c r="DL233" i="82" s="1"/>
  <c r="DN233" i="82" s="1"/>
  <c r="DP233" i="82" s="1"/>
  <c r="DR233" i="82" s="1"/>
  <c r="CO239" i="82"/>
  <c r="CP239" i="82" s="1"/>
  <c r="BO104" i="82"/>
  <c r="BP104" i="82" s="1"/>
  <c r="BN104" i="82"/>
  <c r="CA187" i="82"/>
  <c r="CB187" i="82" s="1"/>
  <c r="CQ271" i="82"/>
  <c r="CR271" i="82" s="1"/>
  <c r="CS271" i="82" s="1"/>
  <c r="CA182" i="82"/>
  <c r="CB182" i="82" s="1"/>
  <c r="CQ280" i="82"/>
  <c r="CR280" i="82" s="1"/>
  <c r="CS280" i="82" s="1"/>
  <c r="BA22" i="82"/>
  <c r="BB22" i="82" s="1"/>
  <c r="BA56" i="82"/>
  <c r="BB56" i="82" s="1"/>
  <c r="BN100" i="82"/>
  <c r="BO100" i="82"/>
  <c r="BP100" i="82" s="1"/>
  <c r="AX37" i="82"/>
  <c r="AY37" i="82" s="1"/>
  <c r="AV37" i="82"/>
  <c r="BA27" i="82"/>
  <c r="BB27" i="82" s="1"/>
  <c r="BY115" i="82"/>
  <c r="BZ115" i="82" s="1"/>
  <c r="DX170" i="82"/>
  <c r="DT170" i="82"/>
  <c r="DV170" i="82" s="1"/>
  <c r="BG31" i="82"/>
  <c r="BH31" i="82" s="1"/>
  <c r="BU167" i="82"/>
  <c r="BV167" i="82" s="1"/>
  <c r="CO238" i="82"/>
  <c r="CP238" i="82" s="1"/>
  <c r="BA47" i="82"/>
  <c r="BB47" i="82" s="1"/>
  <c r="BL165" i="82"/>
  <c r="BK165" i="82"/>
  <c r="CM226" i="82"/>
  <c r="CN226" i="82" s="1"/>
  <c r="CO237" i="82"/>
  <c r="CP237" i="82" s="1"/>
  <c r="BX177" i="82"/>
  <c r="BW177" i="82"/>
  <c r="CA184" i="82"/>
  <c r="CB184" i="82" s="1"/>
  <c r="CM265" i="82"/>
  <c r="CN265" i="82"/>
  <c r="CO273" i="82"/>
  <c r="CP273" i="82" s="1"/>
  <c r="BA11" i="82"/>
  <c r="BB11" i="82"/>
  <c r="CM231" i="82"/>
  <c r="CN231" i="82" s="1"/>
  <c r="BG41" i="82"/>
  <c r="BH41" i="82" s="1"/>
  <c r="BU161" i="82"/>
  <c r="BV161" i="82"/>
  <c r="AV162" i="82"/>
  <c r="CQ228" i="82"/>
  <c r="CR228" i="82"/>
  <c r="CT228" i="82" s="1"/>
  <c r="CV228" i="82" s="1"/>
  <c r="CX228" i="82" s="1"/>
  <c r="CZ228" i="82" s="1"/>
  <c r="DB228" i="82" s="1"/>
  <c r="DD228" i="82" s="1"/>
  <c r="DF228" i="82" s="1"/>
  <c r="DH228" i="82" s="1"/>
  <c r="DJ228" i="82" s="1"/>
  <c r="DL228" i="82" s="1"/>
  <c r="DN228" i="82" s="1"/>
  <c r="DP228" i="82" s="1"/>
  <c r="DR228" i="82" s="1"/>
  <c r="CD151" i="82"/>
  <c r="BK106" i="82"/>
  <c r="BL106" i="82" s="1"/>
  <c r="BN112" i="82"/>
  <c r="BO112" i="82"/>
  <c r="BP112" i="82" s="1"/>
  <c r="BK117" i="82"/>
  <c r="BL117" i="82" s="1"/>
  <c r="CC304" i="82"/>
  <c r="CC330" i="82" s="1"/>
  <c r="CB330" i="82"/>
  <c r="BA53" i="82"/>
  <c r="BB53" i="82" s="1"/>
  <c r="CO220" i="82"/>
  <c r="CP220" i="82" s="1"/>
  <c r="BW179" i="82"/>
  <c r="BX179" i="82"/>
  <c r="BG54" i="82"/>
  <c r="BH54" i="82" s="1"/>
  <c r="CC183" i="82"/>
  <c r="CD183" i="82"/>
  <c r="CF183" i="82" s="1"/>
  <c r="CH183" i="82" s="1"/>
  <c r="CJ183" i="82" s="1"/>
  <c r="CL183" i="82" s="1"/>
  <c r="CN183" i="82" s="1"/>
  <c r="CP183" i="82" s="1"/>
  <c r="CR183" i="82" s="1"/>
  <c r="CT183" i="82" s="1"/>
  <c r="CV183" i="82" s="1"/>
  <c r="CX183" i="82" s="1"/>
  <c r="CZ183" i="82" s="1"/>
  <c r="DB183" i="82" s="1"/>
  <c r="DD183" i="82" s="1"/>
  <c r="DF183" i="82" s="1"/>
  <c r="DH183" i="82" s="1"/>
  <c r="DJ183" i="82" s="1"/>
  <c r="DL183" i="82" s="1"/>
  <c r="DN183" i="82" s="1"/>
  <c r="DP183" i="82" s="1"/>
  <c r="DR183" i="82" s="1"/>
  <c r="CG197" i="82"/>
  <c r="CH197" i="82" s="1"/>
  <c r="BA13" i="82"/>
  <c r="BB13" i="82" s="1"/>
  <c r="AV55" i="82"/>
  <c r="AX55" i="82"/>
  <c r="AY55" i="82" s="1"/>
  <c r="BA48" i="82"/>
  <c r="BB48" i="82" s="1"/>
  <c r="CO205" i="82"/>
  <c r="CP205" i="82" s="1"/>
  <c r="DX188" i="82"/>
  <c r="DT188" i="82"/>
  <c r="DV188" i="82" s="1"/>
  <c r="CS58" i="82"/>
  <c r="CT58" i="82" s="1"/>
  <c r="BG25" i="82"/>
  <c r="BH25" i="82" s="1"/>
  <c r="CM245" i="82"/>
  <c r="CN245" i="82" s="1"/>
  <c r="BA23" i="82"/>
  <c r="BB23" i="82" s="1"/>
  <c r="CQ286" i="82"/>
  <c r="CR286" i="82" s="1"/>
  <c r="CS286" i="82" s="1"/>
  <c r="CO221" i="82"/>
  <c r="CP221" i="82" s="1"/>
  <c r="AV43" i="82"/>
  <c r="AX43" i="82"/>
  <c r="AY43" i="82" s="1"/>
  <c r="CO285" i="82"/>
  <c r="CP285" i="82" s="1"/>
  <c r="BU180" i="82"/>
  <c r="BV180" i="82" s="1"/>
  <c r="CO264" i="82"/>
  <c r="CP264" i="82" s="1"/>
  <c r="CQ269" i="82"/>
  <c r="CR269" i="82"/>
  <c r="CS269" i="82" s="1"/>
  <c r="AO8" i="82" l="1"/>
  <c r="AQ8" i="82" s="1"/>
  <c r="AQ59" i="82" s="1"/>
  <c r="BZ138" i="82"/>
  <c r="CA136" i="82"/>
  <c r="CA138" i="82" s="1"/>
  <c r="AN160" i="82"/>
  <c r="AN301" i="82" s="1"/>
  <c r="AK160" i="82"/>
  <c r="AK301" i="82" s="1"/>
  <c r="AF301" i="82"/>
  <c r="AG160" i="82"/>
  <c r="AG301" i="82" s="1"/>
  <c r="AT8" i="82"/>
  <c r="CA301" i="82"/>
  <c r="DX185" i="82"/>
  <c r="DT185" i="82"/>
  <c r="DV185" i="82" s="1"/>
  <c r="BA55" i="82"/>
  <c r="BB55" i="82" s="1"/>
  <c r="CO231" i="82"/>
  <c r="CP231" i="82" s="1"/>
  <c r="CC182" i="82"/>
  <c r="CD182" i="82" s="1"/>
  <c r="CF182" i="82" s="1"/>
  <c r="CH182" i="82" s="1"/>
  <c r="CJ182" i="82" s="1"/>
  <c r="CL182" i="82" s="1"/>
  <c r="CN182" i="82" s="1"/>
  <c r="CP182" i="82" s="1"/>
  <c r="CR182" i="82" s="1"/>
  <c r="CT182" i="82" s="1"/>
  <c r="CV182" i="82" s="1"/>
  <c r="CX182" i="82" s="1"/>
  <c r="CZ182" i="82" s="1"/>
  <c r="DB182" i="82" s="1"/>
  <c r="DD182" i="82" s="1"/>
  <c r="DF182" i="82" s="1"/>
  <c r="DH182" i="82" s="1"/>
  <c r="DJ182" i="82" s="1"/>
  <c r="DL182" i="82" s="1"/>
  <c r="DN182" i="82" s="1"/>
  <c r="DP182" i="82" s="1"/>
  <c r="DR182" i="82" s="1"/>
  <c r="BG56" i="82"/>
  <c r="BH56" i="82" s="1"/>
  <c r="BW180" i="82"/>
  <c r="BX180" i="82" s="1"/>
  <c r="BG13" i="82"/>
  <c r="BH13" i="82" s="1"/>
  <c r="CQ221" i="82"/>
  <c r="CR221" i="82" s="1"/>
  <c r="CT221" i="82" s="1"/>
  <c r="CV221" i="82" s="1"/>
  <c r="CX221" i="82" s="1"/>
  <c r="CZ221" i="82" s="1"/>
  <c r="DB221" i="82" s="1"/>
  <c r="DD221" i="82" s="1"/>
  <c r="DF221" i="82" s="1"/>
  <c r="DH221" i="82" s="1"/>
  <c r="DJ221" i="82" s="1"/>
  <c r="DL221" i="82" s="1"/>
  <c r="DN221" i="82" s="1"/>
  <c r="DP221" i="82" s="1"/>
  <c r="DR221" i="82" s="1"/>
  <c r="BG48" i="82"/>
  <c r="BH48" i="82" s="1"/>
  <c r="CQ220" i="82"/>
  <c r="CR220" i="82" s="1"/>
  <c r="CT220" i="82" s="1"/>
  <c r="CV220" i="82" s="1"/>
  <c r="CX220" i="82" s="1"/>
  <c r="CZ220" i="82" s="1"/>
  <c r="DB220" i="82" s="1"/>
  <c r="DD220" i="82" s="1"/>
  <c r="DF220" i="82" s="1"/>
  <c r="DH220" i="82" s="1"/>
  <c r="DJ220" i="82" s="1"/>
  <c r="DL220" i="82" s="1"/>
  <c r="DN220" i="82" s="1"/>
  <c r="DP220" i="82" s="1"/>
  <c r="DR220" i="82" s="1"/>
  <c r="BO117" i="82"/>
  <c r="BP117" i="82" s="1"/>
  <c r="BN117" i="82"/>
  <c r="BI41" i="82"/>
  <c r="BJ41" i="82" s="1"/>
  <c r="CC184" i="82"/>
  <c r="CD184" i="82" s="1"/>
  <c r="CF184" i="82" s="1"/>
  <c r="CH184" i="82" s="1"/>
  <c r="CJ184" i="82" s="1"/>
  <c r="CL184" i="82" s="1"/>
  <c r="CN184" i="82" s="1"/>
  <c r="CP184" i="82" s="1"/>
  <c r="CR184" i="82" s="1"/>
  <c r="CT184" i="82" s="1"/>
  <c r="CV184" i="82" s="1"/>
  <c r="CX184" i="82" s="1"/>
  <c r="CZ184" i="82" s="1"/>
  <c r="DB184" i="82" s="1"/>
  <c r="DD184" i="82" s="1"/>
  <c r="DF184" i="82" s="1"/>
  <c r="DH184" i="82" s="1"/>
  <c r="DJ184" i="82" s="1"/>
  <c r="DL184" i="82" s="1"/>
  <c r="DN184" i="82" s="1"/>
  <c r="DP184" i="82" s="1"/>
  <c r="DR184" i="82" s="1"/>
  <c r="CP226" i="82"/>
  <c r="CO226" i="82"/>
  <c r="CC189" i="82"/>
  <c r="CD189" i="82" s="1"/>
  <c r="BB50" i="82"/>
  <c r="BA50" i="82"/>
  <c r="BA46" i="82"/>
  <c r="BB46" i="82" s="1"/>
  <c r="BO99" i="82"/>
  <c r="BP99" i="82" s="1"/>
  <c r="BN99" i="82"/>
  <c r="BO114" i="82"/>
  <c r="BP114" i="82" s="1"/>
  <c r="BN114" i="82"/>
  <c r="CQ247" i="82"/>
  <c r="CR247" i="82" s="1"/>
  <c r="CT247" i="82" s="1"/>
  <c r="CV247" i="82" s="1"/>
  <c r="CX247" i="82" s="1"/>
  <c r="CZ247" i="82" s="1"/>
  <c r="DB247" i="82" s="1"/>
  <c r="DD247" i="82" s="1"/>
  <c r="DF247" i="82" s="1"/>
  <c r="DH247" i="82" s="1"/>
  <c r="DJ247" i="82" s="1"/>
  <c r="DL247" i="82" s="1"/>
  <c r="DN247" i="82" s="1"/>
  <c r="DP247" i="82" s="1"/>
  <c r="DR247" i="82" s="1"/>
  <c r="BH24" i="82"/>
  <c r="BG24" i="82"/>
  <c r="DX206" i="82"/>
  <c r="DT206" i="82"/>
  <c r="DV206" i="82" s="1"/>
  <c r="BB10" i="82"/>
  <c r="BA10" i="82"/>
  <c r="BO98" i="82"/>
  <c r="BP98" i="82" s="1"/>
  <c r="BN98" i="82"/>
  <c r="CO213" i="82"/>
  <c r="CP213" i="82" s="1"/>
  <c r="BG30" i="82"/>
  <c r="BH30" i="82" s="1"/>
  <c r="CA122" i="82"/>
  <c r="CB122" i="82" s="1"/>
  <c r="CQ255" i="82"/>
  <c r="CR255" i="82" s="1"/>
  <c r="CT255" i="82" s="1"/>
  <c r="CV255" i="82" s="1"/>
  <c r="CX255" i="82" s="1"/>
  <c r="CZ255" i="82" s="1"/>
  <c r="DB255" i="82" s="1"/>
  <c r="DD255" i="82" s="1"/>
  <c r="DF255" i="82" s="1"/>
  <c r="DH255" i="82" s="1"/>
  <c r="DJ255" i="82" s="1"/>
  <c r="DL255" i="82" s="1"/>
  <c r="DN255" i="82" s="1"/>
  <c r="DP255" i="82" s="1"/>
  <c r="DR255" i="82" s="1"/>
  <c r="CA100" i="82"/>
  <c r="CB100" i="82" s="1"/>
  <c r="BW169" i="82"/>
  <c r="BX169" i="82" s="1"/>
  <c r="BZ169" i="82" s="1"/>
  <c r="CB169" i="82" s="1"/>
  <c r="CD169" i="82" s="1"/>
  <c r="CF169" i="82" s="1"/>
  <c r="CH169" i="82" s="1"/>
  <c r="CJ169" i="82" s="1"/>
  <c r="CL169" i="82" s="1"/>
  <c r="CN169" i="82" s="1"/>
  <c r="CP169" i="82" s="1"/>
  <c r="CR169" i="82" s="1"/>
  <c r="CT169" i="82" s="1"/>
  <c r="CV169" i="82" s="1"/>
  <c r="CX169" i="82" s="1"/>
  <c r="CZ169" i="82" s="1"/>
  <c r="DB169" i="82" s="1"/>
  <c r="DD169" i="82" s="1"/>
  <c r="DF169" i="82" s="1"/>
  <c r="DH169" i="82" s="1"/>
  <c r="DJ169" i="82" s="1"/>
  <c r="DL169" i="82" s="1"/>
  <c r="DN169" i="82" s="1"/>
  <c r="DP169" i="82" s="1"/>
  <c r="DR169" i="82" s="1"/>
  <c r="CO210" i="82"/>
  <c r="CP210" i="82" s="1"/>
  <c r="BW166" i="82"/>
  <c r="BX166" i="82" s="1"/>
  <c r="BZ166" i="82" s="1"/>
  <c r="CB166" i="82" s="1"/>
  <c r="CD166" i="82" s="1"/>
  <c r="CF166" i="82" s="1"/>
  <c r="CH166" i="82" s="1"/>
  <c r="CJ166" i="82" s="1"/>
  <c r="CL166" i="82" s="1"/>
  <c r="CN166" i="82" s="1"/>
  <c r="CP166" i="82" s="1"/>
  <c r="CR166" i="82" s="1"/>
  <c r="CT166" i="82" s="1"/>
  <c r="CV166" i="82" s="1"/>
  <c r="CX166" i="82" s="1"/>
  <c r="CZ166" i="82" s="1"/>
  <c r="DB166" i="82" s="1"/>
  <c r="DD166" i="82" s="1"/>
  <c r="DF166" i="82" s="1"/>
  <c r="DH166" i="82" s="1"/>
  <c r="DJ166" i="82" s="1"/>
  <c r="DL166" i="82" s="1"/>
  <c r="DN166" i="82" s="1"/>
  <c r="DP166" i="82" s="1"/>
  <c r="DR166" i="82" s="1"/>
  <c r="DX235" i="82"/>
  <c r="DT235" i="82"/>
  <c r="DV235" i="82" s="1"/>
  <c r="DX249" i="82"/>
  <c r="DT249" i="82"/>
  <c r="DV249" i="82" s="1"/>
  <c r="CQ275" i="82"/>
  <c r="CR275" i="82" s="1"/>
  <c r="CS275" i="82" s="1"/>
  <c r="CQ267" i="82"/>
  <c r="CR267" i="82" s="1"/>
  <c r="CS267" i="82" s="1"/>
  <c r="BG18" i="82"/>
  <c r="BH18" i="82" s="1"/>
  <c r="BI34" i="82"/>
  <c r="BJ34" i="82" s="1"/>
  <c r="DX219" i="82"/>
  <c r="DT219" i="82"/>
  <c r="DV219" i="82" s="1"/>
  <c r="CQ283" i="82"/>
  <c r="CR283" i="82" s="1"/>
  <c r="CS283" i="82" s="1"/>
  <c r="BG15" i="82"/>
  <c r="BH15" i="82" s="1"/>
  <c r="CE194" i="82"/>
  <c r="CF194" i="82"/>
  <c r="DX214" i="82"/>
  <c r="DT214" i="82"/>
  <c r="DV214" i="82" s="1"/>
  <c r="DT253" i="82"/>
  <c r="DV253" i="82" s="1"/>
  <c r="DX253" i="82"/>
  <c r="CI198" i="82"/>
  <c r="CJ198" i="82" s="1"/>
  <c r="CL198" i="82" s="1"/>
  <c r="CN198" i="82" s="1"/>
  <c r="CP198" i="82" s="1"/>
  <c r="CR198" i="82" s="1"/>
  <c r="CT198" i="82" s="1"/>
  <c r="CV198" i="82" s="1"/>
  <c r="CX198" i="82" s="1"/>
  <c r="CZ198" i="82" s="1"/>
  <c r="DB198" i="82" s="1"/>
  <c r="DD198" i="82" s="1"/>
  <c r="DF198" i="82" s="1"/>
  <c r="DH198" i="82" s="1"/>
  <c r="DJ198" i="82" s="1"/>
  <c r="DL198" i="82" s="1"/>
  <c r="DN198" i="82" s="1"/>
  <c r="DP198" i="82" s="1"/>
  <c r="DR198" i="82" s="1"/>
  <c r="BG21" i="82"/>
  <c r="BH21" i="82" s="1"/>
  <c r="BG45" i="82"/>
  <c r="BH45" i="82" s="1"/>
  <c r="CQ209" i="82"/>
  <c r="CR209" i="82" s="1"/>
  <c r="CT209" i="82" s="1"/>
  <c r="CV209" i="82" s="1"/>
  <c r="CX209" i="82" s="1"/>
  <c r="CZ209" i="82" s="1"/>
  <c r="DB209" i="82" s="1"/>
  <c r="DD209" i="82" s="1"/>
  <c r="DF209" i="82" s="1"/>
  <c r="DH209" i="82" s="1"/>
  <c r="DJ209" i="82" s="1"/>
  <c r="DL209" i="82" s="1"/>
  <c r="DN209" i="82" s="1"/>
  <c r="DP209" i="82" s="1"/>
  <c r="DR209" i="82" s="1"/>
  <c r="BI28" i="82"/>
  <c r="BJ28" i="82" s="1"/>
  <c r="BY176" i="82"/>
  <c r="BZ176" i="82" s="1"/>
  <c r="CB176" i="82" s="1"/>
  <c r="CD176" i="82" s="1"/>
  <c r="CF176" i="82" s="1"/>
  <c r="CH176" i="82" s="1"/>
  <c r="CJ176" i="82" s="1"/>
  <c r="CL176" i="82" s="1"/>
  <c r="CN176" i="82" s="1"/>
  <c r="CP176" i="82" s="1"/>
  <c r="CR176" i="82" s="1"/>
  <c r="CT176" i="82" s="1"/>
  <c r="CV176" i="82" s="1"/>
  <c r="CX176" i="82" s="1"/>
  <c r="CZ176" i="82" s="1"/>
  <c r="DB176" i="82" s="1"/>
  <c r="DD176" i="82" s="1"/>
  <c r="DF176" i="82" s="1"/>
  <c r="DH176" i="82" s="1"/>
  <c r="DJ176" i="82" s="1"/>
  <c r="DL176" i="82" s="1"/>
  <c r="DN176" i="82" s="1"/>
  <c r="DP176" i="82" s="1"/>
  <c r="DR176" i="82" s="1"/>
  <c r="BG52" i="82"/>
  <c r="BH52" i="82" s="1"/>
  <c r="CQ290" i="82"/>
  <c r="CR290" i="82" s="1"/>
  <c r="CS290" i="82" s="1"/>
  <c r="CQ205" i="82"/>
  <c r="CR205" i="82"/>
  <c r="CT205" i="82" s="1"/>
  <c r="CV205" i="82" s="1"/>
  <c r="CX205" i="82" s="1"/>
  <c r="CZ205" i="82" s="1"/>
  <c r="DB205" i="82" s="1"/>
  <c r="DD205" i="82" s="1"/>
  <c r="DF205" i="82" s="1"/>
  <c r="DH205" i="82" s="1"/>
  <c r="DJ205" i="82" s="1"/>
  <c r="DL205" i="82" s="1"/>
  <c r="DN205" i="82" s="1"/>
  <c r="DP205" i="82" s="1"/>
  <c r="DR205" i="82" s="1"/>
  <c r="BR112" i="82"/>
  <c r="BS112" i="82"/>
  <c r="BA19" i="82"/>
  <c r="BB19" i="82"/>
  <c r="CQ225" i="82"/>
  <c r="CR225" i="82" s="1"/>
  <c r="CT225" i="82" s="1"/>
  <c r="CV225" i="82" s="1"/>
  <c r="CX225" i="82" s="1"/>
  <c r="CZ225" i="82" s="1"/>
  <c r="DB225" i="82" s="1"/>
  <c r="DD225" i="82" s="1"/>
  <c r="DF225" i="82" s="1"/>
  <c r="DH225" i="82" s="1"/>
  <c r="DJ225" i="82" s="1"/>
  <c r="DL225" i="82" s="1"/>
  <c r="DN225" i="82" s="1"/>
  <c r="DP225" i="82" s="1"/>
  <c r="DR225" i="82" s="1"/>
  <c r="CC193" i="82"/>
  <c r="CD193" i="82"/>
  <c r="BY97" i="82"/>
  <c r="BZ97" i="82" s="1"/>
  <c r="CA119" i="82"/>
  <c r="CB119" i="82" s="1"/>
  <c r="CO262" i="82"/>
  <c r="CP262" i="82" s="1"/>
  <c r="CQ229" i="82"/>
  <c r="CR229" i="82" s="1"/>
  <c r="CT229" i="82" s="1"/>
  <c r="CV229" i="82" s="1"/>
  <c r="CX229" i="82" s="1"/>
  <c r="CZ229" i="82" s="1"/>
  <c r="DB229" i="82" s="1"/>
  <c r="DD229" i="82" s="1"/>
  <c r="DF229" i="82" s="1"/>
  <c r="DH229" i="82" s="1"/>
  <c r="DJ229" i="82" s="1"/>
  <c r="DL229" i="82" s="1"/>
  <c r="DN229" i="82" s="1"/>
  <c r="DP229" i="82" s="1"/>
  <c r="DR229" i="82" s="1"/>
  <c r="CQ258" i="82"/>
  <c r="CR258" i="82" s="1"/>
  <c r="CT258" i="82" s="1"/>
  <c r="CV258" i="82" s="1"/>
  <c r="CX258" i="82" s="1"/>
  <c r="CZ258" i="82" s="1"/>
  <c r="DB258" i="82" s="1"/>
  <c r="DD258" i="82" s="1"/>
  <c r="DF258" i="82" s="1"/>
  <c r="DH258" i="82" s="1"/>
  <c r="DJ258" i="82" s="1"/>
  <c r="DL258" i="82" s="1"/>
  <c r="DN258" i="82" s="1"/>
  <c r="DP258" i="82" s="1"/>
  <c r="DR258" i="82" s="1"/>
  <c r="CO57" i="82"/>
  <c r="CP57" i="82" s="1"/>
  <c r="BO118" i="82"/>
  <c r="BP118" i="82" s="1"/>
  <c r="BN118" i="82"/>
  <c r="BI49" i="82"/>
  <c r="BJ49" i="82" s="1"/>
  <c r="CQ236" i="82"/>
  <c r="CR236" i="82"/>
  <c r="CT236" i="82" s="1"/>
  <c r="CV236" i="82" s="1"/>
  <c r="CX236" i="82" s="1"/>
  <c r="CZ236" i="82" s="1"/>
  <c r="DB236" i="82" s="1"/>
  <c r="DD236" i="82" s="1"/>
  <c r="DF236" i="82" s="1"/>
  <c r="DH236" i="82" s="1"/>
  <c r="DJ236" i="82" s="1"/>
  <c r="DL236" i="82" s="1"/>
  <c r="DN236" i="82" s="1"/>
  <c r="DP236" i="82" s="1"/>
  <c r="DR236" i="82" s="1"/>
  <c r="CQ203" i="82"/>
  <c r="CR203" i="82" s="1"/>
  <c r="CT203" i="82" s="1"/>
  <c r="CV203" i="82" s="1"/>
  <c r="CX203" i="82" s="1"/>
  <c r="CZ203" i="82" s="1"/>
  <c r="DB203" i="82" s="1"/>
  <c r="DD203" i="82" s="1"/>
  <c r="DF203" i="82" s="1"/>
  <c r="DH203" i="82" s="1"/>
  <c r="DJ203" i="82" s="1"/>
  <c r="DL203" i="82" s="1"/>
  <c r="DN203" i="82" s="1"/>
  <c r="DP203" i="82" s="1"/>
  <c r="DR203" i="82" s="1"/>
  <c r="DX251" i="82"/>
  <c r="DT251" i="82"/>
  <c r="DV251" i="82" s="1"/>
  <c r="BG17" i="82"/>
  <c r="BH17" i="82" s="1"/>
  <c r="DX224" i="82"/>
  <c r="DT224" i="82"/>
  <c r="DV224" i="82" s="1"/>
  <c r="CO201" i="82"/>
  <c r="CP201" i="82" s="1"/>
  <c r="CR201" i="82" s="1"/>
  <c r="CT201" i="82" s="1"/>
  <c r="CV201" i="82" s="1"/>
  <c r="CX201" i="82" s="1"/>
  <c r="CZ201" i="82" s="1"/>
  <c r="DB201" i="82" s="1"/>
  <c r="DD201" i="82" s="1"/>
  <c r="DF201" i="82" s="1"/>
  <c r="DH201" i="82" s="1"/>
  <c r="DJ201" i="82" s="1"/>
  <c r="DL201" i="82" s="1"/>
  <c r="DN201" i="82" s="1"/>
  <c r="DP201" i="82" s="1"/>
  <c r="DR201" i="82" s="1"/>
  <c r="CQ268" i="82"/>
  <c r="CR268" i="82" s="1"/>
  <c r="CS268" i="82" s="1"/>
  <c r="CA120" i="82"/>
  <c r="CB120" i="82" s="1"/>
  <c r="BG53" i="82"/>
  <c r="BH53" i="82" s="1"/>
  <c r="CQ238" i="82"/>
  <c r="CR238" i="82" s="1"/>
  <c r="CT238" i="82" s="1"/>
  <c r="CV238" i="82" s="1"/>
  <c r="CX238" i="82" s="1"/>
  <c r="CZ238" i="82" s="1"/>
  <c r="DB238" i="82" s="1"/>
  <c r="DD238" i="82" s="1"/>
  <c r="DF238" i="82" s="1"/>
  <c r="DH238" i="82" s="1"/>
  <c r="DJ238" i="82" s="1"/>
  <c r="DL238" i="82" s="1"/>
  <c r="DN238" i="82" s="1"/>
  <c r="DP238" i="82" s="1"/>
  <c r="DR238" i="82" s="1"/>
  <c r="BA43" i="82"/>
  <c r="BB43" i="82" s="1"/>
  <c r="CQ237" i="82"/>
  <c r="CR237" i="82" s="1"/>
  <c r="CT237" i="82" s="1"/>
  <c r="CV237" i="82" s="1"/>
  <c r="CX237" i="82" s="1"/>
  <c r="CZ237" i="82" s="1"/>
  <c r="DB237" i="82" s="1"/>
  <c r="DD237" i="82" s="1"/>
  <c r="DF237" i="82" s="1"/>
  <c r="DH237" i="82" s="1"/>
  <c r="DJ237" i="82" s="1"/>
  <c r="DL237" i="82" s="1"/>
  <c r="DN237" i="82" s="1"/>
  <c r="DP237" i="82" s="1"/>
  <c r="DR237" i="82" s="1"/>
  <c r="BG22" i="82"/>
  <c r="BH22" i="82" s="1"/>
  <c r="CC187" i="82"/>
  <c r="CD187" i="82" s="1"/>
  <c r="BG44" i="82"/>
  <c r="BH44" i="82" s="1"/>
  <c r="CO212" i="82"/>
  <c r="CP212" i="82" s="1"/>
  <c r="BG14" i="82"/>
  <c r="BH14" i="82" s="1"/>
  <c r="BG9" i="82"/>
  <c r="BH9" i="82" s="1"/>
  <c r="BW163" i="82"/>
  <c r="BX163" i="82"/>
  <c r="BZ163" i="82" s="1"/>
  <c r="CB163" i="82" s="1"/>
  <c r="CD163" i="82" s="1"/>
  <c r="CF163" i="82" s="1"/>
  <c r="CH163" i="82" s="1"/>
  <c r="CJ163" i="82" s="1"/>
  <c r="CL163" i="82" s="1"/>
  <c r="CN163" i="82" s="1"/>
  <c r="CP163" i="82" s="1"/>
  <c r="CR163" i="82" s="1"/>
  <c r="CT163" i="82" s="1"/>
  <c r="CV163" i="82" s="1"/>
  <c r="CX163" i="82" s="1"/>
  <c r="CZ163" i="82" s="1"/>
  <c r="DB163" i="82" s="1"/>
  <c r="DD163" i="82" s="1"/>
  <c r="DF163" i="82" s="1"/>
  <c r="DH163" i="82" s="1"/>
  <c r="DJ163" i="82" s="1"/>
  <c r="DL163" i="82" s="1"/>
  <c r="DN163" i="82" s="1"/>
  <c r="DP163" i="82" s="1"/>
  <c r="DR163" i="82" s="1"/>
  <c r="DX164" i="82"/>
  <c r="DT164" i="82"/>
  <c r="DV164" i="82" s="1"/>
  <c r="BO119" i="82"/>
  <c r="BP119" i="82"/>
  <c r="BN119" i="82"/>
  <c r="BG12" i="82"/>
  <c r="BH12" i="82" s="1"/>
  <c r="BA51" i="82"/>
  <c r="BB51" i="82" s="1"/>
  <c r="DX171" i="82"/>
  <c r="DT171" i="82"/>
  <c r="DV171" i="82" s="1"/>
  <c r="CS99" i="82"/>
  <c r="CT99" i="82" s="1"/>
  <c r="BG23" i="82"/>
  <c r="BH23" i="82" s="1"/>
  <c r="BI25" i="82"/>
  <c r="BJ25" i="82" s="1"/>
  <c r="CE151" i="82"/>
  <c r="CE158" i="82" s="1"/>
  <c r="BW161" i="82"/>
  <c r="BX161" i="82"/>
  <c r="BZ161" i="82" s="1"/>
  <c r="CB161" i="82" s="1"/>
  <c r="CD161" i="82" s="1"/>
  <c r="CF161" i="82" s="1"/>
  <c r="CH161" i="82" s="1"/>
  <c r="CJ161" i="82" s="1"/>
  <c r="CL161" i="82" s="1"/>
  <c r="CN161" i="82" s="1"/>
  <c r="CP161" i="82" s="1"/>
  <c r="CR161" i="82" s="1"/>
  <c r="CT161" i="82" s="1"/>
  <c r="CV161" i="82" s="1"/>
  <c r="CX161" i="82" s="1"/>
  <c r="CZ161" i="82" s="1"/>
  <c r="DB161" i="82" s="1"/>
  <c r="DD161" i="82" s="1"/>
  <c r="DF161" i="82" s="1"/>
  <c r="DH161" i="82" s="1"/>
  <c r="DJ161" i="82" s="1"/>
  <c r="DL161" i="82" s="1"/>
  <c r="DN161" i="82" s="1"/>
  <c r="DP161" i="82" s="1"/>
  <c r="DR161" i="82" s="1"/>
  <c r="CQ273" i="82"/>
  <c r="CR273" i="82" s="1"/>
  <c r="CS273" i="82" s="1"/>
  <c r="BY177" i="82"/>
  <c r="BZ177" i="82" s="1"/>
  <c r="CB177" i="82" s="1"/>
  <c r="CD177" i="82" s="1"/>
  <c r="CF177" i="82" s="1"/>
  <c r="CH177" i="82" s="1"/>
  <c r="CJ177" i="82" s="1"/>
  <c r="CL177" i="82" s="1"/>
  <c r="CN177" i="82" s="1"/>
  <c r="CP177" i="82" s="1"/>
  <c r="CR177" i="82" s="1"/>
  <c r="CT177" i="82" s="1"/>
  <c r="CV177" i="82" s="1"/>
  <c r="CX177" i="82" s="1"/>
  <c r="CZ177" i="82" s="1"/>
  <c r="DB177" i="82" s="1"/>
  <c r="DD177" i="82" s="1"/>
  <c r="DF177" i="82" s="1"/>
  <c r="DH177" i="82" s="1"/>
  <c r="DJ177" i="82" s="1"/>
  <c r="DL177" i="82" s="1"/>
  <c r="DN177" i="82" s="1"/>
  <c r="DP177" i="82" s="1"/>
  <c r="DR177" i="82" s="1"/>
  <c r="BW167" i="82"/>
  <c r="BX167" i="82" s="1"/>
  <c r="BZ167" i="82" s="1"/>
  <c r="CB167" i="82" s="1"/>
  <c r="CD167" i="82" s="1"/>
  <c r="CF167" i="82" s="1"/>
  <c r="CH167" i="82" s="1"/>
  <c r="CJ167" i="82" s="1"/>
  <c r="CL167" i="82" s="1"/>
  <c r="CN167" i="82" s="1"/>
  <c r="CP167" i="82" s="1"/>
  <c r="CR167" i="82" s="1"/>
  <c r="CT167" i="82" s="1"/>
  <c r="CV167" i="82" s="1"/>
  <c r="CX167" i="82" s="1"/>
  <c r="CZ167" i="82" s="1"/>
  <c r="DB167" i="82" s="1"/>
  <c r="DD167" i="82" s="1"/>
  <c r="DF167" i="82" s="1"/>
  <c r="DH167" i="82" s="1"/>
  <c r="DJ167" i="82" s="1"/>
  <c r="DL167" i="82" s="1"/>
  <c r="DN167" i="82" s="1"/>
  <c r="DP167" i="82" s="1"/>
  <c r="DR167" i="82" s="1"/>
  <c r="DX233" i="82"/>
  <c r="DT233" i="82"/>
  <c r="DV233" i="82" s="1"/>
  <c r="BW168" i="82"/>
  <c r="BX168" i="82"/>
  <c r="BZ168" i="82" s="1"/>
  <c r="CB168" i="82" s="1"/>
  <c r="CD168" i="82" s="1"/>
  <c r="CF168" i="82" s="1"/>
  <c r="CH168" i="82" s="1"/>
  <c r="CJ168" i="82" s="1"/>
  <c r="CL168" i="82" s="1"/>
  <c r="CN168" i="82" s="1"/>
  <c r="CP168" i="82" s="1"/>
  <c r="CR168" i="82" s="1"/>
  <c r="CT168" i="82" s="1"/>
  <c r="CV168" i="82" s="1"/>
  <c r="CX168" i="82" s="1"/>
  <c r="CZ168" i="82" s="1"/>
  <c r="DB168" i="82" s="1"/>
  <c r="DD168" i="82" s="1"/>
  <c r="DF168" i="82" s="1"/>
  <c r="DH168" i="82" s="1"/>
  <c r="DJ168" i="82" s="1"/>
  <c r="DL168" i="82" s="1"/>
  <c r="DN168" i="82" s="1"/>
  <c r="DP168" i="82" s="1"/>
  <c r="DR168" i="82" s="1"/>
  <c r="CO234" i="82"/>
  <c r="CP234" i="82" s="1"/>
  <c r="BN120" i="82"/>
  <c r="BO120" i="82"/>
  <c r="BP120" i="82" s="1"/>
  <c r="CA112" i="82"/>
  <c r="CB112" i="82" s="1"/>
  <c r="DX252" i="82"/>
  <c r="DT252" i="82"/>
  <c r="DV252" i="82" s="1"/>
  <c r="CL303" i="82"/>
  <c r="CA118" i="82"/>
  <c r="CB118" i="82" s="1"/>
  <c r="BG32" i="82"/>
  <c r="BH32" i="82" s="1"/>
  <c r="DX175" i="82"/>
  <c r="DT175" i="82"/>
  <c r="DV175" i="82" s="1"/>
  <c r="CQ281" i="82"/>
  <c r="CR281" i="82" s="1"/>
  <c r="CS281" i="82" s="1"/>
  <c r="CQ204" i="82"/>
  <c r="CR204" i="82" s="1"/>
  <c r="CT204" i="82" s="1"/>
  <c r="CV204" i="82" s="1"/>
  <c r="CX204" i="82" s="1"/>
  <c r="CZ204" i="82" s="1"/>
  <c r="DB204" i="82" s="1"/>
  <c r="DD204" i="82" s="1"/>
  <c r="DF204" i="82" s="1"/>
  <c r="DH204" i="82" s="1"/>
  <c r="DJ204" i="82" s="1"/>
  <c r="DL204" i="82" s="1"/>
  <c r="DN204" i="82" s="1"/>
  <c r="DP204" i="82" s="1"/>
  <c r="DR204" i="82" s="1"/>
  <c r="DT218" i="82"/>
  <c r="DV218" i="82" s="1"/>
  <c r="DX218" i="82"/>
  <c r="CQ242" i="82"/>
  <c r="CR242" i="82" s="1"/>
  <c r="CT242" i="82" s="1"/>
  <c r="CV242" i="82" s="1"/>
  <c r="CX242" i="82" s="1"/>
  <c r="CZ242" i="82" s="1"/>
  <c r="DB242" i="82" s="1"/>
  <c r="DD242" i="82" s="1"/>
  <c r="DF242" i="82" s="1"/>
  <c r="DH242" i="82" s="1"/>
  <c r="DJ242" i="82" s="1"/>
  <c r="DL242" i="82" s="1"/>
  <c r="DN242" i="82" s="1"/>
  <c r="DP242" i="82" s="1"/>
  <c r="DR242" i="82" s="1"/>
  <c r="DX211" i="82"/>
  <c r="DT211" i="82"/>
  <c r="DV211" i="82" s="1"/>
  <c r="BO121" i="82"/>
  <c r="BP121" i="82" s="1"/>
  <c r="BN121" i="82"/>
  <c r="BR113" i="82"/>
  <c r="BS113" i="82"/>
  <c r="CQ248" i="82"/>
  <c r="CR248" i="82" s="1"/>
  <c r="CT248" i="82" s="1"/>
  <c r="CV248" i="82" s="1"/>
  <c r="CX248" i="82" s="1"/>
  <c r="CZ248" i="82" s="1"/>
  <c r="DB248" i="82" s="1"/>
  <c r="DD248" i="82" s="1"/>
  <c r="DF248" i="82" s="1"/>
  <c r="DH248" i="82" s="1"/>
  <c r="DJ248" i="82" s="1"/>
  <c r="DL248" i="82" s="1"/>
  <c r="DN248" i="82" s="1"/>
  <c r="DP248" i="82" s="1"/>
  <c r="DR248" i="82" s="1"/>
  <c r="CO230" i="82"/>
  <c r="CP230" i="82" s="1"/>
  <c r="BG39" i="82"/>
  <c r="BH39" i="82" s="1"/>
  <c r="CA98" i="82"/>
  <c r="CB98" i="82" s="1"/>
  <c r="BA33" i="82"/>
  <c r="BB33" i="82" s="1"/>
  <c r="CQ227" i="82"/>
  <c r="CR227" i="82" s="1"/>
  <c r="CT227" i="82" s="1"/>
  <c r="CV227" i="82" s="1"/>
  <c r="CX227" i="82" s="1"/>
  <c r="CZ227" i="82" s="1"/>
  <c r="DB227" i="82" s="1"/>
  <c r="DD227" i="82" s="1"/>
  <c r="DF227" i="82" s="1"/>
  <c r="DH227" i="82" s="1"/>
  <c r="DJ227" i="82" s="1"/>
  <c r="DL227" i="82" s="1"/>
  <c r="DN227" i="82" s="1"/>
  <c r="DP227" i="82" s="1"/>
  <c r="DR227" i="82" s="1"/>
  <c r="CQ250" i="82"/>
  <c r="CR250" i="82" s="1"/>
  <c r="CT250" i="82" s="1"/>
  <c r="CV250" i="82" s="1"/>
  <c r="CX250" i="82" s="1"/>
  <c r="CZ250" i="82" s="1"/>
  <c r="DB250" i="82" s="1"/>
  <c r="DD250" i="82" s="1"/>
  <c r="DF250" i="82" s="1"/>
  <c r="DH250" i="82" s="1"/>
  <c r="DJ250" i="82" s="1"/>
  <c r="DL250" i="82" s="1"/>
  <c r="DN250" i="82" s="1"/>
  <c r="DP250" i="82" s="1"/>
  <c r="DR250" i="82" s="1"/>
  <c r="CA113" i="82"/>
  <c r="CB113" i="82" s="1"/>
  <c r="CQ202" i="82"/>
  <c r="BH36" i="82"/>
  <c r="BG36" i="82"/>
  <c r="BI20" i="82"/>
  <c r="BJ20" i="82" s="1"/>
  <c r="BI26" i="82"/>
  <c r="BJ26" i="82" s="1"/>
  <c r="CP243" i="82"/>
  <c r="CO243" i="82"/>
  <c r="DX183" i="82"/>
  <c r="DT183" i="82"/>
  <c r="DV183" i="82" s="1"/>
  <c r="BY179" i="82"/>
  <c r="BZ179" i="82" s="1"/>
  <c r="CB179" i="82" s="1"/>
  <c r="CD179" i="82" s="1"/>
  <c r="CF179" i="82" s="1"/>
  <c r="CH179" i="82" s="1"/>
  <c r="CJ179" i="82" s="1"/>
  <c r="CL179" i="82" s="1"/>
  <c r="CN179" i="82" s="1"/>
  <c r="CP179" i="82" s="1"/>
  <c r="CR179" i="82" s="1"/>
  <c r="CT179" i="82" s="1"/>
  <c r="CV179" i="82" s="1"/>
  <c r="CX179" i="82" s="1"/>
  <c r="CZ179" i="82" s="1"/>
  <c r="DB179" i="82" s="1"/>
  <c r="DD179" i="82" s="1"/>
  <c r="DF179" i="82" s="1"/>
  <c r="DH179" i="82" s="1"/>
  <c r="DJ179" i="82" s="1"/>
  <c r="DL179" i="82" s="1"/>
  <c r="DN179" i="82" s="1"/>
  <c r="DP179" i="82" s="1"/>
  <c r="DR179" i="82" s="1"/>
  <c r="BG47" i="82"/>
  <c r="BH47" i="82" s="1"/>
  <c r="BG27" i="82"/>
  <c r="BH27" i="82" s="1"/>
  <c r="BS104" i="82"/>
  <c r="I16" i="4" s="1"/>
  <c r="K16" i="4" s="1"/>
  <c r="M16" i="4" s="1"/>
  <c r="O16" i="4" s="1"/>
  <c r="BR104" i="82"/>
  <c r="CE192" i="82"/>
  <c r="CF192" i="82" s="1"/>
  <c r="AT59" i="82"/>
  <c r="CM301" i="82"/>
  <c r="BN140" i="82"/>
  <c r="BP140" i="82"/>
  <c r="BL158" i="82"/>
  <c r="CQ285" i="82"/>
  <c r="CR285" i="82" s="1"/>
  <c r="CS285" i="82" s="1"/>
  <c r="CI197" i="82"/>
  <c r="CJ197" i="82" s="1"/>
  <c r="CL197" i="82" s="1"/>
  <c r="CN197" i="82" s="1"/>
  <c r="CP197" i="82" s="1"/>
  <c r="CR197" i="82" s="1"/>
  <c r="CT197" i="82" s="1"/>
  <c r="CV197" i="82" s="1"/>
  <c r="CX197" i="82" s="1"/>
  <c r="CZ197" i="82" s="1"/>
  <c r="DB197" i="82" s="1"/>
  <c r="DD197" i="82" s="1"/>
  <c r="DF197" i="82" s="1"/>
  <c r="DH197" i="82" s="1"/>
  <c r="DJ197" i="82" s="1"/>
  <c r="DL197" i="82" s="1"/>
  <c r="DN197" i="82" s="1"/>
  <c r="DP197" i="82" s="1"/>
  <c r="DR197" i="82" s="1"/>
  <c r="DX228" i="82"/>
  <c r="DT228" i="82"/>
  <c r="DV228" i="82" s="1"/>
  <c r="CO265" i="82"/>
  <c r="CP265" i="82" s="1"/>
  <c r="BN165" i="82"/>
  <c r="BO165" i="82"/>
  <c r="BP165" i="82" s="1"/>
  <c r="BI31" i="82"/>
  <c r="BJ31" i="82" s="1"/>
  <c r="CA115" i="82"/>
  <c r="CB115" i="82" s="1"/>
  <c r="BA37" i="82"/>
  <c r="BB37" i="82" s="1"/>
  <c r="BR100" i="82"/>
  <c r="BS100" i="82"/>
  <c r="CQ239" i="82"/>
  <c r="CR239" i="82" s="1"/>
  <c r="CT239" i="82" s="1"/>
  <c r="CV239" i="82" s="1"/>
  <c r="CX239" i="82" s="1"/>
  <c r="CZ239" i="82" s="1"/>
  <c r="DB239" i="82" s="1"/>
  <c r="DD239" i="82" s="1"/>
  <c r="DF239" i="82" s="1"/>
  <c r="DH239" i="82" s="1"/>
  <c r="DJ239" i="82" s="1"/>
  <c r="DL239" i="82" s="1"/>
  <c r="DN239" i="82" s="1"/>
  <c r="DP239" i="82" s="1"/>
  <c r="DR239" i="82" s="1"/>
  <c r="CQ232" i="82"/>
  <c r="CR232" i="82" s="1"/>
  <c r="CT232" i="82" s="1"/>
  <c r="CV232" i="82" s="1"/>
  <c r="CX232" i="82" s="1"/>
  <c r="CZ232" i="82" s="1"/>
  <c r="DB232" i="82" s="1"/>
  <c r="DD232" i="82" s="1"/>
  <c r="DF232" i="82" s="1"/>
  <c r="DH232" i="82" s="1"/>
  <c r="DJ232" i="82" s="1"/>
  <c r="DL232" i="82" s="1"/>
  <c r="DN232" i="82" s="1"/>
  <c r="DP232" i="82" s="1"/>
  <c r="DR232" i="82" s="1"/>
  <c r="AS8" i="82"/>
  <c r="AS59" i="82" s="1"/>
  <c r="AO59" i="82"/>
  <c r="CQ276" i="82"/>
  <c r="CR276" i="82" s="1"/>
  <c r="CS276" i="82" s="1"/>
  <c r="BA38" i="82"/>
  <c r="BB38" i="82" s="1"/>
  <c r="BO115" i="82"/>
  <c r="BP115" i="82" s="1"/>
  <c r="BN115" i="82"/>
  <c r="BN122" i="82"/>
  <c r="BO122" i="82"/>
  <c r="BP122" i="82" s="1"/>
  <c r="CO261" i="82"/>
  <c r="CP261" i="82" s="1"/>
  <c r="CP217" i="82"/>
  <c r="CO217" i="82"/>
  <c r="CO254" i="82"/>
  <c r="CP254" i="82" s="1"/>
  <c r="CA104" i="82"/>
  <c r="CB104" i="82" s="1"/>
  <c r="DT259" i="82"/>
  <c r="DV259" i="82" s="1"/>
  <c r="DX259" i="82"/>
  <c r="BI29" i="82"/>
  <c r="BJ29" i="82" s="1"/>
  <c r="BG40" i="82"/>
  <c r="BH40" i="82" s="1"/>
  <c r="DX263" i="82"/>
  <c r="DT263" i="82"/>
  <c r="DV263" i="82" s="1"/>
  <c r="DX195" i="82"/>
  <c r="DT195" i="82"/>
  <c r="DV195" i="82" s="1"/>
  <c r="DX260" i="82"/>
  <c r="DT260" i="82"/>
  <c r="DV260" i="82" s="1"/>
  <c r="CA117" i="82"/>
  <c r="CB117" i="82" s="1"/>
  <c r="DT246" i="82"/>
  <c r="DV246" i="82" s="1"/>
  <c r="DX246" i="82"/>
  <c r="CO222" i="82"/>
  <c r="CP222" i="82" s="1"/>
  <c r="DX215" i="82"/>
  <c r="DT215" i="82"/>
  <c r="DV215" i="82" s="1"/>
  <c r="DX172" i="82"/>
  <c r="DT172" i="82"/>
  <c r="DV172" i="82" s="1"/>
  <c r="BH35" i="82"/>
  <c r="BG35" i="82"/>
  <c r="CI196" i="82"/>
  <c r="CI301" i="82" s="1"/>
  <c r="CP256" i="82"/>
  <c r="CO256" i="82"/>
  <c r="DX257" i="82"/>
  <c r="DT257" i="82"/>
  <c r="DV257" i="82" s="1"/>
  <c r="BH16" i="82"/>
  <c r="BG16" i="82"/>
  <c r="CE191" i="82"/>
  <c r="CF191" i="82" s="1"/>
  <c r="CA121" i="82"/>
  <c r="CB121" i="82" s="1"/>
  <c r="CR264" i="82"/>
  <c r="CT264" i="82" s="1"/>
  <c r="CV264" i="82" s="1"/>
  <c r="CX264" i="82" s="1"/>
  <c r="CZ264" i="82" s="1"/>
  <c r="DB264" i="82" s="1"/>
  <c r="DD264" i="82" s="1"/>
  <c r="DF264" i="82" s="1"/>
  <c r="DH264" i="82" s="1"/>
  <c r="DJ264" i="82" s="1"/>
  <c r="DL264" i="82" s="1"/>
  <c r="DN264" i="82" s="1"/>
  <c r="DP264" i="82" s="1"/>
  <c r="DR264" i="82" s="1"/>
  <c r="CQ264" i="82"/>
  <c r="CO245" i="82"/>
  <c r="CP245" i="82" s="1"/>
  <c r="CU58" i="82"/>
  <c r="CV58" i="82" s="1"/>
  <c r="BI54" i="82"/>
  <c r="BJ54" i="82" s="1"/>
  <c r="BN106" i="82"/>
  <c r="BO106" i="82"/>
  <c r="BP106" i="82" s="1"/>
  <c r="BG11" i="82"/>
  <c r="BH11" i="82" s="1"/>
  <c r="DX208" i="82"/>
  <c r="DT208" i="82"/>
  <c r="DV208" i="82" s="1"/>
  <c r="BU173" i="82"/>
  <c r="BV173" i="82" s="1"/>
  <c r="BI97" i="82"/>
  <c r="BI134" i="82" s="1"/>
  <c r="BH134" i="82"/>
  <c r="BI42" i="82"/>
  <c r="BJ42" i="82" s="1"/>
  <c r="BA62" i="82"/>
  <c r="BA95" i="82" s="1"/>
  <c r="AY95" i="82"/>
  <c r="CQ216" i="82"/>
  <c r="CR216" i="82" s="1"/>
  <c r="CT216" i="82" s="1"/>
  <c r="CV216" i="82" s="1"/>
  <c r="CX216" i="82" s="1"/>
  <c r="CZ216" i="82" s="1"/>
  <c r="DB216" i="82" s="1"/>
  <c r="DD216" i="82" s="1"/>
  <c r="DF216" i="82" s="1"/>
  <c r="DH216" i="82" s="1"/>
  <c r="DJ216" i="82" s="1"/>
  <c r="DL216" i="82" s="1"/>
  <c r="DN216" i="82" s="1"/>
  <c r="DP216" i="82" s="1"/>
  <c r="DR216" i="82" s="1"/>
  <c r="DT240" i="82"/>
  <c r="DV240" i="82" s="1"/>
  <c r="DX240" i="82"/>
  <c r="CD304" i="82"/>
  <c r="BA162" i="82"/>
  <c r="AP8" i="82"/>
  <c r="AP59" i="82" s="1"/>
  <c r="BL61" i="82"/>
  <c r="CP200" i="82"/>
  <c r="CR200" i="82" s="1"/>
  <c r="CT200" i="82" s="1"/>
  <c r="CV200" i="82" s="1"/>
  <c r="CX200" i="82" s="1"/>
  <c r="CZ200" i="82" s="1"/>
  <c r="DB200" i="82" s="1"/>
  <c r="DD200" i="82" s="1"/>
  <c r="DF200" i="82" s="1"/>
  <c r="DH200" i="82" s="1"/>
  <c r="DJ200" i="82" s="1"/>
  <c r="DL200" i="82" s="1"/>
  <c r="DN200" i="82" s="1"/>
  <c r="DP200" i="82" s="1"/>
  <c r="DR200" i="82" s="1"/>
  <c r="CH190" i="82"/>
  <c r="CJ190" i="82" s="1"/>
  <c r="CL190" i="82" s="1"/>
  <c r="CN190" i="82" s="1"/>
  <c r="CP190" i="82" s="1"/>
  <c r="CR190" i="82" s="1"/>
  <c r="CT190" i="82" s="1"/>
  <c r="CV190" i="82" s="1"/>
  <c r="CX190" i="82" s="1"/>
  <c r="CZ190" i="82" s="1"/>
  <c r="DB190" i="82" s="1"/>
  <c r="DD190" i="82" s="1"/>
  <c r="DF190" i="82" s="1"/>
  <c r="DH190" i="82" s="1"/>
  <c r="DJ190" i="82" s="1"/>
  <c r="DL190" i="82" s="1"/>
  <c r="DN190" i="82" s="1"/>
  <c r="DP190" i="82" s="1"/>
  <c r="DR190" i="82" s="1"/>
  <c r="AT160" i="82" l="1"/>
  <c r="AT301" i="82" s="1"/>
  <c r="CB136" i="82"/>
  <c r="CJ196" i="82"/>
  <c r="CL196" i="82" s="1"/>
  <c r="CN196" i="82" s="1"/>
  <c r="CP196" i="82" s="1"/>
  <c r="CR196" i="82" s="1"/>
  <c r="CT196" i="82" s="1"/>
  <c r="CV196" i="82" s="1"/>
  <c r="CX196" i="82" s="1"/>
  <c r="CZ196" i="82" s="1"/>
  <c r="DB196" i="82" s="1"/>
  <c r="DD196" i="82" s="1"/>
  <c r="DF196" i="82" s="1"/>
  <c r="DH196" i="82" s="1"/>
  <c r="DJ196" i="82" s="1"/>
  <c r="DL196" i="82" s="1"/>
  <c r="DN196" i="82" s="1"/>
  <c r="DP196" i="82" s="1"/>
  <c r="DR196" i="82" s="1"/>
  <c r="AO160" i="82"/>
  <c r="CF151" i="82"/>
  <c r="BB62" i="82"/>
  <c r="AU8" i="82"/>
  <c r="AR8" i="82"/>
  <c r="AR59" i="82" s="1"/>
  <c r="CO301" i="82"/>
  <c r="DX216" i="82"/>
  <c r="DT216" i="82"/>
  <c r="DV216" i="82" s="1"/>
  <c r="CG191" i="82"/>
  <c r="BS115" i="82"/>
  <c r="BR115" i="82"/>
  <c r="CC121" i="82"/>
  <c r="CD121" i="82" s="1"/>
  <c r="CC117" i="82"/>
  <c r="CD117" i="82" s="1"/>
  <c r="CC104" i="82"/>
  <c r="CD104" i="82" s="1"/>
  <c r="CQ261" i="82"/>
  <c r="CR261" i="82" s="1"/>
  <c r="CT261" i="82" s="1"/>
  <c r="CV261" i="82" s="1"/>
  <c r="CX261" i="82" s="1"/>
  <c r="CZ261" i="82" s="1"/>
  <c r="DB261" i="82" s="1"/>
  <c r="DD261" i="82" s="1"/>
  <c r="DF261" i="82" s="1"/>
  <c r="DH261" i="82" s="1"/>
  <c r="DJ261" i="82" s="1"/>
  <c r="DL261" i="82" s="1"/>
  <c r="DN261" i="82" s="1"/>
  <c r="DP261" i="82" s="1"/>
  <c r="DR261" i="82" s="1"/>
  <c r="DX197" i="82"/>
  <c r="DT197" i="82"/>
  <c r="DV197" i="82" s="1"/>
  <c r="BK26" i="82"/>
  <c r="BL26" i="82" s="1"/>
  <c r="BR121" i="82"/>
  <c r="BS121" i="82"/>
  <c r="CU99" i="82"/>
  <c r="CV99" i="82" s="1"/>
  <c r="BG43" i="82"/>
  <c r="BH43" i="82" s="1"/>
  <c r="BI17" i="82"/>
  <c r="BJ17" i="82" s="1"/>
  <c r="DT258" i="82"/>
  <c r="DV258" i="82" s="1"/>
  <c r="DX258" i="82"/>
  <c r="BR117" i="82"/>
  <c r="BS117" i="82"/>
  <c r="BY180" i="82"/>
  <c r="BZ180" i="82" s="1"/>
  <c r="CB180" i="82" s="1"/>
  <c r="CD180" i="82" s="1"/>
  <c r="CF180" i="82" s="1"/>
  <c r="CH180" i="82" s="1"/>
  <c r="CJ180" i="82" s="1"/>
  <c r="CL180" i="82" s="1"/>
  <c r="CN180" i="82" s="1"/>
  <c r="CP180" i="82" s="1"/>
  <c r="CR180" i="82" s="1"/>
  <c r="CT180" i="82" s="1"/>
  <c r="CV180" i="82" s="1"/>
  <c r="CX180" i="82" s="1"/>
  <c r="CZ180" i="82" s="1"/>
  <c r="DB180" i="82" s="1"/>
  <c r="DD180" i="82" s="1"/>
  <c r="DF180" i="82" s="1"/>
  <c r="DH180" i="82" s="1"/>
  <c r="DJ180" i="82" s="1"/>
  <c r="DL180" i="82" s="1"/>
  <c r="DN180" i="82" s="1"/>
  <c r="DP180" i="82" s="1"/>
  <c r="DR180" i="82" s="1"/>
  <c r="CQ245" i="82"/>
  <c r="CR245" i="82" s="1"/>
  <c r="CT245" i="82" s="1"/>
  <c r="CV245" i="82" s="1"/>
  <c r="CX245" i="82" s="1"/>
  <c r="CZ245" i="82" s="1"/>
  <c r="DB245" i="82" s="1"/>
  <c r="DD245" i="82" s="1"/>
  <c r="DF245" i="82" s="1"/>
  <c r="DH245" i="82" s="1"/>
  <c r="DJ245" i="82" s="1"/>
  <c r="DL245" i="82" s="1"/>
  <c r="DN245" i="82" s="1"/>
  <c r="DP245" i="82" s="1"/>
  <c r="DR245" i="82" s="1"/>
  <c r="CQ254" i="82"/>
  <c r="CR254" i="82" s="1"/>
  <c r="CT254" i="82" s="1"/>
  <c r="CV254" i="82" s="1"/>
  <c r="CX254" i="82" s="1"/>
  <c r="CZ254" i="82" s="1"/>
  <c r="DB254" i="82" s="1"/>
  <c r="DD254" i="82" s="1"/>
  <c r="DF254" i="82" s="1"/>
  <c r="DH254" i="82" s="1"/>
  <c r="DJ254" i="82" s="1"/>
  <c r="DL254" i="82" s="1"/>
  <c r="DN254" i="82" s="1"/>
  <c r="DP254" i="82" s="1"/>
  <c r="DR254" i="82" s="1"/>
  <c r="CQ265" i="82"/>
  <c r="CR265" i="82" s="1"/>
  <c r="CS265" i="82" s="1"/>
  <c r="CS301" i="82" s="1"/>
  <c r="BI27" i="82"/>
  <c r="BJ27" i="82" s="1"/>
  <c r="BK20" i="82"/>
  <c r="BL20" i="82" s="1"/>
  <c r="CC113" i="82"/>
  <c r="CD113" i="82" s="1"/>
  <c r="BS120" i="82"/>
  <c r="BR120" i="82"/>
  <c r="DX167" i="82"/>
  <c r="DT167" i="82"/>
  <c r="DV167" i="82" s="1"/>
  <c r="BK25" i="82"/>
  <c r="BL25" i="82" s="1"/>
  <c r="BI12" i="82"/>
  <c r="BJ12" i="82" s="1"/>
  <c r="BI22" i="82"/>
  <c r="BJ22" i="82" s="1"/>
  <c r="CC120" i="82"/>
  <c r="CD120" i="82" s="1"/>
  <c r="DT229" i="82"/>
  <c r="DV229" i="82" s="1"/>
  <c r="DX229" i="82"/>
  <c r="BI45" i="82"/>
  <c r="BJ45" i="82" s="1"/>
  <c r="BK34" i="82"/>
  <c r="BL34" i="82" s="1"/>
  <c r="DT184" i="82"/>
  <c r="DV184" i="82" s="1"/>
  <c r="DX184" i="82"/>
  <c r="DT221" i="82"/>
  <c r="DV221" i="82" s="1"/>
  <c r="DX221" i="82"/>
  <c r="CQ231" i="82"/>
  <c r="CR231" i="82" s="1"/>
  <c r="CT231" i="82" s="1"/>
  <c r="CV231" i="82" s="1"/>
  <c r="CX231" i="82" s="1"/>
  <c r="CZ231" i="82" s="1"/>
  <c r="DB231" i="82" s="1"/>
  <c r="DD231" i="82" s="1"/>
  <c r="DF231" i="82" s="1"/>
  <c r="DH231" i="82" s="1"/>
  <c r="DJ231" i="82" s="1"/>
  <c r="DL231" i="82" s="1"/>
  <c r="DN231" i="82" s="1"/>
  <c r="DP231" i="82" s="1"/>
  <c r="DR231" i="82" s="1"/>
  <c r="DX239" i="82"/>
  <c r="DT239" i="82"/>
  <c r="DV239" i="82" s="1"/>
  <c r="BI11" i="82"/>
  <c r="BJ11" i="82" s="1"/>
  <c r="BK54" i="82"/>
  <c r="BL54" i="82" s="1"/>
  <c r="BG38" i="82"/>
  <c r="BH38" i="82" s="1"/>
  <c r="DX250" i="82"/>
  <c r="DT250" i="82"/>
  <c r="DV250" i="82" s="1"/>
  <c r="CC98" i="82"/>
  <c r="CD98" i="82" s="1"/>
  <c r="DX177" i="82"/>
  <c r="DT177" i="82"/>
  <c r="DV177" i="82" s="1"/>
  <c r="BI44" i="82"/>
  <c r="BJ44" i="82" s="1"/>
  <c r="BS118" i="82"/>
  <c r="BR118" i="82"/>
  <c r="CQ262" i="82"/>
  <c r="CR262" i="82" s="1"/>
  <c r="CT262" i="82" s="1"/>
  <c r="CV262" i="82" s="1"/>
  <c r="CX262" i="82" s="1"/>
  <c r="CZ262" i="82" s="1"/>
  <c r="DB262" i="82" s="1"/>
  <c r="DD262" i="82" s="1"/>
  <c r="DF262" i="82" s="1"/>
  <c r="DH262" i="82" s="1"/>
  <c r="DJ262" i="82" s="1"/>
  <c r="DL262" i="82" s="1"/>
  <c r="DN262" i="82" s="1"/>
  <c r="DP262" i="82" s="1"/>
  <c r="DR262" i="82" s="1"/>
  <c r="BK28" i="82"/>
  <c r="BL28" i="82" s="1"/>
  <c r="BI18" i="82"/>
  <c r="BJ18" i="82" s="1"/>
  <c r="DX166" i="82"/>
  <c r="DT166" i="82"/>
  <c r="DV166" i="82" s="1"/>
  <c r="CD122" i="82"/>
  <c r="CC122" i="82"/>
  <c r="CE189" i="82"/>
  <c r="CF189" i="82"/>
  <c r="CH189" i="82" s="1"/>
  <c r="CJ189" i="82" s="1"/>
  <c r="CL189" i="82" s="1"/>
  <c r="CN189" i="82" s="1"/>
  <c r="CP189" i="82" s="1"/>
  <c r="CR189" i="82" s="1"/>
  <c r="CT189" i="82" s="1"/>
  <c r="CV189" i="82" s="1"/>
  <c r="CX189" i="82" s="1"/>
  <c r="CZ189" i="82" s="1"/>
  <c r="DB189" i="82" s="1"/>
  <c r="DD189" i="82" s="1"/>
  <c r="DF189" i="82" s="1"/>
  <c r="DH189" i="82" s="1"/>
  <c r="DJ189" i="82" s="1"/>
  <c r="DL189" i="82" s="1"/>
  <c r="DN189" i="82" s="1"/>
  <c r="DP189" i="82" s="1"/>
  <c r="DR189" i="82" s="1"/>
  <c r="BK41" i="82"/>
  <c r="BL41" i="82" s="1"/>
  <c r="BI47" i="82"/>
  <c r="BJ47" i="82" s="1"/>
  <c r="BI40" i="82"/>
  <c r="BJ40" i="82" s="1"/>
  <c r="DT179" i="82"/>
  <c r="DV179" i="82" s="1"/>
  <c r="DX179" i="82"/>
  <c r="DT227" i="82"/>
  <c r="DV227" i="82" s="1"/>
  <c r="DX227" i="82"/>
  <c r="CC118" i="82"/>
  <c r="CD118" i="82" s="1"/>
  <c r="BI14" i="82"/>
  <c r="BJ14" i="82" s="1"/>
  <c r="CQ57" i="82"/>
  <c r="CR57" i="82" s="1"/>
  <c r="CC119" i="82"/>
  <c r="CD119" i="82" s="1"/>
  <c r="CQ210" i="82"/>
  <c r="CR210" i="82" s="1"/>
  <c r="CT210" i="82" s="1"/>
  <c r="CV210" i="82" s="1"/>
  <c r="CX210" i="82" s="1"/>
  <c r="CZ210" i="82" s="1"/>
  <c r="DB210" i="82" s="1"/>
  <c r="DD210" i="82" s="1"/>
  <c r="DF210" i="82" s="1"/>
  <c r="DH210" i="82" s="1"/>
  <c r="DJ210" i="82" s="1"/>
  <c r="DL210" i="82" s="1"/>
  <c r="DN210" i="82" s="1"/>
  <c r="DP210" i="82" s="1"/>
  <c r="DR210" i="82" s="1"/>
  <c r="BI30" i="82"/>
  <c r="BJ30" i="82" s="1"/>
  <c r="BR98" i="82"/>
  <c r="BS98" i="82"/>
  <c r="DX190" i="82"/>
  <c r="DT190" i="82"/>
  <c r="DV190" i="82" s="1"/>
  <c r="BN61" i="82"/>
  <c r="BP61" i="82"/>
  <c r="BK42" i="82"/>
  <c r="BL42" i="82" s="1"/>
  <c r="BI16" i="82"/>
  <c r="BJ16" i="82" s="1"/>
  <c r="BI35" i="82"/>
  <c r="BJ35" i="82" s="1"/>
  <c r="BK29" i="82"/>
  <c r="BL29" i="82" s="1"/>
  <c r="CQ217" i="82"/>
  <c r="CR217" i="82" s="1"/>
  <c r="CT217" i="82" s="1"/>
  <c r="CV217" i="82" s="1"/>
  <c r="CX217" i="82" s="1"/>
  <c r="CZ217" i="82" s="1"/>
  <c r="DB217" i="82" s="1"/>
  <c r="DD217" i="82" s="1"/>
  <c r="DF217" i="82" s="1"/>
  <c r="DH217" i="82" s="1"/>
  <c r="DJ217" i="82" s="1"/>
  <c r="DL217" i="82" s="1"/>
  <c r="DN217" i="82" s="1"/>
  <c r="DP217" i="82" s="1"/>
  <c r="DR217" i="82" s="1"/>
  <c r="CQ243" i="82"/>
  <c r="CR243" i="82" s="1"/>
  <c r="CT243" i="82" s="1"/>
  <c r="CV243" i="82" s="1"/>
  <c r="CX243" i="82" s="1"/>
  <c r="CZ243" i="82" s="1"/>
  <c r="DB243" i="82" s="1"/>
  <c r="DD243" i="82" s="1"/>
  <c r="DF243" i="82" s="1"/>
  <c r="DH243" i="82" s="1"/>
  <c r="DJ243" i="82" s="1"/>
  <c r="DL243" i="82" s="1"/>
  <c r="DN243" i="82" s="1"/>
  <c r="DP243" i="82" s="1"/>
  <c r="DR243" i="82" s="1"/>
  <c r="BG33" i="82"/>
  <c r="BH33" i="82" s="1"/>
  <c r="BI39" i="82"/>
  <c r="BJ39" i="82" s="1"/>
  <c r="BB162" i="82"/>
  <c r="BS122" i="82"/>
  <c r="BR122" i="82"/>
  <c r="BR140" i="82"/>
  <c r="BR158" i="82" s="1"/>
  <c r="BT140" i="82"/>
  <c r="BP158" i="82"/>
  <c r="CN303" i="82"/>
  <c r="BR114" i="82"/>
  <c r="BS114" i="82"/>
  <c r="BT114" i="82" s="1"/>
  <c r="BH62" i="82"/>
  <c r="BB95" i="82"/>
  <c r="BW173" i="82"/>
  <c r="BX173" i="82" s="1"/>
  <c r="BZ173" i="82" s="1"/>
  <c r="CB173" i="82" s="1"/>
  <c r="CD173" i="82" s="1"/>
  <c r="CF173" i="82" s="1"/>
  <c r="CH173" i="82" s="1"/>
  <c r="CJ173" i="82" s="1"/>
  <c r="CL173" i="82" s="1"/>
  <c r="CN173" i="82" s="1"/>
  <c r="CP173" i="82" s="1"/>
  <c r="CR173" i="82" s="1"/>
  <c r="CT173" i="82" s="1"/>
  <c r="CV173" i="82" s="1"/>
  <c r="CX173" i="82" s="1"/>
  <c r="CZ173" i="82" s="1"/>
  <c r="DB173" i="82" s="1"/>
  <c r="DD173" i="82" s="1"/>
  <c r="DF173" i="82" s="1"/>
  <c r="DH173" i="82" s="1"/>
  <c r="DJ173" i="82" s="1"/>
  <c r="DL173" i="82" s="1"/>
  <c r="DN173" i="82" s="1"/>
  <c r="DP173" i="82" s="1"/>
  <c r="DR173" i="82" s="1"/>
  <c r="CW58" i="82"/>
  <c r="CX58" i="82" s="1"/>
  <c r="DT242" i="82"/>
  <c r="DV242" i="82" s="1"/>
  <c r="DX242" i="82"/>
  <c r="DX161" i="82"/>
  <c r="DT161" i="82"/>
  <c r="DV161" i="82" s="1"/>
  <c r="BI23" i="82"/>
  <c r="BJ23" i="82" s="1"/>
  <c r="BI9" i="82"/>
  <c r="BJ9" i="82" s="1"/>
  <c r="CQ212" i="82"/>
  <c r="CR212" i="82" s="1"/>
  <c r="CT212" i="82" s="1"/>
  <c r="CV212" i="82" s="1"/>
  <c r="CX212" i="82" s="1"/>
  <c r="CZ212" i="82" s="1"/>
  <c r="DB212" i="82" s="1"/>
  <c r="DD212" i="82" s="1"/>
  <c r="DF212" i="82" s="1"/>
  <c r="DH212" i="82" s="1"/>
  <c r="DJ212" i="82" s="1"/>
  <c r="DL212" i="82" s="1"/>
  <c r="DN212" i="82" s="1"/>
  <c r="DP212" i="82" s="1"/>
  <c r="DR212" i="82" s="1"/>
  <c r="DT237" i="82"/>
  <c r="DV237" i="82" s="1"/>
  <c r="DX237" i="82"/>
  <c r="DX238" i="82"/>
  <c r="DT238" i="82"/>
  <c r="DV238" i="82" s="1"/>
  <c r="DX201" i="82"/>
  <c r="DT201" i="82"/>
  <c r="DV201" i="82" s="1"/>
  <c r="DT203" i="82"/>
  <c r="DV203" i="82" s="1"/>
  <c r="DX203" i="82"/>
  <c r="BK49" i="82"/>
  <c r="BL49" i="82" s="1"/>
  <c r="CA97" i="82"/>
  <c r="CB97" i="82" s="1"/>
  <c r="DX225" i="82"/>
  <c r="DT225" i="82"/>
  <c r="DV225" i="82" s="1"/>
  <c r="DX176" i="82"/>
  <c r="DT176" i="82"/>
  <c r="DV176" i="82" s="1"/>
  <c r="DX209" i="82"/>
  <c r="DT209" i="82"/>
  <c r="DV209" i="82" s="1"/>
  <c r="BI21" i="82"/>
  <c r="BJ21" i="82" s="1"/>
  <c r="CG194" i="82"/>
  <c r="CH194" i="82" s="1"/>
  <c r="CJ194" i="82" s="1"/>
  <c r="CL194" i="82" s="1"/>
  <c r="CN194" i="82" s="1"/>
  <c r="CP194" i="82" s="1"/>
  <c r="CR194" i="82" s="1"/>
  <c r="CT194" i="82" s="1"/>
  <c r="CV194" i="82" s="1"/>
  <c r="CX194" i="82" s="1"/>
  <c r="CZ194" i="82" s="1"/>
  <c r="DB194" i="82" s="1"/>
  <c r="DD194" i="82" s="1"/>
  <c r="DF194" i="82" s="1"/>
  <c r="DH194" i="82" s="1"/>
  <c r="DJ194" i="82" s="1"/>
  <c r="DL194" i="82" s="1"/>
  <c r="DN194" i="82" s="1"/>
  <c r="DP194" i="82" s="1"/>
  <c r="DR194" i="82" s="1"/>
  <c r="DT169" i="82"/>
  <c r="DV169" i="82" s="1"/>
  <c r="DX169" i="82"/>
  <c r="DT255" i="82"/>
  <c r="DV255" i="82" s="1"/>
  <c r="DX255" i="82"/>
  <c r="BG10" i="82"/>
  <c r="BH10" i="82" s="1"/>
  <c r="BI24" i="82"/>
  <c r="BJ24" i="82" s="1"/>
  <c r="BS99" i="82"/>
  <c r="BR99" i="82"/>
  <c r="BG50" i="82"/>
  <c r="BH50" i="82" s="1"/>
  <c r="CQ226" i="82"/>
  <c r="CR226" i="82" s="1"/>
  <c r="CT226" i="82" s="1"/>
  <c r="CV226" i="82" s="1"/>
  <c r="CX226" i="82" s="1"/>
  <c r="CZ226" i="82" s="1"/>
  <c r="DB226" i="82" s="1"/>
  <c r="DD226" i="82" s="1"/>
  <c r="DF226" i="82" s="1"/>
  <c r="DH226" i="82" s="1"/>
  <c r="DJ226" i="82" s="1"/>
  <c r="DL226" i="82" s="1"/>
  <c r="DN226" i="82" s="1"/>
  <c r="DP226" i="82" s="1"/>
  <c r="DR226" i="82" s="1"/>
  <c r="DX220" i="82"/>
  <c r="DT220" i="82"/>
  <c r="DV220" i="82" s="1"/>
  <c r="DX196" i="82"/>
  <c r="DT196" i="82"/>
  <c r="DV196" i="82" s="1"/>
  <c r="BG37" i="82"/>
  <c r="BH37" i="82" s="1"/>
  <c r="BK31" i="82"/>
  <c r="BL31" i="82" s="1"/>
  <c r="AV8" i="82"/>
  <c r="AV59" i="82" s="1"/>
  <c r="AU59" i="82"/>
  <c r="AX8" i="82"/>
  <c r="AX59" i="82" s="1"/>
  <c r="BI36" i="82"/>
  <c r="BJ36" i="82" s="1"/>
  <c r="CQ230" i="82"/>
  <c r="CR230" i="82" s="1"/>
  <c r="CT230" i="82" s="1"/>
  <c r="CV230" i="82" s="1"/>
  <c r="CX230" i="82" s="1"/>
  <c r="CZ230" i="82" s="1"/>
  <c r="DB230" i="82" s="1"/>
  <c r="DD230" i="82" s="1"/>
  <c r="DF230" i="82" s="1"/>
  <c r="DH230" i="82" s="1"/>
  <c r="DJ230" i="82" s="1"/>
  <c r="DL230" i="82" s="1"/>
  <c r="DN230" i="82" s="1"/>
  <c r="DP230" i="82" s="1"/>
  <c r="DR230" i="82" s="1"/>
  <c r="DX204" i="82"/>
  <c r="DT204" i="82"/>
  <c r="DV204" i="82" s="1"/>
  <c r="CC112" i="82"/>
  <c r="CD112" i="82" s="1"/>
  <c r="CQ234" i="82"/>
  <c r="CR234" i="82" s="1"/>
  <c r="CT234" i="82" s="1"/>
  <c r="CV234" i="82" s="1"/>
  <c r="CX234" i="82" s="1"/>
  <c r="CZ234" i="82" s="1"/>
  <c r="DB234" i="82" s="1"/>
  <c r="DD234" i="82" s="1"/>
  <c r="DF234" i="82" s="1"/>
  <c r="DH234" i="82" s="1"/>
  <c r="DJ234" i="82" s="1"/>
  <c r="DL234" i="82" s="1"/>
  <c r="DN234" i="82" s="1"/>
  <c r="DP234" i="82" s="1"/>
  <c r="DR234" i="82" s="1"/>
  <c r="CE187" i="82"/>
  <c r="CF187" i="82"/>
  <c r="CH187" i="82" s="1"/>
  <c r="CJ187" i="82" s="1"/>
  <c r="CL187" i="82" s="1"/>
  <c r="CN187" i="82" s="1"/>
  <c r="CP187" i="82" s="1"/>
  <c r="CR187" i="82" s="1"/>
  <c r="CT187" i="82" s="1"/>
  <c r="CV187" i="82" s="1"/>
  <c r="CX187" i="82" s="1"/>
  <c r="CZ187" i="82" s="1"/>
  <c r="DB187" i="82" s="1"/>
  <c r="DD187" i="82" s="1"/>
  <c r="DF187" i="82" s="1"/>
  <c r="DH187" i="82" s="1"/>
  <c r="DJ187" i="82" s="1"/>
  <c r="DL187" i="82" s="1"/>
  <c r="DN187" i="82" s="1"/>
  <c r="DP187" i="82" s="1"/>
  <c r="DR187" i="82" s="1"/>
  <c r="DX200" i="82"/>
  <c r="DT200" i="82"/>
  <c r="DV200" i="82" s="1"/>
  <c r="CE304" i="82"/>
  <c r="CE330" i="82" s="1"/>
  <c r="CD330" i="82"/>
  <c r="BJ97" i="82"/>
  <c r="CR202" i="82"/>
  <c r="CT202" i="82" s="1"/>
  <c r="CV202" i="82" s="1"/>
  <c r="CX202" i="82" s="1"/>
  <c r="CZ202" i="82" s="1"/>
  <c r="DB202" i="82" s="1"/>
  <c r="DD202" i="82" s="1"/>
  <c r="DF202" i="82" s="1"/>
  <c r="DH202" i="82" s="1"/>
  <c r="DJ202" i="82" s="1"/>
  <c r="DL202" i="82" s="1"/>
  <c r="DN202" i="82" s="1"/>
  <c r="DP202" i="82" s="1"/>
  <c r="DR202" i="82" s="1"/>
  <c r="BY301" i="82"/>
  <c r="CC301" i="82"/>
  <c r="DX264" i="82"/>
  <c r="DT264" i="82"/>
  <c r="DV264" i="82" s="1"/>
  <c r="CQ222" i="82"/>
  <c r="CR222" i="82"/>
  <c r="CT222" i="82" s="1"/>
  <c r="CV222" i="82" s="1"/>
  <c r="CX222" i="82" s="1"/>
  <c r="CZ222" i="82" s="1"/>
  <c r="DB222" i="82" s="1"/>
  <c r="DD222" i="82" s="1"/>
  <c r="DF222" i="82" s="1"/>
  <c r="DH222" i="82" s="1"/>
  <c r="DJ222" i="82" s="1"/>
  <c r="DL222" i="82" s="1"/>
  <c r="DN222" i="82" s="1"/>
  <c r="DP222" i="82" s="1"/>
  <c r="DR222" i="82" s="1"/>
  <c r="BS106" i="82"/>
  <c r="I17" i="4" s="1"/>
  <c r="K17" i="4" s="1"/>
  <c r="M17" i="4" s="1"/>
  <c r="BR106" i="82"/>
  <c r="CQ256" i="82"/>
  <c r="CR256" i="82" s="1"/>
  <c r="CT256" i="82" s="1"/>
  <c r="CV256" i="82" s="1"/>
  <c r="CX256" i="82" s="1"/>
  <c r="CZ256" i="82" s="1"/>
  <c r="DB256" i="82" s="1"/>
  <c r="DD256" i="82" s="1"/>
  <c r="DF256" i="82" s="1"/>
  <c r="DH256" i="82" s="1"/>
  <c r="DJ256" i="82" s="1"/>
  <c r="DL256" i="82" s="1"/>
  <c r="DN256" i="82" s="1"/>
  <c r="DP256" i="82" s="1"/>
  <c r="DR256" i="82" s="1"/>
  <c r="DT232" i="82"/>
  <c r="DV232" i="82" s="1"/>
  <c r="DX232" i="82"/>
  <c r="CC115" i="82"/>
  <c r="CD115" i="82" s="1"/>
  <c r="BR165" i="82"/>
  <c r="BS165" i="82"/>
  <c r="BT165" i="82" s="1"/>
  <c r="CG192" i="82"/>
  <c r="CH192" i="82" s="1"/>
  <c r="CJ192" i="82" s="1"/>
  <c r="CL192" i="82" s="1"/>
  <c r="CN192" i="82" s="1"/>
  <c r="CP192" i="82" s="1"/>
  <c r="CR192" i="82" s="1"/>
  <c r="CT192" i="82" s="1"/>
  <c r="CV192" i="82" s="1"/>
  <c r="CX192" i="82" s="1"/>
  <c r="CZ192" i="82" s="1"/>
  <c r="DB192" i="82" s="1"/>
  <c r="DD192" i="82" s="1"/>
  <c r="DF192" i="82" s="1"/>
  <c r="DH192" i="82" s="1"/>
  <c r="DJ192" i="82" s="1"/>
  <c r="DL192" i="82" s="1"/>
  <c r="DN192" i="82" s="1"/>
  <c r="DP192" i="82" s="1"/>
  <c r="DR192" i="82" s="1"/>
  <c r="DX248" i="82"/>
  <c r="DT248" i="82"/>
  <c r="DV248" i="82" s="1"/>
  <c r="BI32" i="82"/>
  <c r="BJ32" i="82" s="1"/>
  <c r="DX168" i="82"/>
  <c r="DT168" i="82"/>
  <c r="DV168" i="82" s="1"/>
  <c r="CG151" i="82"/>
  <c r="CG158" i="82" s="1"/>
  <c r="BG51" i="82"/>
  <c r="BH51" i="82" s="1"/>
  <c r="BR119" i="82"/>
  <c r="BS119" i="82"/>
  <c r="I18" i="4" s="1"/>
  <c r="K18" i="4" s="1"/>
  <c r="M18" i="4" s="1"/>
  <c r="DX163" i="82"/>
  <c r="DT163" i="82"/>
  <c r="DV163" i="82" s="1"/>
  <c r="BI53" i="82"/>
  <c r="BJ53" i="82" s="1"/>
  <c r="DT236" i="82"/>
  <c r="DV236" i="82" s="1"/>
  <c r="DX236" i="82"/>
  <c r="CE193" i="82"/>
  <c r="CF193" i="82" s="1"/>
  <c r="BG19" i="82"/>
  <c r="BH19" i="82" s="1"/>
  <c r="DX205" i="82"/>
  <c r="DT205" i="82"/>
  <c r="DV205" i="82" s="1"/>
  <c r="BI52" i="82"/>
  <c r="BJ52" i="82" s="1"/>
  <c r="DT198" i="82"/>
  <c r="DV198" i="82" s="1"/>
  <c r="DX198" i="82"/>
  <c r="BI15" i="82"/>
  <c r="BJ15" i="82" s="1"/>
  <c r="CC100" i="82"/>
  <c r="CD100" i="82" s="1"/>
  <c r="CQ213" i="82"/>
  <c r="CR213" i="82" s="1"/>
  <c r="CT213" i="82" s="1"/>
  <c r="CV213" i="82" s="1"/>
  <c r="CX213" i="82" s="1"/>
  <c r="CZ213" i="82" s="1"/>
  <c r="DB213" i="82" s="1"/>
  <c r="DD213" i="82" s="1"/>
  <c r="DF213" i="82" s="1"/>
  <c r="DH213" i="82" s="1"/>
  <c r="DJ213" i="82" s="1"/>
  <c r="DL213" i="82" s="1"/>
  <c r="DN213" i="82" s="1"/>
  <c r="DP213" i="82" s="1"/>
  <c r="DR213" i="82" s="1"/>
  <c r="DX247" i="82"/>
  <c r="DT247" i="82"/>
  <c r="DV247" i="82" s="1"/>
  <c r="BG46" i="82"/>
  <c r="BH46" i="82" s="1"/>
  <c r="BI48" i="82"/>
  <c r="BJ48" i="82" s="1"/>
  <c r="BI13" i="82"/>
  <c r="BJ13" i="82" s="1"/>
  <c r="BI56" i="82"/>
  <c r="BJ56" i="82" s="1"/>
  <c r="DT182" i="82"/>
  <c r="DV182" i="82" s="1"/>
  <c r="DX182" i="82"/>
  <c r="BG55" i="82"/>
  <c r="BH55" i="82" s="1"/>
  <c r="BT106" i="82" l="1"/>
  <c r="AS160" i="82"/>
  <c r="AO301" i="82"/>
  <c r="AQ160" i="82"/>
  <c r="AP160" i="82"/>
  <c r="CB138" i="82"/>
  <c r="CC136" i="82"/>
  <c r="CC138" i="82" s="1"/>
  <c r="CQ301" i="82"/>
  <c r="BU165" i="82"/>
  <c r="BV165" i="82" s="1"/>
  <c r="BI50" i="82"/>
  <c r="BJ50" i="82" s="1"/>
  <c r="DX234" i="82"/>
  <c r="DT234" i="82"/>
  <c r="DV234" i="82" s="1"/>
  <c r="BN49" i="82"/>
  <c r="BO49" i="82"/>
  <c r="BP49" i="82" s="1"/>
  <c r="BK23" i="82"/>
  <c r="BL23" i="82" s="1"/>
  <c r="CS57" i="82"/>
  <c r="CT57" i="82" s="1"/>
  <c r="BK44" i="82"/>
  <c r="BL44" i="82" s="1"/>
  <c r="BO54" i="82"/>
  <c r="BP54" i="82" s="1"/>
  <c r="BN54" i="82"/>
  <c r="DX231" i="82"/>
  <c r="DT231" i="82"/>
  <c r="DV231" i="82" s="1"/>
  <c r="BK22" i="82"/>
  <c r="BL22" i="82" s="1"/>
  <c r="BK17" i="82"/>
  <c r="BL17" i="82" s="1"/>
  <c r="BI19" i="82"/>
  <c r="BJ19" i="82" s="1"/>
  <c r="BK24" i="82"/>
  <c r="BL24" i="82" s="1"/>
  <c r="BK56" i="82"/>
  <c r="BL56" i="82" s="1"/>
  <c r="CE115" i="82"/>
  <c r="CF115" i="82" s="1"/>
  <c r="DT230" i="82"/>
  <c r="DV230" i="82" s="1"/>
  <c r="DX230" i="82"/>
  <c r="CY58" i="82"/>
  <c r="CZ58" i="82" s="1"/>
  <c r="N18" i="4"/>
  <c r="O18" i="4" s="1"/>
  <c r="BU114" i="82"/>
  <c r="BV114" i="82" s="1"/>
  <c r="BK40" i="82"/>
  <c r="BL40" i="82" s="1"/>
  <c r="BK11" i="82"/>
  <c r="BL11" i="82" s="1"/>
  <c r="BK12" i="82"/>
  <c r="BL12" i="82" s="1"/>
  <c r="BI43" i="82"/>
  <c r="BJ43" i="82" s="1"/>
  <c r="DT261" i="82"/>
  <c r="DV261" i="82" s="1"/>
  <c r="DX261" i="82"/>
  <c r="DX173" i="82"/>
  <c r="DT173" i="82"/>
  <c r="DV173" i="82" s="1"/>
  <c r="BK39" i="82"/>
  <c r="BL39" i="82" s="1"/>
  <c r="DX217" i="82"/>
  <c r="DT217" i="82"/>
  <c r="DV217" i="82" s="1"/>
  <c r="BK16" i="82"/>
  <c r="BL16" i="82" s="1"/>
  <c r="BK47" i="82"/>
  <c r="BL47" i="82" s="1"/>
  <c r="BK18" i="82"/>
  <c r="BL18" i="82" s="1"/>
  <c r="BN25" i="82"/>
  <c r="BO25" i="82"/>
  <c r="BP25" i="82" s="1"/>
  <c r="BK27" i="82"/>
  <c r="BL27" i="82" s="1"/>
  <c r="DT245" i="82"/>
  <c r="DV245" i="82" s="1"/>
  <c r="DX245" i="82"/>
  <c r="BN26" i="82"/>
  <c r="BO26" i="82"/>
  <c r="BP26" i="82" s="1"/>
  <c r="CE104" i="82"/>
  <c r="CF104" i="82" s="1"/>
  <c r="DT226" i="82"/>
  <c r="DV226" i="82" s="1"/>
  <c r="DX226" i="82"/>
  <c r="CG193" i="82"/>
  <c r="CH193" i="82" s="1"/>
  <c r="CJ193" i="82" s="1"/>
  <c r="CL193" i="82" s="1"/>
  <c r="CN193" i="82" s="1"/>
  <c r="CP193" i="82" s="1"/>
  <c r="CR193" i="82" s="1"/>
  <c r="CT193" i="82" s="1"/>
  <c r="CV193" i="82" s="1"/>
  <c r="CX193" i="82" s="1"/>
  <c r="CZ193" i="82" s="1"/>
  <c r="DB193" i="82" s="1"/>
  <c r="DD193" i="82" s="1"/>
  <c r="DF193" i="82" s="1"/>
  <c r="DH193" i="82" s="1"/>
  <c r="DJ193" i="82" s="1"/>
  <c r="DL193" i="82" s="1"/>
  <c r="DN193" i="82" s="1"/>
  <c r="DP193" i="82" s="1"/>
  <c r="DR193" i="82" s="1"/>
  <c r="BN31" i="82"/>
  <c r="BO31" i="82"/>
  <c r="BP31" i="82" s="1"/>
  <c r="BI10" i="82"/>
  <c r="BJ10" i="82" s="1"/>
  <c r="BK9" i="82"/>
  <c r="BL9" i="82" s="1"/>
  <c r="BN29" i="82"/>
  <c r="BO29" i="82"/>
  <c r="BP29" i="82" s="1"/>
  <c r="CE119" i="82"/>
  <c r="CF119" i="82" s="1"/>
  <c r="BN41" i="82"/>
  <c r="BO41" i="82"/>
  <c r="BP41" i="82" s="1"/>
  <c r="BN28" i="82"/>
  <c r="BO28" i="82"/>
  <c r="BP28" i="82" s="1"/>
  <c r="CE98" i="82"/>
  <c r="CF98" i="82" s="1"/>
  <c r="BK45" i="82"/>
  <c r="BL45" i="82" s="1"/>
  <c r="CE113" i="82"/>
  <c r="CF113" i="82" s="1"/>
  <c r="DX180" i="82"/>
  <c r="DT180" i="82"/>
  <c r="DV180" i="82" s="1"/>
  <c r="DX256" i="82"/>
  <c r="DT256" i="82"/>
  <c r="DV256" i="82" s="1"/>
  <c r="BJ37" i="82"/>
  <c r="BI37" i="82"/>
  <c r="DT194" i="82"/>
  <c r="DV194" i="82" s="1"/>
  <c r="DX194" i="82"/>
  <c r="CC97" i="82"/>
  <c r="CD97" i="82" s="1"/>
  <c r="DX212" i="82"/>
  <c r="DT212" i="82"/>
  <c r="DV212" i="82" s="1"/>
  <c r="CP303" i="82"/>
  <c r="DX243" i="82"/>
  <c r="DT243" i="82"/>
  <c r="DV243" i="82" s="1"/>
  <c r="BR61" i="82"/>
  <c r="DX210" i="82"/>
  <c r="DT210" i="82"/>
  <c r="DV210" i="82" s="1"/>
  <c r="CE118" i="82"/>
  <c r="CF118" i="82"/>
  <c r="CE122" i="82"/>
  <c r="CF122" i="82" s="1"/>
  <c r="DX262" i="82"/>
  <c r="DT262" i="82"/>
  <c r="DV262" i="82" s="1"/>
  <c r="BI38" i="82"/>
  <c r="BJ38" i="82" s="1"/>
  <c r="CE120" i="82"/>
  <c r="CF120" i="82" s="1"/>
  <c r="DT254" i="82"/>
  <c r="DV254" i="82" s="1"/>
  <c r="DX254" i="82"/>
  <c r="CE121" i="82"/>
  <c r="CF121" i="82" s="1"/>
  <c r="CG301" i="82"/>
  <c r="DT213" i="82"/>
  <c r="DV213" i="82" s="1"/>
  <c r="DX213" i="82"/>
  <c r="BI51" i="82"/>
  <c r="BJ51" i="82" s="1"/>
  <c r="BJ134" i="82"/>
  <c r="BK97" i="82"/>
  <c r="BK134" i="82" s="1"/>
  <c r="BL97" i="82"/>
  <c r="BK36" i="82"/>
  <c r="BL36" i="82"/>
  <c r="N17" i="4"/>
  <c r="O17" i="4" s="1"/>
  <c r="BU106" i="82"/>
  <c r="BU134" i="82" s="1"/>
  <c r="BT134" i="82"/>
  <c r="BI33" i="82"/>
  <c r="BJ33" i="82"/>
  <c r="BK35" i="82"/>
  <c r="BL35" i="82" s="1"/>
  <c r="BN42" i="82"/>
  <c r="BO42" i="82"/>
  <c r="BP42" i="82" s="1"/>
  <c r="DT189" i="82"/>
  <c r="DV189" i="82" s="1"/>
  <c r="DX189" i="82"/>
  <c r="CE117" i="82"/>
  <c r="CF117" i="82" s="1"/>
  <c r="CH191" i="82"/>
  <c r="CJ191" i="82" s="1"/>
  <c r="CL191" i="82" s="1"/>
  <c r="CN191" i="82" s="1"/>
  <c r="CP191" i="82" s="1"/>
  <c r="CR191" i="82" s="1"/>
  <c r="CT191" i="82" s="1"/>
  <c r="CV191" i="82" s="1"/>
  <c r="CX191" i="82" s="1"/>
  <c r="CZ191" i="82" s="1"/>
  <c r="DB191" i="82" s="1"/>
  <c r="DD191" i="82" s="1"/>
  <c r="DF191" i="82" s="1"/>
  <c r="DH191" i="82" s="1"/>
  <c r="DJ191" i="82" s="1"/>
  <c r="DL191" i="82" s="1"/>
  <c r="DN191" i="82" s="1"/>
  <c r="DP191" i="82" s="1"/>
  <c r="DR191" i="82" s="1"/>
  <c r="BI46" i="82"/>
  <c r="BJ46" i="82" s="1"/>
  <c r="BK52" i="82"/>
  <c r="BL52" i="82" s="1"/>
  <c r="BI55" i="82"/>
  <c r="BJ55" i="82" s="1"/>
  <c r="BK48" i="82"/>
  <c r="BL48" i="82" s="1"/>
  <c r="CE100" i="82"/>
  <c r="CF100" i="82" s="1"/>
  <c r="BK53" i="82"/>
  <c r="BL53" i="82" s="1"/>
  <c r="BK32" i="82"/>
  <c r="BL32" i="82" s="1"/>
  <c r="DX222" i="82"/>
  <c r="DT222" i="82"/>
  <c r="DV222" i="82" s="1"/>
  <c r="DX202" i="82"/>
  <c r="DT202" i="82"/>
  <c r="DV202" i="82" s="1"/>
  <c r="DX187" i="82"/>
  <c r="DT187" i="82"/>
  <c r="DV187" i="82" s="1"/>
  <c r="CE112" i="82"/>
  <c r="CF112" i="82" s="1"/>
  <c r="BK21" i="82"/>
  <c r="BL21" i="82" s="1"/>
  <c r="BV140" i="82"/>
  <c r="BT158" i="82"/>
  <c r="N19" i="4" s="1"/>
  <c r="O19" i="4" s="1"/>
  <c r="BG162" i="82"/>
  <c r="BK30" i="82"/>
  <c r="BL30" i="82" s="1"/>
  <c r="BK14" i="82"/>
  <c r="BL14" i="82" s="1"/>
  <c r="BO34" i="82"/>
  <c r="BP34" i="82" s="1"/>
  <c r="BN34" i="82"/>
  <c r="BO20" i="82"/>
  <c r="BP20" i="82" s="1"/>
  <c r="BN20" i="82"/>
  <c r="CW99" i="82"/>
  <c r="CX99" i="82" s="1"/>
  <c r="BK13" i="82"/>
  <c r="BL13" i="82" s="1"/>
  <c r="BK15" i="82"/>
  <c r="BL15" i="82" s="1"/>
  <c r="DX192" i="82"/>
  <c r="DT192" i="82"/>
  <c r="DV192" i="82" s="1"/>
  <c r="CH151" i="82"/>
  <c r="CJ151" i="82" s="1"/>
  <c r="CL151" i="82" s="1"/>
  <c r="CN151" i="82" s="1"/>
  <c r="CP151" i="82" s="1"/>
  <c r="CR151" i="82" s="1"/>
  <c r="CT151" i="82" s="1"/>
  <c r="CV151" i="82" s="1"/>
  <c r="CX151" i="82" s="1"/>
  <c r="CZ151" i="82" s="1"/>
  <c r="DB151" i="82" s="1"/>
  <c r="DD151" i="82" s="1"/>
  <c r="DF151" i="82" s="1"/>
  <c r="DH151" i="82" s="1"/>
  <c r="DJ151" i="82" s="1"/>
  <c r="DL151" i="82" s="1"/>
  <c r="DN151" i="82" s="1"/>
  <c r="DP151" i="82" s="1"/>
  <c r="DR151" i="82" s="1"/>
  <c r="DT151" i="82" s="1"/>
  <c r="DV151" i="82" s="1"/>
  <c r="CF304" i="82"/>
  <c r="CE301" i="82"/>
  <c r="AY8" i="82"/>
  <c r="BJ62" i="82"/>
  <c r="BH95" i="82"/>
  <c r="CD136" i="82" l="1"/>
  <c r="AX160" i="82"/>
  <c r="AQ301" i="82"/>
  <c r="AU160" i="82"/>
  <c r="AS301" i="82"/>
  <c r="AR160" i="82"/>
  <c r="AR301" i="82" s="1"/>
  <c r="AP301" i="82"/>
  <c r="BH162" i="82"/>
  <c r="CY99" i="82"/>
  <c r="CZ99" i="82" s="1"/>
  <c r="BO15" i="82"/>
  <c r="BP15" i="82" s="1"/>
  <c r="BN15" i="82"/>
  <c r="BR34" i="82"/>
  <c r="BS34" i="82" s="1"/>
  <c r="BT34" i="82" s="1"/>
  <c r="BK38" i="82"/>
  <c r="BL38" i="82" s="1"/>
  <c r="BR41" i="82"/>
  <c r="BS41" i="82" s="1"/>
  <c r="BT41" i="82" s="1"/>
  <c r="BO16" i="82"/>
  <c r="BP16" i="82" s="1"/>
  <c r="BN16" i="82"/>
  <c r="BO11" i="82"/>
  <c r="BP11" i="82" s="1"/>
  <c r="BN11" i="82"/>
  <c r="BN23" i="82"/>
  <c r="BO23" i="82"/>
  <c r="BP23" i="82" s="1"/>
  <c r="BN14" i="82"/>
  <c r="BO14" i="82"/>
  <c r="BP14" i="82" s="1"/>
  <c r="BN18" i="82"/>
  <c r="BO18" i="82"/>
  <c r="BP18" i="82" s="1"/>
  <c r="DA58" i="82"/>
  <c r="DB58" i="82" s="1"/>
  <c r="BR54" i="82"/>
  <c r="BS54" i="82" s="1"/>
  <c r="BT54" i="82" s="1"/>
  <c r="BR49" i="82"/>
  <c r="BS49" i="82" s="1"/>
  <c r="BT49" i="82" s="1"/>
  <c r="BK50" i="82"/>
  <c r="BL50" i="82" s="1"/>
  <c r="BN30" i="82"/>
  <c r="BO30" i="82"/>
  <c r="BP30" i="82" s="1"/>
  <c r="BK51" i="82"/>
  <c r="BL51" i="82" s="1"/>
  <c r="BN45" i="82"/>
  <c r="BO45" i="82"/>
  <c r="BP45" i="82" s="1"/>
  <c r="BR31" i="82"/>
  <c r="BS31" i="82" s="1"/>
  <c r="BT31" i="82" s="1"/>
  <c r="BR26" i="82"/>
  <c r="BS26" i="82" s="1"/>
  <c r="BT26" i="82" s="1"/>
  <c r="BO27" i="82"/>
  <c r="BP27" i="82" s="1"/>
  <c r="BN27" i="82"/>
  <c r="BK19" i="82"/>
  <c r="BL19" i="82" s="1"/>
  <c r="BO44" i="82"/>
  <c r="BP44" i="82" s="1"/>
  <c r="BN44" i="82"/>
  <c r="BR42" i="82"/>
  <c r="BS42" i="82" s="1"/>
  <c r="BT42" i="82" s="1"/>
  <c r="CE97" i="82"/>
  <c r="CF97" i="82" s="1"/>
  <c r="BO9" i="82"/>
  <c r="BP9" i="82" s="1"/>
  <c r="BN9" i="82"/>
  <c r="BR25" i="82"/>
  <c r="BS25" i="82" s="1"/>
  <c r="BT25" i="82" s="1"/>
  <c r="BN12" i="82"/>
  <c r="BO12" i="82"/>
  <c r="BP12" i="82" s="1"/>
  <c r="BW114" i="82"/>
  <c r="BX114" i="82" s="1"/>
  <c r="BN17" i="82"/>
  <c r="BO17" i="82"/>
  <c r="BP17" i="82" s="1"/>
  <c r="CU57" i="82"/>
  <c r="CV57" i="82" s="1"/>
  <c r="CG112" i="82"/>
  <c r="CH112" i="82" s="1"/>
  <c r="BN53" i="82"/>
  <c r="BO53" i="82"/>
  <c r="BP53" i="82" s="1"/>
  <c r="BN48" i="82"/>
  <c r="BO48" i="82"/>
  <c r="BP48" i="82"/>
  <c r="BN52" i="82"/>
  <c r="BO52" i="82"/>
  <c r="BP52" i="82" s="1"/>
  <c r="CH304" i="82"/>
  <c r="CF330" i="82"/>
  <c r="BX140" i="82"/>
  <c r="BV158" i="82"/>
  <c r="BV106" i="82"/>
  <c r="DX151" i="82"/>
  <c r="DV158" i="82"/>
  <c r="CG100" i="82"/>
  <c r="CH100" i="82" s="1"/>
  <c r="BK46" i="82"/>
  <c r="BL46" i="82" s="1"/>
  <c r="BK33" i="82"/>
  <c r="BL33" i="82" s="1"/>
  <c r="BL134" i="82"/>
  <c r="BO97" i="82"/>
  <c r="BO134" i="82" s="1"/>
  <c r="BN97" i="82"/>
  <c r="CG121" i="82"/>
  <c r="CH121" i="82" s="1"/>
  <c r="CG120" i="82"/>
  <c r="CH120" i="82" s="1"/>
  <c r="CG118" i="82"/>
  <c r="CH118" i="82" s="1"/>
  <c r="BT61" i="82"/>
  <c r="CH113" i="82"/>
  <c r="CG113" i="82"/>
  <c r="CG98" i="82"/>
  <c r="CH98" i="82" s="1"/>
  <c r="CG119" i="82"/>
  <c r="CH119" i="82" s="1"/>
  <c r="BK10" i="82"/>
  <c r="BL10" i="82" s="1"/>
  <c r="DX193" i="82"/>
  <c r="DT193" i="82"/>
  <c r="DV193" i="82" s="1"/>
  <c r="CG104" i="82"/>
  <c r="CH104" i="82" s="1"/>
  <c r="BK43" i="82"/>
  <c r="BL43" i="82" s="1"/>
  <c r="BO56" i="82"/>
  <c r="BP56" i="82" s="1"/>
  <c r="BN56" i="82"/>
  <c r="BO22" i="82"/>
  <c r="BP22" i="82" s="1"/>
  <c r="BN22" i="82"/>
  <c r="BW165" i="82"/>
  <c r="BX165" i="82" s="1"/>
  <c r="BZ165" i="82" s="1"/>
  <c r="CB165" i="82" s="1"/>
  <c r="CD165" i="82" s="1"/>
  <c r="CF165" i="82" s="1"/>
  <c r="CH165" i="82" s="1"/>
  <c r="CJ165" i="82" s="1"/>
  <c r="CL165" i="82" s="1"/>
  <c r="CN165" i="82" s="1"/>
  <c r="CP165" i="82" s="1"/>
  <c r="CR165" i="82" s="1"/>
  <c r="CT165" i="82" s="1"/>
  <c r="CV165" i="82" s="1"/>
  <c r="CX165" i="82" s="1"/>
  <c r="CZ165" i="82" s="1"/>
  <c r="DB165" i="82" s="1"/>
  <c r="DD165" i="82" s="1"/>
  <c r="DF165" i="82" s="1"/>
  <c r="DH165" i="82" s="1"/>
  <c r="DJ165" i="82" s="1"/>
  <c r="DL165" i="82" s="1"/>
  <c r="DN165" i="82" s="1"/>
  <c r="DP165" i="82" s="1"/>
  <c r="DR165" i="82" s="1"/>
  <c r="BL62" i="82"/>
  <c r="BJ95" i="82"/>
  <c r="BO13" i="82"/>
  <c r="BP13" i="82" s="1"/>
  <c r="BN13" i="82"/>
  <c r="BR20" i="82"/>
  <c r="BS20" i="82" s="1"/>
  <c r="BT20" i="82" s="1"/>
  <c r="BI162" i="82"/>
  <c r="BJ162" i="82" s="1"/>
  <c r="BO21" i="82"/>
  <c r="BP21" i="82" s="1"/>
  <c r="BN21" i="82"/>
  <c r="BO32" i="82"/>
  <c r="BP32" i="82" s="1"/>
  <c r="BN32" i="82"/>
  <c r="BK55" i="82"/>
  <c r="BL55" i="82" s="1"/>
  <c r="CG117" i="82"/>
  <c r="CH117" i="82"/>
  <c r="AY59" i="82"/>
  <c r="BA8" i="82"/>
  <c r="BA59" i="82" s="1"/>
  <c r="CR303" i="82"/>
  <c r="DT191" i="82"/>
  <c r="DV191" i="82" s="1"/>
  <c r="DX191" i="82"/>
  <c r="BN35" i="82"/>
  <c r="BO35" i="82"/>
  <c r="BP35" i="82" s="1"/>
  <c r="BO36" i="82"/>
  <c r="BP36" i="82" s="1"/>
  <c r="BN36" i="82"/>
  <c r="CG122" i="82"/>
  <c r="CH122" i="82" s="1"/>
  <c r="BK37" i="82"/>
  <c r="BL37" i="82" s="1"/>
  <c r="BR28" i="82"/>
  <c r="BS28" i="82" s="1"/>
  <c r="BT28" i="82"/>
  <c r="BR29" i="82"/>
  <c r="BS29" i="82" s="1"/>
  <c r="BT29" i="82" s="1"/>
  <c r="BO47" i="82"/>
  <c r="BP47" i="82" s="1"/>
  <c r="BN47" i="82"/>
  <c r="BP39" i="82"/>
  <c r="BN39" i="82"/>
  <c r="BO39" i="82"/>
  <c r="BO40" i="82"/>
  <c r="BP40" i="82" s="1"/>
  <c r="BN40" i="82"/>
  <c r="CG115" i="82"/>
  <c r="CH115" i="82" s="1"/>
  <c r="BN24" i="82"/>
  <c r="BO24" i="82"/>
  <c r="BP24" i="82" s="1"/>
  <c r="AV160" i="82" l="1"/>
  <c r="AV301" i="82" s="1"/>
  <c r="AU301" i="82"/>
  <c r="BP97" i="82"/>
  <c r="AY160" i="82"/>
  <c r="AX301" i="82"/>
  <c r="CD138" i="82"/>
  <c r="CE136" i="82"/>
  <c r="CE138" i="82" s="1"/>
  <c r="BR35" i="82"/>
  <c r="BS35" i="82" s="1"/>
  <c r="BT35" i="82" s="1"/>
  <c r="BR53" i="82"/>
  <c r="BS53" i="82" s="1"/>
  <c r="BT53" i="82" s="1"/>
  <c r="BR14" i="82"/>
  <c r="BS14" i="82" s="1"/>
  <c r="BT14" i="82" s="1"/>
  <c r="BR13" i="82"/>
  <c r="BS13" i="82" s="1"/>
  <c r="BT13" i="82" s="1"/>
  <c r="CI121" i="82"/>
  <c r="CJ121" i="82" s="1"/>
  <c r="BU42" i="82"/>
  <c r="BV42" i="82" s="1"/>
  <c r="DC58" i="82"/>
  <c r="DD58" i="82" s="1"/>
  <c r="BU29" i="82"/>
  <c r="BV29" i="82" s="1"/>
  <c r="BN10" i="82"/>
  <c r="BO10" i="82"/>
  <c r="BP10" i="82" s="1"/>
  <c r="CI118" i="82"/>
  <c r="CJ118" i="82" s="1"/>
  <c r="CI112" i="82"/>
  <c r="CJ112" i="82" s="1"/>
  <c r="BR18" i="82"/>
  <c r="BS18" i="82" s="1"/>
  <c r="BT18" i="82" s="1"/>
  <c r="BR23" i="82"/>
  <c r="BS23" i="82" s="1"/>
  <c r="BT23" i="82" s="1"/>
  <c r="BO38" i="82"/>
  <c r="BP38" i="82" s="1"/>
  <c r="BN38" i="82"/>
  <c r="BR15" i="82"/>
  <c r="BS15" i="82" s="1"/>
  <c r="BT15" i="82" s="1"/>
  <c r="BR32" i="82"/>
  <c r="BS32" i="82" s="1"/>
  <c r="BT32" i="82" s="1"/>
  <c r="BN46" i="82"/>
  <c r="BO46" i="82"/>
  <c r="BP46" i="82" s="1"/>
  <c r="BR27" i="82"/>
  <c r="BS27" i="82" s="1"/>
  <c r="BT27" i="82" s="1"/>
  <c r="BT22" i="82"/>
  <c r="BR22" i="82"/>
  <c r="BS22" i="82" s="1"/>
  <c r="BR12" i="82"/>
  <c r="BS12" i="82" s="1"/>
  <c r="BT12" i="82" s="1"/>
  <c r="BU26" i="82"/>
  <c r="BV26" i="82" s="1"/>
  <c r="BR11" i="82"/>
  <c r="BS11" i="82" s="1"/>
  <c r="BT11" i="82" s="1"/>
  <c r="BR40" i="82"/>
  <c r="BS40" i="82" s="1"/>
  <c r="BT40" i="82" s="1"/>
  <c r="BU20" i="82"/>
  <c r="BV20" i="82" s="1"/>
  <c r="CI104" i="82"/>
  <c r="CJ104" i="82" s="1"/>
  <c r="BO33" i="82"/>
  <c r="BP33" i="82" s="1"/>
  <c r="BN33" i="82"/>
  <c r="CW57" i="82"/>
  <c r="CX57" i="82" s="1"/>
  <c r="BU25" i="82"/>
  <c r="BV25" i="82" s="1"/>
  <c r="BO51" i="82"/>
  <c r="BP51" i="82" s="1"/>
  <c r="BN51" i="82"/>
  <c r="BR16" i="82"/>
  <c r="BS16" i="82" s="1"/>
  <c r="BT16" i="82" s="1"/>
  <c r="DA99" i="82"/>
  <c r="DB99" i="82" s="1"/>
  <c r="BR24" i="82"/>
  <c r="BS24" i="82" s="1"/>
  <c r="BT24" i="82" s="1"/>
  <c r="BR39" i="82"/>
  <c r="BS39" i="82" s="1"/>
  <c r="BT39" i="82" s="1"/>
  <c r="CI122" i="82"/>
  <c r="CJ122" i="82" s="1"/>
  <c r="BS97" i="82"/>
  <c r="BP134" i="82"/>
  <c r="BR97" i="82"/>
  <c r="BR134" i="82" s="1"/>
  <c r="CG97" i="82"/>
  <c r="CH97" i="82" s="1"/>
  <c r="BU31" i="82"/>
  <c r="BV31" i="82" s="1"/>
  <c r="BU49" i="82"/>
  <c r="BV49" i="82" s="1"/>
  <c r="CI115" i="82"/>
  <c r="CJ115" i="82" s="1"/>
  <c r="BN37" i="82"/>
  <c r="BO37" i="82"/>
  <c r="BP37" i="82" s="1"/>
  <c r="BN55" i="82"/>
  <c r="BO55" i="82"/>
  <c r="BP55" i="82" s="1"/>
  <c r="BK162" i="82"/>
  <c r="BL162" i="82" s="1"/>
  <c r="BN62" i="82"/>
  <c r="BP62" i="82"/>
  <c r="BL95" i="82"/>
  <c r="BR56" i="82"/>
  <c r="BS56" i="82" s="1"/>
  <c r="BT56" i="82" s="1"/>
  <c r="CI98" i="82"/>
  <c r="CJ98" i="82" s="1"/>
  <c r="CI120" i="82"/>
  <c r="CJ120" i="82" s="1"/>
  <c r="BR52" i="82"/>
  <c r="BS52" i="82" s="1"/>
  <c r="BT52" i="82" s="1"/>
  <c r="BY114" i="82"/>
  <c r="BZ114" i="82" s="1"/>
  <c r="BR9" i="82"/>
  <c r="BS9" i="82" s="1"/>
  <c r="BT9" i="82" s="1"/>
  <c r="BR44" i="82"/>
  <c r="BS44" i="82" s="1"/>
  <c r="BT44" i="82" s="1"/>
  <c r="BR30" i="82"/>
  <c r="BS30" i="82" s="1"/>
  <c r="BT30" i="82" s="1"/>
  <c r="DT165" i="82"/>
  <c r="DV165" i="82" s="1"/>
  <c r="DX165" i="82"/>
  <c r="BO43" i="82"/>
  <c r="BP43" i="82" s="1"/>
  <c r="BN43" i="82"/>
  <c r="CI119" i="82"/>
  <c r="CJ119" i="82" s="1"/>
  <c r="CI113" i="82"/>
  <c r="CJ113" i="82" s="1"/>
  <c r="CI100" i="82"/>
  <c r="CJ100" i="82" s="1"/>
  <c r="BW106" i="82"/>
  <c r="BW134" i="82" s="1"/>
  <c r="BV134" i="82"/>
  <c r="CJ304" i="82"/>
  <c r="CH330" i="82"/>
  <c r="BR48" i="82"/>
  <c r="BS48" i="82" s="1"/>
  <c r="BT48" i="82" s="1"/>
  <c r="BR17" i="82"/>
  <c r="BS17" i="82" s="1"/>
  <c r="BT17" i="82" s="1"/>
  <c r="BN19" i="82"/>
  <c r="BO19" i="82"/>
  <c r="BP19" i="82" s="1"/>
  <c r="BR45" i="82"/>
  <c r="BS45" i="82" s="1"/>
  <c r="BT45" i="82" s="1"/>
  <c r="BN50" i="82"/>
  <c r="BO50" i="82"/>
  <c r="BP50" i="82" s="1"/>
  <c r="BU54" i="82"/>
  <c r="BV54" i="82"/>
  <c r="BU41" i="82"/>
  <c r="BV41" i="82" s="1"/>
  <c r="BU34" i="82"/>
  <c r="BV34" i="82" s="1"/>
  <c r="BR47" i="82"/>
  <c r="BS47" i="82" s="1"/>
  <c r="BT47" i="82" s="1"/>
  <c r="BU28" i="82"/>
  <c r="BV28" i="82" s="1"/>
  <c r="BR36" i="82"/>
  <c r="BS36" i="82" s="1"/>
  <c r="BT36" i="82" s="1"/>
  <c r="CT303" i="82"/>
  <c r="CI117" i="82"/>
  <c r="CJ117" i="82" s="1"/>
  <c r="BR21" i="82"/>
  <c r="BS21" i="82" s="1"/>
  <c r="BT21" i="82" s="1"/>
  <c r="BB8" i="82"/>
  <c r="BV61" i="82"/>
  <c r="BZ140" i="82"/>
  <c r="BX158" i="82"/>
  <c r="BA160" i="82" l="1"/>
  <c r="AY301" i="82"/>
  <c r="CF136" i="82"/>
  <c r="BU30" i="82"/>
  <c r="BV30" i="82" s="1"/>
  <c r="BR43" i="82"/>
  <c r="BS43" i="82" s="1"/>
  <c r="BT43" i="82" s="1"/>
  <c r="CK104" i="82"/>
  <c r="CL104" i="82" s="1"/>
  <c r="BU15" i="82"/>
  <c r="BV15" i="82" s="1"/>
  <c r="BU18" i="82"/>
  <c r="BV18" i="82" s="1"/>
  <c r="BU56" i="82"/>
  <c r="BV56" i="82" s="1"/>
  <c r="BW26" i="82"/>
  <c r="BX26" i="82" s="1"/>
  <c r="BU23" i="82"/>
  <c r="BV23" i="82" s="1"/>
  <c r="BU14" i="82"/>
  <c r="BV14" i="82" s="1"/>
  <c r="CK98" i="82"/>
  <c r="CL98" i="82" s="1"/>
  <c r="BU12" i="82"/>
  <c r="BV12" i="82" s="1"/>
  <c r="BU21" i="82"/>
  <c r="BV21" i="82" s="1"/>
  <c r="BU36" i="82"/>
  <c r="BV36" i="82"/>
  <c r="BW34" i="82"/>
  <c r="BX34" i="82" s="1"/>
  <c r="BU52" i="82"/>
  <c r="BV52" i="82" s="1"/>
  <c r="BR37" i="82"/>
  <c r="BS37" i="82" s="1"/>
  <c r="BT37" i="82"/>
  <c r="DC99" i="82"/>
  <c r="DD99" i="82" s="1"/>
  <c r="BR46" i="82"/>
  <c r="BS46" i="82" s="1"/>
  <c r="BT46" i="82" s="1"/>
  <c r="CK100" i="82"/>
  <c r="CL100" i="82" s="1"/>
  <c r="BU39" i="82"/>
  <c r="BV39" i="82" s="1"/>
  <c r="BU32" i="82"/>
  <c r="BV32" i="82" s="1"/>
  <c r="BW42" i="82"/>
  <c r="BX42" i="82" s="1"/>
  <c r="BU47" i="82"/>
  <c r="BV47" i="82" s="1"/>
  <c r="BU24" i="82"/>
  <c r="BV24" i="82" s="1"/>
  <c r="CY57" i="82"/>
  <c r="CZ57" i="82" s="1"/>
  <c r="BW41" i="82"/>
  <c r="BX41" i="82" s="1"/>
  <c r="BR19" i="82"/>
  <c r="BS19" i="82" s="1"/>
  <c r="BT19" i="82" s="1"/>
  <c r="BU48" i="82"/>
  <c r="BV48" i="82" s="1"/>
  <c r="CK119" i="82"/>
  <c r="CL119" i="82" s="1"/>
  <c r="BU9" i="82"/>
  <c r="BV9" i="82" s="1"/>
  <c r="CK122" i="82"/>
  <c r="CL122" i="82" s="1"/>
  <c r="BU16" i="82"/>
  <c r="BV16" i="82" s="1"/>
  <c r="BR38" i="82"/>
  <c r="BS38" i="82" s="1"/>
  <c r="BT38" i="82" s="1"/>
  <c r="DE58" i="82"/>
  <c r="DF58" i="82" s="1"/>
  <c r="BU13" i="82"/>
  <c r="BV13" i="82" s="1"/>
  <c r="BU35" i="82"/>
  <c r="BV35" i="82" s="1"/>
  <c r="BR50" i="82"/>
  <c r="BS50" i="82" s="1"/>
  <c r="BT50" i="82" s="1"/>
  <c r="BW25" i="82"/>
  <c r="BX25" i="82" s="1"/>
  <c r="BU40" i="82"/>
  <c r="BV40" i="82" s="1"/>
  <c r="CK118" i="82"/>
  <c r="CL118" i="82" s="1"/>
  <c r="BW28" i="82"/>
  <c r="BX28" i="82" s="1"/>
  <c r="BW54" i="82"/>
  <c r="BX54" i="82" s="1"/>
  <c r="BU44" i="82"/>
  <c r="BV44" i="82" s="1"/>
  <c r="BW20" i="82"/>
  <c r="BX20" i="82" s="1"/>
  <c r="BU27" i="82"/>
  <c r="BV27" i="82" s="1"/>
  <c r="CK112" i="82"/>
  <c r="CL112" i="82" s="1"/>
  <c r="BR10" i="82"/>
  <c r="BS10" i="82" s="1"/>
  <c r="BT10" i="82" s="1"/>
  <c r="BB59" i="82"/>
  <c r="BG8" i="82"/>
  <c r="BG59" i="82" s="1"/>
  <c r="CK117" i="82"/>
  <c r="CL117" i="82" s="1"/>
  <c r="BU17" i="82"/>
  <c r="BV17" i="82" s="1"/>
  <c r="CL304" i="82"/>
  <c r="CJ330" i="82"/>
  <c r="BR55" i="82"/>
  <c r="BS55" i="82" s="1"/>
  <c r="BT55" i="82" s="1"/>
  <c r="BU22" i="82"/>
  <c r="BV22" i="82"/>
  <c r="BU53" i="82"/>
  <c r="BV53" i="82" s="1"/>
  <c r="CV303" i="82"/>
  <c r="CI97" i="82"/>
  <c r="BR33" i="82"/>
  <c r="BS33" i="82" s="1"/>
  <c r="BT33" i="82" s="1"/>
  <c r="BU11" i="82"/>
  <c r="BV11" i="82" s="1"/>
  <c r="BP162" i="82"/>
  <c r="BN162" i="82"/>
  <c r="BO162" i="82"/>
  <c r="CK115" i="82"/>
  <c r="CL115" i="82" s="1"/>
  <c r="BW31" i="82"/>
  <c r="BX31" i="82" s="1"/>
  <c r="I14" i="4"/>
  <c r="K14" i="4" s="1"/>
  <c r="M14" i="4" s="1"/>
  <c r="O14" i="4" s="1"/>
  <c r="BS134" i="82"/>
  <c r="BR51" i="82"/>
  <c r="BS51" i="82" s="1"/>
  <c r="BT51" i="82" s="1"/>
  <c r="CK121" i="82"/>
  <c r="CL121" i="82" s="1"/>
  <c r="BW49" i="82"/>
  <c r="BX49" i="82" s="1"/>
  <c r="BW29" i="82"/>
  <c r="BX29" i="82" s="1"/>
  <c r="BU45" i="82"/>
  <c r="BV45" i="82" s="1"/>
  <c r="CK113" i="82"/>
  <c r="CL113" i="82" s="1"/>
  <c r="CA114" i="82"/>
  <c r="CB114" i="82" s="1"/>
  <c r="CK120" i="82"/>
  <c r="CL120" i="82"/>
  <c r="CB140" i="82"/>
  <c r="BZ158" i="82"/>
  <c r="BX61" i="82"/>
  <c r="BX106" i="82"/>
  <c r="BR62" i="82"/>
  <c r="BP95" i="82"/>
  <c r="CF138" i="82" l="1"/>
  <c r="CG136" i="82"/>
  <c r="CG138" i="82" s="1"/>
  <c r="CH136" i="82"/>
  <c r="BB160" i="82"/>
  <c r="BA301" i="82"/>
  <c r="BW53" i="82"/>
  <c r="BX53" i="82" s="1"/>
  <c r="BW16" i="82"/>
  <c r="BX16" i="82"/>
  <c r="BW39" i="82"/>
  <c r="BX39" i="82" s="1"/>
  <c r="BY34" i="82"/>
  <c r="BZ34" i="82" s="1"/>
  <c r="CM113" i="82"/>
  <c r="CN113" i="82" s="1"/>
  <c r="CM115" i="82"/>
  <c r="CN115" i="82" s="1"/>
  <c r="BY20" i="82"/>
  <c r="BZ20" i="82" s="1"/>
  <c r="CM122" i="82"/>
  <c r="CN122" i="82" s="1"/>
  <c r="BW48" i="82"/>
  <c r="BX48" i="82" s="1"/>
  <c r="CM100" i="82"/>
  <c r="CN100" i="82"/>
  <c r="BW56" i="82"/>
  <c r="BX56" i="82" s="1"/>
  <c r="BY29" i="82"/>
  <c r="BZ29" i="82"/>
  <c r="BU33" i="82"/>
  <c r="BV33" i="82" s="1"/>
  <c r="BU10" i="82"/>
  <c r="BV10" i="82" s="1"/>
  <c r="BW47" i="82"/>
  <c r="BX47" i="82" s="1"/>
  <c r="DE99" i="82"/>
  <c r="DF99" i="82" s="1"/>
  <c r="BY26" i="82"/>
  <c r="BZ26" i="82" s="1"/>
  <c r="BU51" i="82"/>
  <c r="BV51" i="82"/>
  <c r="BY28" i="82"/>
  <c r="BZ28" i="82" s="1"/>
  <c r="BW44" i="82"/>
  <c r="BX44" i="82" s="1"/>
  <c r="BW35" i="82"/>
  <c r="BX35" i="82" s="1"/>
  <c r="DA57" i="82"/>
  <c r="DB57" i="82" s="1"/>
  <c r="BY31" i="82"/>
  <c r="BZ31" i="82" s="1"/>
  <c r="CM119" i="82"/>
  <c r="CN119" i="82" s="1"/>
  <c r="BW17" i="82"/>
  <c r="BX17" i="82" s="1"/>
  <c r="BW13" i="82"/>
  <c r="BX13" i="82" s="1"/>
  <c r="BW24" i="82"/>
  <c r="BX24" i="82" s="1"/>
  <c r="BW32" i="82"/>
  <c r="BX32" i="82" s="1"/>
  <c r="BW52" i="82"/>
  <c r="BX52" i="82" s="1"/>
  <c r="BW21" i="82"/>
  <c r="BX21" i="82" s="1"/>
  <c r="CX303" i="82"/>
  <c r="BU55" i="82"/>
  <c r="BV55" i="82" s="1"/>
  <c r="CM118" i="82"/>
  <c r="CN118" i="82" s="1"/>
  <c r="DG58" i="82"/>
  <c r="DH58" i="82" s="1"/>
  <c r="BW9" i="82"/>
  <c r="BX9" i="82" s="1"/>
  <c r="BU46" i="82"/>
  <c r="BV46" i="82" s="1"/>
  <c r="BU37" i="82"/>
  <c r="BV37" i="82" s="1"/>
  <c r="CM98" i="82"/>
  <c r="CN98" i="82" s="1"/>
  <c r="BW15" i="82"/>
  <c r="BX15" i="82"/>
  <c r="BU43" i="82"/>
  <c r="BV43" i="82" s="1"/>
  <c r="BZ61" i="82"/>
  <c r="BW22" i="82"/>
  <c r="BX22" i="82" s="1"/>
  <c r="CM117" i="82"/>
  <c r="CN117" i="82" s="1"/>
  <c r="BH8" i="82"/>
  <c r="CM120" i="82"/>
  <c r="CN120" i="82" s="1"/>
  <c r="BY49" i="82"/>
  <c r="BZ49" i="82" s="1"/>
  <c r="BY54" i="82"/>
  <c r="BZ54" i="82" s="1"/>
  <c r="BY25" i="82"/>
  <c r="BZ25" i="82" s="1"/>
  <c r="BY42" i="82"/>
  <c r="BZ42" i="82"/>
  <c r="BY106" i="82"/>
  <c r="BY134" i="82" s="1"/>
  <c r="BZ106" i="82"/>
  <c r="BX134" i="82"/>
  <c r="CM121" i="82"/>
  <c r="CN121" i="82" s="1"/>
  <c r="CJ97" i="82"/>
  <c r="CN304" i="82"/>
  <c r="CL330" i="82"/>
  <c r="BW36" i="82"/>
  <c r="BX36" i="82" s="1"/>
  <c r="BW12" i="82"/>
  <c r="BX12" i="82"/>
  <c r="BW14" i="82"/>
  <c r="BX14" i="82" s="1"/>
  <c r="BW18" i="82"/>
  <c r="BX18" i="82" s="1"/>
  <c r="CM104" i="82"/>
  <c r="CN104" i="82" s="1"/>
  <c r="BW30" i="82"/>
  <c r="BX30" i="82" s="1"/>
  <c r="BW11" i="82"/>
  <c r="BX11" i="82"/>
  <c r="CM112" i="82"/>
  <c r="CN112" i="82" s="1"/>
  <c r="BY41" i="82"/>
  <c r="BZ41" i="82" s="1"/>
  <c r="BW23" i="82"/>
  <c r="BX23" i="82" s="1"/>
  <c r="BT62" i="82"/>
  <c r="BR95" i="82"/>
  <c r="CD140" i="82"/>
  <c r="CB158" i="82"/>
  <c r="CC114" i="82"/>
  <c r="CD114" i="82" s="1"/>
  <c r="BW45" i="82"/>
  <c r="BX45" i="82" s="1"/>
  <c r="BS162" i="82"/>
  <c r="BR162" i="82"/>
  <c r="BW27" i="82"/>
  <c r="BX27" i="82" s="1"/>
  <c r="BX40" i="82"/>
  <c r="BW40" i="82"/>
  <c r="BU50" i="82"/>
  <c r="BV50" i="82"/>
  <c r="BU38" i="82"/>
  <c r="BV38" i="82" s="1"/>
  <c r="BU19" i="82"/>
  <c r="BV19" i="82" s="1"/>
  <c r="CJ136" i="82" l="1"/>
  <c r="CH138" i="82"/>
  <c r="BT162" i="82"/>
  <c r="BG160" i="82"/>
  <c r="BB301" i="82"/>
  <c r="BY18" i="82"/>
  <c r="BZ18" i="82" s="1"/>
  <c r="CO98" i="82"/>
  <c r="CP98" i="82" s="1"/>
  <c r="CA28" i="82"/>
  <c r="CB28" i="82"/>
  <c r="BY14" i="82"/>
  <c r="BZ14" i="82" s="1"/>
  <c r="BY9" i="82"/>
  <c r="BZ9" i="82" s="1"/>
  <c r="BW55" i="82"/>
  <c r="BX55" i="82" s="1"/>
  <c r="BY52" i="82"/>
  <c r="BZ52" i="82" s="1"/>
  <c r="BY35" i="82"/>
  <c r="BZ35" i="82"/>
  <c r="BY56" i="82"/>
  <c r="BZ56" i="82" s="1"/>
  <c r="BY36" i="82"/>
  <c r="BZ36" i="82" s="1"/>
  <c r="BY48" i="82"/>
  <c r="BZ48" i="82" s="1"/>
  <c r="BY45" i="82"/>
  <c r="BZ45" i="82" s="1"/>
  <c r="BW19" i="82"/>
  <c r="BX19" i="82" s="1"/>
  <c r="CA41" i="82"/>
  <c r="CB41" i="82" s="1"/>
  <c r="BY30" i="82"/>
  <c r="BZ30" i="82" s="1"/>
  <c r="CA25" i="82"/>
  <c r="CB25" i="82" s="1"/>
  <c r="CO117" i="82"/>
  <c r="CP117" i="82" s="1"/>
  <c r="DI58" i="82"/>
  <c r="DJ58" i="82"/>
  <c r="BY32" i="82"/>
  <c r="BZ32" i="82" s="1"/>
  <c r="CA31" i="82"/>
  <c r="CB31" i="82" s="1"/>
  <c r="BY47" i="82"/>
  <c r="BZ47" i="82"/>
  <c r="CO113" i="82"/>
  <c r="CP113" i="82" s="1"/>
  <c r="BY27" i="82"/>
  <c r="BZ27" i="82" s="1"/>
  <c r="CO121" i="82"/>
  <c r="CP121" i="82" s="1"/>
  <c r="BY39" i="82"/>
  <c r="BZ39" i="82" s="1"/>
  <c r="BW38" i="82"/>
  <c r="BX38" i="82"/>
  <c r="CO112" i="82"/>
  <c r="CP112" i="82" s="1"/>
  <c r="CO104" i="82"/>
  <c r="CP104" i="82" s="1"/>
  <c r="BY22" i="82"/>
  <c r="BZ22" i="82" s="1"/>
  <c r="BY24" i="82"/>
  <c r="BZ24" i="82" s="1"/>
  <c r="CA26" i="82"/>
  <c r="CB26" i="82" s="1"/>
  <c r="CA20" i="82"/>
  <c r="CB20" i="82" s="1"/>
  <c r="CA34" i="82"/>
  <c r="CB34" i="82" s="1"/>
  <c r="BY53" i="82"/>
  <c r="BZ53" i="82"/>
  <c r="BY40" i="82"/>
  <c r="BZ40" i="82" s="1"/>
  <c r="BY21" i="82"/>
  <c r="BZ21" i="82" s="1"/>
  <c r="CO119" i="82"/>
  <c r="CP119" i="82"/>
  <c r="BW51" i="82"/>
  <c r="BX51" i="82" s="1"/>
  <c r="BW10" i="82"/>
  <c r="BX10" i="82"/>
  <c r="CA29" i="82"/>
  <c r="CB29" i="82" s="1"/>
  <c r="CO122" i="82"/>
  <c r="CP122" i="82" s="1"/>
  <c r="CO115" i="82"/>
  <c r="CP115" i="82" s="1"/>
  <c r="BY16" i="82"/>
  <c r="BZ16" i="82" s="1"/>
  <c r="BW50" i="82"/>
  <c r="BX50" i="82" s="1"/>
  <c r="CE114" i="82"/>
  <c r="CF114" i="82"/>
  <c r="BY11" i="82"/>
  <c r="BZ11" i="82" s="1"/>
  <c r="CP304" i="82"/>
  <c r="CN330" i="82"/>
  <c r="BY15" i="82"/>
  <c r="BZ15" i="82" s="1"/>
  <c r="BW37" i="82"/>
  <c r="BX37" i="82" s="1"/>
  <c r="CO118" i="82"/>
  <c r="CP118" i="82" s="1"/>
  <c r="BU162" i="82"/>
  <c r="BY12" i="82"/>
  <c r="BZ12" i="82"/>
  <c r="CA42" i="82"/>
  <c r="CB42" i="82" s="1"/>
  <c r="CO120" i="82"/>
  <c r="CP120" i="82" s="1"/>
  <c r="DC57" i="82"/>
  <c r="DD57" i="82" s="1"/>
  <c r="DG99" i="82"/>
  <c r="DH99" i="82" s="1"/>
  <c r="BV62" i="82"/>
  <c r="BT95" i="82"/>
  <c r="N13" i="4" s="1"/>
  <c r="O13" i="4" s="1"/>
  <c r="CL97" i="82"/>
  <c r="CK97" i="82"/>
  <c r="CA106" i="82"/>
  <c r="CA134" i="82" s="1"/>
  <c r="BZ134" i="82"/>
  <c r="CA49" i="82"/>
  <c r="CB49" i="82" s="1"/>
  <c r="BI8" i="82"/>
  <c r="BI59" i="82" s="1"/>
  <c r="BH59" i="82"/>
  <c r="CZ303" i="82"/>
  <c r="CF140" i="82"/>
  <c r="CD158" i="82"/>
  <c r="BY23" i="82"/>
  <c r="BZ23" i="82" s="1"/>
  <c r="CA54" i="82"/>
  <c r="CB54" i="82" s="1"/>
  <c r="CB61" i="82"/>
  <c r="BW43" i="82"/>
  <c r="BX43" i="82" s="1"/>
  <c r="BW46" i="82"/>
  <c r="BX46" i="82" s="1"/>
  <c r="BY13" i="82"/>
  <c r="BZ13" i="82" s="1"/>
  <c r="BY44" i="82"/>
  <c r="BZ44" i="82" s="1"/>
  <c r="CO100" i="82"/>
  <c r="CP100" i="82" s="1"/>
  <c r="BY17" i="82"/>
  <c r="BZ17" i="82" s="1"/>
  <c r="BW33" i="82"/>
  <c r="BX33" i="82" s="1"/>
  <c r="BH160" i="82" l="1"/>
  <c r="BG301" i="82"/>
  <c r="CJ138" i="82"/>
  <c r="CL136" i="82"/>
  <c r="BV162" i="82"/>
  <c r="CQ115" i="82"/>
  <c r="CR115" i="82" s="1"/>
  <c r="CA24" i="82"/>
  <c r="CB24" i="82" s="1"/>
  <c r="CQ118" i="82"/>
  <c r="CR118" i="82" s="1"/>
  <c r="CA21" i="82"/>
  <c r="CB21" i="82" s="1"/>
  <c r="CC34" i="82"/>
  <c r="CD34" i="82" s="1"/>
  <c r="CA22" i="82"/>
  <c r="CB22" i="82" s="1"/>
  <c r="CA30" i="82"/>
  <c r="CB30" i="82" s="1"/>
  <c r="CA45" i="82"/>
  <c r="CB45" i="82" s="1"/>
  <c r="CA9" i="82"/>
  <c r="CB9" i="82" s="1"/>
  <c r="CA27" i="82"/>
  <c r="CB27" i="82" s="1"/>
  <c r="BY33" i="82"/>
  <c r="BZ33" i="82" s="1"/>
  <c r="BY46" i="82"/>
  <c r="BZ46" i="82" s="1"/>
  <c r="CC54" i="82"/>
  <c r="CD54" i="82" s="1"/>
  <c r="BY51" i="82"/>
  <c r="BZ51" i="82" s="1"/>
  <c r="CA40" i="82"/>
  <c r="CB40" i="82" s="1"/>
  <c r="CC20" i="82"/>
  <c r="CD20" i="82" s="1"/>
  <c r="CQ104" i="82"/>
  <c r="CR104" i="82" s="1"/>
  <c r="CA39" i="82"/>
  <c r="CB39" i="82" s="1"/>
  <c r="CC41" i="82"/>
  <c r="CD41" i="82" s="1"/>
  <c r="CA52" i="82"/>
  <c r="CB52" i="82" s="1"/>
  <c r="CQ98" i="82"/>
  <c r="CR98" i="82" s="1"/>
  <c r="DE57" i="82"/>
  <c r="DF57" i="82"/>
  <c r="CC25" i="82"/>
  <c r="CD25" i="82" s="1"/>
  <c r="CA44" i="82"/>
  <c r="CB44" i="82" s="1"/>
  <c r="CA23" i="82"/>
  <c r="CB23" i="82" s="1"/>
  <c r="CC49" i="82"/>
  <c r="CD49" i="82" s="1"/>
  <c r="DI99" i="82"/>
  <c r="DJ99" i="82" s="1"/>
  <c r="CC42" i="82"/>
  <c r="CD42" i="82" s="1"/>
  <c r="CA16" i="82"/>
  <c r="CB16" i="82" s="1"/>
  <c r="CC29" i="82"/>
  <c r="CD29" i="82"/>
  <c r="CC26" i="82"/>
  <c r="CD26" i="82" s="1"/>
  <c r="CQ112" i="82"/>
  <c r="CR112" i="82" s="1"/>
  <c r="CQ121" i="82"/>
  <c r="CR121" i="82" s="1"/>
  <c r="CA32" i="82"/>
  <c r="CB32" i="82" s="1"/>
  <c r="CA18" i="82"/>
  <c r="CB18" i="82" s="1"/>
  <c r="CQ100" i="82"/>
  <c r="CR100" i="82" s="1"/>
  <c r="CA12" i="82"/>
  <c r="CB12" i="82" s="1"/>
  <c r="CA53" i="82"/>
  <c r="CB53" i="82" s="1"/>
  <c r="BZ38" i="82"/>
  <c r="BY38" i="82"/>
  <c r="CQ113" i="82"/>
  <c r="CR113" i="82" s="1"/>
  <c r="CC31" i="82"/>
  <c r="CD31" i="82" s="1"/>
  <c r="BX62" i="82"/>
  <c r="BV95" i="82"/>
  <c r="CA15" i="82"/>
  <c r="CB15" i="82" s="1"/>
  <c r="CG114" i="82"/>
  <c r="CH114" i="82" s="1"/>
  <c r="CQ122" i="82"/>
  <c r="CR122" i="82" s="1"/>
  <c r="BY10" i="82"/>
  <c r="BZ10" i="82" s="1"/>
  <c r="CQ119" i="82"/>
  <c r="CR119" i="82" s="1"/>
  <c r="CA17" i="82"/>
  <c r="CB17" i="82" s="1"/>
  <c r="CQ120" i="82"/>
  <c r="CR120" i="82" s="1"/>
  <c r="BW162" i="82"/>
  <c r="BW301" i="82" s="1"/>
  <c r="BY37" i="82"/>
  <c r="BZ37" i="82" s="1"/>
  <c r="CA11" i="82"/>
  <c r="CB11" i="82" s="1"/>
  <c r="BY50" i="82"/>
  <c r="BZ50" i="82" s="1"/>
  <c r="DK58" i="82"/>
  <c r="DL58" i="82" s="1"/>
  <c r="CA36" i="82"/>
  <c r="CB36" i="82" s="1"/>
  <c r="CA35" i="82"/>
  <c r="CB35" i="82" s="1"/>
  <c r="BY55" i="82"/>
  <c r="BZ55" i="82" s="1"/>
  <c r="CA14" i="82"/>
  <c r="CB14" i="82"/>
  <c r="CD61" i="82"/>
  <c r="DB303" i="82"/>
  <c r="BJ8" i="82"/>
  <c r="CM97" i="82"/>
  <c r="CR304" i="82"/>
  <c r="CP330" i="82"/>
  <c r="CA47" i="82"/>
  <c r="CB47" i="82" s="1"/>
  <c r="CQ117" i="82"/>
  <c r="CR117" i="82" s="1"/>
  <c r="BY19" i="82"/>
  <c r="BZ19" i="82"/>
  <c r="CA48" i="82"/>
  <c r="CB48" i="82" s="1"/>
  <c r="CA56" i="82"/>
  <c r="CB56" i="82" s="1"/>
  <c r="CC28" i="82"/>
  <c r="CD28" i="82" s="1"/>
  <c r="CA13" i="82"/>
  <c r="CB13" i="82" s="1"/>
  <c r="BY43" i="82"/>
  <c r="BZ43" i="82" s="1"/>
  <c r="CH140" i="82"/>
  <c r="CF158" i="82"/>
  <c r="CB106" i="82"/>
  <c r="CN136" i="82" l="1"/>
  <c r="CL138" i="82"/>
  <c r="BI160" i="82"/>
  <c r="BI301" i="82" s="1"/>
  <c r="BJ160" i="82"/>
  <c r="BH301" i="82"/>
  <c r="CE28" i="82"/>
  <c r="CF28" i="82"/>
  <c r="CS119" i="82"/>
  <c r="CT119" i="82" s="1"/>
  <c r="CE26" i="82"/>
  <c r="CF26" i="82"/>
  <c r="CE25" i="82"/>
  <c r="CF25" i="82" s="1"/>
  <c r="CC52" i="82"/>
  <c r="CD52" i="82"/>
  <c r="CC22" i="82"/>
  <c r="CD22" i="82" s="1"/>
  <c r="CS118" i="82"/>
  <c r="CT118" i="82" s="1"/>
  <c r="CC35" i="82"/>
  <c r="CD35" i="82"/>
  <c r="CA10" i="82"/>
  <c r="CB10" i="82" s="1"/>
  <c r="CC32" i="82"/>
  <c r="CD32" i="82" s="1"/>
  <c r="CE42" i="82"/>
  <c r="CF42" i="82"/>
  <c r="CE41" i="82"/>
  <c r="CF41" i="82" s="1"/>
  <c r="CA33" i="82"/>
  <c r="CB33" i="82"/>
  <c r="CE34" i="82"/>
  <c r="CF34" i="82" s="1"/>
  <c r="DK99" i="82"/>
  <c r="DL99" i="82"/>
  <c r="CC39" i="82"/>
  <c r="CD39" i="82" s="1"/>
  <c r="CE54" i="82"/>
  <c r="CF54" i="82"/>
  <c r="CC45" i="82"/>
  <c r="CD45" i="82" s="1"/>
  <c r="CC15" i="82"/>
  <c r="CD15" i="82" s="1"/>
  <c r="CA50" i="82"/>
  <c r="CB50" i="82" s="1"/>
  <c r="CS122" i="82"/>
  <c r="CT122" i="82" s="1"/>
  <c r="CS100" i="82"/>
  <c r="CT100" i="82" s="1"/>
  <c r="CS121" i="82"/>
  <c r="CT121" i="82"/>
  <c r="CS117" i="82"/>
  <c r="CT117" i="82" s="1"/>
  <c r="CC17" i="82"/>
  <c r="CD17" i="82"/>
  <c r="CI114" i="82"/>
  <c r="CJ114" i="82" s="1"/>
  <c r="CS112" i="82"/>
  <c r="CT112" i="82" s="1"/>
  <c r="CC44" i="82"/>
  <c r="CD44" i="82"/>
  <c r="CS98" i="82"/>
  <c r="CT98" i="82" s="1"/>
  <c r="CS104" i="82"/>
  <c r="CT104" i="82"/>
  <c r="CC30" i="82"/>
  <c r="CD30" i="82" s="1"/>
  <c r="CS115" i="82"/>
  <c r="CT115" i="82" s="1"/>
  <c r="CE31" i="82"/>
  <c r="CF31" i="82" s="1"/>
  <c r="CE49" i="82"/>
  <c r="CF49" i="82" s="1"/>
  <c r="DG57" i="82"/>
  <c r="DH57" i="82" s="1"/>
  <c r="CE20" i="82"/>
  <c r="CF20" i="82" s="1"/>
  <c r="CA51" i="82"/>
  <c r="CB51" i="82" s="1"/>
  <c r="CA46" i="82"/>
  <c r="CB46" i="82" s="1"/>
  <c r="CC27" i="82"/>
  <c r="CD27" i="82" s="1"/>
  <c r="CC21" i="82"/>
  <c r="CD21" i="82" s="1"/>
  <c r="CC24" i="82"/>
  <c r="CD24" i="82" s="1"/>
  <c r="CC106" i="82"/>
  <c r="CC134" i="82" s="1"/>
  <c r="CB134" i="82"/>
  <c r="CJ140" i="82"/>
  <c r="CH158" i="82"/>
  <c r="BK8" i="82"/>
  <c r="BK59" i="82" s="1"/>
  <c r="BL8" i="82"/>
  <c r="BJ59" i="82"/>
  <c r="CF61" i="82"/>
  <c r="BZ62" i="82"/>
  <c r="BX95" i="82"/>
  <c r="CS113" i="82"/>
  <c r="CT113" i="82" s="1"/>
  <c r="CC53" i="82"/>
  <c r="CD53" i="82" s="1"/>
  <c r="CD12" i="82"/>
  <c r="CC12" i="82"/>
  <c r="CA55" i="82"/>
  <c r="CB55" i="82" s="1"/>
  <c r="CC36" i="82"/>
  <c r="CD36" i="82" s="1"/>
  <c r="CA37" i="82"/>
  <c r="CB37" i="82" s="1"/>
  <c r="CA38" i="82"/>
  <c r="CB38" i="82" s="1"/>
  <c r="CN97" i="82"/>
  <c r="CC11" i="82"/>
  <c r="CD11" i="82" s="1"/>
  <c r="CS120" i="82"/>
  <c r="CT120" i="82" s="1"/>
  <c r="CD13" i="82"/>
  <c r="CC13" i="82"/>
  <c r="CC56" i="82"/>
  <c r="CD56" i="82" s="1"/>
  <c r="CA19" i="82"/>
  <c r="CB19" i="82" s="1"/>
  <c r="CC47" i="82"/>
  <c r="CD47" i="82" s="1"/>
  <c r="CE29" i="82"/>
  <c r="CF29" i="82" s="1"/>
  <c r="CA43" i="82"/>
  <c r="CB43" i="82"/>
  <c r="CC48" i="82"/>
  <c r="CD48" i="82" s="1"/>
  <c r="CC14" i="82"/>
  <c r="CD14" i="82" s="1"/>
  <c r="DM58" i="82"/>
  <c r="DN58" i="82"/>
  <c r="CT304" i="82"/>
  <c r="CR330" i="82"/>
  <c r="DD303" i="82"/>
  <c r="BX162" i="82"/>
  <c r="CC18" i="82"/>
  <c r="CD18" i="82" s="1"/>
  <c r="CC16" i="82"/>
  <c r="CD16" i="82" s="1"/>
  <c r="CC23" i="82"/>
  <c r="CD23" i="82" s="1"/>
  <c r="CC40" i="82"/>
  <c r="CD40" i="82"/>
  <c r="CC9" i="82"/>
  <c r="CD9" i="82" s="1"/>
  <c r="BK160" i="82" l="1"/>
  <c r="BJ301" i="82"/>
  <c r="BJ332" i="82" s="1"/>
  <c r="BJ334" i="82" s="1"/>
  <c r="CP136" i="82"/>
  <c r="CN138" i="82"/>
  <c r="CE21" i="82"/>
  <c r="CF21" i="82" s="1"/>
  <c r="DI57" i="82"/>
  <c r="DJ57" i="82" s="1"/>
  <c r="CE18" i="82"/>
  <c r="CF18" i="82" s="1"/>
  <c r="CC37" i="82"/>
  <c r="CD37" i="82" s="1"/>
  <c r="CG49" i="82"/>
  <c r="CH49" i="82" s="1"/>
  <c r="CK114" i="82"/>
  <c r="CL114" i="82" s="1"/>
  <c r="CE15" i="82"/>
  <c r="CF15" i="82" s="1"/>
  <c r="CE22" i="82"/>
  <c r="CF22" i="82"/>
  <c r="CE48" i="82"/>
  <c r="CF48" i="82" s="1"/>
  <c r="CU100" i="82"/>
  <c r="CV100" i="82" s="1"/>
  <c r="CG31" i="82"/>
  <c r="CH31" i="82" s="1"/>
  <c r="CE47" i="82"/>
  <c r="CF47" i="82" s="1"/>
  <c r="CU112" i="82"/>
  <c r="CV112" i="82" s="1"/>
  <c r="CC10" i="82"/>
  <c r="CD10" i="82"/>
  <c r="CC19" i="82"/>
  <c r="CD19" i="82" s="1"/>
  <c r="CE23" i="82"/>
  <c r="CF23" i="82"/>
  <c r="CE9" i="82"/>
  <c r="CF9" i="82" s="1"/>
  <c r="CE14" i="82"/>
  <c r="CF14" i="82" s="1"/>
  <c r="CG29" i="82"/>
  <c r="CH29" i="82" s="1"/>
  <c r="CG20" i="82"/>
  <c r="CH20" i="82" s="1"/>
  <c r="CU115" i="82"/>
  <c r="CV115" i="82" s="1"/>
  <c r="CE40" i="82"/>
  <c r="CF40" i="82" s="1"/>
  <c r="CU104" i="82"/>
  <c r="CV104" i="82" s="1"/>
  <c r="CU117" i="82"/>
  <c r="CV117" i="82" s="1"/>
  <c r="CC50" i="82"/>
  <c r="CD50" i="82" s="1"/>
  <c r="CG34" i="82"/>
  <c r="CH34" i="82" s="1"/>
  <c r="CE32" i="82"/>
  <c r="CF32" i="82" s="1"/>
  <c r="CG25" i="82"/>
  <c r="CH25" i="82" s="1"/>
  <c r="CO97" i="82"/>
  <c r="CP97" i="82" s="1"/>
  <c r="CE53" i="82"/>
  <c r="CF53" i="82" s="1"/>
  <c r="CL140" i="82"/>
  <c r="CJ158" i="82"/>
  <c r="CE56" i="82"/>
  <c r="CF56" i="82" s="1"/>
  <c r="CE11" i="82"/>
  <c r="CF11" i="82" s="1"/>
  <c r="CE12" i="82"/>
  <c r="CF12" i="82" s="1"/>
  <c r="CU113" i="82"/>
  <c r="CV113" i="82" s="1"/>
  <c r="CC46" i="82"/>
  <c r="CD46" i="82" s="1"/>
  <c r="CE44" i="82"/>
  <c r="CF44" i="82" s="1"/>
  <c r="CE39" i="82"/>
  <c r="CF39" i="82" s="1"/>
  <c r="CG41" i="82"/>
  <c r="CH41" i="82" s="1"/>
  <c r="CE35" i="82"/>
  <c r="CF35" i="82" s="1"/>
  <c r="CU119" i="82"/>
  <c r="CV119" i="82" s="1"/>
  <c r="DO58" i="82"/>
  <c r="DP58" i="82" s="1"/>
  <c r="BZ162" i="82"/>
  <c r="CV304" i="82"/>
  <c r="CT330" i="82"/>
  <c r="CB62" i="82"/>
  <c r="BZ95" i="82"/>
  <c r="BN8" i="82"/>
  <c r="BO8" i="82"/>
  <c r="BO59" i="82" s="1"/>
  <c r="BL59" i="82"/>
  <c r="CE24" i="82"/>
  <c r="CF24" i="82" s="1"/>
  <c r="CE27" i="82"/>
  <c r="CF27" i="82"/>
  <c r="CC51" i="82"/>
  <c r="CD51" i="82" s="1"/>
  <c r="CE30" i="82"/>
  <c r="CF30" i="82" s="1"/>
  <c r="CU98" i="82"/>
  <c r="CV98" i="82" s="1"/>
  <c r="CE17" i="82"/>
  <c r="CF17" i="82" s="1"/>
  <c r="CU121" i="82"/>
  <c r="CV121" i="82" s="1"/>
  <c r="CU122" i="82"/>
  <c r="CV122" i="82" s="1"/>
  <c r="CG54" i="82"/>
  <c r="CH54" i="82" s="1"/>
  <c r="DM99" i="82"/>
  <c r="DN99" i="82"/>
  <c r="CC33" i="82"/>
  <c r="CD33" i="82" s="1"/>
  <c r="CG42" i="82"/>
  <c r="CH42" i="82" s="1"/>
  <c r="CU118" i="82"/>
  <c r="CV118" i="82" s="1"/>
  <c r="CE52" i="82"/>
  <c r="CF52" i="82" s="1"/>
  <c r="CG26" i="82"/>
  <c r="CH26" i="82" s="1"/>
  <c r="CG28" i="82"/>
  <c r="CH28" i="82" s="1"/>
  <c r="CE16" i="82"/>
  <c r="CF16" i="82" s="1"/>
  <c r="CC43" i="82"/>
  <c r="CD43" i="82"/>
  <c r="CU120" i="82"/>
  <c r="CV120" i="82" s="1"/>
  <c r="CC55" i="82"/>
  <c r="CD55" i="82" s="1"/>
  <c r="CH61" i="82"/>
  <c r="CE45" i="82"/>
  <c r="CF45" i="82" s="1"/>
  <c r="DF303" i="82"/>
  <c r="CE13" i="82"/>
  <c r="CF13" i="82" s="1"/>
  <c r="CC38" i="82"/>
  <c r="CD38" i="82" s="1"/>
  <c r="CE36" i="82"/>
  <c r="CF36" i="82" s="1"/>
  <c r="CD106" i="82"/>
  <c r="CP138" i="82" l="1"/>
  <c r="CR136" i="82"/>
  <c r="BL160" i="82"/>
  <c r="BK301" i="82"/>
  <c r="BK332" i="82" s="1"/>
  <c r="BK334" i="82" s="1"/>
  <c r="CW98" i="82"/>
  <c r="CX98" i="82" s="1"/>
  <c r="CG44" i="82"/>
  <c r="CH44" i="82" s="1"/>
  <c r="CI34" i="82"/>
  <c r="CJ34" i="82" s="1"/>
  <c r="CG40" i="82"/>
  <c r="CH40" i="82" s="1"/>
  <c r="CI29" i="82"/>
  <c r="CJ29" i="82" s="1"/>
  <c r="CG48" i="82"/>
  <c r="CH48" i="82" s="1"/>
  <c r="CG18" i="82"/>
  <c r="CH18" i="82" s="1"/>
  <c r="CI26" i="82"/>
  <c r="CJ26" i="82" s="1"/>
  <c r="CW121" i="82"/>
  <c r="CX121" i="82" s="1"/>
  <c r="CI41" i="82"/>
  <c r="CJ41" i="82" s="1"/>
  <c r="CE46" i="82"/>
  <c r="CF46" i="82" s="1"/>
  <c r="CG11" i="82"/>
  <c r="CH11" i="82" s="1"/>
  <c r="CI25" i="82"/>
  <c r="CJ25" i="82" s="1"/>
  <c r="CE50" i="82"/>
  <c r="CF50" i="82" s="1"/>
  <c r="CW115" i="82"/>
  <c r="CX115" i="82" s="1"/>
  <c r="CI31" i="82"/>
  <c r="CJ31" i="82" s="1"/>
  <c r="CG36" i="82"/>
  <c r="CH36" i="82" s="1"/>
  <c r="CW112" i="82"/>
  <c r="CX112" i="82" s="1"/>
  <c r="CI49" i="82"/>
  <c r="CJ49" i="82" s="1"/>
  <c r="CW118" i="82"/>
  <c r="CX118" i="82" s="1"/>
  <c r="DQ58" i="82"/>
  <c r="DR58" i="82" s="1"/>
  <c r="CQ97" i="82"/>
  <c r="CR97" i="82" s="1"/>
  <c r="CE55" i="82"/>
  <c r="CF55" i="82" s="1"/>
  <c r="CG16" i="82"/>
  <c r="CH16" i="82" s="1"/>
  <c r="CI54" i="82"/>
  <c r="CJ54" i="82"/>
  <c r="CG24" i="82"/>
  <c r="CH24" i="82" s="1"/>
  <c r="CW119" i="82"/>
  <c r="CX119" i="82" s="1"/>
  <c r="CW113" i="82"/>
  <c r="CX113" i="82" s="1"/>
  <c r="CW117" i="82"/>
  <c r="CX117" i="82" s="1"/>
  <c r="CG13" i="82"/>
  <c r="CH13" i="82" s="1"/>
  <c r="CW120" i="82"/>
  <c r="CX120" i="82" s="1"/>
  <c r="CE33" i="82"/>
  <c r="CF33" i="82" s="1"/>
  <c r="CE51" i="82"/>
  <c r="CF51" i="82" s="1"/>
  <c r="CW104" i="82"/>
  <c r="CX104" i="82" s="1"/>
  <c r="CG9" i="82"/>
  <c r="CH9" i="82" s="1"/>
  <c r="CG15" i="82"/>
  <c r="CH15" i="82" s="1"/>
  <c r="CE37" i="82"/>
  <c r="CF37" i="82" s="1"/>
  <c r="CG21" i="82"/>
  <c r="CH21" i="82" s="1"/>
  <c r="DH303" i="82"/>
  <c r="CN140" i="82"/>
  <c r="CL158" i="82"/>
  <c r="CG14" i="82"/>
  <c r="CH14" i="82"/>
  <c r="CE10" i="82"/>
  <c r="CF10" i="82" s="1"/>
  <c r="CW100" i="82"/>
  <c r="CX100" i="82" s="1"/>
  <c r="DK57" i="82"/>
  <c r="DL57" i="82" s="1"/>
  <c r="CG45" i="82"/>
  <c r="CH45" i="82" s="1"/>
  <c r="CG52" i="82"/>
  <c r="CH52" i="82" s="1"/>
  <c r="BN59" i="82"/>
  <c r="CG35" i="82"/>
  <c r="CH35" i="82" s="1"/>
  <c r="CG39" i="82"/>
  <c r="CH39" i="82" s="1"/>
  <c r="CG12" i="82"/>
  <c r="CH12" i="82"/>
  <c r="CG56" i="82"/>
  <c r="CH56" i="82" s="1"/>
  <c r="CG53" i="82"/>
  <c r="CH53" i="82" s="1"/>
  <c r="CG32" i="82"/>
  <c r="CH32" i="82" s="1"/>
  <c r="CX304" i="82"/>
  <c r="CV330" i="82"/>
  <c r="CM114" i="82"/>
  <c r="CN114" i="82" s="1"/>
  <c r="CE43" i="82"/>
  <c r="CF43" i="82" s="1"/>
  <c r="DO99" i="82"/>
  <c r="DP99" i="82" s="1"/>
  <c r="CW122" i="82"/>
  <c r="CX122" i="82" s="1"/>
  <c r="CG30" i="82"/>
  <c r="CH30" i="82" s="1"/>
  <c r="CG27" i="82"/>
  <c r="CH27" i="82" s="1"/>
  <c r="CE106" i="82"/>
  <c r="CE134" i="82" s="1"/>
  <c r="CD134" i="82"/>
  <c r="BP8" i="82"/>
  <c r="CD62" i="82"/>
  <c r="CB95" i="82"/>
  <c r="CB162" i="82"/>
  <c r="CI20" i="82"/>
  <c r="CJ20" i="82" s="1"/>
  <c r="CG23" i="82"/>
  <c r="CH23" i="82" s="1"/>
  <c r="CG47" i="82"/>
  <c r="CH47" i="82" s="1"/>
  <c r="CG22" i="82"/>
  <c r="CH22" i="82" s="1"/>
  <c r="CE38" i="82"/>
  <c r="CF38" i="82" s="1"/>
  <c r="CI28" i="82"/>
  <c r="CJ28" i="82"/>
  <c r="CI42" i="82"/>
  <c r="CJ42" i="82" s="1"/>
  <c r="CG17" i="82"/>
  <c r="CH17" i="82" s="1"/>
  <c r="CJ61" i="82"/>
  <c r="CE19" i="82"/>
  <c r="CF19" i="82" s="1"/>
  <c r="BO160" i="82" l="1"/>
  <c r="BO301" i="82" s="1"/>
  <c r="BO332" i="82" s="1"/>
  <c r="BP160" i="82"/>
  <c r="BN160" i="82"/>
  <c r="BN301" i="82" s="1"/>
  <c r="BL301" i="82"/>
  <c r="BL332" i="82" s="1"/>
  <c r="BL334" i="82" s="1"/>
  <c r="CT136" i="82"/>
  <c r="CR138" i="82"/>
  <c r="CF106" i="82"/>
  <c r="CK20" i="82"/>
  <c r="CL20" i="82" s="1"/>
  <c r="CI32" i="82"/>
  <c r="CJ32" i="82" s="1"/>
  <c r="CG33" i="82"/>
  <c r="CH33" i="82" s="1"/>
  <c r="CG46" i="82"/>
  <c r="CH46" i="82"/>
  <c r="CK34" i="82"/>
  <c r="CL34" i="82" s="1"/>
  <c r="CI47" i="82"/>
  <c r="CJ47" i="82" s="1"/>
  <c r="CO114" i="82"/>
  <c r="CP114" i="82" s="1"/>
  <c r="CI45" i="82"/>
  <c r="CJ45" i="82" s="1"/>
  <c r="CI15" i="82"/>
  <c r="CJ15" i="82" s="1"/>
  <c r="CI16" i="82"/>
  <c r="CJ16" i="82" s="1"/>
  <c r="DT58" i="82"/>
  <c r="DS58" i="82"/>
  <c r="CK25" i="82"/>
  <c r="CL25" i="82" s="1"/>
  <c r="CK29" i="82"/>
  <c r="CL29" i="82" s="1"/>
  <c r="CG43" i="82"/>
  <c r="CH43" i="82" s="1"/>
  <c r="CI21" i="82"/>
  <c r="CJ21" i="82" s="1"/>
  <c r="CI24" i="82"/>
  <c r="CJ24" i="82"/>
  <c r="CY112" i="82"/>
  <c r="CZ112" i="82" s="1"/>
  <c r="CY115" i="82"/>
  <c r="CZ115" i="82" s="1"/>
  <c r="CI18" i="82"/>
  <c r="CJ18" i="82" s="1"/>
  <c r="CI30" i="82"/>
  <c r="CJ30" i="82" s="1"/>
  <c r="CG10" i="82"/>
  <c r="CH10" i="82" s="1"/>
  <c r="CS97" i="82"/>
  <c r="CT97" i="82" s="1"/>
  <c r="CG38" i="82"/>
  <c r="CH38" i="82"/>
  <c r="CI39" i="82"/>
  <c r="CJ39" i="82" s="1"/>
  <c r="DM57" i="82"/>
  <c r="DN57" i="82" s="1"/>
  <c r="CG19" i="82"/>
  <c r="CH19" i="82" s="1"/>
  <c r="CK42" i="82"/>
  <c r="CL42" i="82" s="1"/>
  <c r="CI27" i="82"/>
  <c r="CJ27" i="82" s="1"/>
  <c r="DQ99" i="82"/>
  <c r="DR99" i="82"/>
  <c r="CI56" i="82"/>
  <c r="CJ56" i="82" s="1"/>
  <c r="CI35" i="82"/>
  <c r="CJ35" i="82" s="1"/>
  <c r="CY100" i="82"/>
  <c r="CZ100" i="82" s="1"/>
  <c r="CY113" i="82"/>
  <c r="CZ113" i="82"/>
  <c r="CI36" i="82"/>
  <c r="CJ36" i="82" s="1"/>
  <c r="CY121" i="82"/>
  <c r="CZ121" i="82" s="1"/>
  <c r="CY98" i="82"/>
  <c r="CZ98" i="82" s="1"/>
  <c r="CF62" i="82"/>
  <c r="CD95" i="82"/>
  <c r="CY122" i="82"/>
  <c r="CZ122" i="82" s="1"/>
  <c r="CI12" i="82"/>
  <c r="CJ12" i="82"/>
  <c r="BR8" i="82"/>
  <c r="BP59" i="82"/>
  <c r="CZ304" i="82"/>
  <c r="CX330" i="82"/>
  <c r="CI14" i="82"/>
  <c r="CJ14" i="82" s="1"/>
  <c r="DJ303" i="82"/>
  <c r="CG37" i="82"/>
  <c r="CH37" i="82" s="1"/>
  <c r="CI9" i="82"/>
  <c r="CJ9" i="82" s="1"/>
  <c r="CG51" i="82"/>
  <c r="CH51" i="82" s="1"/>
  <c r="CY120" i="82"/>
  <c r="CZ120" i="82" s="1"/>
  <c r="CY117" i="82"/>
  <c r="CZ117" i="82" s="1"/>
  <c r="CY119" i="82"/>
  <c r="CZ119" i="82" s="1"/>
  <c r="CK54" i="82"/>
  <c r="CL54" i="82" s="1"/>
  <c r="CG55" i="82"/>
  <c r="CH55" i="82"/>
  <c r="CI13" i="82"/>
  <c r="CJ13" i="82" s="1"/>
  <c r="CI44" i="82"/>
  <c r="CJ44" i="82"/>
  <c r="CI17" i="82"/>
  <c r="CJ17" i="82" s="1"/>
  <c r="CI22" i="82"/>
  <c r="CJ22" i="82"/>
  <c r="CD162" i="82"/>
  <c r="CG106" i="82"/>
  <c r="CG134" i="82" s="1"/>
  <c r="CF134" i="82"/>
  <c r="CL61" i="82"/>
  <c r="CI53" i="82"/>
  <c r="CJ53" i="82" s="1"/>
  <c r="CI52" i="82"/>
  <c r="CJ52" i="82"/>
  <c r="CP140" i="82"/>
  <c r="CN158" i="82"/>
  <c r="CY104" i="82"/>
  <c r="CZ104" i="82"/>
  <c r="CY118" i="82"/>
  <c r="CZ118" i="82" s="1"/>
  <c r="CK31" i="82"/>
  <c r="CL31" i="82"/>
  <c r="CG50" i="82"/>
  <c r="CH50" i="82" s="1"/>
  <c r="CI11" i="82"/>
  <c r="CJ11" i="82"/>
  <c r="CK41" i="82"/>
  <c r="CL41" i="82" s="1"/>
  <c r="CK26" i="82"/>
  <c r="CL26" i="82" s="1"/>
  <c r="CI48" i="82"/>
  <c r="CJ48" i="82" s="1"/>
  <c r="CI40" i="82"/>
  <c r="CJ40" i="82" s="1"/>
  <c r="CK28" i="82"/>
  <c r="CL28" i="82"/>
  <c r="CI23" i="82"/>
  <c r="CJ23" i="82" s="1"/>
  <c r="CK49" i="82"/>
  <c r="CL49" i="82" s="1"/>
  <c r="CH106" i="82" l="1"/>
  <c r="BS160" i="82"/>
  <c r="BS301" i="82" s="1"/>
  <c r="I15" i="4" s="1"/>
  <c r="K15" i="4" s="1"/>
  <c r="M15" i="4" s="1"/>
  <c r="BR160" i="82"/>
  <c r="BR301" i="82" s="1"/>
  <c r="BP301" i="82"/>
  <c r="BP332" i="82" s="1"/>
  <c r="BP335" i="82" s="1"/>
  <c r="CT138" i="82"/>
  <c r="CV136" i="82"/>
  <c r="DA100" i="82"/>
  <c r="DB100" i="82" s="1"/>
  <c r="CI10" i="82"/>
  <c r="CJ10" i="82"/>
  <c r="CM41" i="82"/>
  <c r="CN41" i="82" s="1"/>
  <c r="CI19" i="82"/>
  <c r="CJ19" i="82"/>
  <c r="CM34" i="82"/>
  <c r="CN34" i="82" s="1"/>
  <c r="CK18" i="82"/>
  <c r="CL18" i="82" s="1"/>
  <c r="CQ114" i="82"/>
  <c r="CR114" i="82" s="1"/>
  <c r="CM54" i="82"/>
  <c r="CN54" i="82" s="1"/>
  <c r="CK21" i="82"/>
  <c r="CL21" i="82" s="1"/>
  <c r="CI33" i="82"/>
  <c r="CJ33" i="82"/>
  <c r="CK36" i="82"/>
  <c r="CL36" i="82" s="1"/>
  <c r="CK30" i="82"/>
  <c r="CL30" i="82" s="1"/>
  <c r="DA112" i="82"/>
  <c r="DB112" i="82" s="1"/>
  <c r="CK48" i="82"/>
  <c r="CL48" i="82" s="1"/>
  <c r="DA98" i="82"/>
  <c r="DB98" i="82" s="1"/>
  <c r="CK27" i="82"/>
  <c r="CL27" i="82" s="1"/>
  <c r="DO57" i="82"/>
  <c r="DP57" i="82" s="1"/>
  <c r="CK56" i="82"/>
  <c r="CL56" i="82" s="1"/>
  <c r="CK39" i="82"/>
  <c r="CL39" i="82"/>
  <c r="CK15" i="82"/>
  <c r="CL15" i="82" s="1"/>
  <c r="CM20" i="82"/>
  <c r="CN20" i="82" s="1"/>
  <c r="CI46" i="82"/>
  <c r="CJ46" i="82" s="1"/>
  <c r="CF162" i="82"/>
  <c r="CK12" i="82"/>
  <c r="CL12" i="82" s="1"/>
  <c r="DA121" i="82"/>
  <c r="DB121" i="82" s="1"/>
  <c r="DA113" i="82"/>
  <c r="DB113" i="82" s="1"/>
  <c r="CK35" i="82"/>
  <c r="CL35" i="82" s="1"/>
  <c r="DT99" i="82"/>
  <c r="DX99" i="82"/>
  <c r="CM42" i="82"/>
  <c r="CN42" i="82" s="1"/>
  <c r="CI38" i="82"/>
  <c r="CJ38" i="82" s="1"/>
  <c r="CU97" i="82"/>
  <c r="CM49" i="82"/>
  <c r="CN49" i="82" s="1"/>
  <c r="CK23" i="82"/>
  <c r="CL23" i="82" s="1"/>
  <c r="CK40" i="82"/>
  <c r="CL40" i="82" s="1"/>
  <c r="CM26" i="82"/>
  <c r="CN26" i="82"/>
  <c r="CK11" i="82"/>
  <c r="CL11" i="82" s="1"/>
  <c r="CM31" i="82"/>
  <c r="CN31" i="82" s="1"/>
  <c r="DA104" i="82"/>
  <c r="DB104" i="82" s="1"/>
  <c r="CK52" i="82"/>
  <c r="CL52" i="82" s="1"/>
  <c r="CI106" i="82"/>
  <c r="CI134" i="82" s="1"/>
  <c r="CH134" i="82"/>
  <c r="CK17" i="82"/>
  <c r="CL17" i="82" s="1"/>
  <c r="CI51" i="82"/>
  <c r="CJ51" i="82" s="1"/>
  <c r="CK14" i="82"/>
  <c r="CL14" i="82" s="1"/>
  <c r="DA122" i="82"/>
  <c r="DB122" i="82" s="1"/>
  <c r="DA115" i="82"/>
  <c r="DB115" i="82" s="1"/>
  <c r="CM28" i="82"/>
  <c r="CN28" i="82" s="1"/>
  <c r="CI50" i="82"/>
  <c r="CJ50" i="82" s="1"/>
  <c r="CK53" i="82"/>
  <c r="CL53" i="82" s="1"/>
  <c r="CN61" i="82"/>
  <c r="CK22" i="82"/>
  <c r="CL22" i="82" s="1"/>
  <c r="CK44" i="82"/>
  <c r="CL44" i="82" s="1"/>
  <c r="CI55" i="82"/>
  <c r="CJ55" i="82" s="1"/>
  <c r="DA119" i="82"/>
  <c r="DB119" i="82" s="1"/>
  <c r="DA120" i="82"/>
  <c r="DB120" i="82" s="1"/>
  <c r="CK9" i="82"/>
  <c r="CL9" i="82" s="1"/>
  <c r="DL303" i="82"/>
  <c r="BS8" i="82"/>
  <c r="BR59" i="82"/>
  <c r="CH62" i="82"/>
  <c r="CF95" i="82"/>
  <c r="CK13" i="82"/>
  <c r="CL13" i="82" s="1"/>
  <c r="DA117" i="82"/>
  <c r="DB117" i="82" s="1"/>
  <c r="CI37" i="82"/>
  <c r="CJ37" i="82"/>
  <c r="CL24" i="82"/>
  <c r="CK24" i="82"/>
  <c r="CI43" i="82"/>
  <c r="CJ43" i="82"/>
  <c r="CM25" i="82"/>
  <c r="CN25" i="82" s="1"/>
  <c r="CK16" i="82"/>
  <c r="CL16" i="82" s="1"/>
  <c r="CK45" i="82"/>
  <c r="CL45" i="82" s="1"/>
  <c r="CK47" i="82"/>
  <c r="CL47" i="82" s="1"/>
  <c r="CK32" i="82"/>
  <c r="CL32" i="82" s="1"/>
  <c r="DA118" i="82"/>
  <c r="DB118" i="82" s="1"/>
  <c r="CR140" i="82"/>
  <c r="CP158" i="82"/>
  <c r="DB304" i="82"/>
  <c r="CZ330" i="82"/>
  <c r="CM29" i="82"/>
  <c r="CN29" i="82" s="1"/>
  <c r="DU58" i="82"/>
  <c r="DV58" i="82" s="1"/>
  <c r="CX136" i="82" l="1"/>
  <c r="CV138" i="82"/>
  <c r="CJ106" i="82"/>
  <c r="BT160" i="82"/>
  <c r="CM12" i="82"/>
  <c r="CN12" i="82" s="1"/>
  <c r="CM45" i="82"/>
  <c r="CN45" i="82" s="1"/>
  <c r="CM53" i="82"/>
  <c r="CN53" i="82" s="1"/>
  <c r="DC113" i="82"/>
  <c r="DD113" i="82" s="1"/>
  <c r="DQ57" i="82"/>
  <c r="DQ59" i="82" s="1"/>
  <c r="CM30" i="82"/>
  <c r="CN30" i="82" s="1"/>
  <c r="CO25" i="82"/>
  <c r="CP25" i="82" s="1"/>
  <c r="CM14" i="82"/>
  <c r="CN14" i="82" s="1"/>
  <c r="CM44" i="82"/>
  <c r="CN44" i="82" s="1"/>
  <c r="CM27" i="82"/>
  <c r="CN27" i="82"/>
  <c r="CM11" i="82"/>
  <c r="CN11" i="82" s="1"/>
  <c r="DC115" i="82"/>
  <c r="DD115" i="82" s="1"/>
  <c r="DC119" i="82"/>
  <c r="DD119" i="82" s="1"/>
  <c r="CK50" i="82"/>
  <c r="CL50" i="82" s="1"/>
  <c r="DC118" i="82"/>
  <c r="DD118" i="82" s="1"/>
  <c r="DC117" i="82"/>
  <c r="DD117" i="82" s="1"/>
  <c r="CM9" i="82"/>
  <c r="CN9" i="82" s="1"/>
  <c r="CM17" i="82"/>
  <c r="CN17" i="82" s="1"/>
  <c r="CM52" i="82"/>
  <c r="CN52" i="82" s="1"/>
  <c r="CO49" i="82"/>
  <c r="CP49" i="82" s="1"/>
  <c r="CP61" i="82"/>
  <c r="CO31" i="82"/>
  <c r="CP31" i="82"/>
  <c r="CK38" i="82"/>
  <c r="CL38" i="82" s="1"/>
  <c r="CK46" i="82"/>
  <c r="CL46" i="82" s="1"/>
  <c r="CM56" i="82"/>
  <c r="CN56" i="82" s="1"/>
  <c r="CM48" i="82"/>
  <c r="CN48" i="82" s="1"/>
  <c r="CO54" i="82"/>
  <c r="CP54" i="82" s="1"/>
  <c r="CM18" i="82"/>
  <c r="CN18" i="82"/>
  <c r="CK10" i="82"/>
  <c r="CL10" i="82" s="1"/>
  <c r="CM47" i="82"/>
  <c r="CN47" i="82" s="1"/>
  <c r="CK43" i="82"/>
  <c r="CL43" i="82" s="1"/>
  <c r="CJ62" i="82"/>
  <c r="CH95" i="82"/>
  <c r="DC120" i="82"/>
  <c r="DD120" i="82" s="1"/>
  <c r="CM22" i="82"/>
  <c r="CN22" i="82" s="1"/>
  <c r="CO28" i="82"/>
  <c r="CP28" i="82" s="1"/>
  <c r="DC122" i="82"/>
  <c r="DD122" i="82" s="1"/>
  <c r="CO42" i="82"/>
  <c r="CP42" i="82"/>
  <c r="CM35" i="82"/>
  <c r="CN35" i="82" s="1"/>
  <c r="DC121" i="82"/>
  <c r="DD121" i="82" s="1"/>
  <c r="DD304" i="82"/>
  <c r="DB330" i="82"/>
  <c r="CK106" i="82"/>
  <c r="CK134" i="82" s="1"/>
  <c r="CJ134" i="82"/>
  <c r="DC104" i="82"/>
  <c r="DD104" i="82" s="1"/>
  <c r="CM40" i="82"/>
  <c r="CN40" i="82" s="1"/>
  <c r="CV97" i="82"/>
  <c r="CH162" i="82"/>
  <c r="CO20" i="82"/>
  <c r="CP20" i="82" s="1"/>
  <c r="CM39" i="82"/>
  <c r="CN39" i="82" s="1"/>
  <c r="DC98" i="82"/>
  <c r="DD98" i="82" s="1"/>
  <c r="DC112" i="82"/>
  <c r="DD112" i="82" s="1"/>
  <c r="CM36" i="82"/>
  <c r="CN36" i="82" s="1"/>
  <c r="CM21" i="82"/>
  <c r="CN21" i="82" s="1"/>
  <c r="CS114" i="82"/>
  <c r="CT114" i="82" s="1"/>
  <c r="CO34" i="82"/>
  <c r="CP34" i="82" s="1"/>
  <c r="CO41" i="82"/>
  <c r="CP41" i="82" s="1"/>
  <c r="DC100" i="82"/>
  <c r="DD100" i="82" s="1"/>
  <c r="CM32" i="82"/>
  <c r="CN32" i="82"/>
  <c r="CM24" i="82"/>
  <c r="CN24" i="82" s="1"/>
  <c r="CO26" i="82"/>
  <c r="CP26" i="82" s="1"/>
  <c r="CM23" i="82"/>
  <c r="CN23" i="82" s="1"/>
  <c r="CM15" i="82"/>
  <c r="CN15" i="82" s="1"/>
  <c r="CK33" i="82"/>
  <c r="CL33" i="82" s="1"/>
  <c r="CK19" i="82"/>
  <c r="CL19" i="82" s="1"/>
  <c r="CM16" i="82"/>
  <c r="CN16" i="82" s="1"/>
  <c r="CK37" i="82"/>
  <c r="CL37" i="82" s="1"/>
  <c r="CM13" i="82"/>
  <c r="CN13" i="82" s="1"/>
  <c r="CK55" i="82"/>
  <c r="CL55" i="82" s="1"/>
  <c r="CK51" i="82"/>
  <c r="CL51" i="82" s="1"/>
  <c r="CO29" i="82"/>
  <c r="CP29" i="82" s="1"/>
  <c r="CT140" i="82"/>
  <c r="CR158" i="82"/>
  <c r="DN303" i="82"/>
  <c r="BS59" i="82"/>
  <c r="BT8" i="82"/>
  <c r="BU160" i="82" l="1"/>
  <c r="BU301" i="82" s="1"/>
  <c r="BV160" i="82"/>
  <c r="BT301" i="82"/>
  <c r="N15" i="4" s="1"/>
  <c r="O15" i="4" s="1"/>
  <c r="CL106" i="82"/>
  <c r="CZ136" i="82"/>
  <c r="CX138" i="82"/>
  <c r="CO11" i="82"/>
  <c r="CP11" i="82" s="1"/>
  <c r="CO53" i="82"/>
  <c r="CP53" i="82"/>
  <c r="CO16" i="82"/>
  <c r="CP16" i="82" s="1"/>
  <c r="CO56" i="82"/>
  <c r="CP56" i="82" s="1"/>
  <c r="CO52" i="82"/>
  <c r="CP52" i="82" s="1"/>
  <c r="DE119" i="82"/>
  <c r="DF119" i="82" s="1"/>
  <c r="CO45" i="82"/>
  <c r="CP45" i="82" s="1"/>
  <c r="CQ29" i="82"/>
  <c r="CR29" i="82" s="1"/>
  <c r="CO36" i="82"/>
  <c r="CP36" i="82" s="1"/>
  <c r="CO48" i="82"/>
  <c r="CP48" i="82"/>
  <c r="CQ49" i="82"/>
  <c r="CR49" i="82" s="1"/>
  <c r="CO9" i="82"/>
  <c r="CP9" i="82" s="1"/>
  <c r="CO24" i="82"/>
  <c r="CP24" i="82"/>
  <c r="CO40" i="82"/>
  <c r="CP40" i="82"/>
  <c r="CO47" i="82"/>
  <c r="CP47" i="82" s="1"/>
  <c r="CQ25" i="82"/>
  <c r="CR25" i="82" s="1"/>
  <c r="CM33" i="82"/>
  <c r="CN33" i="82"/>
  <c r="CO39" i="82"/>
  <c r="CP39" i="82" s="1"/>
  <c r="CM38" i="82"/>
  <c r="CN38" i="82" s="1"/>
  <c r="CM50" i="82"/>
  <c r="CN50" i="82" s="1"/>
  <c r="CO23" i="82"/>
  <c r="CP23" i="82" s="1"/>
  <c r="DE100" i="82"/>
  <c r="DF100" i="82" s="1"/>
  <c r="DE98" i="82"/>
  <c r="DF98" i="82" s="1"/>
  <c r="DE104" i="82"/>
  <c r="DF104" i="82" s="1"/>
  <c r="CO35" i="82"/>
  <c r="CP35" i="82" s="1"/>
  <c r="CM10" i="82"/>
  <c r="CN10" i="82" s="1"/>
  <c r="DE118" i="82"/>
  <c r="DF118" i="82" s="1"/>
  <c r="CO44" i="82"/>
  <c r="CP44" i="82" s="1"/>
  <c r="CU114" i="82"/>
  <c r="CV114" i="82" s="1"/>
  <c r="CO22" i="82"/>
  <c r="CP22" i="82" s="1"/>
  <c r="CO18" i="82"/>
  <c r="CP18" i="82"/>
  <c r="CQ31" i="82"/>
  <c r="CR31" i="82" s="1"/>
  <c r="DE117" i="82"/>
  <c r="DF117" i="82" s="1"/>
  <c r="CO30" i="82"/>
  <c r="CP30" i="82"/>
  <c r="CQ26" i="82"/>
  <c r="CR26" i="82"/>
  <c r="CQ34" i="82"/>
  <c r="CR34" i="82"/>
  <c r="CO21" i="82"/>
  <c r="CP21" i="82" s="1"/>
  <c r="DE112" i="82"/>
  <c r="DF112" i="82" s="1"/>
  <c r="CM106" i="82"/>
  <c r="CM134" i="82" s="1"/>
  <c r="CL134" i="82"/>
  <c r="DE121" i="82"/>
  <c r="DF121" i="82" s="1"/>
  <c r="CQ42" i="82"/>
  <c r="CR42" i="82" s="1"/>
  <c r="CL62" i="82"/>
  <c r="CJ95" i="82"/>
  <c r="I12" i="4"/>
  <c r="BS332" i="82"/>
  <c r="BS335" i="82" s="1"/>
  <c r="CM37" i="82"/>
  <c r="CN37" i="82" s="1"/>
  <c r="CQ41" i="82"/>
  <c r="CR41" i="82" s="1"/>
  <c r="CQ20" i="82"/>
  <c r="CR20" i="82" s="1"/>
  <c r="CM46" i="82"/>
  <c r="CN46" i="82" s="1"/>
  <c r="CO17" i="82"/>
  <c r="CP17" i="82" s="1"/>
  <c r="DE115" i="82"/>
  <c r="DF115" i="82" s="1"/>
  <c r="CO14" i="82"/>
  <c r="CP14" i="82" s="1"/>
  <c r="DE113" i="82"/>
  <c r="DF113" i="82" s="1"/>
  <c r="CO15" i="82"/>
  <c r="CP15" i="82" s="1"/>
  <c r="CO32" i="82"/>
  <c r="CP32" i="82" s="1"/>
  <c r="DP303" i="82"/>
  <c r="CT158" i="82"/>
  <c r="CV140" i="82"/>
  <c r="CJ162" i="82"/>
  <c r="CR61" i="82"/>
  <c r="DR57" i="82"/>
  <c r="CO12" i="82"/>
  <c r="CP12" i="82"/>
  <c r="CM55" i="82"/>
  <c r="CN55" i="82" s="1"/>
  <c r="DF304" i="82"/>
  <c r="DD330" i="82"/>
  <c r="DE122" i="82"/>
  <c r="DF122" i="82" s="1"/>
  <c r="CO27" i="82"/>
  <c r="CP27" i="82" s="1"/>
  <c r="CM19" i="82"/>
  <c r="CN19" i="82" s="1"/>
  <c r="BT59" i="82"/>
  <c r="BU8" i="82"/>
  <c r="BU59" i="82" s="1"/>
  <c r="BU332" i="82" s="1"/>
  <c r="BV8" i="82"/>
  <c r="CM51" i="82"/>
  <c r="CN51" i="82" s="1"/>
  <c r="CO13" i="82"/>
  <c r="CP13" i="82" s="1"/>
  <c r="CW97" i="82"/>
  <c r="CX97" i="82" s="1"/>
  <c r="CQ28" i="82"/>
  <c r="CR28" i="82"/>
  <c r="DE120" i="82"/>
  <c r="DF120" i="82" s="1"/>
  <c r="CM43" i="82"/>
  <c r="CN43" i="82"/>
  <c r="CQ54" i="82"/>
  <c r="CR54" i="82" s="1"/>
  <c r="BX160" i="82" l="1"/>
  <c r="BV301" i="82"/>
  <c r="CZ138" i="82"/>
  <c r="DB136" i="82"/>
  <c r="DG118" i="82"/>
  <c r="DH118" i="82" s="1"/>
  <c r="DG104" i="82"/>
  <c r="DH104" i="82" s="1"/>
  <c r="CQ39" i="82"/>
  <c r="CR39" i="82" s="1"/>
  <c r="CQ47" i="82"/>
  <c r="CR47" i="82" s="1"/>
  <c r="CQ45" i="82"/>
  <c r="CR45" i="82" s="1"/>
  <c r="CQ27" i="82"/>
  <c r="CR27" i="82" s="1"/>
  <c r="CO51" i="82"/>
  <c r="CP51" i="82" s="1"/>
  <c r="CO55" i="82"/>
  <c r="CP55" i="82" s="1"/>
  <c r="CQ14" i="82"/>
  <c r="CR14" i="82" s="1"/>
  <c r="DG121" i="82"/>
  <c r="DH121" i="82" s="1"/>
  <c r="DG117" i="82"/>
  <c r="DH117" i="82"/>
  <c r="DG98" i="82"/>
  <c r="DH98" i="82" s="1"/>
  <c r="CO50" i="82"/>
  <c r="CP50" i="82" s="1"/>
  <c r="CQ9" i="82"/>
  <c r="CR9" i="82" s="1"/>
  <c r="CQ36" i="82"/>
  <c r="CR36" i="82"/>
  <c r="DG119" i="82"/>
  <c r="DH119" i="82" s="1"/>
  <c r="CS25" i="82"/>
  <c r="CT25" i="82" s="1"/>
  <c r="CS54" i="82"/>
  <c r="CT54" i="82" s="1"/>
  <c r="CO46" i="82"/>
  <c r="CP46" i="82" s="1"/>
  <c r="CQ21" i="82"/>
  <c r="CR21" i="82"/>
  <c r="CQ22" i="82"/>
  <c r="CR22" i="82" s="1"/>
  <c r="DG100" i="82"/>
  <c r="DH100" i="82" s="1"/>
  <c r="CS49" i="82"/>
  <c r="CT49" i="82" s="1"/>
  <c r="CQ52" i="82"/>
  <c r="CR52" i="82" s="1"/>
  <c r="DG120" i="82"/>
  <c r="DH120" i="82" s="1"/>
  <c r="CQ13" i="82"/>
  <c r="CR13" i="82" s="1"/>
  <c r="CO19" i="82"/>
  <c r="CP19" i="82" s="1"/>
  <c r="DG122" i="82"/>
  <c r="DH122" i="82" s="1"/>
  <c r="DS57" i="82"/>
  <c r="DS59" i="82" s="1"/>
  <c r="CQ17" i="82"/>
  <c r="CR17" i="82" s="1"/>
  <c r="CS20" i="82"/>
  <c r="CT20" i="82" s="1"/>
  <c r="CS34" i="82"/>
  <c r="CT34" i="82"/>
  <c r="CS31" i="82"/>
  <c r="CT31" i="82" s="1"/>
  <c r="CQ44" i="82"/>
  <c r="CR44" i="82" s="1"/>
  <c r="CR48" i="82"/>
  <c r="CQ48" i="82"/>
  <c r="CS29" i="82"/>
  <c r="CT29" i="82" s="1"/>
  <c r="CQ53" i="82"/>
  <c r="CR53" i="82" s="1"/>
  <c r="CY97" i="82"/>
  <c r="CZ97" i="82" s="1"/>
  <c r="DR303" i="82"/>
  <c r="K12" i="4"/>
  <c r="I26" i="4"/>
  <c r="E15" i="2" s="1"/>
  <c r="CQ12" i="82"/>
  <c r="CR12" i="82" s="1"/>
  <c r="CV158" i="82"/>
  <c r="CX140" i="82"/>
  <c r="DG113" i="82"/>
  <c r="DH113" i="82" s="1"/>
  <c r="CS41" i="82"/>
  <c r="CT41" i="82" s="1"/>
  <c r="CO37" i="82"/>
  <c r="CP37" i="82" s="1"/>
  <c r="CN106" i="82"/>
  <c r="CS26" i="82"/>
  <c r="CT26" i="82" s="1"/>
  <c r="CQ18" i="82"/>
  <c r="CR18" i="82" s="1"/>
  <c r="CW114" i="82"/>
  <c r="CX114" i="82" s="1"/>
  <c r="CQ35" i="82"/>
  <c r="CR35" i="82" s="1"/>
  <c r="CQ23" i="82"/>
  <c r="CR23" i="82" s="1"/>
  <c r="CO38" i="82"/>
  <c r="CP38" i="82" s="1"/>
  <c r="CO33" i="82"/>
  <c r="CP33" i="82" s="1"/>
  <c r="CQ24" i="82"/>
  <c r="CR24" i="82" s="1"/>
  <c r="CQ16" i="82"/>
  <c r="CR16" i="82" s="1"/>
  <c r="CQ11" i="82"/>
  <c r="CR11" i="82" s="1"/>
  <c r="CQ15" i="82"/>
  <c r="CR15" i="82" s="1"/>
  <c r="CS42" i="82"/>
  <c r="CT42" i="82" s="1"/>
  <c r="DG112" i="82"/>
  <c r="DH112" i="82" s="1"/>
  <c r="CQ30" i="82"/>
  <c r="CR30" i="82" s="1"/>
  <c r="CO10" i="82"/>
  <c r="CP10" i="82" s="1"/>
  <c r="CQ40" i="82"/>
  <c r="CR40" i="82" s="1"/>
  <c r="CQ56" i="82"/>
  <c r="CR56" i="82" s="1"/>
  <c r="CO43" i="82"/>
  <c r="CP43" i="82" s="1"/>
  <c r="CS28" i="82"/>
  <c r="CT28" i="82" s="1"/>
  <c r="BW8" i="82"/>
  <c r="BW59" i="82" s="1"/>
  <c r="BW332" i="82" s="1"/>
  <c r="BV59" i="82"/>
  <c r="BV332" i="82" s="1"/>
  <c r="CL162" i="82"/>
  <c r="CT61" i="82"/>
  <c r="CQ32" i="82"/>
  <c r="CR32" i="82" s="1"/>
  <c r="DG115" i="82"/>
  <c r="DH115" i="82" s="1"/>
  <c r="N12" i="4"/>
  <c r="BT332" i="82"/>
  <c r="BT335" i="82" s="1"/>
  <c r="DH304" i="82"/>
  <c r="DF330" i="82"/>
  <c r="CN62" i="82"/>
  <c r="CL95" i="82"/>
  <c r="DD136" i="82" l="1"/>
  <c r="DB138" i="82"/>
  <c r="BZ160" i="82"/>
  <c r="BX301" i="82"/>
  <c r="BX8" i="82"/>
  <c r="CS23" i="82"/>
  <c r="CT23" i="82" s="1"/>
  <c r="CU41" i="82"/>
  <c r="CV41" i="82" s="1"/>
  <c r="CS22" i="82"/>
  <c r="CT22" i="82" s="1"/>
  <c r="CS11" i="82"/>
  <c r="CT11" i="82" s="1"/>
  <c r="CS35" i="82"/>
  <c r="CT35" i="82" s="1"/>
  <c r="CS13" i="82"/>
  <c r="CT13" i="82"/>
  <c r="CU54" i="82"/>
  <c r="CV54" i="82" s="1"/>
  <c r="CQ51" i="82"/>
  <c r="CR51" i="82" s="1"/>
  <c r="CY114" i="82"/>
  <c r="CZ114" i="82" s="1"/>
  <c r="DI120" i="82"/>
  <c r="DJ120" i="82" s="1"/>
  <c r="CU25" i="82"/>
  <c r="CV25" i="82" s="1"/>
  <c r="CS32" i="82"/>
  <c r="CT32" i="82" s="1"/>
  <c r="CS15" i="82"/>
  <c r="CT15" i="82" s="1"/>
  <c r="CU26" i="82"/>
  <c r="CV26" i="82" s="1"/>
  <c r="CS45" i="82"/>
  <c r="CT45" i="82"/>
  <c r="DI112" i="82"/>
  <c r="DJ112" i="82" s="1"/>
  <c r="CQ33" i="82"/>
  <c r="CR33" i="82" s="1"/>
  <c r="CS12" i="82"/>
  <c r="CT12" i="82"/>
  <c r="CS44" i="82"/>
  <c r="CT44" i="82" s="1"/>
  <c r="CU49" i="82"/>
  <c r="CV49" i="82"/>
  <c r="CS47" i="82"/>
  <c r="CT47" i="82" s="1"/>
  <c r="CS16" i="82"/>
  <c r="CT16" i="82" s="1"/>
  <c r="CU20" i="82"/>
  <c r="CV20" i="82" s="1"/>
  <c r="DI115" i="82"/>
  <c r="DJ115" i="82"/>
  <c r="CS18" i="82"/>
  <c r="CT18" i="82" s="1"/>
  <c r="CS17" i="82"/>
  <c r="CT17" i="82"/>
  <c r="CQ19" i="82"/>
  <c r="CR19" i="82" s="1"/>
  <c r="DJ304" i="82"/>
  <c r="DH330" i="82"/>
  <c r="BY8" i="82"/>
  <c r="BY59" i="82" s="1"/>
  <c r="BY332" i="82" s="1"/>
  <c r="BX59" i="82"/>
  <c r="BX332" i="82" s="1"/>
  <c r="CS40" i="82"/>
  <c r="CT40" i="82" s="1"/>
  <c r="CU42" i="82"/>
  <c r="CV42" i="82" s="1"/>
  <c r="CX158" i="82"/>
  <c r="CZ140" i="82"/>
  <c r="CS52" i="82"/>
  <c r="CT52" i="82" s="1"/>
  <c r="CS21" i="82"/>
  <c r="CT21" i="82" s="1"/>
  <c r="CS9" i="82"/>
  <c r="CT9" i="82" s="1"/>
  <c r="DI98" i="82"/>
  <c r="DJ98" i="82" s="1"/>
  <c r="DI121" i="82"/>
  <c r="DJ121" i="82" s="1"/>
  <c r="CQ55" i="82"/>
  <c r="CR55" i="82" s="1"/>
  <c r="CS27" i="82"/>
  <c r="CT27" i="82" s="1"/>
  <c r="DI104" i="82"/>
  <c r="DJ104" i="82" s="1"/>
  <c r="CS24" i="82"/>
  <c r="CT24" i="82" s="1"/>
  <c r="CQ38" i="82"/>
  <c r="CR38" i="82" s="1"/>
  <c r="CO106" i="82"/>
  <c r="CO134" i="82" s="1"/>
  <c r="CN134" i="82"/>
  <c r="K26" i="4"/>
  <c r="M12" i="4"/>
  <c r="DA97" i="82"/>
  <c r="CV29" i="82"/>
  <c r="CU29" i="82"/>
  <c r="CU34" i="82"/>
  <c r="CV34" i="82" s="1"/>
  <c r="DI122" i="82"/>
  <c r="DJ122" i="82" s="1"/>
  <c r="CQ43" i="82"/>
  <c r="CR43" i="82" s="1"/>
  <c r="CS30" i="82"/>
  <c r="CT30" i="82" s="1"/>
  <c r="D32" i="26"/>
  <c r="E38" i="26" s="1"/>
  <c r="D24" i="26"/>
  <c r="E27" i="26" s="1"/>
  <c r="E23" i="23"/>
  <c r="D13" i="65"/>
  <c r="E17" i="2"/>
  <c r="E18" i="2" s="1"/>
  <c r="CS53" i="82"/>
  <c r="CT53" i="82" s="1"/>
  <c r="CS48" i="82"/>
  <c r="CT48" i="82"/>
  <c r="CU31" i="82"/>
  <c r="CV31" i="82" s="1"/>
  <c r="CP62" i="82"/>
  <c r="CN95" i="82"/>
  <c r="CN162" i="82"/>
  <c r="CU28" i="82"/>
  <c r="CV28" i="82" s="1"/>
  <c r="CS56" i="82"/>
  <c r="CT56" i="82" s="1"/>
  <c r="CQ10" i="82"/>
  <c r="CR10" i="82" s="1"/>
  <c r="CQ37" i="82"/>
  <c r="CR37" i="82" s="1"/>
  <c r="DI113" i="82"/>
  <c r="DJ113" i="82" s="1"/>
  <c r="CQ46" i="82"/>
  <c r="CR46" i="82" s="1"/>
  <c r="CS36" i="82"/>
  <c r="CT36" i="82" s="1"/>
  <c r="CQ50" i="82"/>
  <c r="CR50" i="82" s="1"/>
  <c r="DI117" i="82"/>
  <c r="DJ117" i="82" s="1"/>
  <c r="CS14" i="82"/>
  <c r="CT14" i="82" s="1"/>
  <c r="CS39" i="82"/>
  <c r="CT39" i="82" s="1"/>
  <c r="DI118" i="82"/>
  <c r="DJ118" i="82" s="1"/>
  <c r="DI100" i="82"/>
  <c r="DJ100" i="82" s="1"/>
  <c r="DI119" i="82"/>
  <c r="DJ119" i="82" s="1"/>
  <c r="CV61" i="82"/>
  <c r="DT303" i="82"/>
  <c r="DX303" i="82"/>
  <c r="DT57" i="82"/>
  <c r="CB160" i="82" l="1"/>
  <c r="BZ301" i="82"/>
  <c r="DF136" i="82"/>
  <c r="DD138" i="82"/>
  <c r="B47" i="87"/>
  <c r="B46" i="87" s="1"/>
  <c r="D46" i="87" s="1"/>
  <c r="B13" i="87"/>
  <c r="CW28" i="82"/>
  <c r="CX28" i="82" s="1"/>
  <c r="CW34" i="82"/>
  <c r="CX34" i="82" s="1"/>
  <c r="DK98" i="82"/>
  <c r="DL98" i="82" s="1"/>
  <c r="CS33" i="82"/>
  <c r="CT33" i="82" s="1"/>
  <c r="CW31" i="82"/>
  <c r="CX31" i="82" s="1"/>
  <c r="CU9" i="82"/>
  <c r="CV9" i="82"/>
  <c r="CU16" i="82"/>
  <c r="CV16" i="82" s="1"/>
  <c r="DK119" i="82"/>
  <c r="DL119" i="82" s="1"/>
  <c r="CU39" i="82"/>
  <c r="CV39" i="82" s="1"/>
  <c r="CS46" i="82"/>
  <c r="CT46" i="82" s="1"/>
  <c r="CS10" i="82"/>
  <c r="CT10" i="82" s="1"/>
  <c r="CS55" i="82"/>
  <c r="CT55" i="82"/>
  <c r="CU21" i="82"/>
  <c r="CV21" i="82" s="1"/>
  <c r="CW42" i="82"/>
  <c r="CX42" i="82" s="1"/>
  <c r="CU47" i="82"/>
  <c r="CV47" i="82" s="1"/>
  <c r="CU11" i="82"/>
  <c r="CV11" i="82" s="1"/>
  <c r="CS43" i="82"/>
  <c r="CT43" i="82" s="1"/>
  <c r="CS38" i="82"/>
  <c r="CT38" i="82" s="1"/>
  <c r="CW20" i="82"/>
  <c r="CX20" i="82" s="1"/>
  <c r="CS51" i="82"/>
  <c r="CT51" i="82" s="1"/>
  <c r="DK118" i="82"/>
  <c r="DL118" i="82" s="1"/>
  <c r="CS19" i="82"/>
  <c r="CT19" i="82" s="1"/>
  <c r="CU44" i="82"/>
  <c r="CV44" i="82" s="1"/>
  <c r="CW54" i="82"/>
  <c r="CX54" i="82" s="1"/>
  <c r="CU14" i="82"/>
  <c r="CV14" i="82"/>
  <c r="DK113" i="82"/>
  <c r="DL113" i="82" s="1"/>
  <c r="CU56" i="82"/>
  <c r="CV56" i="82"/>
  <c r="CU30" i="82"/>
  <c r="CV30" i="82" s="1"/>
  <c r="DK104" i="82"/>
  <c r="DL104" i="82" s="1"/>
  <c r="DK121" i="82"/>
  <c r="DL121" i="82" s="1"/>
  <c r="CU52" i="82"/>
  <c r="CV52" i="82" s="1"/>
  <c r="DA114" i="82"/>
  <c r="DB114" i="82" s="1"/>
  <c r="CU23" i="82"/>
  <c r="CV23" i="82" s="1"/>
  <c r="CX61" i="82"/>
  <c r="CS50" i="82"/>
  <c r="CT50" i="82" s="1"/>
  <c r="CS37" i="82"/>
  <c r="CT37" i="82" s="1"/>
  <c r="DK100" i="82"/>
  <c r="DL100" i="82"/>
  <c r="DK117" i="82"/>
  <c r="DL117" i="82" s="1"/>
  <c r="CP162" i="82"/>
  <c r="CU53" i="82"/>
  <c r="CV53" i="82" s="1"/>
  <c r="CU40" i="82"/>
  <c r="CV40" i="82" s="1"/>
  <c r="CU17" i="82"/>
  <c r="CV17" i="82" s="1"/>
  <c r="CU12" i="82"/>
  <c r="CV12" i="82" s="1"/>
  <c r="DK112" i="82"/>
  <c r="DL112" i="82" s="1"/>
  <c r="CU32" i="82"/>
  <c r="CV32" i="82" s="1"/>
  <c r="DB97" i="82"/>
  <c r="CP106" i="82"/>
  <c r="CU24" i="82"/>
  <c r="CV24" i="82" s="1"/>
  <c r="CU27" i="82"/>
  <c r="CV27" i="82" s="1"/>
  <c r="DL304" i="82"/>
  <c r="DJ330" i="82"/>
  <c r="CU36" i="82"/>
  <c r="CV36" i="82" s="1"/>
  <c r="F28" i="23"/>
  <c r="DK115" i="82"/>
  <c r="DL115" i="82" s="1"/>
  <c r="CW49" i="82"/>
  <c r="CX49" i="82" s="1"/>
  <c r="CW26" i="82"/>
  <c r="CX26" i="82" s="1"/>
  <c r="DK120" i="82"/>
  <c r="DL120" i="82" s="1"/>
  <c r="CU13" i="82"/>
  <c r="CV13" i="82" s="1"/>
  <c r="CW41" i="82"/>
  <c r="CX41" i="82" s="1"/>
  <c r="DU57" i="82"/>
  <c r="DU59" i="82" s="1"/>
  <c r="DU332" i="82" s="1"/>
  <c r="CR62" i="82"/>
  <c r="CP95" i="82"/>
  <c r="CU48" i="82"/>
  <c r="CV48" i="82" s="1"/>
  <c r="D629" i="71"/>
  <c r="D630" i="71" s="1"/>
  <c r="E20" i="2"/>
  <c r="D8" i="65"/>
  <c r="D10" i="65" s="1"/>
  <c r="D29" i="65" s="1"/>
  <c r="D44" i="65" s="1"/>
  <c r="D47" i="65" s="1"/>
  <c r="D82" i="65" s="1"/>
  <c r="D85" i="65" s="1"/>
  <c r="F96" i="65" s="1"/>
  <c r="G19" i="2"/>
  <c r="I10" i="2"/>
  <c r="DK122" i="82"/>
  <c r="DL122" i="82" s="1"/>
  <c r="CW29" i="82"/>
  <c r="CX29" i="82"/>
  <c r="O12" i="4"/>
  <c r="O25" i="4" s="1"/>
  <c r="M26" i="4"/>
  <c r="CU18" i="82"/>
  <c r="CV18" i="82" s="1"/>
  <c r="CU45" i="82"/>
  <c r="CV45" i="82" s="1"/>
  <c r="CU15" i="82"/>
  <c r="CV15" i="82" s="1"/>
  <c r="CW25" i="82"/>
  <c r="CX25" i="82" s="1"/>
  <c r="CU35" i="82"/>
  <c r="CV35" i="82" s="1"/>
  <c r="CU22" i="82"/>
  <c r="CV22" i="82" s="1"/>
  <c r="DB140" i="82"/>
  <c r="CZ158" i="82"/>
  <c r="BZ8" i="82"/>
  <c r="DH136" i="82" l="1"/>
  <c r="DF138" i="82"/>
  <c r="CD160" i="82"/>
  <c r="CB301" i="82"/>
  <c r="B12" i="87"/>
  <c r="D12" i="87" s="1"/>
  <c r="DM117" i="82"/>
  <c r="DN117" i="82" s="1"/>
  <c r="DM113" i="82"/>
  <c r="DN113" i="82" s="1"/>
  <c r="CW22" i="82"/>
  <c r="CX22" i="82" s="1"/>
  <c r="DM120" i="82"/>
  <c r="DN120" i="82" s="1"/>
  <c r="CW32" i="82"/>
  <c r="CX32" i="82" s="1"/>
  <c r="CW53" i="82"/>
  <c r="CX53" i="82" s="1"/>
  <c r="CW11" i="82"/>
  <c r="CX11" i="82" s="1"/>
  <c r="CW18" i="82"/>
  <c r="CX18" i="82" s="1"/>
  <c r="CW48" i="82"/>
  <c r="CX48" i="82" s="1"/>
  <c r="CY41" i="82"/>
  <c r="CZ41" i="82" s="1"/>
  <c r="CY26" i="82"/>
  <c r="CZ26" i="82" s="1"/>
  <c r="CW17" i="82"/>
  <c r="CX17" i="82" s="1"/>
  <c r="DM121" i="82"/>
  <c r="DN121" i="82" s="1"/>
  <c r="CU38" i="82"/>
  <c r="CV38" i="82" s="1"/>
  <c r="CW47" i="82"/>
  <c r="CX47" i="82" s="1"/>
  <c r="CY34" i="82"/>
  <c r="CZ34" i="82" s="1"/>
  <c r="CW15" i="82"/>
  <c r="CX15" i="82" s="1"/>
  <c r="CW24" i="82"/>
  <c r="CX24" i="82" s="1"/>
  <c r="CU50" i="82"/>
  <c r="CV50" i="82" s="1"/>
  <c r="DC114" i="82"/>
  <c r="DD114" i="82" s="1"/>
  <c r="CW39" i="82"/>
  <c r="CX39" i="82" s="1"/>
  <c r="CW45" i="82"/>
  <c r="CX45" i="82"/>
  <c r="DM115" i="82"/>
  <c r="DN115" i="82" s="1"/>
  <c r="CW52" i="82"/>
  <c r="CX52" i="82" s="1"/>
  <c r="DM118" i="82"/>
  <c r="DN118" i="82" s="1"/>
  <c r="DM98" i="82"/>
  <c r="DN98" i="82" s="1"/>
  <c r="CW35" i="82"/>
  <c r="CX35" i="82" s="1"/>
  <c r="CY25" i="82"/>
  <c r="CZ25" i="82" s="1"/>
  <c r="DM122" i="82"/>
  <c r="DN122" i="82" s="1"/>
  <c r="CW27" i="82"/>
  <c r="CX27" i="82" s="1"/>
  <c r="CW40" i="82"/>
  <c r="CX40" i="82" s="1"/>
  <c r="CU37" i="82"/>
  <c r="CV37" i="82" s="1"/>
  <c r="DM104" i="82"/>
  <c r="DN104" i="82" s="1"/>
  <c r="CY42" i="82"/>
  <c r="CZ42" i="82" s="1"/>
  <c r="CY31" i="82"/>
  <c r="CZ31" i="82" s="1"/>
  <c r="CU33" i="82"/>
  <c r="CV33" i="82" s="1"/>
  <c r="CY49" i="82"/>
  <c r="CZ49" i="82" s="1"/>
  <c r="DC97" i="82"/>
  <c r="CW12" i="82"/>
  <c r="CX12" i="82" s="1"/>
  <c r="CZ61" i="82"/>
  <c r="CW30" i="82"/>
  <c r="CX30" i="82" s="1"/>
  <c r="CY54" i="82"/>
  <c r="CZ54" i="82" s="1"/>
  <c r="CU19" i="82"/>
  <c r="CV19" i="82" s="1"/>
  <c r="CV51" i="82"/>
  <c r="CU51" i="82"/>
  <c r="CU55" i="82"/>
  <c r="CV55" i="82" s="1"/>
  <c r="CU46" i="82"/>
  <c r="CV46" i="82" s="1"/>
  <c r="DM119" i="82"/>
  <c r="DN119" i="82" s="1"/>
  <c r="CW9" i="82"/>
  <c r="CX9" i="82" s="1"/>
  <c r="DD140" i="82"/>
  <c r="DB158" i="82"/>
  <c r="DV57" i="82"/>
  <c r="CW36" i="82"/>
  <c r="CX36" i="82" s="1"/>
  <c r="DN304" i="82"/>
  <c r="DL330" i="82"/>
  <c r="DM112" i="82"/>
  <c r="DN112" i="82" s="1"/>
  <c r="CX14" i="82"/>
  <c r="CW14" i="82"/>
  <c r="CW44" i="82"/>
  <c r="CX44" i="82" s="1"/>
  <c r="CW21" i="82"/>
  <c r="CX21" i="82" s="1"/>
  <c r="C17" i="27"/>
  <c r="C18" i="27" s="1"/>
  <c r="G30" i="1"/>
  <c r="CY29" i="82"/>
  <c r="CZ29" i="82" s="1"/>
  <c r="E22" i="2"/>
  <c r="CW13" i="82"/>
  <c r="CX13" i="82" s="1"/>
  <c r="DM100" i="82"/>
  <c r="DN100" i="82" s="1"/>
  <c r="CW23" i="82"/>
  <c r="CX23" i="82" s="1"/>
  <c r="CW56" i="82"/>
  <c r="CX56" i="82" s="1"/>
  <c r="CY20" i="82"/>
  <c r="CZ20" i="82" s="1"/>
  <c r="CU43" i="82"/>
  <c r="CV43" i="82" s="1"/>
  <c r="CU10" i="82"/>
  <c r="CV10" i="82" s="1"/>
  <c r="CW16" i="82"/>
  <c r="CX16" i="82" s="1"/>
  <c r="CY28" i="82"/>
  <c r="CZ28" i="82" s="1"/>
  <c r="BZ59" i="82"/>
  <c r="BZ332" i="82" s="1"/>
  <c r="CB8" i="82"/>
  <c r="CA8" i="82"/>
  <c r="CA59" i="82" s="1"/>
  <c r="CA332" i="82" s="1"/>
  <c r="CT62" i="82"/>
  <c r="CR95" i="82"/>
  <c r="CQ106" i="82"/>
  <c r="CQ134" i="82" s="1"/>
  <c r="CP134" i="82"/>
  <c r="CR162" i="82"/>
  <c r="CF160" i="82" l="1"/>
  <c r="CD301" i="82"/>
  <c r="DH138" i="82"/>
  <c r="DJ136" i="82"/>
  <c r="B43" i="87"/>
  <c r="B60" i="87"/>
  <c r="CR106" i="82"/>
  <c r="CY56" i="82"/>
  <c r="CZ56" i="82" s="1"/>
  <c r="DA34" i="82"/>
  <c r="DB34" i="82"/>
  <c r="CY23" i="82"/>
  <c r="CZ23" i="82" s="1"/>
  <c r="CY9" i="82"/>
  <c r="CZ9" i="82" s="1"/>
  <c r="CY12" i="82"/>
  <c r="CZ12" i="82" s="1"/>
  <c r="DO122" i="82"/>
  <c r="DP122" i="82" s="1"/>
  <c r="CW50" i="82"/>
  <c r="CX50" i="82" s="1"/>
  <c r="CY47" i="82"/>
  <c r="CZ47" i="82" s="1"/>
  <c r="DO113" i="82"/>
  <c r="DP113" i="82" s="1"/>
  <c r="CY27" i="82"/>
  <c r="CZ27" i="82" s="1"/>
  <c r="DA41" i="82"/>
  <c r="DB41" i="82" s="1"/>
  <c r="CY16" i="82"/>
  <c r="CZ16" i="82" s="1"/>
  <c r="DO100" i="82"/>
  <c r="DP100" i="82" s="1"/>
  <c r="DO119" i="82"/>
  <c r="DP119" i="82" s="1"/>
  <c r="DA54" i="82"/>
  <c r="DB54" i="82" s="1"/>
  <c r="DA31" i="82"/>
  <c r="DB31" i="82" s="1"/>
  <c r="CW37" i="82"/>
  <c r="CX37" i="82" s="1"/>
  <c r="DA25" i="82"/>
  <c r="DB25" i="82" s="1"/>
  <c r="CY39" i="82"/>
  <c r="CZ39" i="82" s="1"/>
  <c r="CY24" i="82"/>
  <c r="CZ24" i="82" s="1"/>
  <c r="DO120" i="82"/>
  <c r="DP120" i="82" s="1"/>
  <c r="CY44" i="82"/>
  <c r="CZ44" i="82" s="1"/>
  <c r="DO121" i="82"/>
  <c r="DP121" i="82" s="1"/>
  <c r="CW10" i="82"/>
  <c r="CX10" i="82" s="1"/>
  <c r="DA29" i="82"/>
  <c r="DB29" i="82" s="1"/>
  <c r="DO112" i="82"/>
  <c r="DP112" i="82" s="1"/>
  <c r="CW46" i="82"/>
  <c r="CX46" i="82" s="1"/>
  <c r="CY30" i="82"/>
  <c r="CZ30" i="82" s="1"/>
  <c r="DA49" i="82"/>
  <c r="DB49" i="82" s="1"/>
  <c r="DA42" i="82"/>
  <c r="DB42" i="82" s="1"/>
  <c r="CY40" i="82"/>
  <c r="CZ40" i="82" s="1"/>
  <c r="DO115" i="82"/>
  <c r="DP115" i="82" s="1"/>
  <c r="CY15" i="82"/>
  <c r="CZ15" i="82" s="1"/>
  <c r="DA26" i="82"/>
  <c r="DB26" i="82" s="1"/>
  <c r="CY18" i="82"/>
  <c r="CZ18" i="82" s="1"/>
  <c r="DA28" i="82"/>
  <c r="DB28" i="82" s="1"/>
  <c r="DP304" i="82"/>
  <c r="DN330" i="82"/>
  <c r="CW33" i="82"/>
  <c r="CX33" i="82" s="1"/>
  <c r="CY52" i="82"/>
  <c r="CZ52" i="82" s="1"/>
  <c r="CY17" i="82"/>
  <c r="CZ17" i="82" s="1"/>
  <c r="CT162" i="82"/>
  <c r="CV62" i="82"/>
  <c r="CT95" i="82"/>
  <c r="DB61" i="82"/>
  <c r="CY45" i="82"/>
  <c r="CZ45" i="82" s="1"/>
  <c r="CY53" i="82"/>
  <c r="CZ53" i="82" s="1"/>
  <c r="CS106" i="82"/>
  <c r="CS134" i="82" s="1"/>
  <c r="CR134" i="82"/>
  <c r="CW43" i="82"/>
  <c r="CX43" i="82" s="1"/>
  <c r="CY13" i="82"/>
  <c r="CZ13" i="82" s="1"/>
  <c r="CY14" i="82"/>
  <c r="CZ14" i="82" s="1"/>
  <c r="DF140" i="82"/>
  <c r="DD158" i="82"/>
  <c r="CW55" i="82"/>
  <c r="CX55" i="82" s="1"/>
  <c r="CW19" i="82"/>
  <c r="CX19" i="82" s="1"/>
  <c r="DO104" i="82"/>
  <c r="DP104" i="82" s="1"/>
  <c r="CY35" i="82"/>
  <c r="CZ35" i="82" s="1"/>
  <c r="CY48" i="82"/>
  <c r="CZ48" i="82" s="1"/>
  <c r="CY11" i="82"/>
  <c r="CZ11" i="82" s="1"/>
  <c r="CY32" i="82"/>
  <c r="CZ32" i="82" s="1"/>
  <c r="CY22" i="82"/>
  <c r="CZ22" i="82" s="1"/>
  <c r="DO117" i="82"/>
  <c r="DP117" i="82" s="1"/>
  <c r="DA20" i="82"/>
  <c r="DB20" i="82" s="1"/>
  <c r="DV59" i="82"/>
  <c r="DX57" i="82"/>
  <c r="CW51" i="82"/>
  <c r="CX51" i="82" s="1"/>
  <c r="DO98" i="82"/>
  <c r="DP98" i="82" s="1"/>
  <c r="DE114" i="82"/>
  <c r="DF114" i="82" s="1"/>
  <c r="CW38" i="82"/>
  <c r="CX38" i="82" s="1"/>
  <c r="CB59" i="82"/>
  <c r="CB332" i="82" s="1"/>
  <c r="CC8" i="82"/>
  <c r="CC59" i="82" s="1"/>
  <c r="CC332" i="82" s="1"/>
  <c r="CY21" i="82"/>
  <c r="CZ21" i="82" s="1"/>
  <c r="CY36" i="82"/>
  <c r="CZ36" i="82" s="1"/>
  <c r="F21" i="23"/>
  <c r="L34" i="2"/>
  <c r="L35" i="2" s="1"/>
  <c r="L18" i="2"/>
  <c r="G44" i="1"/>
  <c r="J30" i="1"/>
  <c r="DD97" i="82"/>
  <c r="DO118" i="82"/>
  <c r="DP118" i="82" s="1"/>
  <c r="DJ138" i="82" l="1"/>
  <c r="DL136" i="82"/>
  <c r="CH160" i="82"/>
  <c r="CF301" i="82"/>
  <c r="CT106" i="82"/>
  <c r="DA36" i="82"/>
  <c r="DB36" i="82" s="1"/>
  <c r="DA21" i="82"/>
  <c r="DB21" i="82" s="1"/>
  <c r="DQ117" i="82"/>
  <c r="DR117" i="82" s="1"/>
  <c r="DA13" i="82"/>
  <c r="DB13" i="82" s="1"/>
  <c r="DA44" i="82"/>
  <c r="DB44" i="82" s="1"/>
  <c r="DA16" i="82"/>
  <c r="DB16" i="82" s="1"/>
  <c r="DQ122" i="82"/>
  <c r="DR122" i="82" s="1"/>
  <c r="DA22" i="82"/>
  <c r="DB22" i="82" s="1"/>
  <c r="DA53" i="82"/>
  <c r="DB53" i="82"/>
  <c r="DQ120" i="82"/>
  <c r="DR120" i="82" s="1"/>
  <c r="DC25" i="82"/>
  <c r="DD25" i="82" s="1"/>
  <c r="DC41" i="82"/>
  <c r="DD41" i="82" s="1"/>
  <c r="DA47" i="82"/>
  <c r="DB47" i="82" s="1"/>
  <c r="DA12" i="82"/>
  <c r="DB12" i="82" s="1"/>
  <c r="DA32" i="82"/>
  <c r="DB32" i="82" s="1"/>
  <c r="DA45" i="82"/>
  <c r="DB45" i="82" s="1"/>
  <c r="DC28" i="82"/>
  <c r="DD28" i="82" s="1"/>
  <c r="DA40" i="82"/>
  <c r="DB40" i="82" s="1"/>
  <c r="DQ112" i="82"/>
  <c r="DR112" i="82" s="1"/>
  <c r="DA27" i="82"/>
  <c r="DB27" i="82"/>
  <c r="DA9" i="82"/>
  <c r="DB9" i="82" s="1"/>
  <c r="CY55" i="82"/>
  <c r="CZ55" i="82" s="1"/>
  <c r="DA39" i="82"/>
  <c r="DB39" i="82" s="1"/>
  <c r="DQ98" i="82"/>
  <c r="DR98" i="82" s="1"/>
  <c r="CY43" i="82"/>
  <c r="CZ43" i="82" s="1"/>
  <c r="DA35" i="82"/>
  <c r="DB35" i="82" s="1"/>
  <c r="DA14" i="82"/>
  <c r="DB14" i="82" s="1"/>
  <c r="DA15" i="82"/>
  <c r="DB15" i="82" s="1"/>
  <c r="DC42" i="82"/>
  <c r="DD42" i="82" s="1"/>
  <c r="DC29" i="82"/>
  <c r="DD29" i="82" s="1"/>
  <c r="DA56" i="82"/>
  <c r="DB56" i="82" s="1"/>
  <c r="F32" i="23"/>
  <c r="F37" i="23" s="1"/>
  <c r="F40" i="23" s="1"/>
  <c r="F41" i="23" s="1"/>
  <c r="E16" i="26"/>
  <c r="E28" i="26" s="1"/>
  <c r="E40" i="26" s="1"/>
  <c r="DA48" i="82"/>
  <c r="DB48" i="82" s="1"/>
  <c r="DC26" i="82"/>
  <c r="DD26" i="82" s="1"/>
  <c r="DA30" i="82"/>
  <c r="DB30" i="82" s="1"/>
  <c r="DD20" i="82"/>
  <c r="DC20" i="82"/>
  <c r="DA11" i="82"/>
  <c r="DB11" i="82" s="1"/>
  <c r="CY19" i="82"/>
  <c r="CZ19" i="82" s="1"/>
  <c r="CV162" i="82"/>
  <c r="DR304" i="82"/>
  <c r="DP330" i="82"/>
  <c r="DA52" i="82"/>
  <c r="DB52" i="82" s="1"/>
  <c r="DQ115" i="82"/>
  <c r="DR115" i="82" s="1"/>
  <c r="CY10" i="82"/>
  <c r="CZ10" i="82" s="1"/>
  <c r="DA24" i="82"/>
  <c r="DB24" i="82" s="1"/>
  <c r="DC31" i="82"/>
  <c r="DD31" i="82" s="1"/>
  <c r="DQ119" i="82"/>
  <c r="DR119" i="82" s="1"/>
  <c r="DC34" i="82"/>
  <c r="DD34" i="82" s="1"/>
  <c r="DE97" i="82"/>
  <c r="DF97" i="82" s="1"/>
  <c r="CD8" i="82"/>
  <c r="DH140" i="82"/>
  <c r="DF158" i="82"/>
  <c r="CU106" i="82"/>
  <c r="CU134" i="82" s="1"/>
  <c r="CT134" i="82"/>
  <c r="DA17" i="82"/>
  <c r="DB17" i="82" s="1"/>
  <c r="CY33" i="82"/>
  <c r="CZ33" i="82" s="1"/>
  <c r="DA18" i="82"/>
  <c r="DB18" i="82" s="1"/>
  <c r="DC49" i="82"/>
  <c r="DD49" i="82" s="1"/>
  <c r="CY46" i="82"/>
  <c r="CZ46" i="82" s="1"/>
  <c r="DQ121" i="82"/>
  <c r="DR121" i="82" s="1"/>
  <c r="CY37" i="82"/>
  <c r="CZ37" i="82" s="1"/>
  <c r="DC54" i="82"/>
  <c r="DD54" i="82" s="1"/>
  <c r="DQ100" i="82"/>
  <c r="DR100" i="82" s="1"/>
  <c r="DQ113" i="82"/>
  <c r="DR113" i="82" s="1"/>
  <c r="CY50" i="82"/>
  <c r="CZ50" i="82" s="1"/>
  <c r="DA23" i="82"/>
  <c r="DB23" i="82"/>
  <c r="DQ118" i="82"/>
  <c r="DR118" i="82" s="1"/>
  <c r="DG114" i="82"/>
  <c r="DH114" i="82" s="1"/>
  <c r="CY51" i="82"/>
  <c r="CZ51" i="82" s="1"/>
  <c r="DQ104" i="82"/>
  <c r="DR104" i="82" s="1"/>
  <c r="DD61" i="82"/>
  <c r="CY38" i="82"/>
  <c r="CZ38" i="82" s="1"/>
  <c r="CX62" i="82"/>
  <c r="CV95" i="82"/>
  <c r="CJ160" i="82" l="1"/>
  <c r="CH301" i="82"/>
  <c r="DN136" i="82"/>
  <c r="DL138" i="82"/>
  <c r="CV106" i="82"/>
  <c r="DI114" i="82"/>
  <c r="DJ114" i="82" s="1"/>
  <c r="DC14" i="82"/>
  <c r="DD14" i="82" s="1"/>
  <c r="DF14" i="82" s="1"/>
  <c r="DH14" i="82" s="1"/>
  <c r="DJ14" i="82" s="1"/>
  <c r="DL14" i="82" s="1"/>
  <c r="DN14" i="82" s="1"/>
  <c r="DP14" i="82" s="1"/>
  <c r="DR14" i="82" s="1"/>
  <c r="DT98" i="82"/>
  <c r="DX98" i="82"/>
  <c r="DC40" i="82"/>
  <c r="DD40" i="82" s="1"/>
  <c r="DC32" i="82"/>
  <c r="DD32" i="82" s="1"/>
  <c r="DA51" i="82"/>
  <c r="DB51" i="82"/>
  <c r="DC48" i="82"/>
  <c r="DD48" i="82" s="1"/>
  <c r="DT112" i="82"/>
  <c r="DX112" i="82"/>
  <c r="DA38" i="82"/>
  <c r="DB38" i="82" s="1"/>
  <c r="DE31" i="82"/>
  <c r="DF31" i="82" s="1"/>
  <c r="DT100" i="82"/>
  <c r="DX100" i="82"/>
  <c r="DA33" i="82"/>
  <c r="DB33" i="82" s="1"/>
  <c r="DC24" i="82"/>
  <c r="DD24" i="82" s="1"/>
  <c r="DC52" i="82"/>
  <c r="DD52" i="82" s="1"/>
  <c r="DE42" i="82"/>
  <c r="DF42" i="82" s="1"/>
  <c r="DC39" i="82"/>
  <c r="DD39" i="82" s="1"/>
  <c r="DE28" i="82"/>
  <c r="DF28" i="82" s="1"/>
  <c r="DE41" i="82"/>
  <c r="DF41" i="82"/>
  <c r="DC13" i="82"/>
  <c r="DD13" i="82" s="1"/>
  <c r="DF13" i="82" s="1"/>
  <c r="DH13" i="82" s="1"/>
  <c r="DJ13" i="82" s="1"/>
  <c r="DL13" i="82" s="1"/>
  <c r="DN13" i="82" s="1"/>
  <c r="DP13" i="82" s="1"/>
  <c r="DR13" i="82" s="1"/>
  <c r="DX119" i="82"/>
  <c r="DT119" i="82"/>
  <c r="DA43" i="82"/>
  <c r="DB43" i="82" s="1"/>
  <c r="DC22" i="82"/>
  <c r="DD22" i="82" s="1"/>
  <c r="DS113" i="82"/>
  <c r="DS134" i="82" s="1"/>
  <c r="DS332" i="82" s="1"/>
  <c r="DX104" i="82"/>
  <c r="DT104" i="82"/>
  <c r="DE54" i="82"/>
  <c r="DF54" i="82" s="1"/>
  <c r="DE34" i="82"/>
  <c r="DF34" i="82" s="1"/>
  <c r="DA10" i="82"/>
  <c r="DB10" i="82" s="1"/>
  <c r="DE26" i="82"/>
  <c r="DF26" i="82" s="1"/>
  <c r="DC56" i="82"/>
  <c r="DD56" i="82" s="1"/>
  <c r="DA55" i="82"/>
  <c r="DB55" i="82" s="1"/>
  <c r="DE25" i="82"/>
  <c r="DF25" i="82" s="1"/>
  <c r="DC16" i="82"/>
  <c r="DD16" i="82" s="1"/>
  <c r="DF16" i="82" s="1"/>
  <c r="DH16" i="82" s="1"/>
  <c r="DJ16" i="82" s="1"/>
  <c r="DL16" i="82" s="1"/>
  <c r="DN16" i="82" s="1"/>
  <c r="DP16" i="82" s="1"/>
  <c r="DR16" i="82" s="1"/>
  <c r="DT117" i="82"/>
  <c r="DX117" i="82"/>
  <c r="DA50" i="82"/>
  <c r="DB50" i="82" s="1"/>
  <c r="DC18" i="82"/>
  <c r="DD18" i="82" s="1"/>
  <c r="DF18" i="82" s="1"/>
  <c r="DH18" i="82" s="1"/>
  <c r="DJ18" i="82" s="1"/>
  <c r="DL18" i="82" s="1"/>
  <c r="DN18" i="82" s="1"/>
  <c r="DP18" i="82" s="1"/>
  <c r="DR18" i="82" s="1"/>
  <c r="CE8" i="82"/>
  <c r="CE59" i="82" s="1"/>
  <c r="CE332" i="82" s="1"/>
  <c r="CD59" i="82"/>
  <c r="CD332" i="82" s="1"/>
  <c r="DC11" i="82"/>
  <c r="DD11" i="82" s="1"/>
  <c r="DF11" i="82" s="1"/>
  <c r="DH11" i="82" s="1"/>
  <c r="DJ11" i="82" s="1"/>
  <c r="DL11" i="82" s="1"/>
  <c r="DN11" i="82" s="1"/>
  <c r="DP11" i="82" s="1"/>
  <c r="DR11" i="82" s="1"/>
  <c r="DC30" i="82"/>
  <c r="DD30" i="82" s="1"/>
  <c r="F44" i="23"/>
  <c r="C8" i="27"/>
  <c r="DC17" i="82"/>
  <c r="DD17" i="82" s="1"/>
  <c r="DF17" i="82" s="1"/>
  <c r="DH17" i="82" s="1"/>
  <c r="DJ17" i="82" s="1"/>
  <c r="DL17" i="82" s="1"/>
  <c r="DN17" i="82" s="1"/>
  <c r="DP17" i="82" s="1"/>
  <c r="DR17" i="82" s="1"/>
  <c r="DX304" i="82"/>
  <c r="DX330" i="82" s="1"/>
  <c r="DT304" i="82"/>
  <c r="DT330" i="82" s="1"/>
  <c r="DR330" i="82"/>
  <c r="E44" i="26"/>
  <c r="E46" i="26" s="1"/>
  <c r="E47" i="26" s="1"/>
  <c r="DE29" i="82"/>
  <c r="DF29" i="82" s="1"/>
  <c r="DC15" i="82"/>
  <c r="DD15" i="82" s="1"/>
  <c r="DF15" i="82" s="1"/>
  <c r="DH15" i="82" s="1"/>
  <c r="DJ15" i="82" s="1"/>
  <c r="DL15" i="82" s="1"/>
  <c r="DN15" i="82" s="1"/>
  <c r="DP15" i="82" s="1"/>
  <c r="DR15" i="82" s="1"/>
  <c r="DD35" i="82"/>
  <c r="DC35" i="82"/>
  <c r="DC27" i="82"/>
  <c r="DD27" i="82" s="1"/>
  <c r="DC45" i="82"/>
  <c r="DD45" i="82" s="1"/>
  <c r="DC12" i="82"/>
  <c r="DD12" i="82"/>
  <c r="DF12" i="82" s="1"/>
  <c r="DH12" i="82" s="1"/>
  <c r="DJ12" i="82" s="1"/>
  <c r="DL12" i="82" s="1"/>
  <c r="DN12" i="82" s="1"/>
  <c r="DP12" i="82" s="1"/>
  <c r="DR12" i="82" s="1"/>
  <c r="DX120" i="82"/>
  <c r="DT120" i="82"/>
  <c r="DC21" i="82"/>
  <c r="DD21" i="82"/>
  <c r="DF61" i="82"/>
  <c r="DC23" i="82"/>
  <c r="DD23" i="82" s="1"/>
  <c r="DX121" i="82"/>
  <c r="DT121" i="82"/>
  <c r="DF49" i="82"/>
  <c r="DE49" i="82"/>
  <c r="CX162" i="82"/>
  <c r="DC9" i="82"/>
  <c r="DD9" i="82" s="1"/>
  <c r="DF9" i="82" s="1"/>
  <c r="DH9" i="82" s="1"/>
  <c r="DJ9" i="82" s="1"/>
  <c r="DL9" i="82" s="1"/>
  <c r="DN9" i="82" s="1"/>
  <c r="DP9" i="82" s="1"/>
  <c r="DR9" i="82" s="1"/>
  <c r="DC47" i="82"/>
  <c r="DD47" i="82" s="1"/>
  <c r="DC53" i="82"/>
  <c r="DD53" i="82" s="1"/>
  <c r="DX122" i="82"/>
  <c r="DT122" i="82"/>
  <c r="DC44" i="82"/>
  <c r="DD44" i="82" s="1"/>
  <c r="DC36" i="82"/>
  <c r="DD36" i="82" s="1"/>
  <c r="CZ62" i="82"/>
  <c r="CX95" i="82"/>
  <c r="DX118" i="82"/>
  <c r="DT118" i="82"/>
  <c r="DA37" i="82"/>
  <c r="DB37" i="82" s="1"/>
  <c r="DA46" i="82"/>
  <c r="DB46" i="82" s="1"/>
  <c r="CW106" i="82"/>
  <c r="CW134" i="82" s="1"/>
  <c r="CV134" i="82"/>
  <c r="DB19" i="82"/>
  <c r="DA19" i="82"/>
  <c r="DE20" i="82"/>
  <c r="DF20" i="82"/>
  <c r="DJ140" i="82"/>
  <c r="DH158" i="82"/>
  <c r="DG97" i="82"/>
  <c r="DH97" i="82"/>
  <c r="DX115" i="82"/>
  <c r="DT115" i="82"/>
  <c r="DP136" i="82" l="1"/>
  <c r="DN138" i="82"/>
  <c r="CL160" i="82"/>
  <c r="CJ301" i="82"/>
  <c r="CF8" i="82"/>
  <c r="CX106" i="82"/>
  <c r="DT113" i="82"/>
  <c r="DX113" i="82" s="1"/>
  <c r="DE23" i="82"/>
  <c r="DF23" i="82" s="1"/>
  <c r="DG29" i="82"/>
  <c r="DH29" i="82" s="1"/>
  <c r="DJ29" i="82" s="1"/>
  <c r="DL29" i="82" s="1"/>
  <c r="DN29" i="82" s="1"/>
  <c r="DP29" i="82" s="1"/>
  <c r="DR29" i="82" s="1"/>
  <c r="DC10" i="82"/>
  <c r="DD10" i="82" s="1"/>
  <c r="DF10" i="82" s="1"/>
  <c r="DH10" i="82" s="1"/>
  <c r="DJ10" i="82" s="1"/>
  <c r="DL10" i="82" s="1"/>
  <c r="DN10" i="82" s="1"/>
  <c r="DP10" i="82" s="1"/>
  <c r="DR10" i="82" s="1"/>
  <c r="DE24" i="82"/>
  <c r="DF24" i="82" s="1"/>
  <c r="DE32" i="82"/>
  <c r="DF32" i="82" s="1"/>
  <c r="DX9" i="82"/>
  <c r="DT9" i="82"/>
  <c r="DE52" i="82"/>
  <c r="DF52" i="82" s="1"/>
  <c r="DE53" i="82"/>
  <c r="DF53" i="82" s="1"/>
  <c r="DE45" i="82"/>
  <c r="DF45" i="82"/>
  <c r="DX16" i="82"/>
  <c r="DT16" i="82"/>
  <c r="DE56" i="82"/>
  <c r="DF56" i="82" s="1"/>
  <c r="DG34" i="82"/>
  <c r="DH34" i="82" s="1"/>
  <c r="DC33" i="82"/>
  <c r="DD33" i="82" s="1"/>
  <c r="DE48" i="82"/>
  <c r="DF48" i="82"/>
  <c r="DT14" i="82"/>
  <c r="DX14" i="82"/>
  <c r="DX11" i="82"/>
  <c r="DT11" i="82"/>
  <c r="DC37" i="82"/>
  <c r="DD37" i="82" s="1"/>
  <c r="DE36" i="82"/>
  <c r="DF36" i="82" s="1"/>
  <c r="DE44" i="82"/>
  <c r="DF44" i="82" s="1"/>
  <c r="DE47" i="82"/>
  <c r="DF47" i="82" s="1"/>
  <c r="DX17" i="82"/>
  <c r="DT17" i="82"/>
  <c r="DG25" i="82"/>
  <c r="DH25" i="82" s="1"/>
  <c r="DJ25" i="82" s="1"/>
  <c r="DL25" i="82" s="1"/>
  <c r="DN25" i="82" s="1"/>
  <c r="DP25" i="82" s="1"/>
  <c r="DR25" i="82" s="1"/>
  <c r="DG54" i="82"/>
  <c r="DH54" i="82" s="1"/>
  <c r="DC38" i="82"/>
  <c r="DK114" i="82"/>
  <c r="DL114" i="82" s="1"/>
  <c r="DX12" i="82"/>
  <c r="DT12" i="82"/>
  <c r="DE27" i="82"/>
  <c r="DF27" i="82" s="1"/>
  <c r="DC50" i="82"/>
  <c r="DD50" i="82" s="1"/>
  <c r="DE22" i="82"/>
  <c r="DF22" i="82" s="1"/>
  <c r="DG41" i="82"/>
  <c r="DH41" i="82" s="1"/>
  <c r="E48" i="26"/>
  <c r="DI97" i="82"/>
  <c r="DJ97" i="82" s="1"/>
  <c r="DL140" i="82"/>
  <c r="DJ158" i="82"/>
  <c r="DC19" i="82"/>
  <c r="DD19" i="82" s="1"/>
  <c r="DC46" i="82"/>
  <c r="DD46" i="82" s="1"/>
  <c r="DE21" i="82"/>
  <c r="DF21" i="82" s="1"/>
  <c r="DT15" i="82"/>
  <c r="DX15" i="82"/>
  <c r="DC55" i="82"/>
  <c r="DD55" i="82" s="1"/>
  <c r="DG26" i="82"/>
  <c r="DH26" i="82" s="1"/>
  <c r="DJ26" i="82" s="1"/>
  <c r="DL26" i="82" s="1"/>
  <c r="DN26" i="82" s="1"/>
  <c r="DP26" i="82" s="1"/>
  <c r="DR26" i="82" s="1"/>
  <c r="DE39" i="82"/>
  <c r="DF39" i="82" s="1"/>
  <c r="DG31" i="82"/>
  <c r="DH31" i="82" s="1"/>
  <c r="DJ31" i="82" s="1"/>
  <c r="DL31" i="82" s="1"/>
  <c r="DN31" i="82" s="1"/>
  <c r="DP31" i="82" s="1"/>
  <c r="DR31" i="82" s="1"/>
  <c r="DC51" i="82"/>
  <c r="DD51" i="82" s="1"/>
  <c r="DE40" i="82"/>
  <c r="DF40" i="82" s="1"/>
  <c r="DG20" i="82"/>
  <c r="DH20" i="82" s="1"/>
  <c r="DJ20" i="82" s="1"/>
  <c r="DL20" i="82" s="1"/>
  <c r="DN20" i="82" s="1"/>
  <c r="DP20" i="82" s="1"/>
  <c r="DR20" i="82" s="1"/>
  <c r="CZ162" i="82"/>
  <c r="DC43" i="82"/>
  <c r="DD43" i="82" s="1"/>
  <c r="DT13" i="82"/>
  <c r="DX13" i="82"/>
  <c r="DG28" i="82"/>
  <c r="DH28" i="82" s="1"/>
  <c r="DJ28" i="82" s="1"/>
  <c r="DL28" i="82" s="1"/>
  <c r="DN28" i="82" s="1"/>
  <c r="DP28" i="82" s="1"/>
  <c r="DR28" i="82" s="1"/>
  <c r="DG42" i="82"/>
  <c r="DH42" i="82" s="1"/>
  <c r="CY106" i="82"/>
  <c r="CY134" i="82" s="1"/>
  <c r="CX134" i="82"/>
  <c r="DB62" i="82"/>
  <c r="CZ95" i="82"/>
  <c r="DG49" i="82"/>
  <c r="DH49" i="82" s="1"/>
  <c r="DH61" i="82"/>
  <c r="DE35" i="82"/>
  <c r="DF35" i="82" s="1"/>
  <c r="C10" i="27"/>
  <c r="C11" i="27" s="1"/>
  <c r="DE30" i="82"/>
  <c r="DF30" i="82" s="1"/>
  <c r="CF59" i="82"/>
  <c r="CF332" i="82" s="1"/>
  <c r="CG8" i="82"/>
  <c r="CG59" i="82" s="1"/>
  <c r="CG332" i="82" s="1"/>
  <c r="DT18" i="82"/>
  <c r="DX18" i="82"/>
  <c r="CN160" i="82" l="1"/>
  <c r="CL301" i="82"/>
  <c r="DP138" i="82"/>
  <c r="DR136" i="82"/>
  <c r="DC59" i="82"/>
  <c r="CH8" i="82"/>
  <c r="CZ106" i="82"/>
  <c r="DE46" i="82"/>
  <c r="DF46" i="82" s="1"/>
  <c r="DK97" i="82"/>
  <c r="DL97" i="82" s="1"/>
  <c r="DG44" i="82"/>
  <c r="DH44" i="82" s="1"/>
  <c r="DG52" i="82"/>
  <c r="DH52" i="82" s="1"/>
  <c r="DI49" i="82"/>
  <c r="DJ49" i="82" s="1"/>
  <c r="DE19" i="82"/>
  <c r="DI54" i="82"/>
  <c r="DJ54" i="82" s="1"/>
  <c r="DG56" i="82"/>
  <c r="DH56" i="82" s="1"/>
  <c r="DG40" i="82"/>
  <c r="DH40" i="82"/>
  <c r="DG39" i="82"/>
  <c r="DH39" i="82" s="1"/>
  <c r="DI41" i="82"/>
  <c r="DJ41" i="82" s="1"/>
  <c r="DE33" i="82"/>
  <c r="DF33" i="82" s="1"/>
  <c r="DE43" i="82"/>
  <c r="DF43" i="82" s="1"/>
  <c r="DE55" i="82"/>
  <c r="DF55" i="82" s="1"/>
  <c r="DG30" i="82"/>
  <c r="DH30" i="82"/>
  <c r="DJ30" i="82" s="1"/>
  <c r="DL30" i="82" s="1"/>
  <c r="DN30" i="82" s="1"/>
  <c r="DP30" i="82" s="1"/>
  <c r="DR30" i="82" s="1"/>
  <c r="DI42" i="82"/>
  <c r="DJ42" i="82" s="1"/>
  <c r="DE51" i="82"/>
  <c r="DF51" i="82" s="1"/>
  <c r="DX26" i="82"/>
  <c r="DT26" i="82"/>
  <c r="DG21" i="82"/>
  <c r="DH21" i="82" s="1"/>
  <c r="DJ21" i="82" s="1"/>
  <c r="DL21" i="82" s="1"/>
  <c r="DN21" i="82" s="1"/>
  <c r="DP21" i="82" s="1"/>
  <c r="DR21" i="82" s="1"/>
  <c r="DM114" i="82"/>
  <c r="DN114" i="82" s="1"/>
  <c r="DE37" i="82"/>
  <c r="DF37" i="82" s="1"/>
  <c r="DX10" i="82"/>
  <c r="DT10" i="82"/>
  <c r="DB162" i="82"/>
  <c r="DI34" i="82"/>
  <c r="DJ34" i="82" s="1"/>
  <c r="DA106" i="82"/>
  <c r="DA134" i="82" s="1"/>
  <c r="CZ134" i="82"/>
  <c r="DT20" i="82"/>
  <c r="DX20" i="82"/>
  <c r="DN140" i="82"/>
  <c r="DL158" i="82"/>
  <c r="E49" i="26"/>
  <c r="E50" i="26" s="1"/>
  <c r="F45" i="23" s="1"/>
  <c r="F46" i="23" s="1"/>
  <c r="DG27" i="82"/>
  <c r="DH27" i="82" s="1"/>
  <c r="DJ27" i="82" s="1"/>
  <c r="DL27" i="82" s="1"/>
  <c r="DN27" i="82" s="1"/>
  <c r="DP27" i="82" s="1"/>
  <c r="DR27" i="82" s="1"/>
  <c r="DD38" i="82"/>
  <c r="L17" i="2"/>
  <c r="D21" i="27"/>
  <c r="E83" i="3" s="1"/>
  <c r="E84" i="3" s="1"/>
  <c r="D18" i="27"/>
  <c r="DG35" i="82"/>
  <c r="DH35" i="82"/>
  <c r="DX25" i="82"/>
  <c r="DT25" i="82"/>
  <c r="DG36" i="82"/>
  <c r="DH36" i="82"/>
  <c r="DG48" i="82"/>
  <c r="DH48" i="82" s="1"/>
  <c r="DG53" i="82"/>
  <c r="DH53" i="82" s="1"/>
  <c r="DG24" i="82"/>
  <c r="DH24" i="82"/>
  <c r="DJ24" i="82" s="1"/>
  <c r="DL24" i="82" s="1"/>
  <c r="DN24" i="82" s="1"/>
  <c r="DP24" i="82" s="1"/>
  <c r="DR24" i="82" s="1"/>
  <c r="DT29" i="82"/>
  <c r="DX29" i="82"/>
  <c r="DX28" i="82"/>
  <c r="DT28" i="82"/>
  <c r="DJ61" i="82"/>
  <c r="DG45" i="82"/>
  <c r="DH45" i="82"/>
  <c r="DG32" i="82"/>
  <c r="DH32" i="82" s="1"/>
  <c r="DG23" i="82"/>
  <c r="DH23" i="82" s="1"/>
  <c r="DJ23" i="82" s="1"/>
  <c r="DL23" i="82" s="1"/>
  <c r="DN23" i="82" s="1"/>
  <c r="DP23" i="82" s="1"/>
  <c r="DR23" i="82" s="1"/>
  <c r="CI8" i="82"/>
  <c r="CI59" i="82" s="1"/>
  <c r="CI332" i="82" s="1"/>
  <c r="CH59" i="82"/>
  <c r="CH332" i="82" s="1"/>
  <c r="DX31" i="82"/>
  <c r="DT31" i="82"/>
  <c r="DG22" i="82"/>
  <c r="DH22" i="82"/>
  <c r="DJ22" i="82" s="1"/>
  <c r="DL22" i="82" s="1"/>
  <c r="DN22" i="82" s="1"/>
  <c r="DP22" i="82" s="1"/>
  <c r="DR22" i="82" s="1"/>
  <c r="DG47" i="82"/>
  <c r="DH47" i="82" s="1"/>
  <c r="DD62" i="82"/>
  <c r="DB95" i="82"/>
  <c r="DE50" i="82"/>
  <c r="DF50" i="82" s="1"/>
  <c r="DT136" i="82" l="1"/>
  <c r="DR138" i="82"/>
  <c r="CP160" i="82"/>
  <c r="CN301" i="82"/>
  <c r="DT23" i="82"/>
  <c r="DX23" i="82"/>
  <c r="DI53" i="82"/>
  <c r="DJ53" i="82"/>
  <c r="DG33" i="82"/>
  <c r="DH33" i="82" s="1"/>
  <c r="DI48" i="82"/>
  <c r="DJ48" i="82"/>
  <c r="DG55" i="82"/>
  <c r="DH55" i="82" s="1"/>
  <c r="DK41" i="82"/>
  <c r="DL41" i="82" s="1"/>
  <c r="DI56" i="82"/>
  <c r="DJ56" i="82" s="1"/>
  <c r="DK42" i="82"/>
  <c r="DL42" i="82" s="1"/>
  <c r="DI39" i="82"/>
  <c r="DJ39" i="82" s="1"/>
  <c r="DI47" i="82"/>
  <c r="DJ47" i="82" s="1"/>
  <c r="DI32" i="82"/>
  <c r="DJ32" i="82" s="1"/>
  <c r="DX24" i="82"/>
  <c r="DT24" i="82"/>
  <c r="E77" i="3"/>
  <c r="E79" i="3" s="1"/>
  <c r="E86" i="3" s="1"/>
  <c r="G16" i="1" s="1"/>
  <c r="J16" i="1" s="1"/>
  <c r="D24" i="27"/>
  <c r="DT27" i="82"/>
  <c r="DX27" i="82"/>
  <c r="DK34" i="82"/>
  <c r="DL34" i="82" s="1"/>
  <c r="DO114" i="82"/>
  <c r="DP114" i="82" s="1"/>
  <c r="DI52" i="82"/>
  <c r="DJ52" i="82" s="1"/>
  <c r="DM97" i="82"/>
  <c r="DN97" i="82" s="1"/>
  <c r="DX22" i="82"/>
  <c r="DT22" i="82"/>
  <c r="DI45" i="82"/>
  <c r="DJ45" i="82" s="1"/>
  <c r="DL61" i="82"/>
  <c r="DP140" i="82"/>
  <c r="DN158" i="82"/>
  <c r="DG37" i="82"/>
  <c r="DH37" i="82"/>
  <c r="DT21" i="82"/>
  <c r="DX21" i="82"/>
  <c r="DG51" i="82"/>
  <c r="DH51" i="82"/>
  <c r="DT30" i="82"/>
  <c r="DX30" i="82"/>
  <c r="DG43" i="82"/>
  <c r="DH43" i="82" s="1"/>
  <c r="DI40" i="82"/>
  <c r="DJ40" i="82" s="1"/>
  <c r="DK54" i="82"/>
  <c r="DL54" i="82" s="1"/>
  <c r="DK49" i="82"/>
  <c r="DL49" i="82"/>
  <c r="DI44" i="82"/>
  <c r="DJ44" i="82" s="1"/>
  <c r="DG50" i="82"/>
  <c r="DH50" i="82" s="1"/>
  <c r="DF62" i="82"/>
  <c r="DD95" i="82"/>
  <c r="CJ8" i="82"/>
  <c r="DI36" i="82"/>
  <c r="DJ36" i="82" s="1"/>
  <c r="DI35" i="82"/>
  <c r="DJ35" i="82"/>
  <c r="M25" i="2"/>
  <c r="M26" i="2"/>
  <c r="N19" i="2"/>
  <c r="M24" i="2"/>
  <c r="M29" i="2"/>
  <c r="M27" i="2"/>
  <c r="N21" i="2"/>
  <c r="F47" i="23"/>
  <c r="F48" i="23" s="1"/>
  <c r="DB106" i="82"/>
  <c r="DD162" i="82"/>
  <c r="DG46" i="82"/>
  <c r="DH46" i="82" s="1"/>
  <c r="DE38" i="82"/>
  <c r="DE59" i="82" s="1"/>
  <c r="DF38" i="82"/>
  <c r="DF19" i="82"/>
  <c r="CR160" i="82" l="1"/>
  <c r="CP301" i="82"/>
  <c r="DT138" i="82"/>
  <c r="DV136" i="82"/>
  <c r="DK36" i="82"/>
  <c r="DL36" i="82" s="1"/>
  <c r="DQ114" i="82"/>
  <c r="DR114" i="82" s="1"/>
  <c r="DI50" i="82"/>
  <c r="DJ50" i="82" s="1"/>
  <c r="DM34" i="82"/>
  <c r="DN34" i="82" s="1"/>
  <c r="DP34" i="82" s="1"/>
  <c r="DR34" i="82" s="1"/>
  <c r="DI46" i="82"/>
  <c r="DJ46" i="82" s="1"/>
  <c r="DM49" i="82"/>
  <c r="DN49" i="82" s="1"/>
  <c r="DP49" i="82" s="1"/>
  <c r="DR49" i="82" s="1"/>
  <c r="DK47" i="82"/>
  <c r="DL47" i="82" s="1"/>
  <c r="DM42" i="82"/>
  <c r="DN42" i="82" s="1"/>
  <c r="DP42" i="82" s="1"/>
  <c r="DR42" i="82" s="1"/>
  <c r="DM41" i="82"/>
  <c r="DN41" i="82" s="1"/>
  <c r="DP41" i="82" s="1"/>
  <c r="DR41" i="82" s="1"/>
  <c r="DK48" i="82"/>
  <c r="DL48" i="82" s="1"/>
  <c r="DK53" i="82"/>
  <c r="DL53" i="82" s="1"/>
  <c r="DG19" i="82"/>
  <c r="DH19" i="82" s="1"/>
  <c r="DJ19" i="82" s="1"/>
  <c r="DL19" i="82" s="1"/>
  <c r="DN19" i="82" s="1"/>
  <c r="DP19" i="82" s="1"/>
  <c r="DR19" i="82" s="1"/>
  <c r="CL8" i="82"/>
  <c r="CJ59" i="82"/>
  <c r="CJ332" i="82" s="1"/>
  <c r="CK8" i="82"/>
  <c r="CK59" i="82" s="1"/>
  <c r="CK332" i="82" s="1"/>
  <c r="F49" i="23"/>
  <c r="F50" i="23" s="1"/>
  <c r="DK35" i="82"/>
  <c r="DL35" i="82" s="1"/>
  <c r="DK44" i="82"/>
  <c r="DL44" i="82" s="1"/>
  <c r="DM54" i="82"/>
  <c r="DN54" i="82" s="1"/>
  <c r="DP54" i="82" s="1"/>
  <c r="DR54" i="82" s="1"/>
  <c r="DI37" i="82"/>
  <c r="DJ37" i="82" s="1"/>
  <c r="DK52" i="82"/>
  <c r="DL52" i="82" s="1"/>
  <c r="DC106" i="82"/>
  <c r="DC134" i="82" s="1"/>
  <c r="DC332" i="82" s="1"/>
  <c r="DB134" i="82"/>
  <c r="DK40" i="82"/>
  <c r="DL40" i="82" s="1"/>
  <c r="DN61" i="82"/>
  <c r="DO97" i="82"/>
  <c r="DG38" i="82"/>
  <c r="DH38" i="82" s="1"/>
  <c r="N29" i="2"/>
  <c r="DI43" i="82"/>
  <c r="DJ43" i="82" s="1"/>
  <c r="DI51" i="82"/>
  <c r="DJ51" i="82" s="1"/>
  <c r="DK45" i="82"/>
  <c r="DL45" i="82"/>
  <c r="D30" i="27"/>
  <c r="D29" i="27"/>
  <c r="C35" i="27" s="1"/>
  <c r="D32" i="27"/>
  <c r="DK32" i="82"/>
  <c r="DL32" i="82" s="1"/>
  <c r="DK39" i="82"/>
  <c r="DL39" i="82" s="1"/>
  <c r="DK56" i="82"/>
  <c r="DL56" i="82" s="1"/>
  <c r="DI55" i="82"/>
  <c r="DJ55" i="82" s="1"/>
  <c r="DI33" i="82"/>
  <c r="DF162" i="82"/>
  <c r="DH62" i="82"/>
  <c r="DF95" i="82"/>
  <c r="DR140" i="82"/>
  <c r="DP158" i="82"/>
  <c r="DV138" i="82" l="1"/>
  <c r="DX136" i="82"/>
  <c r="DX138" i="82" s="1"/>
  <c r="CT160" i="82"/>
  <c r="CR301" i="82"/>
  <c r="E24" i="2"/>
  <c r="F54" i="23"/>
  <c r="DX42" i="82"/>
  <c r="DT42" i="82"/>
  <c r="DK50" i="82"/>
  <c r="DL50" i="82" s="1"/>
  <c r="DM39" i="82"/>
  <c r="DN39" i="82" s="1"/>
  <c r="DP39" i="82" s="1"/>
  <c r="DR39" i="82" s="1"/>
  <c r="DK51" i="82"/>
  <c r="DL51" i="82" s="1"/>
  <c r="DM40" i="82"/>
  <c r="DN40" i="82" s="1"/>
  <c r="DP40" i="82" s="1"/>
  <c r="DR40" i="82" s="1"/>
  <c r="DM44" i="82"/>
  <c r="DN44" i="82"/>
  <c r="DP44" i="82" s="1"/>
  <c r="DR44" i="82" s="1"/>
  <c r="DK46" i="82"/>
  <c r="DL46" i="82" s="1"/>
  <c r="DK37" i="82"/>
  <c r="DL37" i="82"/>
  <c r="DT49" i="82"/>
  <c r="DX49" i="82"/>
  <c r="DM36" i="82"/>
  <c r="DN36" i="82"/>
  <c r="DP36" i="82" s="1"/>
  <c r="DR36" i="82" s="1"/>
  <c r="DJ33" i="82"/>
  <c r="DM45" i="82"/>
  <c r="DN45" i="82" s="1"/>
  <c r="DP45" i="82" s="1"/>
  <c r="DR45" i="82" s="1"/>
  <c r="DK43" i="82"/>
  <c r="DL43" i="82" s="1"/>
  <c r="DP61" i="82"/>
  <c r="DT54" i="82"/>
  <c r="DX54" i="82"/>
  <c r="CL59" i="82"/>
  <c r="CL332" i="82" s="1"/>
  <c r="CM8" i="82"/>
  <c r="CM59" i="82" s="1"/>
  <c r="CM332" i="82" s="1"/>
  <c r="DM32" i="82"/>
  <c r="DN32" i="82" s="1"/>
  <c r="DM52" i="82"/>
  <c r="DN52" i="82" s="1"/>
  <c r="DP52" i="82" s="1"/>
  <c r="DR52" i="82" s="1"/>
  <c r="DM53" i="82"/>
  <c r="DN53" i="82" s="1"/>
  <c r="DP53" i="82" s="1"/>
  <c r="DR53" i="82" s="1"/>
  <c r="DM47" i="82"/>
  <c r="DN47" i="82"/>
  <c r="DP47" i="82" s="1"/>
  <c r="DR47" i="82" s="1"/>
  <c r="DT34" i="82"/>
  <c r="DX34" i="82"/>
  <c r="DT140" i="82"/>
  <c r="DT158" i="82" s="1"/>
  <c r="DX140" i="82"/>
  <c r="DX158" i="82" s="1"/>
  <c r="DR158" i="82"/>
  <c r="DD106" i="82"/>
  <c r="DG59" i="82"/>
  <c r="DJ62" i="82"/>
  <c r="DH95" i="82"/>
  <c r="DM56" i="82"/>
  <c r="DN56" i="82" s="1"/>
  <c r="DP56" i="82" s="1"/>
  <c r="DR56" i="82" s="1"/>
  <c r="DI38" i="82"/>
  <c r="DI59" i="82" s="1"/>
  <c r="DX41" i="82"/>
  <c r="DT41" i="82"/>
  <c r="DX114" i="82"/>
  <c r="DT114" i="82"/>
  <c r="DH162" i="82"/>
  <c r="DK55" i="82"/>
  <c r="DL55" i="82" s="1"/>
  <c r="D36" i="27"/>
  <c r="D38" i="27" s="1"/>
  <c r="C38" i="27"/>
  <c r="E26" i="2"/>
  <c r="DP97" i="82"/>
  <c r="DM35" i="82"/>
  <c r="DN35" i="82" s="1"/>
  <c r="DP35" i="82" s="1"/>
  <c r="DR35" i="82" s="1"/>
  <c r="DX19" i="82"/>
  <c r="DT19" i="82"/>
  <c r="DM48" i="82"/>
  <c r="DN48" i="82" s="1"/>
  <c r="DP48" i="82" s="1"/>
  <c r="DR48" i="82" s="1"/>
  <c r="CV160" i="82" l="1"/>
  <c r="CT301" i="82"/>
  <c r="H59" i="23"/>
  <c r="DX39" i="82"/>
  <c r="DT39" i="82"/>
  <c r="DM43" i="82"/>
  <c r="DN43" i="82" s="1"/>
  <c r="DP43" i="82" s="1"/>
  <c r="DR43" i="82" s="1"/>
  <c r="DX40" i="82"/>
  <c r="DT40" i="82"/>
  <c r="DM55" i="82"/>
  <c r="DN55" i="82" s="1"/>
  <c r="DP55" i="82" s="1"/>
  <c r="DR55" i="82" s="1"/>
  <c r="DX53" i="82"/>
  <c r="DT53" i="82"/>
  <c r="DL62" i="82"/>
  <c r="DJ95" i="82"/>
  <c r="DO32" i="82"/>
  <c r="DO59" i="82" s="1"/>
  <c r="DX45" i="82"/>
  <c r="DT45" i="82"/>
  <c r="DM37" i="82"/>
  <c r="DN37" i="82" s="1"/>
  <c r="DP37" i="82" s="1"/>
  <c r="DR37" i="82" s="1"/>
  <c r="DX48" i="82"/>
  <c r="DT48" i="82"/>
  <c r="DT56" i="82"/>
  <c r="DX56" i="82"/>
  <c r="DX47" i="82"/>
  <c r="DT47" i="82"/>
  <c r="DT52" i="82"/>
  <c r="DX52" i="82"/>
  <c r="DR61" i="82"/>
  <c r="DX44" i="82"/>
  <c r="DT44" i="82"/>
  <c r="DM51" i="82"/>
  <c r="DN51" i="82" s="1"/>
  <c r="DP51" i="82" s="1"/>
  <c r="DR51" i="82" s="1"/>
  <c r="DM50" i="82"/>
  <c r="DN50" i="82" s="1"/>
  <c r="DP50" i="82" s="1"/>
  <c r="DR50" i="82" s="1"/>
  <c r="H60" i="23"/>
  <c r="J60" i="23" s="1"/>
  <c r="K60" i="23" s="1"/>
  <c r="J59" i="23"/>
  <c r="K59" i="23" s="1"/>
  <c r="H61" i="23"/>
  <c r="J61" i="23" s="1"/>
  <c r="K61" i="23" s="1"/>
  <c r="H62" i="23"/>
  <c r="J62" i="23" s="1"/>
  <c r="K62" i="23" s="1"/>
  <c r="F57" i="23"/>
  <c r="E59" i="23" s="1"/>
  <c r="DJ162" i="82"/>
  <c r="DE106" i="82"/>
  <c r="DE134" i="82" s="1"/>
  <c r="DE332" i="82" s="1"/>
  <c r="DD134" i="82"/>
  <c r="N20" i="2"/>
  <c r="N22" i="2" s="1"/>
  <c r="N30" i="2" s="1"/>
  <c r="E177" i="3"/>
  <c r="E179" i="3" s="1"/>
  <c r="G25" i="1" s="1"/>
  <c r="B4" i="87" s="1"/>
  <c r="B40" i="87" s="1"/>
  <c r="E27" i="2"/>
  <c r="DX36" i="82"/>
  <c r="DT36" i="82"/>
  <c r="DM46" i="82"/>
  <c r="DN46" i="82" s="1"/>
  <c r="DP46" i="82" s="1"/>
  <c r="DR46" i="82" s="1"/>
  <c r="DX35" i="82"/>
  <c r="DT35" i="82"/>
  <c r="DQ97" i="82"/>
  <c r="DR97" i="82" s="1"/>
  <c r="DJ38" i="82"/>
  <c r="CN8" i="82"/>
  <c r="DK33" i="82"/>
  <c r="DL33" i="82" s="1"/>
  <c r="CX160" i="82" l="1"/>
  <c r="CV301" i="82"/>
  <c r="B2" i="87"/>
  <c r="D2" i="87" s="1"/>
  <c r="B38" i="87"/>
  <c r="D38" i="87" s="1"/>
  <c r="DF106" i="82"/>
  <c r="DT50" i="82"/>
  <c r="DX50" i="82"/>
  <c r="DX46" i="82"/>
  <c r="DT46" i="82"/>
  <c r="DX51" i="82"/>
  <c r="DT51" i="82"/>
  <c r="DK38" i="82"/>
  <c r="DL38" i="82" s="1"/>
  <c r="DN62" i="82"/>
  <c r="DL95" i="82"/>
  <c r="J25" i="1"/>
  <c r="DG106" i="82"/>
  <c r="DG134" i="82" s="1"/>
  <c r="DG332" i="82" s="1"/>
  <c r="DF134" i="82"/>
  <c r="DT43" i="82"/>
  <c r="DX43" i="82"/>
  <c r="DM33" i="82"/>
  <c r="DN33" i="82"/>
  <c r="DP33" i="82" s="1"/>
  <c r="DR33" i="82" s="1"/>
  <c r="DT97" i="82"/>
  <c r="DX97" i="82"/>
  <c r="DL162" i="82"/>
  <c r="DX37" i="82"/>
  <c r="DT37" i="82"/>
  <c r="DT55" i="82"/>
  <c r="DX55" i="82"/>
  <c r="CO8" i="82"/>
  <c r="CO59" i="82" s="1"/>
  <c r="CO332" i="82" s="1"/>
  <c r="CN59" i="82"/>
  <c r="CN332" i="82" s="1"/>
  <c r="CP8" i="82"/>
  <c r="E53" i="3"/>
  <c r="E54" i="3" s="1"/>
  <c r="E56" i="3" s="1"/>
  <c r="G10" i="1" s="1"/>
  <c r="B62" i="87" s="1"/>
  <c r="B59" i="87" s="1"/>
  <c r="D59" i="87" s="1"/>
  <c r="E31" i="2"/>
  <c r="H31" i="2" s="1"/>
  <c r="K63" i="23"/>
  <c r="E60" i="23" s="1"/>
  <c r="F60" i="23" s="1"/>
  <c r="F61" i="23" s="1"/>
  <c r="F63" i="23" s="1"/>
  <c r="F64" i="23" s="1"/>
  <c r="DX61" i="82"/>
  <c r="DT61" i="82"/>
  <c r="DP32" i="82"/>
  <c r="DR32" i="82" s="1"/>
  <c r="DK59" i="82" l="1"/>
  <c r="DH106" i="82"/>
  <c r="CZ160" i="82"/>
  <c r="CX301" i="82"/>
  <c r="B42" i="87"/>
  <c r="D42" i="87" s="1"/>
  <c r="B18" i="87"/>
  <c r="B9" i="87"/>
  <c r="B6" i="87" s="1"/>
  <c r="D6" i="87" s="1"/>
  <c r="B20" i="87"/>
  <c r="DI106" i="82"/>
  <c r="DI134" i="82" s="1"/>
  <c r="DI332" i="82" s="1"/>
  <c r="DH134" i="82"/>
  <c r="DT33" i="82"/>
  <c r="DX33" i="82"/>
  <c r="DM38" i="82"/>
  <c r="DM59" i="82" s="1"/>
  <c r="CQ8" i="82"/>
  <c r="CQ59" i="82" s="1"/>
  <c r="CQ332" i="82" s="1"/>
  <c r="CP59" i="82"/>
  <c r="CP332" i="82" s="1"/>
  <c r="E33" i="2"/>
  <c r="E34" i="2" s="1"/>
  <c r="DN162" i="82"/>
  <c r="DP62" i="82"/>
  <c r="DN95" i="82"/>
  <c r="DX32" i="82"/>
  <c r="DT32" i="82"/>
  <c r="J10" i="1"/>
  <c r="G26" i="1"/>
  <c r="J44" i="1" s="1"/>
  <c r="DB160" i="82" l="1"/>
  <c r="CZ301" i="82"/>
  <c r="B17" i="87"/>
  <c r="D17" i="87" s="1"/>
  <c r="DJ106" i="82"/>
  <c r="DK106" i="82" s="1"/>
  <c r="DK134" i="82" s="1"/>
  <c r="DK332" i="82" s="1"/>
  <c r="DP162" i="82"/>
  <c r="CR8" i="82"/>
  <c r="DN38" i="82"/>
  <c r="DP38" i="82" s="1"/>
  <c r="DR38" i="82" s="1"/>
  <c r="DR62" i="82"/>
  <c r="DP95" i="82"/>
  <c r="DJ134" i="82" l="1"/>
  <c r="DD160" i="82"/>
  <c r="DB301" i="82"/>
  <c r="CR59" i="82"/>
  <c r="CR332" i="82" s="1"/>
  <c r="CS8" i="82"/>
  <c r="CS59" i="82" s="1"/>
  <c r="CS332" i="82" s="1"/>
  <c r="DT62" i="82"/>
  <c r="DT95" i="82" s="1"/>
  <c r="DX62" i="82"/>
  <c r="DX95" i="82" s="1"/>
  <c r="DR95" i="82"/>
  <c r="DL106" i="82"/>
  <c r="DR162" i="82"/>
  <c r="DT38" i="82"/>
  <c r="DX38" i="82"/>
  <c r="DF160" i="82" l="1"/>
  <c r="DD301" i="82"/>
  <c r="DX162" i="82"/>
  <c r="DT162" i="82"/>
  <c r="DM106" i="82"/>
  <c r="DM134" i="82" s="1"/>
  <c r="DM332" i="82" s="1"/>
  <c r="DL134" i="82"/>
  <c r="CT8" i="82"/>
  <c r="DH160" i="82" l="1"/>
  <c r="DF301" i="82"/>
  <c r="CT59" i="82"/>
  <c r="CT332" i="82" s="1"/>
  <c r="CU8" i="82"/>
  <c r="CU59" i="82" s="1"/>
  <c r="CU332" i="82" s="1"/>
  <c r="DV162" i="82"/>
  <c r="DN106" i="82"/>
  <c r="CV8" i="82" l="1"/>
  <c r="DJ160" i="82"/>
  <c r="DH301" i="82"/>
  <c r="DO106" i="82"/>
  <c r="DO134" i="82" s="1"/>
  <c r="DO332" i="82" s="1"/>
  <c r="DN134" i="82"/>
  <c r="CW8" i="82"/>
  <c r="CW59" i="82" s="1"/>
  <c r="CW332" i="82" s="1"/>
  <c r="CV59" i="82"/>
  <c r="CV332" i="82" s="1"/>
  <c r="DL160" i="82" l="1"/>
  <c r="DJ301" i="82"/>
  <c r="CX8" i="82"/>
  <c r="DP106" i="82"/>
  <c r="DN160" i="82" l="1"/>
  <c r="DL301" i="82"/>
  <c r="DQ106" i="82"/>
  <c r="DQ134" i="82" s="1"/>
  <c r="DQ332" i="82" s="1"/>
  <c r="DP134" i="82"/>
  <c r="CY8" i="82"/>
  <c r="CY59" i="82" s="1"/>
  <c r="CY332" i="82" s="1"/>
  <c r="CX59" i="82"/>
  <c r="CX332" i="82" s="1"/>
  <c r="DP160" i="82" l="1"/>
  <c r="DN301" i="82"/>
  <c r="CZ8" i="82"/>
  <c r="DR106" i="82"/>
  <c r="DR160" i="82" l="1"/>
  <c r="DP301" i="82"/>
  <c r="CZ59" i="82"/>
  <c r="CZ332" i="82" s="1"/>
  <c r="DA8" i="82"/>
  <c r="DA59" i="82" s="1"/>
  <c r="DA332" i="82" s="1"/>
  <c r="DX106" i="82"/>
  <c r="DX134" i="82" s="1"/>
  <c r="DT106" i="82"/>
  <c r="DT134" i="82" s="1"/>
  <c r="DR134" i="82"/>
  <c r="DX160" i="82" l="1"/>
  <c r="DX301" i="82" s="1"/>
  <c r="DT160" i="82"/>
  <c r="DR301" i="82"/>
  <c r="DB8" i="82"/>
  <c r="DV160" i="82" l="1"/>
  <c r="DV301" i="82" s="1"/>
  <c r="DV332" i="82" s="1"/>
  <c r="DT301" i="82"/>
  <c r="DB59" i="82"/>
  <c r="DB332" i="82" s="1"/>
  <c r="DD8" i="82"/>
  <c r="DF8" i="82" l="1"/>
  <c r="DD59" i="82"/>
  <c r="DD332" i="82" s="1"/>
  <c r="DF59" i="82" l="1"/>
  <c r="DF332" i="82" s="1"/>
  <c r="DH8" i="82"/>
  <c r="DJ8" i="82" l="1"/>
  <c r="DH59" i="82"/>
  <c r="DH332" i="82" s="1"/>
  <c r="DL8" i="82" l="1"/>
  <c r="DJ59" i="82"/>
  <c r="DJ332" i="82" s="1"/>
  <c r="DN8" i="82" l="1"/>
  <c r="DL59" i="82"/>
  <c r="DL332" i="82" s="1"/>
  <c r="DP8" i="82" l="1"/>
  <c r="DN59" i="82"/>
  <c r="DN332" i="82" s="1"/>
  <c r="DR8" i="82" l="1"/>
  <c r="DP59" i="82"/>
  <c r="DP332" i="82" s="1"/>
  <c r="DR59" i="82" l="1"/>
  <c r="DR332" i="82" s="1"/>
  <c r="DX8" i="82"/>
  <c r="DX59" i="82" s="1"/>
  <c r="DT8" i="82"/>
  <c r="DT59" i="82" s="1"/>
  <c r="DT332" i="82" s="1"/>
</calcChain>
</file>

<file path=xl/sharedStrings.xml><?xml version="1.0" encoding="utf-8"?>
<sst xmlns="http://schemas.openxmlformats.org/spreadsheetml/2006/main" count="3538" uniqueCount="1655">
  <si>
    <t>A</t>
  </si>
  <si>
    <t>B</t>
  </si>
  <si>
    <t>Private Company in which director is a member</t>
  </si>
  <si>
    <t>Related Party Transaction</t>
  </si>
  <si>
    <t>Note 12</t>
  </si>
  <si>
    <t>Note 13</t>
  </si>
  <si>
    <t xml:space="preserve">Inventories </t>
  </si>
  <si>
    <t>Note 14</t>
  </si>
  <si>
    <t>Trade Receivables</t>
  </si>
  <si>
    <t>Note 15</t>
  </si>
  <si>
    <t>Note 16</t>
  </si>
  <si>
    <t>Note 17</t>
  </si>
  <si>
    <t>Employee Benefits Expense</t>
  </si>
  <si>
    <t>(a) Salaries and incentives</t>
  </si>
  <si>
    <t xml:space="preserve">Payments to the auditor as </t>
  </si>
  <si>
    <t>a. auditor</t>
  </si>
  <si>
    <t>Particulars</t>
  </si>
  <si>
    <t xml:space="preserve"> Note No.</t>
  </si>
  <si>
    <t>I.</t>
  </si>
  <si>
    <t>EQUITY AND LIABILITIES</t>
  </si>
  <si>
    <t>Shareholders’ funds</t>
  </si>
  <si>
    <t xml:space="preserve">(a) </t>
  </si>
  <si>
    <t xml:space="preserve">Share capital </t>
  </si>
  <si>
    <t xml:space="preserve">(b) </t>
  </si>
  <si>
    <t>Reserves and surplus</t>
  </si>
  <si>
    <t xml:space="preserve">(c) </t>
  </si>
  <si>
    <t>Non-current liabilities</t>
  </si>
  <si>
    <t>Long-term borrowings</t>
  </si>
  <si>
    <t xml:space="preserve">(d) </t>
  </si>
  <si>
    <t>Long-term provisions</t>
  </si>
  <si>
    <t>Current liabilities</t>
  </si>
  <si>
    <t>Short-term borrowings</t>
  </si>
  <si>
    <t>Trade payables</t>
  </si>
  <si>
    <t>Other current liabilities</t>
  </si>
  <si>
    <t>Short-term provisions</t>
  </si>
  <si>
    <t>TOTAL</t>
  </si>
  <si>
    <t>II.</t>
  </si>
  <si>
    <t>ASSETS</t>
  </si>
  <si>
    <t>Non-current assets</t>
  </si>
  <si>
    <t>(i)</t>
  </si>
  <si>
    <t>(ii)</t>
  </si>
  <si>
    <t>Intangible assets</t>
  </si>
  <si>
    <t>(iii)</t>
  </si>
  <si>
    <t>Capital work-in-progress</t>
  </si>
  <si>
    <t>(iv)</t>
  </si>
  <si>
    <t>Intangible assets under development</t>
  </si>
  <si>
    <t>Non-current investments</t>
  </si>
  <si>
    <t>Current assets</t>
  </si>
  <si>
    <t>Inventories</t>
  </si>
  <si>
    <t>Trade receivables</t>
  </si>
  <si>
    <t>Cash and cash equivalents</t>
  </si>
  <si>
    <t>Revenue from operations</t>
  </si>
  <si>
    <t>Other income</t>
  </si>
  <si>
    <t>III.</t>
  </si>
  <si>
    <t>IV.</t>
  </si>
  <si>
    <t>Expenses:</t>
  </si>
  <si>
    <t>Employee benefits expense</t>
  </si>
  <si>
    <t>Finance costs</t>
  </si>
  <si>
    <t>Depreciation and amortization expense</t>
  </si>
  <si>
    <t>Other expenses</t>
  </si>
  <si>
    <t>Total expenses</t>
  </si>
  <si>
    <t>V.</t>
  </si>
  <si>
    <t>Profit before exceptional and extraordinary items and tax (III-IV)</t>
  </si>
  <si>
    <t>VI.</t>
  </si>
  <si>
    <t>Exceptional items</t>
  </si>
  <si>
    <t>VII.</t>
  </si>
  <si>
    <t>Profit before extraordinary items and tax (V - VI)</t>
  </si>
  <si>
    <t>VIII.</t>
  </si>
  <si>
    <t>Extraordinary Items</t>
  </si>
  <si>
    <t>IX.</t>
  </si>
  <si>
    <t>Profit before tax (VII- VIII)</t>
  </si>
  <si>
    <t>X</t>
  </si>
  <si>
    <t>Tax expense:</t>
  </si>
  <si>
    <t>(1) Current tax</t>
  </si>
  <si>
    <t>XI</t>
  </si>
  <si>
    <t>Profit (Loss) for the period from continuing operations (VII-VIII)</t>
  </si>
  <si>
    <t>XII</t>
  </si>
  <si>
    <t>Profit/(loss) from discontinuing operations</t>
  </si>
  <si>
    <t>XIII</t>
  </si>
  <si>
    <t>Tax expense of discontinuing operations</t>
  </si>
  <si>
    <t>XIV</t>
  </si>
  <si>
    <t>Profit/(loss) from Discontinuing operations (after tax) (XII-XIII)</t>
  </si>
  <si>
    <t>XV</t>
  </si>
  <si>
    <t>Profit (Loss) for the period (XI + XIV)</t>
  </si>
  <si>
    <t>XVI</t>
  </si>
  <si>
    <t>Earnings per equity share:</t>
  </si>
  <si>
    <t>(1) Basic</t>
  </si>
  <si>
    <t>(2) Diluted</t>
  </si>
  <si>
    <t>Share Capital</t>
  </si>
  <si>
    <t>Number</t>
  </si>
  <si>
    <t>Authorised</t>
  </si>
  <si>
    <t>Issued</t>
  </si>
  <si>
    <t>Subscribed &amp; Paid up</t>
  </si>
  <si>
    <t>Total</t>
  </si>
  <si>
    <t xml:space="preserve">Shares outstanding at the beginning of the year </t>
  </si>
  <si>
    <t xml:space="preserve">Shares Issued during the year </t>
  </si>
  <si>
    <t>Shares bought back during the year</t>
  </si>
  <si>
    <t>Shares outstanding at the end of the year</t>
  </si>
  <si>
    <t xml:space="preserve">Name of Shareholder </t>
  </si>
  <si>
    <t>No. of Shares held</t>
  </si>
  <si>
    <t xml:space="preserve">% of Holding </t>
  </si>
  <si>
    <t>Amount</t>
  </si>
  <si>
    <t>Shares in the company held by each shareholder holding more than 5 percent shares</t>
  </si>
  <si>
    <t>Reconciliation of the number of shares outstanding at the beginning and at the end of the reporting period</t>
  </si>
  <si>
    <t>Closing Balance</t>
  </si>
  <si>
    <t>Opening balance</t>
  </si>
  <si>
    <t>(+) Net Profit/(Net Loss) For the current year</t>
  </si>
  <si>
    <t>Note 2</t>
  </si>
  <si>
    <t>Note 3</t>
  </si>
  <si>
    <t>Note 4</t>
  </si>
  <si>
    <t>Note 5</t>
  </si>
  <si>
    <t>Fixed Assets</t>
  </si>
  <si>
    <t>a</t>
  </si>
  <si>
    <t>Gross Block</t>
  </si>
  <si>
    <t>Accumulated Depreciation</t>
  </si>
  <si>
    <t>Net Block</t>
  </si>
  <si>
    <t>Intangible Assets</t>
  </si>
  <si>
    <t>Capital Work In Progress</t>
  </si>
  <si>
    <t>Opening Stock :</t>
  </si>
  <si>
    <t xml:space="preserve">Work-in-Process </t>
  </si>
  <si>
    <t>Closing Stock :</t>
  </si>
  <si>
    <t>Printing &amp; Stationery</t>
  </si>
  <si>
    <t>Bank Charges</t>
  </si>
  <si>
    <t>Professional charges &amp; consultancy charges</t>
  </si>
  <si>
    <t>Trade Payable</t>
  </si>
  <si>
    <t>ii. Others</t>
  </si>
  <si>
    <t>Gross deferred tax liability</t>
  </si>
  <si>
    <t>Gross deferred tax asset</t>
  </si>
  <si>
    <t>Summary of Significant Accouting Policies</t>
  </si>
  <si>
    <t>S.RAVI</t>
  </si>
  <si>
    <t>Proprietor</t>
  </si>
  <si>
    <t>The accompanying notes are an integral part of the finacial statements</t>
  </si>
  <si>
    <t>TAX PARTICULARS</t>
  </si>
  <si>
    <t>GROSS BLOCK</t>
  </si>
  <si>
    <t>SLNO</t>
  </si>
  <si>
    <t>PARTICULARS</t>
  </si>
  <si>
    <t>%</t>
  </si>
  <si>
    <t>ADDITIONS</t>
  </si>
  <si>
    <t>Before Sep</t>
  </si>
  <si>
    <t>After Sep</t>
  </si>
  <si>
    <t>Place: Chennai</t>
  </si>
  <si>
    <t>Surplus</t>
  </si>
  <si>
    <t>a. Balances with banks</t>
  </si>
  <si>
    <t xml:space="preserve">Directors </t>
  </si>
  <si>
    <t xml:space="preserve">Other officers of the Company </t>
  </si>
  <si>
    <t xml:space="preserve">Firm in which director is a partner </t>
  </si>
  <si>
    <t>I</t>
  </si>
  <si>
    <t>II</t>
  </si>
  <si>
    <t>III</t>
  </si>
  <si>
    <t>(i) Trade  payables  - Related Party</t>
  </si>
  <si>
    <t>Other Current Liabilities</t>
  </si>
  <si>
    <t>( A + B)</t>
  </si>
  <si>
    <t xml:space="preserve">Sales </t>
  </si>
  <si>
    <t>Changes in inventories of finished goods, work-in-progress and stock in Trade</t>
  </si>
  <si>
    <t xml:space="preserve">Insurance </t>
  </si>
  <si>
    <t>Long Term Borrowings</t>
  </si>
  <si>
    <t>Short Term Borrowings</t>
  </si>
  <si>
    <t>Note 6</t>
  </si>
  <si>
    <t xml:space="preserve">Advance tax </t>
  </si>
  <si>
    <t>i. Deposits</t>
  </si>
  <si>
    <t>b</t>
  </si>
  <si>
    <t>Factory Building</t>
  </si>
  <si>
    <t>c</t>
  </si>
  <si>
    <t>Computers</t>
  </si>
  <si>
    <t>d</t>
  </si>
  <si>
    <t>Air Conditioners</t>
  </si>
  <si>
    <t>e</t>
  </si>
  <si>
    <t>Plant &amp; Machineries</t>
  </si>
  <si>
    <t>f</t>
  </si>
  <si>
    <t>Invertor</t>
  </si>
  <si>
    <t>g</t>
  </si>
  <si>
    <t>Telephone Instruments</t>
  </si>
  <si>
    <t>h</t>
  </si>
  <si>
    <t>Office Equipments</t>
  </si>
  <si>
    <t>i</t>
  </si>
  <si>
    <t>Interest on fixed deposits</t>
  </si>
  <si>
    <t>Carriage Inwards</t>
  </si>
  <si>
    <t>Rent - Factory</t>
  </si>
  <si>
    <t>Electricity &amp; Power</t>
  </si>
  <si>
    <t>Repairs and Office Maintenance</t>
  </si>
  <si>
    <t>Carriage Outward</t>
  </si>
  <si>
    <t>Advertisement</t>
  </si>
  <si>
    <t>Communication</t>
  </si>
  <si>
    <t>Business Promotion</t>
  </si>
  <si>
    <t>Finance Costs</t>
  </si>
  <si>
    <t>Interest on Delay in payment of taxes</t>
  </si>
  <si>
    <t>Note 18</t>
  </si>
  <si>
    <t>Note 19</t>
  </si>
  <si>
    <t>M/S DYNAMIC AIR ENGINEERING INDIA PRIVATE LIMITED</t>
  </si>
  <si>
    <t>NO. 4, BOOPATHY NAGAR, INDUSTRIAL ESTATE</t>
  </si>
  <si>
    <t>KEEZHKATTALAI, CHENNAI - 600 117.</t>
  </si>
  <si>
    <t>For DYNAMIC AIR ENGINEERING INDIA PRIVATE LIMITED</t>
  </si>
  <si>
    <t>Telephone Charges</t>
  </si>
  <si>
    <t>Staff Welfare</t>
  </si>
  <si>
    <t>Salary</t>
  </si>
  <si>
    <t>Rounded Off</t>
  </si>
  <si>
    <t>Office Expenses</t>
  </si>
  <si>
    <t>Labour Charges</t>
  </si>
  <si>
    <t>Telephone Deposit</t>
  </si>
  <si>
    <t>Opening Stock</t>
  </si>
  <si>
    <t>Credit</t>
  </si>
  <si>
    <t>Debit</t>
  </si>
  <si>
    <t>Karthik Industries</t>
  </si>
  <si>
    <t>Micron Elastomers Pvt Ltd</t>
  </si>
  <si>
    <t>Shree Murali Packs</t>
  </si>
  <si>
    <t>Integral Coach Factory</t>
  </si>
  <si>
    <t>Thermak Air Technologist</t>
  </si>
  <si>
    <t>Telephone</t>
  </si>
  <si>
    <t>Buildings</t>
  </si>
  <si>
    <t>Airconditioners</t>
  </si>
  <si>
    <t>Inventor</t>
  </si>
  <si>
    <t>Computer &amp; Peripherals</t>
  </si>
  <si>
    <t>Index</t>
  </si>
  <si>
    <t>INCOME FROM BUSINESS</t>
  </si>
  <si>
    <t>Profit before Tax as per Profit and Loss Account</t>
  </si>
  <si>
    <t>Gross Total Income</t>
  </si>
  <si>
    <t>Less: Deduction U/ch VIA</t>
  </si>
  <si>
    <t>Total Taxable Income</t>
  </si>
  <si>
    <t>Income Rounded off to Rs.</t>
  </si>
  <si>
    <t>COMPUTATION OF TAX LIABILITY</t>
  </si>
  <si>
    <t>Tax Under Minimum Alternate Tax (MAT)</t>
  </si>
  <si>
    <t>Tax Before Education Cess</t>
  </si>
  <si>
    <t>TOTAL TAX LIABILITY</t>
  </si>
  <si>
    <t>Less: Tax Deducted at Source</t>
  </si>
  <si>
    <t>STATEMENT OF TOTAL INCOME</t>
  </si>
  <si>
    <t>Profit as per Profit and Loss Account</t>
  </si>
  <si>
    <t xml:space="preserve">      Income tax Payable (includes interst on belated payments)</t>
  </si>
  <si>
    <t xml:space="preserve">      Amount carried to Reserves</t>
  </si>
  <si>
    <t xml:space="preserve">      Unascertained liabilities</t>
  </si>
  <si>
    <t xml:space="preserve">      Provision for subsidiary losses</t>
  </si>
  <si>
    <t xml:space="preserve">      Dividends Payable</t>
  </si>
  <si>
    <t xml:space="preserve">      Expenses relating to amounts exempted u/s 10/11/12</t>
  </si>
  <si>
    <t xml:space="preserve">      Amount of Depreciation</t>
  </si>
  <si>
    <t xml:space="preserve">      Amount of Deferred Tax &amp; provision thereof</t>
  </si>
  <si>
    <t xml:space="preserve">      Amounts set aside as provision for diminution in the value of any asset</t>
  </si>
  <si>
    <t xml:space="preserve">      Amounts withdrawn from Reserves </t>
  </si>
  <si>
    <t xml:space="preserve">      Income exempted u/s 10/11/12 other than 10(38)</t>
  </si>
  <si>
    <t xml:space="preserve">     Amounts debited as depreciation (except depreciation on revaluation of assets)</t>
  </si>
  <si>
    <t xml:space="preserve">     Amount of loss brought forward or unabsorbed depreciation</t>
  </si>
  <si>
    <t xml:space="preserve">     Amounts allowable as deduction u/s 80HHC/HHE/HHF</t>
  </si>
  <si>
    <t xml:space="preserve">     Amount of deferred tax if credited to P&amp;L</t>
  </si>
  <si>
    <t xml:space="preserve">                                       Book Profit U/S 115JB</t>
  </si>
  <si>
    <t>Tax Liability</t>
  </si>
  <si>
    <t xml:space="preserve"> </t>
  </si>
  <si>
    <t>AACCD 9024 A</t>
  </si>
  <si>
    <t>(b) Interest on Overdraft</t>
  </si>
  <si>
    <t>(c) Interest  on Bill discounting &amp; charges</t>
  </si>
  <si>
    <t>Rates and taxes</t>
  </si>
  <si>
    <t>K . KARTHIKEYAN</t>
  </si>
  <si>
    <t>A. Administrative Expenses</t>
  </si>
  <si>
    <t>B. Selling expenses</t>
  </si>
  <si>
    <t>Total (A)</t>
  </si>
  <si>
    <t>Total (B)</t>
  </si>
  <si>
    <t>Total (A) + (B)</t>
  </si>
  <si>
    <t>Note 20</t>
  </si>
  <si>
    <t>Firm Reg No: 009261S</t>
  </si>
  <si>
    <t>M No: 204618</t>
  </si>
  <si>
    <t>PLACE: CHENNAI</t>
  </si>
  <si>
    <t>Wages</t>
  </si>
  <si>
    <t>Fricon Engineers Pvt Ltd</t>
  </si>
  <si>
    <t>(c) Director Remuneration</t>
  </si>
  <si>
    <t>(b) Staff Welfare &amp; Insurance</t>
  </si>
  <si>
    <t>Car</t>
  </si>
  <si>
    <t>2 wheelers</t>
  </si>
  <si>
    <t xml:space="preserve">   </t>
  </si>
  <si>
    <t>Interest paid</t>
  </si>
  <si>
    <t>Interest received</t>
  </si>
  <si>
    <t>Company (Domestic company in which public are not substantially interested)</t>
  </si>
  <si>
    <t>Indian Overseas Bank</t>
  </si>
  <si>
    <t>Salary Payable</t>
  </si>
  <si>
    <t>Wages Payable</t>
  </si>
  <si>
    <t>Packing Charges</t>
  </si>
  <si>
    <t>Freight Charges</t>
  </si>
  <si>
    <t>(ii) Payables  - Others</t>
  </si>
  <si>
    <t>Chandru Press Tools</t>
  </si>
  <si>
    <t>Innovative Engineering Products</t>
  </si>
  <si>
    <t>Murali Engineering Works</t>
  </si>
  <si>
    <t>Green Airtech</t>
  </si>
  <si>
    <t>Spare Tech</t>
  </si>
  <si>
    <t>Jamal Sales Corporation</t>
  </si>
  <si>
    <t>Less:    Depreciation allowable u/s 32</t>
  </si>
  <si>
    <t>Secured Loans</t>
  </si>
  <si>
    <t>Deferred tax liabilities(net)</t>
  </si>
  <si>
    <t>Note 8</t>
  </si>
  <si>
    <t>Short term provisions</t>
  </si>
  <si>
    <t>Note 21</t>
  </si>
  <si>
    <t>Rites Limited</t>
  </si>
  <si>
    <t>P-CAF Systems</t>
  </si>
  <si>
    <t>Clearing Charges</t>
  </si>
  <si>
    <t xml:space="preserve">Excise Duty </t>
  </si>
  <si>
    <t>Metro Aircon</t>
  </si>
  <si>
    <t>Cars</t>
  </si>
  <si>
    <t>(i) Salary and wages Payable</t>
  </si>
  <si>
    <t>b. Other services</t>
  </si>
  <si>
    <t xml:space="preserve"> As per our report of even date</t>
  </si>
  <si>
    <t xml:space="preserve"> For S.Ravi &amp; Associates</t>
  </si>
  <si>
    <t>Chartered Accountants</t>
  </si>
  <si>
    <t>As per our report of even date</t>
  </si>
  <si>
    <t>For S.Ravi &amp; Associates</t>
  </si>
  <si>
    <t>Note 9</t>
  </si>
  <si>
    <t>Plant and Machineries</t>
  </si>
  <si>
    <t>C</t>
  </si>
  <si>
    <t>(d) Contribution to EPF and ESI</t>
  </si>
  <si>
    <t>Worker's Insurance</t>
  </si>
  <si>
    <t>Other iNsurance</t>
  </si>
  <si>
    <t>FY 14-15</t>
  </si>
  <si>
    <t>DELETIONS</t>
  </si>
  <si>
    <t>NET BLOCK</t>
  </si>
  <si>
    <t>Income Tax Rate</t>
  </si>
  <si>
    <t>Net Deferred Tax ( liability) / Asset</t>
  </si>
  <si>
    <t>Closing Balance of Deferred Tax Asset/(Liability)</t>
  </si>
  <si>
    <t>Asset</t>
  </si>
  <si>
    <t>Liability</t>
  </si>
  <si>
    <t>Provision during the year  (DTL)/ DTA</t>
  </si>
  <si>
    <t>Closing Balance of Deferred Tax (Liability ) Asset</t>
  </si>
  <si>
    <t>CASH FLOW FROM OPERATING ACTIVITIES</t>
  </si>
  <si>
    <t xml:space="preserve">Profit before tax from continuing operations </t>
  </si>
  <si>
    <t xml:space="preserve">Profit before tax from discontinuing operations </t>
  </si>
  <si>
    <t>Profit before tax</t>
  </si>
  <si>
    <t>Non-cash adjustment to reconcile profit before tax to net cash flows</t>
  </si>
  <si>
    <t>Share of (profit)/loss from investment in partnership firm</t>
  </si>
  <si>
    <t>Depreciation/amortization on continuing operation</t>
  </si>
  <si>
    <t>Depreciation/amortization on discontinuing operation</t>
  </si>
  <si>
    <t>Impairment/other write off on tangible/intangible assets pertaining to continuing operation</t>
  </si>
  <si>
    <t>Impairment/other write off on tangible/intangible assets pertaining to discontinued operation</t>
  </si>
  <si>
    <t>Loss/(profit) on sale of fixed assets</t>
  </si>
  <si>
    <t>Provision for diminution in value of investments in subsidiary company</t>
  </si>
  <si>
    <t>Provision for diminution in value of investments (current plus other long term)</t>
  </si>
  <si>
    <t xml:space="preserve">Employee stock compensation expense </t>
  </si>
  <si>
    <t>Unrealized foreign exchange loss</t>
  </si>
  <si>
    <t xml:space="preserve">Premium on forward exchange contract amortized </t>
  </si>
  <si>
    <t>Amortization of ancillary cost</t>
  </si>
  <si>
    <t>Net gain on sale of current investments</t>
  </si>
  <si>
    <t>Interest expense</t>
  </si>
  <si>
    <t>Preliminary expenses written off</t>
  </si>
  <si>
    <t>Interest income</t>
  </si>
  <si>
    <t>Dividend income</t>
  </si>
  <si>
    <t xml:space="preserve">Operating profit before working capital changes </t>
  </si>
  <si>
    <t>Movements in working capital :</t>
  </si>
  <si>
    <t>Increase/(decrease) in trade payables</t>
  </si>
  <si>
    <t xml:space="preserve">Increase / (decrease) in long-term provisions </t>
  </si>
  <si>
    <t xml:space="preserve">Increase / (decrease) in short-term provisions </t>
  </si>
  <si>
    <t xml:space="preserve">Increase/(decrease) in other current liabilities </t>
  </si>
  <si>
    <t xml:space="preserve">Increase/ (decrease) in other long-term liabilities </t>
  </si>
  <si>
    <t>Decrease/(increase) in trade receivables</t>
  </si>
  <si>
    <t>Decrease/(increase) in inventories</t>
  </si>
  <si>
    <t xml:space="preserve">Decrease / (increase) in long-term loans and advances </t>
  </si>
  <si>
    <t xml:space="preserve">Decrease / (increase) in short-term loans and advances </t>
  </si>
  <si>
    <t>Decrease/(increase) in other current assets</t>
  </si>
  <si>
    <t xml:space="preserve">Decrease / (increase) in other non-current assets </t>
  </si>
  <si>
    <t>Cash generated from /(used in) operations</t>
  </si>
  <si>
    <t>Direct taxes paid (net of refunds)</t>
  </si>
  <si>
    <t>Net cash flow from/ (used in) operating activities (A)</t>
  </si>
  <si>
    <t>CASH FLOW FROM INVESTING ACTIVITIES</t>
  </si>
  <si>
    <t>Purchase of fixed assets, including intangible assets, CWIP and capital advances</t>
  </si>
  <si>
    <t>Proceeds from sale of fixed assets</t>
  </si>
  <si>
    <t>Proceeds of non-current investments</t>
  </si>
  <si>
    <t>Purchase of non-current investments</t>
  </si>
  <si>
    <t>Purchase of current investments</t>
  </si>
  <si>
    <t>Proceeds from sale/maturity of current investments</t>
  </si>
  <si>
    <t>Investments in bank deposits (having original maturity of more than three months)</t>
  </si>
  <si>
    <t>Redemption/maturity of bank deposits (having original maturity of more than three months)</t>
  </si>
  <si>
    <t xml:space="preserve">Purchase consideration for amalgamation </t>
  </si>
  <si>
    <t>Dividends received from subsidiary company</t>
  </si>
  <si>
    <t>Dividends received</t>
  </si>
  <si>
    <t>Net cash flow from/(used in) investing activities (B)</t>
  </si>
  <si>
    <t>CASH FLOW FROM FINANCING ACTIVITIES</t>
  </si>
  <si>
    <t>Proceeds from issuance of share capital</t>
  </si>
  <si>
    <t>Share application money pending allotment</t>
  </si>
  <si>
    <t>Share Premium</t>
  </si>
  <si>
    <t>Proceeds from issuance of preference share capital</t>
  </si>
  <si>
    <t>Proceeds from long-term borrowings</t>
  </si>
  <si>
    <t>Repayment of long-term borrowings</t>
  </si>
  <si>
    <t>Proceeds from short-term borrowings</t>
  </si>
  <si>
    <t>Repayment of short-term borrowings</t>
  </si>
  <si>
    <t>Dividends paid on equity shares</t>
  </si>
  <si>
    <t>Dividends paid on preference shares</t>
  </si>
  <si>
    <t>Tax on equity dividend paid</t>
  </si>
  <si>
    <t>Tax on preference dividend paid</t>
  </si>
  <si>
    <t>Net cash flow from/(used in) in financing activities (C)</t>
  </si>
  <si>
    <t>Net increase/(decrease) in cash and cash equivalents (A + B + C)</t>
  </si>
  <si>
    <t>Effect of exchange differences on cash &amp; cash equivalents held in foreign currency</t>
  </si>
  <si>
    <t>Cash and cash equivalents at the beginning of the year</t>
  </si>
  <si>
    <t>Cash and cash equivalents at the end of the year</t>
  </si>
  <si>
    <t>Components of cash and cash equivalents</t>
  </si>
  <si>
    <t>Cash on hand</t>
  </si>
  <si>
    <t>Cheques/ drafts on hand</t>
  </si>
  <si>
    <t>With banks- on current account</t>
  </si>
  <si>
    <t xml:space="preserve">   −   on Current account</t>
  </si>
  <si>
    <t xml:space="preserve">   −   on deposit account</t>
  </si>
  <si>
    <t xml:space="preserve">   −   unpaid dividend accounts*</t>
  </si>
  <si>
    <t xml:space="preserve">   −   unpaid matured deposits*</t>
  </si>
  <si>
    <t xml:space="preserve">   −   unpaid matured debentures*</t>
  </si>
  <si>
    <t>Total cash and cash equivalents (note 12)</t>
  </si>
  <si>
    <t>No:4, Boopathy Nagar,Industrial Estate,</t>
  </si>
  <si>
    <t>Keelkattalai,Chennai - 600 117.</t>
  </si>
  <si>
    <t>Reserve &amp; Surplus</t>
  </si>
  <si>
    <t>Unsecured Loans</t>
  </si>
  <si>
    <t>Anu Industries</t>
  </si>
  <si>
    <t>Salem Stainless Steel Suppliers Private Limited</t>
  </si>
  <si>
    <t>Shree Maruthi Enterprises</t>
  </si>
  <si>
    <t>Machinery</t>
  </si>
  <si>
    <t>Spot Welding Machine</t>
  </si>
  <si>
    <t>Deferrd Tax Liability</t>
  </si>
  <si>
    <t>Soft Air Engineering</t>
  </si>
  <si>
    <t>Import Purchase</t>
  </si>
  <si>
    <t>Carriage Inward</t>
  </si>
  <si>
    <t>Courier Charges</t>
  </si>
  <si>
    <t>Petrol and Diesel Expenses</t>
  </si>
  <si>
    <t>Printing &amp; Stationary</t>
  </si>
  <si>
    <t>Repair &amp; Maintainance Charges</t>
  </si>
  <si>
    <t>Travelling Expenses</t>
  </si>
  <si>
    <t>Vehicle Insurance</t>
  </si>
  <si>
    <t>Purchases &amp; Direct expenses</t>
  </si>
  <si>
    <t xml:space="preserve">     (to the extent it does not exceed the amount of depreciation on
      account of revaluation of assets)</t>
  </si>
  <si>
    <t xml:space="preserve">     Amount withdrawn from revaluation reserve and credited to the
     profit and loss account, </t>
  </si>
  <si>
    <t>CIN No. :  U29192TN2008PTC066303</t>
  </si>
  <si>
    <t>U29192TN2008PTC066303</t>
  </si>
  <si>
    <t>As at</t>
  </si>
  <si>
    <t>(a) Loan &amp; Overdraft  Processing Fee</t>
  </si>
  <si>
    <t>Depreciation  
for the year</t>
  </si>
  <si>
    <t>Additions/ 
(Disposals)</t>
  </si>
  <si>
    <t>Aluminium Sales Corporation</t>
  </si>
  <si>
    <t>Malar Rubber Products</t>
  </si>
  <si>
    <t>TPRS  Enterprises Pvt Ltd</t>
  </si>
  <si>
    <t>Powergear Limited MEPZ</t>
  </si>
  <si>
    <t>Samho Construction &amp; Engineering India Pvt. Ltd.</t>
  </si>
  <si>
    <t>Cash</t>
  </si>
  <si>
    <t>Liquidity Damages</t>
  </si>
  <si>
    <t>Rates and Taxes</t>
  </si>
  <si>
    <t>Vehicle Maintenance Expenses</t>
  </si>
  <si>
    <t xml:space="preserve">TDS Receivable </t>
  </si>
  <si>
    <t>j</t>
  </si>
  <si>
    <t>Land</t>
  </si>
  <si>
    <t>BLOCK - II 10%</t>
  </si>
  <si>
    <t>BLOCK - III 15%</t>
  </si>
  <si>
    <t xml:space="preserve">Land </t>
  </si>
  <si>
    <t>Rental advance</t>
  </si>
  <si>
    <t>BLOCK - I</t>
  </si>
  <si>
    <t>GIRIJA KARTHIKEYAN</t>
  </si>
  <si>
    <t>Tax on Total Taxable Income @ 25%</t>
  </si>
  <si>
    <t>Surcharge</t>
  </si>
  <si>
    <t>Subschedules to Financial Statements</t>
  </si>
  <si>
    <t>Depreciation Workings as per Companies Act 2013</t>
  </si>
  <si>
    <t>Example</t>
  </si>
  <si>
    <t>WDV Rate = 1 - ((salvage / cost) ^ (1 / life)) </t>
  </si>
  <si>
    <t>Salvage Rate</t>
  </si>
  <si>
    <t>Sl No</t>
  </si>
  <si>
    <t>Asset Name</t>
  </si>
  <si>
    <t>Classification</t>
  </si>
  <si>
    <t>Rate of Dep</t>
  </si>
  <si>
    <t>Cost (Rs.)</t>
  </si>
  <si>
    <t>Date of Addition</t>
  </si>
  <si>
    <t>No. of Days</t>
  </si>
  <si>
    <t>Depn</t>
  </si>
  <si>
    <t>WDV as on 31.03.2009</t>
  </si>
  <si>
    <t>WDV as on 31.03.2010</t>
  </si>
  <si>
    <t>WDV as on 31.03.2011</t>
  </si>
  <si>
    <t>WDV as on 31.03.2012</t>
  </si>
  <si>
    <t>WDV as on 31.03.2013</t>
  </si>
  <si>
    <t>WDV as on 31.03.2014</t>
  </si>
  <si>
    <t>Total Depn</t>
  </si>
  <si>
    <t>WDV</t>
  </si>
  <si>
    <t>Check -Difference</t>
  </si>
  <si>
    <t>Completed Life  in Years</t>
  </si>
  <si>
    <t>Balance Life</t>
  </si>
  <si>
    <t xml:space="preserve">New   Depreciation Rate </t>
  </si>
  <si>
    <t xml:space="preserve">Adjust against Retained Earning </t>
  </si>
  <si>
    <t>Depreciation already Charged at old Rate (books)</t>
  </si>
  <si>
    <t>Depreciation at New Rate for FY 14-15</t>
  </si>
  <si>
    <t>Check - Written Down Value 31-3-15</t>
  </si>
  <si>
    <t>New WDV as on 31/03/2015</t>
  </si>
  <si>
    <t>Check</t>
  </si>
  <si>
    <t>Diff in Dep to be accounted in Mar 15</t>
  </si>
  <si>
    <t>WDV as per books (old Comp Act)</t>
  </si>
  <si>
    <t>WDV to be shown as on 31/03/2015</t>
  </si>
  <si>
    <t>No of days</t>
  </si>
  <si>
    <t>Dep-15-16</t>
  </si>
  <si>
    <t>WDV 15-16</t>
  </si>
  <si>
    <t>Dep-16-17</t>
  </si>
  <si>
    <t>WDV 16-17</t>
  </si>
  <si>
    <t>Diff</t>
  </si>
  <si>
    <t>FY 08-09</t>
  </si>
  <si>
    <t>FY 09-10</t>
  </si>
  <si>
    <t>FY 10-11</t>
  </si>
  <si>
    <t>FY 11-12</t>
  </si>
  <si>
    <t>FY 12-13</t>
  </si>
  <si>
    <t>FY 13-14</t>
  </si>
  <si>
    <t>Till 31.03.14</t>
  </si>
  <si>
    <t>As on 31.03.14</t>
  </si>
  <si>
    <t>(years)</t>
  </si>
  <si>
    <t>FY14-15</t>
  </si>
  <si>
    <t>2015-16</t>
  </si>
  <si>
    <t>Factory Building Construction</t>
  </si>
  <si>
    <t>Building</t>
  </si>
  <si>
    <t>Electrical Installation</t>
  </si>
  <si>
    <t>Computer</t>
  </si>
  <si>
    <t>Computers &amp; Peripherals</t>
  </si>
  <si>
    <t>Printer ink Jet</t>
  </si>
  <si>
    <t>Computer Peripheral</t>
  </si>
  <si>
    <t>Computers and Printers</t>
  </si>
  <si>
    <t>Laptop Computer</t>
  </si>
  <si>
    <t>Electrical Equipments</t>
  </si>
  <si>
    <t>Office Equipment</t>
  </si>
  <si>
    <t>Water Cooler</t>
  </si>
  <si>
    <t>Mobile Phones</t>
  </si>
  <si>
    <t>CCT Camera</t>
  </si>
  <si>
    <t>CCTV Camera</t>
  </si>
  <si>
    <t>Bajaj Platina Vehicle</t>
  </si>
  <si>
    <t>Vehicles</t>
  </si>
  <si>
    <t>Bolero Van</t>
  </si>
  <si>
    <t>Vehicle - Swish</t>
  </si>
  <si>
    <t>Car - Lanson Fortuner</t>
  </si>
  <si>
    <t>Vehicle - Dream Yuga</t>
  </si>
  <si>
    <t>Vehicle Shine Bike</t>
  </si>
  <si>
    <t>Vehicle CB Dream New Bike</t>
  </si>
  <si>
    <t>Alablaster Silver Car</t>
  </si>
  <si>
    <t>Dosth Vehicle</t>
  </si>
  <si>
    <t>Plant and Machinery</t>
  </si>
  <si>
    <t>Tig Welding Machine</t>
  </si>
  <si>
    <t>Power Press 10 Ton</t>
  </si>
  <si>
    <t>Hitachi Cut Off Machine,Hitachi 7" Grinder &amp; 4" Gri</t>
  </si>
  <si>
    <t>Kanara Hand Sheaning Machine</t>
  </si>
  <si>
    <t>Pipe Bending Machine</t>
  </si>
  <si>
    <t>Akaash 2 Hp 3Hp Motor 19mm Drill</t>
  </si>
  <si>
    <t>Premier 1 1/2 Pillar Drillig Machine</t>
  </si>
  <si>
    <t>Fly Press Machine</t>
  </si>
  <si>
    <t>Aluminium Cutting Machine</t>
  </si>
  <si>
    <t>Inverter Welding Machine</t>
  </si>
  <si>
    <t>Testing Machine</t>
  </si>
  <si>
    <t>Press Brake Machiner</t>
  </si>
  <si>
    <t>Shearing Machine</t>
  </si>
  <si>
    <t>Tools and Dies</t>
  </si>
  <si>
    <t>Powder Coating Machine</t>
  </si>
  <si>
    <t>Generator</t>
  </si>
  <si>
    <t>Power Press Ton</t>
  </si>
  <si>
    <t>E.B. Panel Board</t>
  </si>
  <si>
    <t>Tip Welding Machine</t>
  </si>
  <si>
    <t>Goods Lift</t>
  </si>
  <si>
    <t>Drilling Machine</t>
  </si>
  <si>
    <t>Rolling Shutter</t>
  </si>
  <si>
    <t>Power press Ton</t>
  </si>
  <si>
    <t>Electronic Weighing Machine</t>
  </si>
  <si>
    <t>Air Compressor Spares</t>
  </si>
  <si>
    <t>CNC Plasmo Cutting Machine</t>
  </si>
  <si>
    <t>Machinery Spares</t>
  </si>
  <si>
    <t>Rilon Welding machine</t>
  </si>
  <si>
    <t>Tig arc Invetor Welding machine</t>
  </si>
  <si>
    <t>Dep-17-18</t>
  </si>
  <si>
    <t>WDV 17-18</t>
  </si>
  <si>
    <t>Salvage value</t>
  </si>
  <si>
    <t>Use ful Life</t>
  </si>
  <si>
    <t>Completed Life</t>
  </si>
  <si>
    <t>Bal Life</t>
  </si>
  <si>
    <t>b. Cash on hand</t>
  </si>
  <si>
    <t>Audit fee</t>
  </si>
  <si>
    <t>Dynamic Air Engineering (India) Pvt Ltd</t>
  </si>
  <si>
    <t>CIN: U2912TN2008PTC066303</t>
  </si>
  <si>
    <t>Air Comfort</t>
  </si>
  <si>
    <t>Airflow Equipments India Pvt Limited</t>
  </si>
  <si>
    <t>Allowances</t>
  </si>
  <si>
    <t>Aravind Engineering Works</t>
  </si>
  <si>
    <t>Audit Fee Paid</t>
  </si>
  <si>
    <t>Automotive Rubber Sealings &amp; Coatings</t>
  </si>
  <si>
    <t>Best Cool Engineering</t>
  </si>
  <si>
    <t>Bonus - Staff</t>
  </si>
  <si>
    <t>Bonus - Wages</t>
  </si>
  <si>
    <t>Business Promotion Expenses</t>
  </si>
  <si>
    <t>Conveyance Expenses</t>
  </si>
  <si>
    <t>Cool Zone HVAC</t>
  </si>
  <si>
    <t>Delivery Charges</t>
  </si>
  <si>
    <t>Directors Remuneration</t>
  </si>
  <si>
    <t>D.S. Engineering</t>
  </si>
  <si>
    <t>Dukes Engineers India Pvt Ltd</t>
  </si>
  <si>
    <t>Electricity Charges</t>
  </si>
  <si>
    <t>Electricity Charges Payable</t>
  </si>
  <si>
    <t>ESI Employee Cont. Payable</t>
  </si>
  <si>
    <t>ESI Employer Cont. Payable</t>
  </si>
  <si>
    <t>ESI Employer Contribution</t>
  </si>
  <si>
    <t>Everest Engineering Enterprises</t>
  </si>
  <si>
    <t>Freight Inward Charges</t>
  </si>
  <si>
    <t>Furniture &amp; Fixtures</t>
  </si>
  <si>
    <t>ICF - Security Deposit</t>
  </si>
  <si>
    <t>Indian Bank - 6602334981</t>
  </si>
  <si>
    <t>Indian Bank OCC A/c No:6613788934</t>
  </si>
  <si>
    <t>Indian Bank TL1 A/c No: 6613793057</t>
  </si>
  <si>
    <t>Indian Bank TL2 A/c No: 6613796127</t>
  </si>
  <si>
    <t>Interest on Tax Paid 234B / 234C</t>
  </si>
  <si>
    <t>Interest - Others</t>
  </si>
  <si>
    <t>Interest Paid - Bajaj Capital</t>
  </si>
  <si>
    <t>Interest Paid - Deutshe Bank</t>
  </si>
  <si>
    <t>Interest Paid - HDFC</t>
  </si>
  <si>
    <t>Interest Paid - IB TL1</t>
  </si>
  <si>
    <t>Interest Paid - IB TL2</t>
  </si>
  <si>
    <t>Interest Paid - IOB OD</t>
  </si>
  <si>
    <t>Internet Charges</t>
  </si>
  <si>
    <t>Joy Kitchen</t>
  </si>
  <si>
    <t>Klima Engineers</t>
  </si>
  <si>
    <t>Lab Test</t>
  </si>
  <si>
    <t>License Fees &amp; Taxes</t>
  </si>
  <si>
    <t>Loan Processing Charges</t>
  </si>
  <si>
    <t>Metallica Metals</t>
  </si>
  <si>
    <t>Mobile Phone Expenses</t>
  </si>
  <si>
    <t>Mr Karthikeyan - Director</t>
  </si>
  <si>
    <t>Mr Karthikeyan Remuneration Payable</t>
  </si>
  <si>
    <t>Mr Kothandam R Rent Payable</t>
  </si>
  <si>
    <t>Mrs Girija K - Director</t>
  </si>
  <si>
    <t>Ms Girija K Remuneration Payable</t>
  </si>
  <si>
    <t>MSK Air Duct Industries</t>
  </si>
  <si>
    <t>Naga Welders</t>
  </si>
  <si>
    <t>New Elite Aircons</t>
  </si>
  <si>
    <t>Nunez Engineering Works</t>
  </si>
  <si>
    <t>Office Maintenance</t>
  </si>
  <si>
    <t>PF Employee Cont. Payable</t>
  </si>
  <si>
    <t>PF Employer Cont. Payable</t>
  </si>
  <si>
    <t>PF Employer Contribution</t>
  </si>
  <si>
    <t>Professional &amp; Consult Charges (TDS)</t>
  </si>
  <si>
    <t>Professional &amp; Consult Charges (W/o TDS)</t>
  </si>
  <si>
    <t>Purchase IGST</t>
  </si>
  <si>
    <t>Rent Paid</t>
  </si>
  <si>
    <t>R &amp; M - Electrical &amp; Hardware</t>
  </si>
  <si>
    <t>R &amp; M - Machineries</t>
  </si>
  <si>
    <t>ROC, Efiling &amp; Reg Expenses</t>
  </si>
  <si>
    <t>Royal Enterprises</t>
  </si>
  <si>
    <t>Salary Advance</t>
  </si>
  <si>
    <t>Savera Hotel</t>
  </si>
  <si>
    <t>Sigma Engineering Solutions</t>
  </si>
  <si>
    <t>Sigma Fans &amp; Systems</t>
  </si>
  <si>
    <t>Unitech Airconditioners</t>
  </si>
  <si>
    <t>United Aircon</t>
  </si>
  <si>
    <t>Universal Engineers Chennai Pvt Ltd-S</t>
  </si>
  <si>
    <t>Vehicles - Two Wheelers</t>
  </si>
  <si>
    <t>Weighing Expenses</t>
  </si>
  <si>
    <t>Bank    Charges</t>
  </si>
  <si>
    <t>Rates and   taxes</t>
  </si>
  <si>
    <t>Rent -   Factory</t>
  </si>
  <si>
    <t>Travelling    Expenses</t>
  </si>
  <si>
    <t>Wages &amp; Other Direct Expenses</t>
  </si>
  <si>
    <t>Profit as per Tally</t>
  </si>
  <si>
    <t>Profit as per Financials</t>
  </si>
  <si>
    <t>Related Party Transactions</t>
  </si>
  <si>
    <t>Other Current Liabilities-Others</t>
  </si>
  <si>
    <t>Karthikeyan</t>
  </si>
  <si>
    <t>Girija Karthikeyan</t>
  </si>
  <si>
    <t>Other Deposits</t>
  </si>
  <si>
    <t xml:space="preserve"> - Indian bank</t>
  </si>
  <si>
    <t xml:space="preserve">Work-in-Progress </t>
  </si>
  <si>
    <t>Deutsche Bank</t>
  </si>
  <si>
    <t>SL NO</t>
  </si>
  <si>
    <t>DESCRIPTION</t>
  </si>
  <si>
    <t>DATE OF ADDITION</t>
  </si>
  <si>
    <t>DATE OF PUT TO USE</t>
  </si>
  <si>
    <t>BEFORE SEP</t>
  </si>
  <si>
    <t>AFTER SEP</t>
  </si>
  <si>
    <t>Disc Grinder</t>
  </si>
  <si>
    <t>Furniture &amp; Fittings</t>
  </si>
  <si>
    <t>Tax Before Surcharge</t>
  </si>
  <si>
    <t>Add : Surcharge@7%</t>
  </si>
  <si>
    <t>Add: Surcharge @ 7%</t>
  </si>
  <si>
    <t>234C</t>
  </si>
  <si>
    <t>Deferred Tax Reco</t>
  </si>
  <si>
    <t>Tax rate</t>
  </si>
  <si>
    <t>NP</t>
  </si>
  <si>
    <t>Tax on NP</t>
  </si>
  <si>
    <t>Permanent Diff</t>
  </si>
  <si>
    <t>Interest on Delayed Pmt of taxes</t>
  </si>
  <si>
    <t>custom duty for tig arc</t>
  </si>
  <si>
    <t>Dep-18-19</t>
  </si>
  <si>
    <t>WDV 18-19</t>
  </si>
  <si>
    <t>Dep- 19-20</t>
  </si>
  <si>
    <t>WDV -19-20</t>
  </si>
  <si>
    <t>Dep--20-21</t>
  </si>
  <si>
    <t>WDV 20-21</t>
  </si>
  <si>
    <t>Dep-21-22</t>
  </si>
  <si>
    <t>WDV 21-22</t>
  </si>
  <si>
    <t>Dep-22-23</t>
  </si>
  <si>
    <t>WDV 22-23</t>
  </si>
  <si>
    <t>Dep-23-24</t>
  </si>
  <si>
    <t>WDV 23-24</t>
  </si>
  <si>
    <t>Dep-24-25</t>
  </si>
  <si>
    <t>WDV 24-25</t>
  </si>
  <si>
    <t>Dep-25-26</t>
  </si>
  <si>
    <t>WDV 25-26</t>
  </si>
  <si>
    <t>Dep-26-27</t>
  </si>
  <si>
    <t>WDV 26-27</t>
  </si>
  <si>
    <t>Dep 27-28</t>
  </si>
  <si>
    <t>WDV 27-28</t>
  </si>
  <si>
    <t>Dep 28-29</t>
  </si>
  <si>
    <t xml:space="preserve">Dep to be calc in Last year on </t>
  </si>
  <si>
    <t>WDV 28-29</t>
  </si>
  <si>
    <t>Dep 29-30</t>
  </si>
  <si>
    <t>WDV 29-30</t>
  </si>
  <si>
    <t>Dep 30-31</t>
  </si>
  <si>
    <t>WDV 30-31</t>
  </si>
  <si>
    <t>Dep -31-32</t>
  </si>
  <si>
    <t>WDV 31-32</t>
  </si>
  <si>
    <t>Dep 32-33</t>
  </si>
  <si>
    <t>WDV 32-33</t>
  </si>
  <si>
    <t>Dep 33-34</t>
  </si>
  <si>
    <t>WDV 33-34</t>
  </si>
  <si>
    <t>Dep34-35</t>
  </si>
  <si>
    <t>WDV34-35</t>
  </si>
  <si>
    <t>Dep35-36</t>
  </si>
  <si>
    <t>WDV35-36</t>
  </si>
  <si>
    <t>Dep36-37</t>
  </si>
  <si>
    <t>WDV37-38</t>
  </si>
  <si>
    <t>WDV36-37</t>
  </si>
  <si>
    <t>Dep37-38</t>
  </si>
  <si>
    <t>Dep38-39</t>
  </si>
  <si>
    <t>WDV38-39</t>
  </si>
  <si>
    <t>Dep39-40</t>
  </si>
  <si>
    <t>WDV39-40</t>
  </si>
  <si>
    <t>Dep40-41</t>
  </si>
  <si>
    <t>WDV40-41</t>
  </si>
  <si>
    <t>Dep41-42</t>
  </si>
  <si>
    <t>WDV41-42</t>
  </si>
  <si>
    <t>Deferred Tax liability / (Asset) (Net)</t>
  </si>
  <si>
    <t>Depreciation</t>
  </si>
  <si>
    <t>Forex loss</t>
  </si>
  <si>
    <t>DEPRECIATION</t>
  </si>
  <si>
    <t>FOREX GAIN/lOSS</t>
  </si>
  <si>
    <t>Security Service Charges</t>
  </si>
  <si>
    <t>Disallowance 40(a)(ia)</t>
  </si>
  <si>
    <t>(-) Bonus shares issued</t>
  </si>
  <si>
    <t>Closing Stock</t>
  </si>
  <si>
    <t>INCOME FROM OTHER SOURCES</t>
  </si>
  <si>
    <t>Less:    Income taxable under other heads</t>
  </si>
  <si>
    <t>CHECK</t>
  </si>
  <si>
    <t>Packing and Installation</t>
  </si>
  <si>
    <t>Add: Interest U/s 234A</t>
  </si>
  <si>
    <t>Permanent Account Number         :              AACCD 9024 A</t>
  </si>
  <si>
    <t>Name of the Assessee                      :              DYNAMIC AIR ENGINEERING (INDIA) PRIVATE LIMITED</t>
  </si>
  <si>
    <t>Less: Self Assessment Tax paid u/s 140 -A</t>
  </si>
  <si>
    <t xml:space="preserve"> Chartered Accountants</t>
  </si>
  <si>
    <t xml:space="preserve"> Firm Reg No: 009261S</t>
  </si>
  <si>
    <t>Details of Additions</t>
  </si>
  <si>
    <t>DEFERRED TAX CALCULATION</t>
  </si>
  <si>
    <t>Add : Education Cess @ 4 %</t>
  </si>
  <si>
    <t>Add: Education Cess @ 4%</t>
  </si>
  <si>
    <t>Health and education cess @ 4%</t>
  </si>
  <si>
    <t>Advertising Expenses</t>
  </si>
  <si>
    <t>Annual Maintenance Charges</t>
  </si>
  <si>
    <t>Atlas Tools Suppliers</t>
  </si>
  <si>
    <t>Building - Sathari Village - Tiruvallur</t>
  </si>
  <si>
    <t>Cash - Mappedu</t>
  </si>
  <si>
    <t>Commission &amp; Brokerage</t>
  </si>
  <si>
    <t>Cool Point Engineers</t>
  </si>
  <si>
    <t>Cool Tech Solutions</t>
  </si>
  <si>
    <t>Coolzone</t>
  </si>
  <si>
    <t>Crane Hire Charges</t>
  </si>
  <si>
    <t>Creditors Written Off</t>
  </si>
  <si>
    <t>C Square Engineering</t>
  </si>
  <si>
    <t>E B Caution Deposit - Satharai Village</t>
  </si>
  <si>
    <t>Electrical Equipments &amp; Installations</t>
  </si>
  <si>
    <t>Freight Charges - IGST</t>
  </si>
  <si>
    <t>GST on RCM</t>
  </si>
  <si>
    <t>HVAC Systemss</t>
  </si>
  <si>
    <t>ICF Sundry Expenses</t>
  </si>
  <si>
    <t>Inox Air Products</t>
  </si>
  <si>
    <t>Interest on Vehicle Loan - Kotak</t>
  </si>
  <si>
    <t>Interest Paid on NSIC Bills Discounting</t>
  </si>
  <si>
    <t>Interest Paid on OCC A/c</t>
  </si>
  <si>
    <t>Interest Recd on FD - IB</t>
  </si>
  <si>
    <t>Interest Received From EB</t>
  </si>
  <si>
    <t>Job Work Charges</t>
  </si>
  <si>
    <t>Job Work Charges (W/o TDS)</t>
  </si>
  <si>
    <t>Job Work Income - Unit II</t>
  </si>
  <si>
    <t>Khaay-Zen Equipments</t>
  </si>
  <si>
    <t>Kineco Limited</t>
  </si>
  <si>
    <t>Kocon India Pvt Ltd</t>
  </si>
  <si>
    <t>Kotak Bank Vehicle Loan</t>
  </si>
  <si>
    <t>Land - Sathari Village, Thiruvallur</t>
  </si>
  <si>
    <t>Laxmi Priya Engineering Works</t>
  </si>
  <si>
    <t>Loading, Unloading &amp; Toll Charges</t>
  </si>
  <si>
    <t>Maxcool Agencies</t>
  </si>
  <si>
    <t>MCT Engineers</t>
  </si>
  <si>
    <t>MKK Metal Sections Pvt Ltd</t>
  </si>
  <si>
    <t>Model Infra Corporation Pvt Ltd</t>
  </si>
  <si>
    <t>M.Pradeep</t>
  </si>
  <si>
    <t>NSIC -  Bill Discounting Account</t>
  </si>
  <si>
    <t>OD Renewal Charges</t>
  </si>
  <si>
    <t>Other Income</t>
  </si>
  <si>
    <t>Overtime Wages</t>
  </si>
  <si>
    <t>Pacific Weld Systems Pvt Ltd</t>
  </si>
  <si>
    <t>Packing Expenses</t>
  </si>
  <si>
    <t>PF Admin Charges</t>
  </si>
  <si>
    <t>Precision Equipments (Chennai) Pvt Ltd</t>
  </si>
  <si>
    <t>Promace Engineering LLP</t>
  </si>
  <si>
    <t>Purchase Consumables - SGST</t>
  </si>
  <si>
    <t>Purchase Raw Material SGST</t>
  </si>
  <si>
    <t>Quickfrost</t>
  </si>
  <si>
    <t>Rimy Aiir System</t>
  </si>
  <si>
    <t>R &amp; M - Computers Expense</t>
  </si>
  <si>
    <t>Sky Breeze A/C Solutions</t>
  </si>
  <si>
    <t>Spin Air System Coimbatore Pvt Ltd</t>
  </si>
  <si>
    <t>SRC Turnkey Projects</t>
  </si>
  <si>
    <t>Srinivasa Enterprises</t>
  </si>
  <si>
    <t>Sri Ram Engineeirng Works</t>
  </si>
  <si>
    <t>Strawberry Engineering</t>
  </si>
  <si>
    <t>Sundar Engineering Works</t>
  </si>
  <si>
    <t>SV Cool Air Solutions</t>
  </si>
  <si>
    <t>TDS - CGST</t>
  </si>
  <si>
    <t>TDS - SGST</t>
  </si>
  <si>
    <t>T.T Millwala &amp; Sons</t>
  </si>
  <si>
    <t>Vasu Engineering Contractors</t>
  </si>
  <si>
    <t>Vehicle Eicher PRO 1080</t>
  </si>
  <si>
    <t>Ventsys  Industries</t>
  </si>
  <si>
    <t>Wewin Finishing Equipments Pvt Ltd</t>
  </si>
  <si>
    <t>Winsum Projects &amp; Services</t>
  </si>
  <si>
    <t>YSJ Tech Private Limited</t>
  </si>
  <si>
    <t>Brokerage &amp; Commission</t>
  </si>
  <si>
    <r>
      <t xml:space="preserve">Add: </t>
    </r>
    <r>
      <rPr>
        <b/>
        <i/>
        <u/>
        <sz val="10"/>
        <rFont val="Calibri"/>
        <family val="2"/>
      </rPr>
      <t>If</t>
    </r>
    <r>
      <rPr>
        <b/>
        <u/>
        <sz val="10"/>
        <rFont val="Calibri"/>
        <family val="2"/>
      </rPr>
      <t xml:space="preserve"> the following are debited to the P&amp;L Account</t>
    </r>
  </si>
  <si>
    <r>
      <t xml:space="preserve">Less: </t>
    </r>
    <r>
      <rPr>
        <b/>
        <i/>
        <u/>
        <sz val="10"/>
        <rFont val="Calibri"/>
        <family val="2"/>
      </rPr>
      <t>If</t>
    </r>
    <r>
      <rPr>
        <b/>
        <u/>
        <sz val="10"/>
        <rFont val="Calibri"/>
        <family val="2"/>
      </rPr>
      <t xml:space="preserve"> the following are Credited to the P&amp;L Account</t>
    </r>
  </si>
  <si>
    <t>Plant &amp; Machinery</t>
  </si>
  <si>
    <t>Grand Total</t>
  </si>
  <si>
    <t>Eicher Pro 1080</t>
  </si>
  <si>
    <t>Trucks and trailers</t>
  </si>
  <si>
    <t>Useful life</t>
  </si>
  <si>
    <t>No of days  for which depn is charged in the year acquisition</t>
  </si>
  <si>
    <t>No of Days to be charged in the last year of useful life</t>
  </si>
  <si>
    <t>Dep42-43</t>
  </si>
  <si>
    <t>WDV42-43</t>
  </si>
  <si>
    <t>Dep43-44</t>
  </si>
  <si>
    <t>WDV43-44</t>
  </si>
  <si>
    <t>Dep44-45</t>
  </si>
  <si>
    <t>WDV44-45</t>
  </si>
  <si>
    <t>Dep45-46</t>
  </si>
  <si>
    <t>WDV45-46</t>
  </si>
  <si>
    <t>Dep46-47</t>
  </si>
  <si>
    <t>WDV46-47</t>
  </si>
  <si>
    <t>Dep47-48</t>
  </si>
  <si>
    <t>WDV47-48</t>
  </si>
  <si>
    <t>Dep48-49</t>
  </si>
  <si>
    <t>WDV48-49</t>
  </si>
  <si>
    <t>k</t>
  </si>
  <si>
    <t>Electrical equipments</t>
  </si>
  <si>
    <t>Interest Receivable on IB FD</t>
  </si>
  <si>
    <t>Land  - Vengaivasal</t>
  </si>
  <si>
    <t xml:space="preserve">Factory Shed </t>
  </si>
  <si>
    <t>Desktop System 1no</t>
  </si>
  <si>
    <t>Desktop System 1no &amp; Dlink</t>
  </si>
  <si>
    <t>HP Laptop 1no</t>
  </si>
  <si>
    <t>Prime 99 - router connector</t>
  </si>
  <si>
    <t>Router 1no</t>
  </si>
  <si>
    <t xml:space="preserve">Laptop </t>
  </si>
  <si>
    <t>Desktop 2no</t>
  </si>
  <si>
    <t>Desktop &amp; printer 1no</t>
  </si>
  <si>
    <t>LG Inveter Split A/c 1 ton</t>
  </si>
  <si>
    <t>Transformer &amp; Distribution Panel</t>
  </si>
  <si>
    <t>Conference Table</t>
  </si>
  <si>
    <t>Aluminium partiion with powder coating</t>
  </si>
  <si>
    <t>LED Board 4no</t>
  </si>
  <si>
    <t>Book Shelf 2no</t>
  </si>
  <si>
    <t>Computer Table</t>
  </si>
  <si>
    <t>Battery rack</t>
  </si>
  <si>
    <t xml:space="preserve">Security cabin </t>
  </si>
  <si>
    <t>Aluminium Sliding doors</t>
  </si>
  <si>
    <t>Steel cupboard</t>
  </si>
  <si>
    <t>Steel bunker cot</t>
  </si>
  <si>
    <t>PVC Flooring</t>
  </si>
  <si>
    <t xml:space="preserve">Office Table, cupboard </t>
  </si>
  <si>
    <t>Office Table,  SS Rack</t>
  </si>
  <si>
    <t>Wooden Cupboard</t>
  </si>
  <si>
    <t>Table</t>
  </si>
  <si>
    <t>Nilkamal chairs 15nos</t>
  </si>
  <si>
    <t>Office table &amp; popup box</t>
  </si>
  <si>
    <t>Motorised rolling shutter</t>
  </si>
  <si>
    <t>Coffee Machine</t>
  </si>
  <si>
    <t>Havells wall mounted fan 10nos</t>
  </si>
  <si>
    <t>Redmi 6A - mobile phone 2no</t>
  </si>
  <si>
    <t>Argon regulator with UPS</t>
  </si>
  <si>
    <t>Laser welding machine</t>
  </si>
  <si>
    <t>Laser welding machine - import clearing</t>
  </si>
  <si>
    <t>Laser welding machine - customs duty</t>
  </si>
  <si>
    <t>Supply &amp; installation of welding fixtures</t>
  </si>
  <si>
    <t>Kirloskar 900kva Diesel Generator</t>
  </si>
  <si>
    <t>Air Dryer</t>
  </si>
  <si>
    <t>Inverter welding machine</t>
  </si>
  <si>
    <t>Hydraulic Shearing Machine</t>
  </si>
  <si>
    <t>Optical emmission spectrometer</t>
  </si>
  <si>
    <t>Optical emmission spectrometer - import clearing</t>
  </si>
  <si>
    <t>Hydraulic press brake machine</t>
  </si>
  <si>
    <t>Freight charges - Hydraulic press brake machine</t>
  </si>
  <si>
    <t>ARC welding machine</t>
  </si>
  <si>
    <t xml:space="preserve">Laser welding automation </t>
  </si>
  <si>
    <t>Water cooler for welding machine</t>
  </si>
  <si>
    <t>Hand Drilling machine</t>
  </si>
  <si>
    <t>Universal Testing Machine 40T</t>
  </si>
  <si>
    <t>Spot welding machine</t>
  </si>
  <si>
    <t>Laser cutting machine</t>
  </si>
  <si>
    <t>Laser cutting machine - customs duty</t>
  </si>
  <si>
    <t>Laser cutting machine - import clearing</t>
  </si>
  <si>
    <t>Cast Iron Surface plate &amp; MS Stand</t>
  </si>
  <si>
    <t>Water Chiller for machine</t>
  </si>
  <si>
    <t>Air compressor &amp; filter</t>
  </si>
  <si>
    <t xml:space="preserve">Spot welding fixtures </t>
  </si>
  <si>
    <t xml:space="preserve">Air compressor </t>
  </si>
  <si>
    <t>Welding machine</t>
  </si>
  <si>
    <t>Elmaco Bench Grinder</t>
  </si>
  <si>
    <t>Spot welding roof fixture</t>
  </si>
  <si>
    <t>Kirloskar 900kva Diesel Generator - Installation</t>
  </si>
  <si>
    <t>Welding fixture &amp; lifting arrangement</t>
  </si>
  <si>
    <t>SS Roof  fixture for robotic welding</t>
  </si>
  <si>
    <t>ESAB welding machine</t>
  </si>
  <si>
    <t>Term loan interest apportioned - 2017-18</t>
  </si>
  <si>
    <t>Term loan interest apportioned - 2018-19</t>
  </si>
  <si>
    <t>10 T crane - 2nos</t>
  </si>
  <si>
    <t>200 kva UPS circuit &amp; Battery</t>
  </si>
  <si>
    <t>Platform truck</t>
  </si>
  <si>
    <t>Micro Lathe</t>
  </si>
  <si>
    <t>Pillar drilling machine</t>
  </si>
  <si>
    <t>Kuka Robot with tracks</t>
  </si>
  <si>
    <t>Welding Gun</t>
  </si>
  <si>
    <t>Panasonic welding machine with coolers</t>
  </si>
  <si>
    <t>SS Roof water leak testing station</t>
  </si>
  <si>
    <t>Stud welder machine</t>
  </si>
  <si>
    <t>Portable gun spot welder</t>
  </si>
  <si>
    <t>Auto tip dresser with cutter</t>
  </si>
  <si>
    <t>Micro controller with cable</t>
  </si>
  <si>
    <t>Hero deluxe bike 100cc (incl registration)</t>
  </si>
  <si>
    <t>Honda Active 125 (Incl registration)</t>
  </si>
  <si>
    <t>FY 2018-19</t>
  </si>
  <si>
    <t>Addition during</t>
  </si>
  <si>
    <t>Electrical Installations</t>
  </si>
  <si>
    <t>Factory Shed at Satharai Village</t>
  </si>
  <si>
    <t>b. Others</t>
  </si>
  <si>
    <t xml:space="preserve"> - Indian Overseas bank</t>
  </si>
  <si>
    <t>(i) TDS Payable</t>
  </si>
  <si>
    <t>a. Deposit with Related Party</t>
  </si>
  <si>
    <t>Interest on deposits</t>
  </si>
  <si>
    <t xml:space="preserve"> - Unsecured, considered good</t>
  </si>
  <si>
    <t xml:space="preserve">(d) Interest on loan </t>
  </si>
  <si>
    <t>iv. Others</t>
  </si>
  <si>
    <t>iii. Others</t>
  </si>
  <si>
    <t>Rental Advances</t>
  </si>
  <si>
    <t>Others</t>
  </si>
  <si>
    <t xml:space="preserve">K. KARTHIKEYAN                                                                       </t>
  </si>
  <si>
    <t xml:space="preserve">DIRECTOR   </t>
  </si>
  <si>
    <t>DIRECTOR</t>
  </si>
  <si>
    <t>Wages and Other Direct Expenses</t>
  </si>
  <si>
    <t>(ii)Other Expenses Payable</t>
  </si>
  <si>
    <t>( a) Vehicle HP Loans - Banks</t>
  </si>
  <si>
    <t>b. Deposits</t>
  </si>
  <si>
    <t>i. Deposits - telephone and electricity</t>
  </si>
  <si>
    <t>ii. Other Deposits</t>
  </si>
  <si>
    <t>CIN : U29192TN2008PTC066303</t>
  </si>
  <si>
    <t>DYNAMIC AIR ENGINEERING INDIA PRIVATE LIMITED</t>
  </si>
  <si>
    <t>REGISTERED OFFICE</t>
  </si>
  <si>
    <t>DIN : 01924065</t>
  </si>
  <si>
    <t>DIN : 03329379</t>
  </si>
  <si>
    <t xml:space="preserve">K. KARTHIKEYAN                                  </t>
  </si>
  <si>
    <t xml:space="preserve">Director                                                </t>
  </si>
  <si>
    <t>Director</t>
  </si>
  <si>
    <t xml:space="preserve">K. KARTHIKEYAN                              </t>
  </si>
  <si>
    <t xml:space="preserve">Director                                            </t>
  </si>
  <si>
    <t xml:space="preserve">DIN : 01924065                     </t>
  </si>
  <si>
    <t xml:space="preserve">K. KARTHIKEYAN                                                       </t>
  </si>
  <si>
    <t xml:space="preserve">Director                                                                     </t>
  </si>
  <si>
    <t xml:space="preserve">DIN : 01924065                                                     </t>
  </si>
  <si>
    <t>Opening Balance</t>
  </si>
  <si>
    <t xml:space="preserve">Deferred tax Asset / Liability arising on account of </t>
  </si>
  <si>
    <t>Block of Assets</t>
  </si>
  <si>
    <t>Timing Difference on account of Closing WDV</t>
  </si>
  <si>
    <t>DTA / (DTL)</t>
  </si>
  <si>
    <t xml:space="preserve">Deferred Tax Liability arising on account of </t>
  </si>
  <si>
    <t>i. Block of assets</t>
  </si>
  <si>
    <t xml:space="preserve">Deferred Tax Asset arising on account of </t>
  </si>
  <si>
    <t>S. No.</t>
  </si>
  <si>
    <t>Outstanding</t>
  </si>
  <si>
    <t>(&lt; 180 days )</t>
  </si>
  <si>
    <t>(&gt; 180 days )</t>
  </si>
  <si>
    <t>Debtors &lt; 180</t>
  </si>
  <si>
    <t>Debtors &gt; 180</t>
  </si>
  <si>
    <t xml:space="preserve">Debtors with credit balance </t>
  </si>
  <si>
    <t>GROSS TOTAL</t>
  </si>
  <si>
    <t>Advance payment for capital goods</t>
  </si>
  <si>
    <t>Advance payment for Capital Goods</t>
  </si>
  <si>
    <t>BALANCE TAX PAYABLE</t>
  </si>
  <si>
    <t>(2) Less: MAT Credit Entitlement</t>
  </si>
  <si>
    <t xml:space="preserve">K . KARTHIKEYAN                                    </t>
  </si>
  <si>
    <t xml:space="preserve">Director                                                             </t>
  </si>
  <si>
    <t>MAT credit Entitlement</t>
  </si>
  <si>
    <t>(b) Director Remuneration</t>
  </si>
  <si>
    <t>Other income.</t>
  </si>
  <si>
    <t>Increase in Depreciation as per IT Act</t>
  </si>
  <si>
    <t>Term Loan Interest</t>
  </si>
  <si>
    <t>Provision for tax + deferred tax</t>
  </si>
  <si>
    <t>Staff Quarters</t>
  </si>
  <si>
    <t>Disallowance u/s 40A(3)</t>
  </si>
  <si>
    <t>Repairs and Maintenance</t>
  </si>
  <si>
    <t>HDFC Bank</t>
  </si>
  <si>
    <t>ii. Balance with Revenue Authorities</t>
  </si>
  <si>
    <t>iii. Balance with Revenue Authorities</t>
  </si>
  <si>
    <t>GST - TDS &amp; Cash Balances</t>
  </si>
  <si>
    <t xml:space="preserve">Increase/ (decrease) in short term provision </t>
  </si>
  <si>
    <t>Closing Deferred Tax Liabilty / (Asset) - Net</t>
  </si>
  <si>
    <t>Disallowance u/s 36(1)(va)</t>
  </si>
  <si>
    <t>EPF &amp; ESI Employee Contribution</t>
  </si>
  <si>
    <t>Disallowance u/s 40(a)(ii)</t>
  </si>
  <si>
    <t>Usefule life as per Companies Act 2013</t>
  </si>
  <si>
    <t>End Date</t>
  </si>
  <si>
    <t>opening</t>
  </si>
  <si>
    <t xml:space="preserve">         Interest U/s 234B</t>
  </si>
  <si>
    <t xml:space="preserve">         Interest U/s 234C</t>
  </si>
  <si>
    <t>Add :   Depreciation as per books</t>
  </si>
  <si>
    <t>Deferred tax Assets (net)</t>
  </si>
  <si>
    <t>Cl Work In Progress</t>
  </si>
  <si>
    <t>Cl Finished Goods</t>
  </si>
  <si>
    <t>Cl Raw Materials</t>
  </si>
  <si>
    <t>Cl Stores</t>
  </si>
  <si>
    <t>Cl Raw Materials.</t>
  </si>
  <si>
    <t>Cl Stores.</t>
  </si>
  <si>
    <t>Cl Work In Progress.</t>
  </si>
  <si>
    <t>Cl Finished Goods.</t>
  </si>
  <si>
    <t>(a) Vehicle HP Loans - Banks  (Secured against Hypothecation of vehicles)</t>
  </si>
  <si>
    <t>Provision for Income Tax</t>
  </si>
  <si>
    <t>Less: Payments/adjustments made during the year</t>
  </si>
  <si>
    <t>Add : Provision for current year tax</t>
  </si>
  <si>
    <t>Finished Goods</t>
  </si>
  <si>
    <t>Raw materials</t>
  </si>
  <si>
    <t>Work in progress</t>
  </si>
  <si>
    <t>Gratuity</t>
  </si>
  <si>
    <t>Provision for Gratuity</t>
  </si>
  <si>
    <t>(e) Gratuity</t>
  </si>
  <si>
    <t>Long Term Provisions</t>
  </si>
  <si>
    <t>Provision for employee benefits</t>
  </si>
  <si>
    <t>On account of Gratuity provision</t>
  </si>
  <si>
    <t>Note 22</t>
  </si>
  <si>
    <t>DIN : 0192405</t>
  </si>
  <si>
    <t xml:space="preserve">(a) Indian Bank - CC Account
</t>
  </si>
  <si>
    <t>(Secured against receivables, stock &amp; book debts)</t>
  </si>
  <si>
    <t>Eicher Pro 2049</t>
  </si>
  <si>
    <t>Advance for Suppliers - Karthik Industries</t>
  </si>
  <si>
    <t>Alomex Profiles Pvt Ltd</t>
  </si>
  <si>
    <t>Aravind Airconditioners Sales &amp; Services</t>
  </si>
  <si>
    <t>Chennai Bearing Centre</t>
  </si>
  <si>
    <t>Chennai Radha Engineering Works Pvt Ltd</t>
  </si>
  <si>
    <t>Coastal Steels</t>
  </si>
  <si>
    <t>Contractor Advance</t>
  </si>
  <si>
    <t>Cool Makers</t>
  </si>
  <si>
    <t>Debtors Write Off</t>
  </si>
  <si>
    <t>Depreciation - Air Conditioners</t>
  </si>
  <si>
    <t>Depreciation - Computers</t>
  </si>
  <si>
    <t>Depreciation - Electrical Installations</t>
  </si>
  <si>
    <t>Depreciation - Factory Building</t>
  </si>
  <si>
    <t>Depreciation - Furniture &amp; Fixtures</t>
  </si>
  <si>
    <t>Depreciation - Invertor</t>
  </si>
  <si>
    <t>Depreciation - Office Equipments</t>
  </si>
  <si>
    <t>Depreciation - Plant &amp; Machineries</t>
  </si>
  <si>
    <t>Depreciation - Telephone Instruments</t>
  </si>
  <si>
    <t>Depreciation - Vehicles</t>
  </si>
  <si>
    <t>Factory Advance - Jai Maruthi</t>
  </si>
  <si>
    <t>Generator Diesel Expenses</t>
  </si>
  <si>
    <t>GEZE India Private Limited</t>
  </si>
  <si>
    <t>GOD-Hi Enterprises</t>
  </si>
  <si>
    <t>Indian Railways</t>
  </si>
  <si>
    <t>Insurance Premium Paid</t>
  </si>
  <si>
    <t>Interest / Penalty on TDS</t>
  </si>
  <si>
    <t>ITC-CGST Credit Ledger</t>
  </si>
  <si>
    <t>ITC-SGST Credit Ledger</t>
  </si>
  <si>
    <t>Metal Scope (India) Private Limited</t>
  </si>
  <si>
    <t>National Aluminium- Madhavaram</t>
  </si>
  <si>
    <t>NMH Aircon</t>
  </si>
  <si>
    <t>Provision for Taxation</t>
  </si>
  <si>
    <t>Rail Coach Factory</t>
  </si>
  <si>
    <t>Ravi Metal Finishers</t>
  </si>
  <si>
    <t>Software &amp; Applications</t>
  </si>
  <si>
    <t>Southern Railway</t>
  </si>
  <si>
    <t>Sri Lakshmi Industries</t>
  </si>
  <si>
    <t>TDS - IGST</t>
  </si>
  <si>
    <t>Veepees India</t>
  </si>
  <si>
    <t>Vehicle Eicher Pro 2049</t>
  </si>
  <si>
    <t>Vehicle  - Others</t>
  </si>
  <si>
    <t>Virwadia Steels</t>
  </si>
  <si>
    <t>(iii) Other Expenses Payable</t>
  </si>
  <si>
    <t>65,00,000 Equity Shares of Rs 10 each</t>
  </si>
  <si>
    <t>2020-2021</t>
  </si>
  <si>
    <t>Carriage Outward.</t>
  </si>
  <si>
    <t>(ii) GST Payable</t>
  </si>
  <si>
    <t>(iii) ESI &amp; PF Payable</t>
  </si>
  <si>
    <t>FY 2019-20</t>
  </si>
  <si>
    <t>Goods Carrier</t>
  </si>
  <si>
    <t>Advance Paints Pvt Ltd</t>
  </si>
  <si>
    <t>Air Water India Private Limited</t>
  </si>
  <si>
    <t>Bright Aluminium</t>
  </si>
  <si>
    <t>ITech Smart Solutions India (P) Ltd</t>
  </si>
  <si>
    <t>Bharathi Power Tools &amp; Service Centre</t>
  </si>
  <si>
    <t>Jai Maruthi Industries</t>
  </si>
  <si>
    <t>K2 Cranes &amp; Components P Ltd</t>
  </si>
  <si>
    <t>Kalpvruksh Office Automation India</t>
  </si>
  <si>
    <t>R.Loganathan</t>
  </si>
  <si>
    <t>Trinity International</t>
  </si>
  <si>
    <t>Unikorp Inc</t>
  </si>
  <si>
    <t xml:space="preserve">Trial Balance for the period </t>
  </si>
  <si>
    <t>Dynamic Calibration Systems</t>
  </si>
  <si>
    <t>Northern Railway</t>
  </si>
  <si>
    <t>S.Ravi &amp; Associates</t>
  </si>
  <si>
    <t>Viswaas Enterprises</t>
  </si>
  <si>
    <t>Bharathi Airtel Limited</t>
  </si>
  <si>
    <t>BSNL Telephones</t>
  </si>
  <si>
    <t>CGST Cash Ledger</t>
  </si>
  <si>
    <t>IGST Cash Ledger</t>
  </si>
  <si>
    <t>Interest Receivable From EB MCD</t>
  </si>
  <si>
    <t>Price Difference (PVC ICF)</t>
  </si>
  <si>
    <t>SGST Cash Ledger</t>
  </si>
  <si>
    <t>(b) Interest  on Bill discounting &amp; charges</t>
  </si>
  <si>
    <t xml:space="preserve">(c) Interest on loan </t>
  </si>
  <si>
    <t xml:space="preserve">15% of Book Profit </t>
  </si>
  <si>
    <t>Pennar Industries Ltd</t>
  </si>
  <si>
    <t>Universal Engineers chennai Pvt Ltd</t>
  </si>
  <si>
    <t>TN generation and distribution</t>
  </si>
  <si>
    <t>Chennai Radha Engg</t>
  </si>
  <si>
    <t>Bhoopathy Dhanakumar</t>
  </si>
  <si>
    <t>Model Infra corporation</t>
  </si>
  <si>
    <t>ADDITIONAL DEPRECIATION</t>
  </si>
  <si>
    <t>Education cess @ 4%</t>
  </si>
  <si>
    <t>Opening Balance B/F - (DTL)/DTA</t>
  </si>
  <si>
    <t>Less: land</t>
  </si>
  <si>
    <t>CVR Aircon Private Limited</t>
  </si>
  <si>
    <t>Goodluck Trading Co</t>
  </si>
  <si>
    <t>JM Printer</t>
  </si>
  <si>
    <t>Labour Charges (W/o TDS)</t>
  </si>
  <si>
    <t>M.E.S. Deposit</t>
  </si>
  <si>
    <t>MRM Transport</t>
  </si>
  <si>
    <t>NSIC Renewal Charges</t>
  </si>
  <si>
    <t>Packing Charges - IGST</t>
  </si>
  <si>
    <t>R.S.Rajan Stores</t>
  </si>
  <si>
    <t>Sales  - IGST</t>
  </si>
  <si>
    <t>Sales - SGST</t>
  </si>
  <si>
    <t>Sri Lakshmi Electricals &amp; Hardwares</t>
  </si>
  <si>
    <t>S S Associates</t>
  </si>
  <si>
    <t>Team Air Conditioner</t>
  </si>
  <si>
    <t>(a) Loan/Overdraft  Processing Fee</t>
  </si>
  <si>
    <t>(ii)  GST Payable</t>
  </si>
  <si>
    <t>R &amp; M - Building</t>
  </si>
  <si>
    <t>PF Employee Contribution Refund</t>
  </si>
  <si>
    <t>In current accounts</t>
  </si>
  <si>
    <t>In deposit accounts</t>
  </si>
  <si>
    <t>Claimed in ITR</t>
  </si>
  <si>
    <t>(ii) Payables  - for Capital Goods</t>
  </si>
  <si>
    <t>(ii) Payables  - For Capital expenses</t>
  </si>
  <si>
    <t>Interest on Deposits</t>
  </si>
  <si>
    <t>Job Work Income</t>
  </si>
  <si>
    <t xml:space="preserve">Name of the Assessee                                 </t>
  </si>
  <si>
    <t xml:space="preserve">Permanent Account Number                    </t>
  </si>
  <si>
    <t xml:space="preserve">CIN No.                                                   </t>
  </si>
  <si>
    <t xml:space="preserve">Status                                                       </t>
  </si>
  <si>
    <t xml:space="preserve">Previous Year                                             </t>
  </si>
  <si>
    <t>2021-2022</t>
  </si>
  <si>
    <t>AS ON                   31-03-2021</t>
  </si>
  <si>
    <t>Balance as at 
31 March 2021</t>
  </si>
  <si>
    <t>As at March 31, 2021</t>
  </si>
  <si>
    <t>31st Mar 21</t>
  </si>
  <si>
    <t>Sundry Debtors for the year ended 30th March 2021</t>
  </si>
  <si>
    <t>28,50,000 Equity Shares of Rs. 10 each fully paid</t>
  </si>
  <si>
    <t>28,50,000 Equity Shares of Rs 10 each</t>
  </si>
  <si>
    <t>Asfak - Contract Welder</t>
  </si>
  <si>
    <t>Chennai Mettex Lab Private Limited</t>
  </si>
  <si>
    <t>Discount Received</t>
  </si>
  <si>
    <t>G.S.T Transport</t>
  </si>
  <si>
    <t>Indian Bank TL3 GECL A/c No: 6887518087</t>
  </si>
  <si>
    <t>Interest Paid - IB TL3 GECL</t>
  </si>
  <si>
    <t>Jayesh Metal Corporation</t>
  </si>
  <si>
    <t>Jin Sung Engineering Pvt Ltd</t>
  </si>
  <si>
    <t>Lab Test (W/o TDS)</t>
  </si>
  <si>
    <t>Madras Metals</t>
  </si>
  <si>
    <t>Metlord Alloys Pvt Ltd</t>
  </si>
  <si>
    <t>Mipalloy</t>
  </si>
  <si>
    <t>Pennar Industires Limited(P)</t>
  </si>
  <si>
    <t>Pinky Enterprises</t>
  </si>
  <si>
    <t>Praxair India Private Limited</t>
  </si>
  <si>
    <t>Sanco Enterprises</t>
  </si>
  <si>
    <t>Schwing Stetter India Pvt Ltd</t>
  </si>
  <si>
    <t>Security Deposit  - Prax Air</t>
  </si>
  <si>
    <t>South Central Railway</t>
  </si>
  <si>
    <t>SS Fasteners Pvt Ltd</t>
  </si>
  <si>
    <t>Steel Yard Junction</t>
  </si>
  <si>
    <t>TCS Receivable</t>
  </si>
  <si>
    <t>Udaypratap - Contract Welder</t>
  </si>
  <si>
    <t>Ultratech Paints and Allied Products</t>
  </si>
  <si>
    <t>Vetrivel Enterprises</t>
  </si>
  <si>
    <t>Vignesh Fasteners</t>
  </si>
  <si>
    <t>V.J.R. &amp; Techno Associates</t>
  </si>
  <si>
    <t>V. Rajesh (Nose Cone Contractor)</t>
  </si>
  <si>
    <t>Zita &amp; Company</t>
  </si>
  <si>
    <t>Others.</t>
  </si>
  <si>
    <t>(i)   TDS/TCS Payable</t>
  </si>
  <si>
    <t>GRAND TOTAL</t>
  </si>
  <si>
    <t>FY 2020-21</t>
  </si>
  <si>
    <t>To Profit &amp; Loss account</t>
  </si>
  <si>
    <t>(3) Deferred tax Liability / (Asset)</t>
  </si>
  <si>
    <t>Subsidy received</t>
  </si>
  <si>
    <t>WDV as on 01-04-2020</t>
  </si>
  <si>
    <t>Profit as per above workings</t>
  </si>
  <si>
    <t>Profit as per financials</t>
  </si>
  <si>
    <t xml:space="preserve">Tax                                </t>
  </si>
  <si>
    <t>(Higher of A &amp; B)</t>
  </si>
  <si>
    <t>Less: MAT Credit Utilised</t>
  </si>
  <si>
    <t>Less: Tax Collected at Source</t>
  </si>
  <si>
    <t>36(1)(va)</t>
  </si>
  <si>
    <t>40A(3)</t>
  </si>
  <si>
    <t>40(a)(ia)</t>
  </si>
  <si>
    <t>Disallowance u/s 40(a)(ia)</t>
  </si>
  <si>
    <t>Non deduction of TDS</t>
  </si>
  <si>
    <t xml:space="preserve">(c) Staff Welfare </t>
  </si>
  <si>
    <t>TDS credit b/f</t>
  </si>
  <si>
    <t>TDS as per 26AS</t>
  </si>
  <si>
    <t>TDS as per Books</t>
  </si>
  <si>
    <t>Indian bank circle office</t>
  </si>
  <si>
    <t>PRECISION EQUIPMENTS ( CHENNAI ) PVT LTD</t>
  </si>
  <si>
    <t>JSL lifestyle limited</t>
  </si>
  <si>
    <t>Jin sung engineering pvt ltd</t>
  </si>
  <si>
    <t>TDS credit c/f</t>
  </si>
  <si>
    <t>Excess TDS in books</t>
  </si>
  <si>
    <t>TCS credit b/f</t>
  </si>
  <si>
    <t>TCS credit as per 26AS</t>
  </si>
  <si>
    <t>TCS credit as per books</t>
  </si>
  <si>
    <t>Excess TCS in books</t>
  </si>
  <si>
    <t>TCS claimed in ITR</t>
  </si>
  <si>
    <t>TCS credit c/f</t>
  </si>
  <si>
    <t>Party</t>
  </si>
  <si>
    <t>Alomex Profiles Private Limited</t>
  </si>
  <si>
    <t xml:space="preserve">Mitesh Bhandari </t>
  </si>
  <si>
    <t>Bansal Wire Industries Limited</t>
  </si>
  <si>
    <t xml:space="preserve">Pennar Industries Limited </t>
  </si>
  <si>
    <t>credit in FY19-20 from unknown party hence tds not claimed &amp; c/f</t>
  </si>
  <si>
    <t>OP Raw Materials</t>
  </si>
  <si>
    <t>Op Stores</t>
  </si>
  <si>
    <t>OP Work In Progress</t>
  </si>
  <si>
    <t>OP Finished Goods</t>
  </si>
  <si>
    <t>Raw Materials Consumed &amp; Direct expenses</t>
  </si>
  <si>
    <t>Raw Materials Consumed &amp; Direct Costs</t>
  </si>
  <si>
    <t>Cost of materials consumed &amp; Direct expenses</t>
  </si>
  <si>
    <t xml:space="preserve">For and on behalf of the Board of Directors of </t>
  </si>
  <si>
    <t>For and on behalf of the Board ofDirectors of</t>
  </si>
  <si>
    <t>For and on behalf of the Board of Directors of</t>
  </si>
  <si>
    <t>Deferred Tax asset/Liability</t>
  </si>
  <si>
    <t>(e) Interest on Vehicle</t>
  </si>
  <si>
    <t>(d) Interest on Vehicle loan</t>
  </si>
  <si>
    <t>Liquidty Damages</t>
  </si>
  <si>
    <t>Closing WDV of Assets as at yearend - as per Income Tax Act</t>
  </si>
  <si>
    <t>Closing WDV of Assets as at yearend - as per Books</t>
  </si>
  <si>
    <t>Subsidy Received</t>
  </si>
  <si>
    <t>Note 10</t>
  </si>
  <si>
    <t>Status                                                  :              Company (Domestic company in which public are not substantially interested)</t>
  </si>
  <si>
    <t>Disallowance u/s 37</t>
  </si>
  <si>
    <t>Interest on income tax</t>
  </si>
  <si>
    <t>Interest on TDS &amp; Penalty</t>
  </si>
  <si>
    <t>Cash payments exceeding Rs.10,000</t>
  </si>
  <si>
    <t>As at March 31, 2022</t>
  </si>
  <si>
    <t>Balance as at 
31 March 2022</t>
  </si>
  <si>
    <t>Schedule for Deferred Tax  for the year ended 31.03.22</t>
  </si>
  <si>
    <t>Net Def Tax (Liability)/ Asset at the end of the year - 31-3-2022</t>
  </si>
  <si>
    <t>Entries to be passed for the year 2021-2022</t>
  </si>
  <si>
    <t>DEPRECIATION STATEMENT AS PER INCOME TAX ACT 1961  FOR THE YEAR ENDED 31-03-2022</t>
  </si>
  <si>
    <t>AS ON                   31-03-2022</t>
  </si>
  <si>
    <t>WDV AS ON                     31-03-2022</t>
  </si>
  <si>
    <t>Ace Metro Enterprises</t>
  </si>
  <si>
    <t>AC Zone Private Limited</t>
  </si>
  <si>
    <t>Advance Tax</t>
  </si>
  <si>
    <t>Air Clime Engineers</t>
  </si>
  <si>
    <t>Air Cool</t>
  </si>
  <si>
    <t>Airflow Equipments India Pvt Limited(P)</t>
  </si>
  <si>
    <t>Air  Freeze Corporation</t>
  </si>
  <si>
    <t>Air Friendly Enterprises</t>
  </si>
  <si>
    <t>Airmech Engineers</t>
  </si>
  <si>
    <t>Airomech Systems Pvt Ltd</t>
  </si>
  <si>
    <t>A.K.Steel &amp; Traders</t>
  </si>
  <si>
    <t>Amada India Pvt Ltd</t>
  </si>
  <si>
    <t>Arctic Comfort Engineers</t>
  </si>
  <si>
    <t>Arihant Aluminium Agencies</t>
  </si>
  <si>
    <t>Austopearl Foundry Technologies</t>
  </si>
  <si>
    <t>AVK  Structurals</t>
  </si>
  <si>
    <t>AV Sattva Pvt Ltd</t>
  </si>
  <si>
    <t>Bansal Wire Industries</t>
  </si>
  <si>
    <t>Best Comfort System</t>
  </si>
  <si>
    <t>Certification Expense</t>
  </si>
  <si>
    <t>Chillzone System</t>
  </si>
  <si>
    <t>Cold Point Private Limited</t>
  </si>
  <si>
    <t>Comfort Cooling Systems</t>
  </si>
  <si>
    <t>Coolzone(Coimbatore)</t>
  </si>
  <si>
    <t>Crane Hire Charges (W/o TDS)</t>
  </si>
  <si>
    <t>CST ITC Reversal</t>
  </si>
  <si>
    <t>Deep Engineers</t>
  </si>
  <si>
    <t>Delight Enterprises</t>
  </si>
  <si>
    <t>Dewlite Enterprises Pvt Ltd</t>
  </si>
  <si>
    <t>Dongwoo Surfacetech (India) Pvt Ltd</t>
  </si>
  <si>
    <t>E-Concept Technologies</t>
  </si>
  <si>
    <t>Elite HVAC &amp; Refrigeration Systems</t>
  </si>
  <si>
    <t>Elite HVAC Systems</t>
  </si>
  <si>
    <t>Emperor Engineering Pvt Ltd</t>
  </si>
  <si>
    <t>Eveready  Industries</t>
  </si>
  <si>
    <t>Factory Licence Renewal Charges</t>
  </si>
  <si>
    <t>Forex Gain/loss</t>
  </si>
  <si>
    <t>Glacier Systems India Pvt Ltd</t>
  </si>
  <si>
    <t>GMT Engineers Pvt Ltd</t>
  </si>
  <si>
    <t>Green Engineering Technology</t>
  </si>
  <si>
    <t>Green Power Automation</t>
  </si>
  <si>
    <t>GST - Eway Bill Penalty</t>
  </si>
  <si>
    <t>Hari Enterprises</t>
  </si>
  <si>
    <t>H Square Industries LLP</t>
  </si>
  <si>
    <t>Import Clearing Charges</t>
  </si>
  <si>
    <t>Indane -  LPG Security Deposit</t>
  </si>
  <si>
    <t>Indian Bank Vehicle Loan 7145753131</t>
  </si>
  <si>
    <t>Indira Enterprises</t>
  </si>
  <si>
    <t>Inidan Bank TL4 GECL A/c No. 7124472429</t>
  </si>
  <si>
    <t>Innovac Air Systems Pvt Ltd</t>
  </si>
  <si>
    <t>Interest Paid - IB TL 4 GECL</t>
  </si>
  <si>
    <t>Interest / Penalty on PF &amp; ESI</t>
  </si>
  <si>
    <t>International Trading Corporation</t>
  </si>
  <si>
    <t>Ishwarya Enterprises</t>
  </si>
  <si>
    <t>J J Engineering</t>
  </si>
  <si>
    <t>JVS Air Systems</t>
  </si>
  <si>
    <t>Klean Tech Industries</t>
  </si>
  <si>
    <t>Kool Care Air Conditioning</t>
  </si>
  <si>
    <t>Kulir Technologies</t>
  </si>
  <si>
    <t>Legal Expenses</t>
  </si>
  <si>
    <t>Macro Calibration Services</t>
  </si>
  <si>
    <t>MBI Welding and Cutting Services</t>
  </si>
  <si>
    <t>Mecelp Project Private Limited</t>
  </si>
  <si>
    <t>Metal Extrusions - UNIT II</t>
  </si>
  <si>
    <t>Nagman Instruments and Electronics Pvt Ltd</t>
  </si>
  <si>
    <t>Naksathra Engineering Works</t>
  </si>
  <si>
    <t>New Freezing Point</t>
  </si>
  <si>
    <t>N N Aircon Systems Pvt Ltd</t>
  </si>
  <si>
    <t>OMPS Engineering Industries</t>
  </si>
  <si>
    <t>Output CGST @ 6%</t>
  </si>
  <si>
    <t>Output CGST @ 9%</t>
  </si>
  <si>
    <t>Output  IGST @ 18%</t>
  </si>
  <si>
    <t>Output SGST @ 6%</t>
  </si>
  <si>
    <t>Output SGST @ 9%</t>
  </si>
  <si>
    <t>Ozone Engineers</t>
  </si>
  <si>
    <t>Parshv Industries</t>
  </si>
  <si>
    <t>Pennar Industries Limited</t>
  </si>
  <si>
    <t>Pixel Studios Private Limited</t>
  </si>
  <si>
    <t>Pon Engineers Private Limited</t>
  </si>
  <si>
    <t>Pooja Aircons LLP</t>
  </si>
  <si>
    <t>Premier Glass Works</t>
  </si>
  <si>
    <t>Productivity Solutions Pvt Ltd</t>
  </si>
  <si>
    <t>Profession Tax</t>
  </si>
  <si>
    <t>Pushpanjali Industrial Equipments</t>
  </si>
  <si>
    <t>Rental Deposit - Ilayaraja (Unit 2 Staff Accom.)</t>
  </si>
  <si>
    <t>Rental Deposit - V.Subramanian</t>
  </si>
  <si>
    <t>R R Fibre</t>
  </si>
  <si>
    <t>Saifee Industrial Corporation</t>
  </si>
  <si>
    <t>Sakthi Cool Point</t>
  </si>
  <si>
    <t>Sales Exports</t>
  </si>
  <si>
    <t>Sales SEZ</t>
  </si>
  <si>
    <t>Sapphire Metal Solutions LLP</t>
  </si>
  <si>
    <t>Southco India Pvt Ltd</t>
  </si>
  <si>
    <t>South Western Railway</t>
  </si>
  <si>
    <t>S.P.Balasubramaniam</t>
  </si>
  <si>
    <t>Sree Arumuga Steel Traders</t>
  </si>
  <si>
    <t>Sri Hari Airconditioners</t>
  </si>
  <si>
    <t>Sri Nallith Industries</t>
  </si>
  <si>
    <t>Sri Velan Traders</t>
  </si>
  <si>
    <t>Sri Venkateswaraa Engineering</t>
  </si>
  <si>
    <t>SSK Engineers</t>
  </si>
  <si>
    <t>Sunshine Hardwares</t>
  </si>
  <si>
    <t>TDS on Contract 21-22</t>
  </si>
  <si>
    <t>TDS on Professional Sevice 21-22</t>
  </si>
  <si>
    <t>TDS on Rent 21-22</t>
  </si>
  <si>
    <t>TDS on Salary 21-22</t>
  </si>
  <si>
    <t>TDS on Technical Service 21-22</t>
  </si>
  <si>
    <t>TDS Receivable 20-21</t>
  </si>
  <si>
    <t>TDS Receivable 21-22</t>
  </si>
  <si>
    <t>The Madurai Air Systems</t>
  </si>
  <si>
    <t>Thermal Scientific Works</t>
  </si>
  <si>
    <t>Thulasi Enterprises</t>
  </si>
  <si>
    <t>TUV SUD South Asia Pvt Ltd</t>
  </si>
  <si>
    <t>Ultracool Engineers</t>
  </si>
  <si>
    <t>Unimech Systems (India) Pvt Ltd</t>
  </si>
  <si>
    <t>Universal Engineers Chennai Pvt.Ltd.</t>
  </si>
  <si>
    <t>Vedham &amp; Co</t>
  </si>
  <si>
    <t>Vehicle - Maruti Dzire</t>
  </si>
  <si>
    <t>Vehicle Trailer - 75 Feet</t>
  </si>
  <si>
    <t>Vehicle Trailer Jeep - Leyland</t>
  </si>
  <si>
    <t>Venus Industries</t>
  </si>
  <si>
    <t>VITh Vulcan India</t>
  </si>
  <si>
    <t>WMS Consultancy</t>
  </si>
  <si>
    <t>31st Mar 22</t>
  </si>
  <si>
    <t>Vehicle</t>
  </si>
  <si>
    <t>Camera &amp; Installation</t>
  </si>
  <si>
    <t>Welding Machine</t>
  </si>
  <si>
    <t xml:space="preserve">Computer  </t>
  </si>
  <si>
    <t>75 Feet Trailor</t>
  </si>
  <si>
    <t>Trailor Jeep</t>
  </si>
  <si>
    <t>Maruti Dezire Car</t>
  </si>
  <si>
    <t>Steel Almirah</t>
  </si>
  <si>
    <t>Printer</t>
  </si>
  <si>
    <t>Projector</t>
  </si>
  <si>
    <t>Paint Booth</t>
  </si>
  <si>
    <t>FY 2021-22</t>
  </si>
  <si>
    <t>Solidworks Premium Software</t>
  </si>
  <si>
    <t>B.Selling Expenses</t>
  </si>
  <si>
    <t>01-04-2021 TO 31-03-2022</t>
  </si>
  <si>
    <t>Adithya Wire Mesh Solutions</t>
  </si>
  <si>
    <t>Airtech Engineers</t>
  </si>
  <si>
    <t>Annai Water Supply</t>
  </si>
  <si>
    <t>A.P.R Engineering</t>
  </si>
  <si>
    <t>Aston Packaging Solutions</t>
  </si>
  <si>
    <t>Avalon Technology and Services Pvt Ltd (SEZ)</t>
  </si>
  <si>
    <t>Avalon Technology and Services Pvt Ltd (SIPCOT)</t>
  </si>
  <si>
    <t>Burhani Industrial Supplies</t>
  </si>
  <si>
    <t>Chennai Steel Tubes</t>
  </si>
  <si>
    <t>GST Late Filing Fee</t>
  </si>
  <si>
    <t>Hensel Electric India Pvt Ltd</t>
  </si>
  <si>
    <t>Illayaraja Rent Payable - Unit II Staff Accom.</t>
  </si>
  <si>
    <t>KS Welding Services</t>
  </si>
  <si>
    <t>Lease Rental Deposit - SVR Paradise 1st Flr</t>
  </si>
  <si>
    <t>Lease Rental Deposit - SVR Paradise GF</t>
  </si>
  <si>
    <t>Metal Testing Centre</t>
  </si>
  <si>
    <t>MK Best Calibration Services</t>
  </si>
  <si>
    <t>MP Tours and Travels</t>
  </si>
  <si>
    <t>National Gas Agency</t>
  </si>
  <si>
    <t>Navratan Metal Industries</t>
  </si>
  <si>
    <t>Sai Vignesha Power</t>
  </si>
  <si>
    <t>SD Anodising</t>
  </si>
  <si>
    <t>SIDBI - Machinery Loan No. D000444H</t>
  </si>
  <si>
    <t>Sri Guru Engineering Services</t>
  </si>
  <si>
    <t>Srinivasa Steel Products LLP</t>
  </si>
  <si>
    <t>SS Punching And Folding</t>
  </si>
  <si>
    <t>Subramanian V - Rent Payable Ramaniyam Flats</t>
  </si>
  <si>
    <t>Sun Phospho Chem</t>
  </si>
  <si>
    <t>Tamilnad Aluminium Company(F)</t>
  </si>
  <si>
    <t>TDS on Interest 21-22</t>
  </si>
  <si>
    <t>Trumpf (India) Pvt Ltd - Pune</t>
  </si>
  <si>
    <t>Vanes Engineering India Pvt. Ltd</t>
  </si>
  <si>
    <t>Venkateshwara Fibre Glass (Chennai) Pvt Ltd</t>
  </si>
  <si>
    <t>Vibgyor Paints &amp; Chemicals Pondicherry</t>
  </si>
  <si>
    <t>Virwadia Metal and Alloys</t>
  </si>
  <si>
    <t>Lease Deposits</t>
  </si>
  <si>
    <t>Reason for difference:</t>
  </si>
  <si>
    <t>ADDITION TO FA</t>
  </si>
  <si>
    <t>As per Tally</t>
  </si>
  <si>
    <t>As per Financials</t>
  </si>
  <si>
    <t>Shot Blast Equipment</t>
  </si>
  <si>
    <t>Paint Booth Equipment</t>
  </si>
  <si>
    <t>Industrial Crane</t>
  </si>
  <si>
    <t>Power Unit</t>
  </si>
  <si>
    <t>Subsidy-Rs.15,00,000</t>
  </si>
  <si>
    <t>Note 23</t>
  </si>
  <si>
    <t>G.1.Rock Security &amp; Management Services</t>
  </si>
  <si>
    <t>Indian Bank - FD (BG Margin)</t>
  </si>
  <si>
    <t>Interest on Vehicle Loan - Indian Bank</t>
  </si>
  <si>
    <t>J S Components</t>
  </si>
  <si>
    <t>Metal Scope (India) Pvt Ltd (TN)</t>
  </si>
  <si>
    <t>Nandhakishore.M</t>
  </si>
  <si>
    <t>OM Sakthi Crane Services</t>
  </si>
  <si>
    <t>Raja</t>
  </si>
  <si>
    <t>Rajadurai / Karnan</t>
  </si>
  <si>
    <t>Rajan Kumar M</t>
  </si>
  <si>
    <t>Salem Steel Industries</t>
  </si>
  <si>
    <t>Sri Sairam CNC Cutting and Folding</t>
  </si>
  <si>
    <t>TDS on Purchase of Goods 21-22</t>
  </si>
  <si>
    <t>VKN Industries</t>
  </si>
  <si>
    <t>OTHER EXPENSES</t>
  </si>
  <si>
    <t>DEPRECIATION AND AMORTIZATION EXPENSE</t>
  </si>
  <si>
    <t>FINANCE COSTS</t>
  </si>
  <si>
    <t>EMPLOYEE BENEFITS EXPENSE</t>
  </si>
  <si>
    <t>CHANGES IN INVENTORIES OF FINISHED GOODS, WORK-IN-PROGRESS AND STOCK IN TRADE</t>
  </si>
  <si>
    <t>PURCHASES AND DIRECT COSTS</t>
  </si>
  <si>
    <t>OTHER INCOME..</t>
  </si>
  <si>
    <t>REVENUE FROM OPERATIONS</t>
  </si>
  <si>
    <t>CASH AND CASH EQUIVALENTS</t>
  </si>
  <si>
    <t>TRADE RECEIVABLES</t>
  </si>
  <si>
    <t>INVENTORIES</t>
  </si>
  <si>
    <t>LONG TERM LOANS &amp; ADVANCES</t>
  </si>
  <si>
    <t>FIXED ASSETS</t>
  </si>
  <si>
    <t>SHORT-TERM PROVISIONS</t>
  </si>
  <si>
    <t>OTHER CURRENT LIABILITIES</t>
  </si>
  <si>
    <t>TRADE PAYABLES</t>
  </si>
  <si>
    <t>SHORT-TERM BORROWINGS</t>
  </si>
  <si>
    <t>LONG-TERM PROVISIONS</t>
  </si>
  <si>
    <t>DEFERRED TAX ASSETS/(LIABILITIES) (NET)</t>
  </si>
  <si>
    <t>LONG-TERM BORROWINGS</t>
  </si>
  <si>
    <t>RESERVES AND SURPLUS</t>
  </si>
  <si>
    <t>SHARE CAPITAL.</t>
  </si>
  <si>
    <t>DEBIT</t>
  </si>
  <si>
    <t>CREDIT</t>
  </si>
  <si>
    <t>NETT</t>
  </si>
  <si>
    <t>Processing Fee</t>
  </si>
  <si>
    <t>Profit as per tally</t>
  </si>
  <si>
    <t>Closing Stock of RM, WIP and Finished Goods (Valued and certified by Management)</t>
  </si>
  <si>
    <t>Processing fee</t>
  </si>
  <si>
    <t>(B) Total outstanding dues of creditors other than Micro enterprises and small enterprises</t>
  </si>
  <si>
    <t>Total Income (I + II)</t>
  </si>
  <si>
    <t>(A) Total outstanding dues of micro enterprises and small enterprises</t>
  </si>
  <si>
    <t>Property, Plant and Equipment</t>
  </si>
  <si>
    <t>Property, Plant and Equipment and Intangible Assets</t>
  </si>
  <si>
    <t>Other Non-Current Assets</t>
  </si>
  <si>
    <t>Other non-current assets</t>
  </si>
  <si>
    <t>Ratio</t>
  </si>
  <si>
    <t>Trade payable ageing schedule as on 31st Mar 2022</t>
  </si>
  <si>
    <t>Outstanding for following periods from due date of payment</t>
  </si>
  <si>
    <t>Less than 1 year</t>
  </si>
  <si>
    <t>1-2 years</t>
  </si>
  <si>
    <t>2-3 years</t>
  </si>
  <si>
    <t>More than 3 years</t>
  </si>
  <si>
    <t>(i) MSME</t>
  </si>
  <si>
    <t>(ii) Others</t>
  </si>
  <si>
    <t>(iii) Disputed dues- MSME</t>
  </si>
  <si>
    <t>(iv) Disputed dues-Others</t>
  </si>
  <si>
    <t>Trade payable ageing schedule as on 31st Mar 2021</t>
  </si>
  <si>
    <t>Trade Receivables  ageing schedule as on 31st Mar 2022</t>
  </si>
  <si>
    <t>Less than 6 months</t>
  </si>
  <si>
    <t>6 months - 1 year</t>
  </si>
  <si>
    <t>Undisputed Trade Receivables- considered good</t>
  </si>
  <si>
    <t>Undisputed Trade Receivables- considered doubtful</t>
  </si>
  <si>
    <t>Disputed Trade Receivables- considered good</t>
  </si>
  <si>
    <t>Disputed Trade Receivables- considered doubtful</t>
  </si>
  <si>
    <t>Trade Receivables  ageing schedule as on 31st Mar 2021</t>
  </si>
  <si>
    <t xml:space="preserve"> Shares held by promoters at the end of the year</t>
  </si>
  <si>
    <t>Promoter name</t>
  </si>
  <si>
    <t>No of Shares</t>
  </si>
  <si>
    <t>% of Total shares</t>
  </si>
  <si>
    <t>% change during the year</t>
  </si>
  <si>
    <t>-</t>
  </si>
  <si>
    <t>b. Cash in hand</t>
  </si>
  <si>
    <t>Maruti Desire (INCL REG)</t>
  </si>
  <si>
    <t>Software</t>
  </si>
  <si>
    <t xml:space="preserve">Software </t>
  </si>
  <si>
    <t>Note 11 - Property, Plant &amp; Equipment and Intangible Assets</t>
  </si>
  <si>
    <t>Property, Plant &amp; Equipment</t>
  </si>
  <si>
    <t>DISALLOWANCE FROM FORM 3CD</t>
  </si>
  <si>
    <t>BLOCK - V 40%</t>
  </si>
  <si>
    <t>BLOCK - IV 25%</t>
  </si>
  <si>
    <t>Other Advances</t>
  </si>
  <si>
    <t>WDV as on 01-04-2021</t>
  </si>
  <si>
    <t>OTHER CURRENT ASSETS</t>
  </si>
  <si>
    <t>Other current assets</t>
  </si>
  <si>
    <t xml:space="preserve">a. Due to related parties
</t>
  </si>
  <si>
    <t>(c) Loan from Banks (secured by the immovable proerty and Machineries of the company)</t>
  </si>
  <si>
    <t>(iii) Payables - for Raw Materials</t>
  </si>
  <si>
    <t>(iii) Raw Material Creditors</t>
  </si>
  <si>
    <t>Other Payables</t>
  </si>
  <si>
    <t>(b) NSIC- Loan against guarantee</t>
  </si>
  <si>
    <t>Income Tax Refund</t>
  </si>
  <si>
    <t>Income Tax Refund due</t>
  </si>
  <si>
    <t>Less : Advance tax paid on</t>
  </si>
  <si>
    <t>14/12/2021</t>
  </si>
  <si>
    <t>15/3/2022</t>
  </si>
  <si>
    <t>Note 7</t>
  </si>
  <si>
    <t>(c) Loan from Banks (Secured against factory plot &amp; building, machineries &amp; equipments, property of relative of director and personal guarantee of the directors)</t>
  </si>
  <si>
    <t>Telephone and electricity deposits</t>
  </si>
  <si>
    <t>10 Rs to be c/f</t>
  </si>
  <si>
    <t>866 Rs to be c/f</t>
  </si>
  <si>
    <t>STATEMENT OF TOTAL INCOME FOR THE YEAR ENDED 31-3-2022</t>
  </si>
  <si>
    <t>2021 - 2022</t>
  </si>
  <si>
    <t>2022 - 2023</t>
  </si>
  <si>
    <t>(b) Loan from Banks (Secured against factory plot &amp; building, machineries &amp; equipments and Properties of relative of director and personal guarantee of the Directors)</t>
  </si>
  <si>
    <t>GP</t>
  </si>
  <si>
    <t>Cost of Sales</t>
  </si>
  <si>
    <t>Sales</t>
  </si>
  <si>
    <t>(ii) Dues to Directors</t>
  </si>
  <si>
    <t>(iv) Others</t>
  </si>
  <si>
    <t>(a) Dues to Related Parties</t>
  </si>
  <si>
    <t>(b) Outstanding expenses</t>
  </si>
  <si>
    <t>(c) Statutory Dues</t>
  </si>
  <si>
    <t>(d) Others</t>
  </si>
  <si>
    <t>Decrease / (Increase) in Inventories</t>
  </si>
  <si>
    <t>Variance %</t>
  </si>
  <si>
    <t>Reasons for Variance (Mandatory if variance is more than 25%)</t>
  </si>
  <si>
    <t>- Current Assets</t>
  </si>
  <si>
    <t>- Current Liabilities</t>
  </si>
  <si>
    <t>- Shareholders Equity</t>
  </si>
  <si>
    <t>- Net Profits after taxes – Preference Dividend (if any)</t>
  </si>
  <si>
    <t>(h) Net capital turnover ratio</t>
  </si>
  <si>
    <t>- Average Working Capital</t>
  </si>
  <si>
    <t xml:space="preserve">- Net profit </t>
  </si>
  <si>
    <t>- Earnings Before Interest and tax</t>
  </si>
  <si>
    <t>(a) Current Ratio (in times)</t>
  </si>
  <si>
    <t>(b) Debt-Equity Ratio (in times)</t>
  </si>
  <si>
    <t>(c) Debt Service Coverage Ratio (in times)</t>
  </si>
  <si>
    <t>(d) Return on Equity Ratio (in %)</t>
  </si>
  <si>
    <t>(e) Inventory turnover ratio (in times)</t>
  </si>
  <si>
    <t>(f) Trade Receivables turnover ratio (in times)</t>
  </si>
  <si>
    <t>(g) Trade payables turnover ratio (in times)</t>
  </si>
  <si>
    <t>(i) Net profit ratio (in %)</t>
  </si>
  <si>
    <t>(j) Return on Capital employed (in %)</t>
  </si>
  <si>
    <t>- Average Capital employed</t>
  </si>
  <si>
    <t>(k) Return on investment (in %)</t>
  </si>
  <si>
    <t>- Revenue from operations</t>
  </si>
  <si>
    <t>Year ended 31 March, 2022</t>
  </si>
  <si>
    <t>Year ended 31 March, 2021</t>
  </si>
  <si>
    <t>Current assets/ current liabilities</t>
  </si>
  <si>
    <t>(Total Debt - Cash and cash equivalents)/ (Total equity - Investments in subsidiaries)</t>
  </si>
  <si>
    <t>- Investments in subsidiaries</t>
  </si>
  <si>
    <t>- Interest expense</t>
  </si>
  <si>
    <t>- Investment in subsidiaries</t>
  </si>
  <si>
    <t>Credit Purchases / Average trade payables</t>
  </si>
  <si>
    <t>- Purchases</t>
  </si>
  <si>
    <t>NA</t>
  </si>
  <si>
    <t>- Other Income</t>
  </si>
  <si>
    <t xml:space="preserve"> - Cash &amp; Cash Equivalents</t>
  </si>
  <si>
    <t xml:space="preserve">- Total Debt </t>
  </si>
  <si>
    <t>- Profit before tax</t>
  </si>
  <si>
    <t>- Repayments made during the year</t>
  </si>
  <si>
    <t>- Opening Shareholder’s Equity</t>
  </si>
  <si>
    <t>- Closing Shareholder’s Equity</t>
  </si>
  <si>
    <t>- Opening Inventory</t>
  </si>
  <si>
    <t>- Closing Inventory</t>
  </si>
  <si>
    <t xml:space="preserve">- Closing Trade Debtors / Accounts receivable </t>
  </si>
  <si>
    <t xml:space="preserve">- Opening Trade Debtors / Accounts receivable </t>
  </si>
  <si>
    <t>- Opening Trade Payables</t>
  </si>
  <si>
    <t>- Closing Trade Payables</t>
  </si>
  <si>
    <t>- Closing Cash and Cash Equivalents</t>
  </si>
  <si>
    <t>- Opening Cash and Cash Equivalents</t>
  </si>
  <si>
    <t>Profit after tax / (Average equity – Investments in subsidiaries)</t>
  </si>
  <si>
    <t xml:space="preserve"> Revenue from operations / Average inventories</t>
  </si>
  <si>
    <t>Revenue from operations / Average trade receivables</t>
  </si>
  <si>
    <t>Revenue from operations /  Average Working Capital</t>
  </si>
  <si>
    <t>Net profit / Revenue from operations</t>
  </si>
  <si>
    <t>Other Income / Average Cash and Cash Equivalents and Other Marketable Securities)</t>
  </si>
  <si>
    <t>- Other marketable securities at the beginning of the year</t>
  </si>
  <si>
    <t>- Other marketable securities at the end of the year</t>
  </si>
  <si>
    <t>140A Tax Paid</t>
  </si>
  <si>
    <t>Date: 02-09-2022</t>
  </si>
  <si>
    <t>DATE: 02-09-2022</t>
  </si>
  <si>
    <t xml:space="preserve"> Statement of Profit And Loss for the Year Ended 31st March 2022</t>
  </si>
  <si>
    <t xml:space="preserve"> Balance Sheet as at 31st March 2022</t>
  </si>
  <si>
    <t>(All amounts are in Indian Rupees in thousands, except share data and as stated)</t>
  </si>
  <si>
    <t>NOTES TO THE FINANCIAL STATEMENTS FOR THE YEAR ENDED 31 MARCH 2022</t>
  </si>
  <si>
    <t xml:space="preserve">Assessment Year                                  </t>
  </si>
  <si>
    <t>tds short reported in 26as form. Hence the excess tds credit receivable will be claimed in the year of receipt</t>
  </si>
  <si>
    <t>tcs short reported in 26as form. Hence the excess tds credit receivable will be claimed in the year of receipt</t>
  </si>
  <si>
    <t>Assessment Year                               :             2022-2023</t>
  </si>
  <si>
    <t>Previous Year                                     :             2021-2022</t>
  </si>
  <si>
    <t>Summary of Significant Accounting Policies</t>
  </si>
  <si>
    <t>The accompanying notes are an integral part of the financial statements</t>
  </si>
  <si>
    <t>For S. Ravi &amp; Associates</t>
  </si>
  <si>
    <t>As at 31st March, 2022
(Current reporting period)</t>
  </si>
  <si>
    <t>As at 31st March, 2021
(Previous reporting period)</t>
  </si>
  <si>
    <t>For the year ended 
31st  March, 2022</t>
  </si>
  <si>
    <t>For the year ended 
31st  March, 2021</t>
  </si>
  <si>
    <t xml:space="preserve"> BALANCE SHEET AS AT 31ST MARCH 2022</t>
  </si>
  <si>
    <t>STATEMENT OF CASH FLOW FOR THE YEAR ENDED 31ST MARCH 2022</t>
  </si>
  <si>
    <t>Changes in inventories of WIP, Finished goods and Stock-in-Trade</t>
  </si>
  <si>
    <t>a+b</t>
  </si>
  <si>
    <t>Increase in turnover &amp; Profit</t>
  </si>
  <si>
    <t>Creditors paid before timeline</t>
  </si>
  <si>
    <t>Collections made before timeline</t>
  </si>
  <si>
    <t>Equity shares: The Company has one class of equity shares having a par value of Rs 10 per share. Each shareholder is eligible for one vote per share held. In the event of liquidation, the equity shareholders are eligible to receive the remaining assets of the Company after distribution of all preferential amounts, in proportion to their shareholding. The dividend proposed by the Board of Directors is subject to the approval of the shareholders in the ensuing Annual General Meeting, except in case of interim dividend</t>
  </si>
  <si>
    <t>Rights, preferences and restrictions attached to shares</t>
  </si>
  <si>
    <t>For the year ended 31 March, 2022</t>
  </si>
  <si>
    <t>For the year ended 31 March, 2021</t>
  </si>
  <si>
    <t xml:space="preserve"> (Profit before tax + Interest expenses) / (Interest expenses + Repayment of long-term loans during the year)</t>
  </si>
  <si>
    <t>(Profit before tax + Interest expenses)/( Average capital employed- Cash and Cash Equivalents)</t>
  </si>
  <si>
    <t>Interest expenses</t>
  </si>
  <si>
    <t>Average Equity</t>
  </si>
  <si>
    <t>Average Borrowing</t>
  </si>
  <si>
    <t>Cash and Cash equivalent</t>
  </si>
  <si>
    <t>Return on capital employed (Gross) %</t>
  </si>
  <si>
    <t>As at 31st Mar 2022</t>
  </si>
  <si>
    <t>As at 31st Mar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</si>
</sst>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41" formatCode="_ * #,##0_ ;_ * \-#,##0_ ;_ * &quot;-&quot;_ ;_ @_ "/>
    <numFmt numFmtId="43" formatCode="_ * #,##0.00_ ;_ * \-#,##0.00_ ;_ * &quot;-&quot;??_ ;_ @_ "/>
    <numFmt numFmtId="164" formatCode="_(* #,##0_);_(* \(#,##0\);_(* &quot;-&quot;_);_(@_)"/>
    <numFmt numFmtId="165" formatCode="_(&quot;$&quot;* #,##0.00_);_(&quot;$&quot;* \(#,##0.00\);_(&quot;$&quot;* &quot;-&quot;??_);_(@_)"/>
    <numFmt numFmtId="166" formatCode="_(* #,##0.00_);_(* \(#,##0.00\);_(* &quot;-&quot;??_);_(@_)"/>
    <numFmt numFmtId="167" formatCode="_-&quot;£&quot;* #,##0_-;\-&quot;£&quot;* #,##0_-;_-&quot;£&quot;* &quot;-&quot;_-;_-@_-"/>
    <numFmt numFmtId="168" formatCode="_-* #,##0_-;\-* #,##0_-;_-* &quot;-&quot;_-;_-@_-"/>
    <numFmt numFmtId="169" formatCode="_-&quot;£&quot;* #,##0.00_-;\-&quot;£&quot;* #,##0.00_-;_-&quot;£&quot;* &quot;-&quot;??_-;_-@_-"/>
    <numFmt numFmtId="170" formatCode="_-* #,##0.00_-;\-* #,##0.00_-;_-* &quot;-&quot;??_-;_-@_-"/>
    <numFmt numFmtId="171" formatCode="0_);\(0\)"/>
    <numFmt numFmtId="172" formatCode="_(* #,##0_);_(* \(#,##0\);_(* &quot;-&quot;??_);_(@_)"/>
    <numFmt numFmtId="173" formatCode="0.000"/>
    <numFmt numFmtId="174" formatCode="00000"/>
    <numFmt numFmtId="175" formatCode="_(* #,##0.0000_);_(* \(#,##0.0000\);_(* &quot;-&quot;??_);_(@_)"/>
    <numFmt numFmtId="176" formatCode="0.00_)"/>
    <numFmt numFmtId="177" formatCode="#,##0\ &quot;F&quot;;\-#,##0\ &quot;F&quot;"/>
    <numFmt numFmtId="178" formatCode="_-* #,##0\ &quot;F&quot;_-;\-* #,##0\ &quot;F&quot;_-;_-* &quot;-&quot;\ &quot;F&quot;_-;_-@_-"/>
    <numFmt numFmtId="179" formatCode="#,##0\ &quot;F&quot;;[Red]\-#,##0\ &quot;F&quot;"/>
    <numFmt numFmtId="180" formatCode="_-* #,##0\ _F_-;\-* #,##0\ _F_-;_-* &quot;-&quot;\ _F_-;_-@_-"/>
    <numFmt numFmtId="181" formatCode="_-* #,##0.00\ [$€-1]_-;\-* #,##0.00\ [$€-1]_-;_-* &quot;-&quot;??\ [$€-1]_-"/>
    <numFmt numFmtId="182" formatCode="#,##0.00\ &quot;F&quot;;[Red]\-#,##0.00\ &quot;F&quot;"/>
    <numFmt numFmtId="183" formatCode="&quot;$&quot;#,##0.0000_);\(&quot;$&quot;#,##0.0000\)"/>
    <numFmt numFmtId="184" formatCode="s\t\a\nd\a\rd"/>
    <numFmt numFmtId="185" formatCode="#,##0.00;[Red]\(#,##0.00\)"/>
    <numFmt numFmtId="186" formatCode="mmm\-d\-yy"/>
    <numFmt numFmtId="187" formatCode="General_)"/>
    <numFmt numFmtId="188" formatCode="mmm\ d\ yy"/>
    <numFmt numFmtId="189" formatCode="m\o\n\th\ d\,\ \ yyyy"/>
    <numFmt numFmtId="190" formatCode="mmmm\-d\-yy"/>
    <numFmt numFmtId="191" formatCode="m\o\n\th\ d\,\ yyyy"/>
    <numFmt numFmtId="192" formatCode="#.00"/>
    <numFmt numFmtId="193" formatCode="#,##0.0"/>
    <numFmt numFmtId="194" formatCode="#."/>
    <numFmt numFmtId="195" formatCode="0.0"/>
    <numFmt numFmtId="196" formatCode="_ &quot;S/&quot;* #,##0_ ;_ &quot;S/&quot;* \-#,##0_ ;_ &quot;S/&quot;* &quot;-&quot;_ ;_ @_ "/>
    <numFmt numFmtId="197" formatCode="_ &quot;S/&quot;* #,##0.00_ ;_ &quot;S/&quot;* \-#,##0.00_ ;_ &quot;S/&quot;* &quot;-&quot;??_ ;_ @_ "/>
    <numFmt numFmtId="198" formatCode="m\o\n\th\ \'yy"/>
    <numFmt numFmtId="199" formatCode="mmmm\ \'yy"/>
    <numFmt numFmtId="200" formatCode="_-&quot;$&quot;* #,##0_-;\-&quot;$&quot;* #,##0_-;_-&quot;$&quot;* &quot;-&quot;_-;_-@_-"/>
    <numFmt numFmtId="201" formatCode="_-&quot;$&quot;* #,##0.00_-;\-&quot;$&quot;* #,##0.00_-;_-&quot;$&quot;* &quot;-&quot;??_-;_-@_-"/>
    <numFmt numFmtId="202" formatCode="[$-409]d\-mmm\-yy;@"/>
    <numFmt numFmtId="203" formatCode="m/d/yy;@"/>
    <numFmt numFmtId="204" formatCode="&quot;&quot;0.00"/>
    <numFmt numFmtId="205" formatCode="&quot;&quot;0"/>
    <numFmt numFmtId="206" formatCode="dd\-mm\-yyyy"/>
    <numFmt numFmtId="207" formatCode="_ * #,##0_ ;_ * \-#,##0_ ;_ * &quot;-&quot;??_ ;_ @_ "/>
    <numFmt numFmtId="208" formatCode="_(* #,##0_);_(* \(#,##0\);_(* \-??_);_(@_)"/>
    <numFmt numFmtId="209" formatCode="_(* #,##0.00_);_(* \(#,##0.00\);_(* \-??_);_(@_)"/>
    <numFmt numFmtId="210" formatCode="m&quot;ont&quot;h\ d&quot;,  &quot;yyyy"/>
    <numFmt numFmtId="211" formatCode="_(\$* #,##0.00_);_(\$* \(#,##0.00\);_(\$* \-??_);_(@_)"/>
    <numFmt numFmtId="212" formatCode="m&quot;ont&quot;h\ d&quot;, &quot;yyyy"/>
    <numFmt numFmtId="213" formatCode="m&quot;ont&quot;h&quot; '&quot;yy"/>
    <numFmt numFmtId="214" formatCode="mmmm&quot; '&quot;yy"/>
    <numFmt numFmtId="215" formatCode="dd\-mmm\-yyyy"/>
    <numFmt numFmtId="216" formatCode="_ * #,##0.00_ ;_ * \-#,##0.00_ ;_ * &quot;-&quot;_ ;_ @_ "/>
  </numFmts>
  <fonts count="96">
    <font>
      <sz val="10"/>
      <name val="Arial"/>
    </font>
    <font>
      <sz val="11"/>
      <color theme="1"/>
      <name val="Calibri"/>
      <family val="2"/>
      <scheme val="minor"/>
    </font>
    <font>
      <sz val="11"/>
      <color indexed="8"/>
      <name val="Calibri"/>
      <family val="2"/>
    </font>
    <font>
      <sz val="10"/>
      <name val="Arial"/>
      <family val="2"/>
    </font>
    <font>
      <sz val="8"/>
      <name val="Arial"/>
      <family val="2"/>
    </font>
    <font>
      <sz val="10"/>
      <name val="Arial"/>
      <family val="2"/>
    </font>
    <font>
      <b/>
      <sz val="10"/>
      <name val="Times New Roman"/>
      <family val="1"/>
    </font>
    <font>
      <u/>
      <sz val="10"/>
      <color indexed="12"/>
      <name val="Arial"/>
      <family val="2"/>
    </font>
    <font>
      <b/>
      <sz val="11"/>
      <name val="Times New Roman"/>
      <family val="1"/>
    </font>
    <font>
      <sz val="10"/>
      <color indexed="8"/>
      <name val="Arial"/>
      <family val="2"/>
    </font>
    <font>
      <sz val="10"/>
      <name val="Trebuchet MS"/>
      <family val="2"/>
    </font>
    <font>
      <sz val="10"/>
      <name val="Courier"/>
      <family val="3"/>
    </font>
    <font>
      <sz val="14"/>
      <name val="AngsanaUPC"/>
      <family val="1"/>
    </font>
    <font>
      <sz val="12"/>
      <name val="Tms Rmn"/>
    </font>
    <font>
      <sz val="12"/>
      <name val="¹ÙÅÁÃ¼"/>
      <charset val="129"/>
    </font>
    <font>
      <sz val="12"/>
      <name val="Helv"/>
    </font>
    <font>
      <b/>
      <sz val="12"/>
      <name val="Arial"/>
      <family val="2"/>
    </font>
    <font>
      <b/>
      <sz val="14"/>
      <name val="Helv"/>
    </font>
    <font>
      <sz val="10"/>
      <name val="Geneva"/>
    </font>
    <font>
      <sz val="7"/>
      <name val="Small Fonts"/>
      <family val="2"/>
    </font>
    <font>
      <sz val="12"/>
      <name val="Arial"/>
      <family val="2"/>
    </font>
    <font>
      <sz val="24"/>
      <color indexed="13"/>
      <name val="Helv"/>
    </font>
    <font>
      <sz val="8"/>
      <name val="Arial"/>
      <family val="2"/>
      <charset val="204"/>
    </font>
    <font>
      <sz val="11"/>
      <name val="Arial"/>
      <family val="2"/>
    </font>
    <font>
      <sz val="11"/>
      <color indexed="8"/>
      <name val="Calibri"/>
      <family val="2"/>
    </font>
    <font>
      <sz val="8"/>
      <name val="Arial"/>
      <family val="2"/>
    </font>
    <font>
      <sz val="10"/>
      <name val="Helv"/>
      <charset val="204"/>
    </font>
    <font>
      <sz val="9"/>
      <name val="Times New Roman"/>
      <family val="1"/>
    </font>
    <font>
      <sz val="10"/>
      <name val="Comic Sans MS"/>
      <family val="4"/>
    </font>
    <font>
      <sz val="10"/>
      <name val="BERNHARD"/>
    </font>
    <font>
      <sz val="10"/>
      <name val="Helv"/>
    </font>
    <font>
      <sz val="1"/>
      <color indexed="8"/>
      <name val="Courier"/>
      <family val="3"/>
    </font>
    <font>
      <sz val="12"/>
      <color indexed="24"/>
      <name val="Arial"/>
      <family val="2"/>
    </font>
    <font>
      <sz val="10"/>
      <name val="MS Sans Serif"/>
      <family val="2"/>
    </font>
    <font>
      <b/>
      <sz val="1"/>
      <color indexed="8"/>
      <name val="Courier"/>
      <family val="3"/>
    </font>
    <font>
      <sz val="10"/>
      <color indexed="10"/>
      <name val="Arial"/>
      <family val="2"/>
    </font>
    <font>
      <u/>
      <sz val="9"/>
      <color indexed="12"/>
      <name val="Arial"/>
      <family val="2"/>
    </font>
    <font>
      <b/>
      <sz val="10"/>
      <name val="Arial CE"/>
      <family val="2"/>
      <charset val="238"/>
    </font>
    <font>
      <sz val="8"/>
      <name val="Helv"/>
    </font>
    <font>
      <u/>
      <sz val="9"/>
      <color indexed="36"/>
      <name val="Arial"/>
      <family val="2"/>
    </font>
    <font>
      <sz val="12"/>
      <name val="Univers (WN)"/>
    </font>
    <font>
      <sz val="11"/>
      <color indexed="17"/>
      <name val="Calibri"/>
      <family val="2"/>
    </font>
    <font>
      <sz val="10"/>
      <name val="Arial"/>
      <family val="2"/>
    </font>
    <font>
      <sz val="10"/>
      <name val="Calibri"/>
      <family val="2"/>
    </font>
    <font>
      <b/>
      <sz val="10"/>
      <name val="Calibri"/>
      <family val="2"/>
    </font>
    <font>
      <b/>
      <u/>
      <sz val="10"/>
      <name val="Calibri"/>
      <family val="2"/>
    </font>
    <font>
      <sz val="10"/>
      <color indexed="8"/>
      <name val="Calibri"/>
      <family val="2"/>
    </font>
    <font>
      <b/>
      <u val="singleAccounting"/>
      <sz val="10"/>
      <name val="Calibri"/>
      <family val="2"/>
    </font>
    <font>
      <b/>
      <sz val="10"/>
      <color indexed="8"/>
      <name val="Calibri"/>
      <family val="2"/>
    </font>
    <font>
      <sz val="10"/>
      <name val="Times New Roman"/>
      <family val="1"/>
    </font>
    <font>
      <b/>
      <i/>
      <u/>
      <sz val="10"/>
      <name val="Calibri"/>
      <family val="2"/>
    </font>
    <font>
      <sz val="11"/>
      <name val="Calibri"/>
      <family val="2"/>
    </font>
    <font>
      <sz val="10"/>
      <name val="Arial"/>
      <family val="2"/>
      <charset val="204"/>
    </font>
    <font>
      <sz val="1"/>
      <color indexed="8"/>
      <name val="Courier New"/>
      <family val="3"/>
    </font>
    <font>
      <b/>
      <sz val="1"/>
      <color indexed="8"/>
      <name val="Courier New"/>
      <family val="3"/>
    </font>
    <font>
      <u/>
      <sz val="9"/>
      <color indexed="20"/>
      <name val="Arial"/>
      <family val="2"/>
    </font>
    <font>
      <sz val="12"/>
      <name val="Univers (WN)"/>
      <family val="2"/>
    </font>
    <font>
      <sz val="12"/>
      <name val="Times New Roman"/>
      <family val="1"/>
    </font>
    <font>
      <b/>
      <sz val="11"/>
      <name val="Calibri"/>
      <family val="2"/>
    </font>
    <font>
      <u/>
      <sz val="10"/>
      <name val="Calibri"/>
      <family val="2"/>
    </font>
    <font>
      <u val="double"/>
      <sz val="10"/>
      <name val="Calibri"/>
      <family val="2"/>
    </font>
    <font>
      <sz val="11"/>
      <color theme="1"/>
      <name val="Calibri"/>
      <family val="2"/>
      <scheme val="minor"/>
    </font>
    <font>
      <sz val="11"/>
      <color theme="1"/>
      <name val="Calibri"/>
      <family val="2"/>
    </font>
    <font>
      <u/>
      <sz val="10"/>
      <color theme="10"/>
      <name val="Arial"/>
      <family val="2"/>
    </font>
    <font>
      <sz val="10"/>
      <name val="Calibri"/>
      <family val="2"/>
      <scheme val="minor"/>
    </font>
    <font>
      <b/>
      <sz val="10"/>
      <name val="Calibri"/>
      <family val="2"/>
      <scheme val="minor"/>
    </font>
    <font>
      <u/>
      <sz val="10"/>
      <color indexed="9"/>
      <name val="Calibri"/>
      <family val="2"/>
      <scheme val="minor"/>
    </font>
    <font>
      <b/>
      <u/>
      <sz val="10"/>
      <name val="Calibri"/>
      <family val="2"/>
      <scheme val="minor"/>
    </font>
    <font>
      <u/>
      <sz val="10"/>
      <name val="Calibri"/>
      <family val="2"/>
      <scheme val="minor"/>
    </font>
    <font>
      <sz val="10"/>
      <color indexed="8"/>
      <name val="Calibri"/>
      <family val="2"/>
      <scheme val="minor"/>
    </font>
    <font>
      <sz val="10"/>
      <color indexed="9"/>
      <name val="Calibri"/>
      <family val="2"/>
      <scheme val="minor"/>
    </font>
    <font>
      <b/>
      <u val="singleAccounting"/>
      <sz val="10"/>
      <name val="Calibri"/>
      <family val="2"/>
      <scheme val="minor"/>
    </font>
    <font>
      <b/>
      <sz val="10"/>
      <color indexed="8"/>
      <name val="Calibri"/>
      <family val="2"/>
      <scheme val="minor"/>
    </font>
    <font>
      <i/>
      <sz val="10"/>
      <name val="Calibri"/>
      <family val="2"/>
      <scheme val="minor"/>
    </font>
    <font>
      <sz val="11"/>
      <color theme="1"/>
      <name val="Cambria"/>
      <family val="1"/>
      <scheme val="major"/>
    </font>
    <font>
      <b/>
      <sz val="9"/>
      <color theme="1"/>
      <name val="Cambria"/>
      <family val="1"/>
      <scheme val="major"/>
    </font>
    <font>
      <sz val="10"/>
      <color theme="1"/>
      <name val="Cambria"/>
      <family val="1"/>
      <scheme val="major"/>
    </font>
    <font>
      <b/>
      <sz val="10"/>
      <color theme="1"/>
      <name val="Cambria"/>
      <family val="1"/>
      <scheme val="major"/>
    </font>
    <font>
      <b/>
      <sz val="10"/>
      <color theme="1"/>
      <name val="Calibri"/>
      <family val="2"/>
      <scheme val="minor"/>
    </font>
    <font>
      <sz val="10"/>
      <color theme="1"/>
      <name val="Calibri"/>
      <family val="2"/>
      <scheme val="minor"/>
    </font>
    <font>
      <sz val="10"/>
      <color rgb="FFFF0000"/>
      <name val="Calibri"/>
      <family val="2"/>
      <scheme val="minor"/>
    </font>
    <font>
      <b/>
      <sz val="10"/>
      <color rgb="FFFF0000"/>
      <name val="Calibri"/>
      <family val="2"/>
      <scheme val="minor"/>
    </font>
    <font>
      <sz val="10"/>
      <color theme="1"/>
      <name val="Calibri"/>
      <family val="2"/>
    </font>
    <font>
      <sz val="9"/>
      <color theme="1"/>
      <name val="Arial"/>
      <family val="2"/>
    </font>
    <font>
      <b/>
      <i/>
      <u/>
      <sz val="10"/>
      <name val="Calibri"/>
      <family val="2"/>
      <scheme val="minor"/>
    </font>
    <font>
      <sz val="10"/>
      <color rgb="FFFF0000"/>
      <name val="Calibri"/>
      <family val="2"/>
    </font>
    <font>
      <b/>
      <sz val="9"/>
      <color theme="1"/>
      <name val="Arial"/>
      <family val="2"/>
    </font>
    <font>
      <sz val="10"/>
      <color theme="1"/>
      <name val="Arial"/>
      <family val="2"/>
    </font>
    <font>
      <b/>
      <sz val="10"/>
      <color theme="1"/>
      <name val="Arial"/>
      <family val="2"/>
    </font>
    <font>
      <b/>
      <sz val="11"/>
      <color theme="1"/>
      <name val="Cambria"/>
      <family val="1"/>
      <scheme val="major"/>
    </font>
    <font>
      <sz val="10"/>
      <name val="Arial"/>
      <family val="2"/>
    </font>
    <font>
      <b/>
      <sz val="10"/>
      <name val="Arial"/>
      <family val="2"/>
    </font>
    <font>
      <b/>
      <sz val="9"/>
      <name val="Calibri"/>
      <family val="2"/>
      <scheme val="minor"/>
    </font>
    <font>
      <b/>
      <sz val="9"/>
      <name val="Calibri"/>
      <family val="2"/>
    </font>
    <font>
      <b/>
      <sz val="9"/>
      <color theme="1"/>
      <name val="Calibri"/>
      <family val="2"/>
      <scheme val="minor"/>
    </font>
    <font>
      <b/>
      <u/>
      <sz val="10"/>
      <color theme="1"/>
      <name val="Calibri"/>
      <family val="2"/>
      <scheme val="minor"/>
    </font>
  </fonts>
  <fills count="16">
    <fill>
      <patternFill patternType="none"/>
    </fill>
    <fill>
      <patternFill patternType="gray125"/>
    </fill>
    <fill>
      <patternFill patternType="solid">
        <fgColor indexed="42"/>
      </patternFill>
    </fill>
    <fill>
      <patternFill patternType="solid">
        <fgColor indexed="42"/>
        <bgColor indexed="22"/>
      </patternFill>
    </fill>
    <fill>
      <patternFill patternType="solid">
        <fgColor indexed="22"/>
        <bgColor indexed="64"/>
      </patternFill>
    </fill>
    <fill>
      <patternFill patternType="solid">
        <fgColor indexed="22"/>
        <bgColor indexed="31"/>
      </patternFill>
    </fill>
    <fill>
      <patternFill patternType="solid">
        <fgColor indexed="26"/>
        <bgColor indexed="64"/>
      </patternFill>
    </fill>
    <fill>
      <patternFill patternType="solid">
        <fgColor indexed="26"/>
        <bgColor indexed="9"/>
      </patternFill>
    </fill>
    <fill>
      <patternFill patternType="solid">
        <fgColor indexed="13"/>
      </patternFill>
    </fill>
    <fill>
      <patternFill patternType="solid">
        <fgColor indexed="12"/>
      </patternFill>
    </fill>
    <fill>
      <patternFill patternType="solid">
        <fgColor rgb="FF92D05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34">
    <border>
      <left/>
      <right/>
      <top/>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right/>
      <top style="double">
        <color indexed="8"/>
      </top>
      <bottom style="double">
        <color indexed="8"/>
      </bottom>
      <diagonal/>
    </border>
    <border>
      <left style="thin">
        <color indexed="64"/>
      </left>
      <right style="thin">
        <color indexed="64"/>
      </right>
      <top/>
      <bottom style="hair">
        <color indexed="64"/>
      </bottom>
      <diagonal/>
    </border>
    <border>
      <left style="thin">
        <color indexed="8"/>
      </left>
      <right style="thin">
        <color indexed="8"/>
      </right>
      <top/>
      <bottom style="hair">
        <color indexed="8"/>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8"/>
      </right>
      <top/>
      <bottom/>
      <diagonal/>
    </border>
    <border>
      <left style="thin">
        <color indexed="8"/>
      </left>
      <right style="thin">
        <color indexed="8"/>
      </right>
      <top style="double">
        <color indexed="8"/>
      </top>
      <bottom style="thin">
        <color indexed="8"/>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medium">
        <color indexed="64"/>
      </left>
      <right/>
      <top/>
      <bottom/>
      <diagonal/>
    </border>
    <border>
      <left/>
      <right style="medium">
        <color indexed="64"/>
      </right>
      <top/>
      <bottom/>
      <diagonal/>
    </border>
  </borders>
  <cellStyleXfs count="493">
    <xf numFmtId="0" fontId="0" fillId="0" borderId="0"/>
    <xf numFmtId="176" fontId="11" fillId="0" borderId="0"/>
    <xf numFmtId="0" fontId="9" fillId="0" borderId="0">
      <alignment vertical="top"/>
    </xf>
    <xf numFmtId="0" fontId="5" fillId="0" borderId="0"/>
    <xf numFmtId="0" fontId="3" fillId="0" borderId="0"/>
    <xf numFmtId="0" fontId="26" fillId="0" borderId="0"/>
    <xf numFmtId="0" fontId="52" fillId="0" borderId="0"/>
    <xf numFmtId="0" fontId="26" fillId="0" borderId="0"/>
    <xf numFmtId="0" fontId="52" fillId="0" borderId="0"/>
    <xf numFmtId="0" fontId="26" fillId="0" borderId="0"/>
    <xf numFmtId="0" fontId="52" fillId="0" borderId="0"/>
    <xf numFmtId="185" fontId="3" fillId="0" borderId="0">
      <alignment horizontal="center" wrapText="1"/>
    </xf>
    <xf numFmtId="185" fontId="3" fillId="0" borderId="0">
      <alignment horizontal="center" wrapText="1"/>
    </xf>
    <xf numFmtId="9" fontId="14" fillId="0" borderId="0" applyFont="0" applyFill="0" applyBorder="0" applyAlignment="0" applyProtection="0"/>
    <xf numFmtId="9" fontId="12" fillId="0" borderId="0"/>
    <xf numFmtId="0" fontId="4" fillId="0" borderId="0" applyNumberFormat="0" applyAlignment="0"/>
    <xf numFmtId="177" fontId="5" fillId="0" borderId="0" applyFont="0" applyFill="0" applyBorder="0" applyAlignment="0" applyProtection="0"/>
    <xf numFmtId="178" fontId="12" fillId="0" borderId="0" applyFont="0" applyFill="0" applyBorder="0" applyAlignment="0" applyProtection="0"/>
    <xf numFmtId="179" fontId="5" fillId="0" borderId="0" applyFont="0" applyFill="0" applyBorder="0" applyAlignment="0" applyProtection="0"/>
    <xf numFmtId="180" fontId="12" fillId="0" borderId="0" applyFont="0" applyFill="0" applyBorder="0" applyAlignment="0" applyProtection="0"/>
    <xf numFmtId="0" fontId="13" fillId="0" borderId="0" applyNumberFormat="0" applyFill="0" applyBorder="0" applyAlignment="0" applyProtection="0"/>
    <xf numFmtId="0" fontId="14" fillId="0" borderId="0"/>
    <xf numFmtId="186" fontId="3" fillId="0" borderId="0" applyFill="0" applyBorder="0" applyAlignment="0"/>
    <xf numFmtId="187" fontId="27" fillId="0" borderId="0" applyFill="0" applyBorder="0" applyAlignment="0"/>
    <xf numFmtId="173" fontId="27" fillId="0" borderId="0" applyFill="0" applyBorder="0" applyAlignment="0"/>
    <xf numFmtId="188" fontId="3" fillId="0" borderId="0" applyFill="0" applyBorder="0" applyAlignment="0"/>
    <xf numFmtId="189" fontId="3" fillId="0" borderId="0" applyFill="0" applyBorder="0" applyAlignment="0"/>
    <xf numFmtId="210" fontId="3" fillId="0" borderId="0" applyFill="0" applyBorder="0" applyAlignment="0"/>
    <xf numFmtId="186" fontId="3" fillId="0" borderId="0" applyFill="0" applyBorder="0" applyAlignment="0"/>
    <xf numFmtId="190" fontId="3" fillId="0" borderId="0" applyFill="0" applyBorder="0" applyAlignment="0"/>
    <xf numFmtId="187" fontId="27" fillId="0" borderId="0" applyFill="0" applyBorder="0" applyAlignment="0"/>
    <xf numFmtId="2" fontId="28" fillId="0" borderId="0"/>
    <xf numFmtId="166" fontId="3" fillId="0" borderId="0" applyFont="0" applyFill="0" applyBorder="0" applyAlignment="0" applyProtection="0"/>
    <xf numFmtId="0" fontId="5" fillId="0" borderId="0"/>
    <xf numFmtId="0" fontId="3" fillId="0" borderId="0"/>
    <xf numFmtId="0" fontId="5" fillId="0" borderId="0"/>
    <xf numFmtId="0" fontId="3" fillId="0" borderId="0"/>
    <xf numFmtId="0" fontId="5" fillId="0" borderId="0"/>
    <xf numFmtId="0" fontId="3" fillId="0" borderId="0"/>
    <xf numFmtId="0" fontId="5" fillId="0" borderId="0"/>
    <xf numFmtId="0" fontId="3" fillId="0" borderId="0"/>
    <xf numFmtId="0" fontId="5" fillId="0" borderId="0"/>
    <xf numFmtId="0" fontId="3" fillId="0" borderId="0"/>
    <xf numFmtId="0" fontId="5" fillId="0" borderId="0"/>
    <xf numFmtId="0" fontId="3" fillId="0" borderId="0"/>
    <xf numFmtId="0" fontId="5" fillId="0" borderId="0"/>
    <xf numFmtId="0" fontId="3" fillId="0" borderId="0"/>
    <xf numFmtId="0" fontId="5" fillId="0" borderId="0"/>
    <xf numFmtId="0" fontId="3" fillId="0" borderId="0"/>
    <xf numFmtId="164" fontId="42" fillId="0" borderId="0" applyFont="0" applyFill="0" applyBorder="0" applyAlignment="0" applyProtection="0"/>
    <xf numFmtId="164"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86" fontId="3" fillId="0" borderId="0" applyFont="0" applyFill="0" applyBorder="0" applyAlignment="0" applyProtection="0"/>
    <xf numFmtId="186" fontId="3" fillId="0" borderId="0" applyFill="0" applyBorder="0" applyAlignment="0" applyProtection="0"/>
    <xf numFmtId="43" fontId="3" fillId="0" borderId="0" applyFont="0" applyFill="0" applyBorder="0" applyAlignment="0" applyProtection="0"/>
    <xf numFmtId="166" fontId="57" fillId="0" borderId="0" applyFont="0" applyFill="0" applyBorder="0" applyAlignment="0" applyProtection="0"/>
    <xf numFmtId="43" fontId="57"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2"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66" fontId="2"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66"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66" fontId="5"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09" fontId="3" fillId="0" borderId="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43" fontId="61" fillId="0" borderId="0" applyFont="0" applyFill="0" applyBorder="0" applyAlignment="0" applyProtection="0"/>
    <xf numFmtId="166" fontId="61" fillId="0" borderId="0" applyFont="0" applyFill="0" applyBorder="0" applyAlignment="0" applyProtection="0"/>
    <xf numFmtId="43" fontId="61" fillId="0" borderId="0" applyFont="0" applyFill="0" applyBorder="0" applyAlignment="0" applyProtection="0"/>
    <xf numFmtId="166" fontId="62" fillId="0" borderId="0" applyFont="0" applyFill="0" applyBorder="0" applyAlignment="0" applyProtection="0"/>
    <xf numFmtId="43" fontId="62" fillId="0" borderId="0" applyFont="0" applyFill="0" applyBorder="0" applyAlignment="0" applyProtection="0"/>
    <xf numFmtId="43" fontId="3" fillId="0" borderId="0" applyFont="0" applyFill="0" applyBorder="0" applyAlignment="0" applyProtection="0"/>
    <xf numFmtId="43" fontId="61" fillId="0" borderId="0" applyFont="0" applyFill="0" applyBorder="0" applyAlignment="0" applyProtection="0"/>
    <xf numFmtId="166" fontId="24"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166" fontId="6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61"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61" fillId="0" borderId="0" applyFont="0" applyFill="0" applyBorder="0" applyAlignment="0" applyProtection="0"/>
    <xf numFmtId="208" fontId="3" fillId="0" borderId="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09" fontId="3" fillId="0" borderId="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175" fontId="5" fillId="0" borderId="0" applyFont="0" applyFill="0" applyBorder="0" applyAlignment="0" applyProtection="0"/>
    <xf numFmtId="0" fontId="29" fillId="0" borderId="0"/>
    <xf numFmtId="0" fontId="30" fillId="0" borderId="0"/>
    <xf numFmtId="0" fontId="3" fillId="0" borderId="0"/>
    <xf numFmtId="0" fontId="29" fillId="0" borderId="0"/>
    <xf numFmtId="0" fontId="30" fillId="0" borderId="0"/>
    <xf numFmtId="0" fontId="3" fillId="0" borderId="0"/>
    <xf numFmtId="187" fontId="27" fillId="0" borderId="0" applyFont="0" applyFill="0" applyBorder="0" applyAlignment="0" applyProtection="0"/>
    <xf numFmtId="187" fontId="3" fillId="0" borderId="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11" fontId="3" fillId="0" borderId="0" applyFill="0" applyBorder="0" applyAlignment="0" applyProtection="0"/>
    <xf numFmtId="165" fontId="3" fillId="0" borderId="0" applyFont="0" applyFill="0" applyBorder="0" applyAlignment="0" applyProtection="0"/>
    <xf numFmtId="0" fontId="15" fillId="0" borderId="0"/>
    <xf numFmtId="0" fontId="15" fillId="0" borderId="1"/>
    <xf numFmtId="191" fontId="31" fillId="0" borderId="0">
      <protection locked="0"/>
    </xf>
    <xf numFmtId="212" fontId="53" fillId="0" borderId="0">
      <protection locked="0"/>
    </xf>
    <xf numFmtId="14" fontId="9" fillId="0" borderId="0" applyFill="0" applyBorder="0" applyAlignment="0"/>
    <xf numFmtId="0" fontId="32" fillId="0" borderId="0" applyFont="0" applyFill="0" applyBorder="0" applyAlignment="0" applyProtection="0"/>
    <xf numFmtId="38" fontId="33" fillId="0" borderId="2">
      <alignment vertical="center"/>
    </xf>
    <xf numFmtId="38" fontId="33" fillId="0" borderId="3">
      <alignment vertical="center"/>
    </xf>
    <xf numFmtId="168" fontId="3" fillId="0" borderId="0" applyFont="0" applyFill="0" applyBorder="0" applyAlignment="0" applyProtection="0"/>
    <xf numFmtId="170" fontId="3" fillId="0" borderId="0" applyFont="0" applyFill="0" applyBorder="0" applyAlignment="0" applyProtection="0"/>
    <xf numFmtId="0" fontId="31" fillId="0" borderId="0">
      <protection locked="0"/>
    </xf>
    <xf numFmtId="0" fontId="53" fillId="0" borderId="0">
      <protection locked="0"/>
    </xf>
    <xf numFmtId="0" fontId="13" fillId="0" borderId="0" applyNumberFormat="0" applyFill="0" applyBorder="0" applyAlignment="0" applyProtection="0"/>
    <xf numFmtId="0" fontId="34" fillId="0" borderId="0">
      <protection locked="0"/>
    </xf>
    <xf numFmtId="0" fontId="54" fillId="0" borderId="0">
      <protection locked="0"/>
    </xf>
    <xf numFmtId="0" fontId="34" fillId="0" borderId="0">
      <protection locked="0"/>
    </xf>
    <xf numFmtId="0" fontId="54" fillId="0" borderId="0">
      <protection locked="0"/>
    </xf>
    <xf numFmtId="186" fontId="3" fillId="0" borderId="0" applyFill="0" applyBorder="0" applyAlignment="0"/>
    <xf numFmtId="187" fontId="27" fillId="0" borderId="0" applyFill="0" applyBorder="0" applyAlignment="0"/>
    <xf numFmtId="186" fontId="3" fillId="0" borderId="0" applyFill="0" applyBorder="0" applyAlignment="0"/>
    <xf numFmtId="190" fontId="3" fillId="0" borderId="0" applyFill="0" applyBorder="0" applyAlignment="0"/>
    <xf numFmtId="187" fontId="27" fillId="0" borderId="0" applyFill="0" applyBorder="0" applyAlignment="0"/>
    <xf numFmtId="181" fontId="5" fillId="0" borderId="0" applyFont="0" applyFill="0" applyBorder="0" applyAlignment="0" applyProtection="0"/>
    <xf numFmtId="181" fontId="3" fillId="0" borderId="0" applyFont="0" applyFill="0" applyBorder="0" applyAlignment="0" applyProtection="0"/>
    <xf numFmtId="0" fontId="31" fillId="0" borderId="0">
      <protection locked="0"/>
    </xf>
    <xf numFmtId="0" fontId="53" fillId="0" borderId="0">
      <protection locked="0"/>
    </xf>
    <xf numFmtId="0" fontId="31" fillId="0" borderId="0">
      <protection locked="0"/>
    </xf>
    <xf numFmtId="0" fontId="53" fillId="0" borderId="0">
      <protection locked="0"/>
    </xf>
    <xf numFmtId="0" fontId="31" fillId="0" borderId="0">
      <protection locked="0"/>
    </xf>
    <xf numFmtId="0" fontId="53" fillId="0" borderId="0">
      <protection locked="0"/>
    </xf>
    <xf numFmtId="0" fontId="31" fillId="0" borderId="0">
      <protection locked="0"/>
    </xf>
    <xf numFmtId="0" fontId="53" fillId="0" borderId="0">
      <protection locked="0"/>
    </xf>
    <xf numFmtId="0" fontId="31" fillId="0" borderId="0">
      <protection locked="0"/>
    </xf>
    <xf numFmtId="0" fontId="53" fillId="0" borderId="0">
      <protection locked="0"/>
    </xf>
    <xf numFmtId="0" fontId="31" fillId="0" borderId="0">
      <protection locked="0"/>
    </xf>
    <xf numFmtId="0" fontId="53" fillId="0" borderId="0">
      <protection locked="0"/>
    </xf>
    <xf numFmtId="0" fontId="31" fillId="0" borderId="0">
      <protection locked="0"/>
    </xf>
    <xf numFmtId="0" fontId="53" fillId="0" borderId="0">
      <protection locked="0"/>
    </xf>
    <xf numFmtId="0" fontId="31" fillId="0" borderId="0">
      <protection locked="0"/>
    </xf>
    <xf numFmtId="0" fontId="53" fillId="0" borderId="0">
      <protection locked="0"/>
    </xf>
    <xf numFmtId="0" fontId="31" fillId="0" borderId="0">
      <protection locked="0"/>
    </xf>
    <xf numFmtId="0" fontId="53" fillId="0" borderId="0">
      <protection locked="0"/>
    </xf>
    <xf numFmtId="192" fontId="31" fillId="0" borderId="0">
      <protection locked="0"/>
    </xf>
    <xf numFmtId="192" fontId="53" fillId="0" borderId="0">
      <protection locked="0"/>
    </xf>
    <xf numFmtId="193" fontId="35" fillId="0" borderId="4">
      <alignment horizontal="right"/>
    </xf>
    <xf numFmtId="193" fontId="35" fillId="0" borderId="5">
      <alignment horizontal="right"/>
    </xf>
    <xf numFmtId="0" fontId="41" fillId="2" borderId="0" applyNumberFormat="0" applyBorder="0" applyAlignment="0" applyProtection="0"/>
    <xf numFmtId="0" fontId="41" fillId="3" borderId="0" applyNumberFormat="0" applyBorder="0" applyAlignment="0" applyProtection="0"/>
    <xf numFmtId="38" fontId="4" fillId="4" borderId="0" applyNumberFormat="0" applyBorder="0" applyAlignment="0" applyProtection="0"/>
    <xf numFmtId="0" fontId="4" fillId="5" borderId="0" applyNumberFormat="0" applyBorder="0" applyAlignment="0" applyProtection="0"/>
    <xf numFmtId="0" fontId="16" fillId="0" borderId="6" applyNumberFormat="0" applyAlignment="0" applyProtection="0">
      <alignment horizontal="left" vertical="center"/>
    </xf>
    <xf numFmtId="0" fontId="16" fillId="0" borderId="7">
      <alignment horizontal="left" vertical="center"/>
    </xf>
    <xf numFmtId="194" fontId="34" fillId="0" borderId="0">
      <protection locked="0"/>
    </xf>
    <xf numFmtId="194" fontId="54" fillId="0" borderId="0">
      <protection locked="0"/>
    </xf>
    <xf numFmtId="194" fontId="34" fillId="0" borderId="0">
      <protection locked="0"/>
    </xf>
    <xf numFmtId="194" fontId="54" fillId="0" borderId="0">
      <protection locked="0"/>
    </xf>
    <xf numFmtId="0" fontId="63"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xf numFmtId="10" fontId="4" fillId="6" borderId="8" applyNumberFormat="0" applyBorder="0" applyAlignment="0" applyProtection="0"/>
    <xf numFmtId="0" fontId="4" fillId="7" borderId="0" applyNumberFormat="0" applyBorder="0" applyAlignment="0" applyProtection="0"/>
    <xf numFmtId="0" fontId="17" fillId="8" borderId="1"/>
    <xf numFmtId="186" fontId="3" fillId="0" borderId="0" applyFill="0" applyBorder="0" applyAlignment="0"/>
    <xf numFmtId="187" fontId="27" fillId="0" borderId="0" applyFill="0" applyBorder="0" applyAlignment="0"/>
    <xf numFmtId="186" fontId="3" fillId="0" borderId="0" applyFill="0" applyBorder="0" applyAlignment="0"/>
    <xf numFmtId="190" fontId="3" fillId="0" borderId="0" applyFill="0" applyBorder="0" applyAlignment="0"/>
    <xf numFmtId="187" fontId="27" fillId="0" borderId="0" applyFill="0" applyBorder="0" applyAlignment="0"/>
    <xf numFmtId="195" fontId="6" fillId="0" borderId="9">
      <alignment horizontal="right"/>
    </xf>
    <xf numFmtId="195" fontId="6" fillId="0" borderId="10">
      <alignment horizontal="right"/>
    </xf>
    <xf numFmtId="41" fontId="3" fillId="0" borderId="0" applyFont="0" applyFill="0" applyBorder="0" applyAlignment="0" applyProtection="0"/>
    <xf numFmtId="43" fontId="3" fillId="0" borderId="0" applyFont="0" applyFill="0" applyBorder="0" applyAlignment="0" applyProtection="0"/>
    <xf numFmtId="38" fontId="18" fillId="0" borderId="0" applyFont="0" applyFill="0" applyBorder="0" applyAlignment="0" applyProtection="0"/>
    <xf numFmtId="40" fontId="18" fillId="0" borderId="0" applyFont="0" applyFill="0" applyBorder="0" applyAlignment="0" applyProtection="0"/>
    <xf numFmtId="196" fontId="3" fillId="0" borderId="0" applyFont="0" applyFill="0" applyBorder="0" applyAlignment="0" applyProtection="0"/>
    <xf numFmtId="197" fontId="3" fillId="0" borderId="0" applyFont="0" applyFill="0" applyBorder="0" applyAlignment="0" applyProtection="0"/>
    <xf numFmtId="179" fontId="18" fillId="0" borderId="0" applyFont="0" applyFill="0" applyBorder="0" applyAlignment="0" applyProtection="0"/>
    <xf numFmtId="182" fontId="18" fillId="0" borderId="0" applyFont="0" applyFill="0" applyBorder="0" applyAlignment="0" applyProtection="0"/>
    <xf numFmtId="0" fontId="31" fillId="0" borderId="0">
      <protection locked="0"/>
    </xf>
    <xf numFmtId="0" fontId="53" fillId="0" borderId="0">
      <protection locked="0"/>
    </xf>
    <xf numFmtId="37" fontId="19" fillId="0" borderId="0"/>
    <xf numFmtId="0" fontId="3" fillId="0" borderId="0"/>
    <xf numFmtId="183" fontId="5" fillId="0" borderId="0"/>
    <xf numFmtId="183" fontId="3" fillId="0" borderId="0"/>
    <xf numFmtId="0" fontId="61" fillId="0" borderId="0"/>
    <xf numFmtId="0" fontId="61" fillId="0" borderId="0"/>
    <xf numFmtId="0" fontId="62" fillId="0" borderId="0"/>
    <xf numFmtId="0" fontId="3"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2" fillId="0" borderId="0"/>
    <xf numFmtId="0" fontId="62" fillId="0" borderId="0"/>
    <xf numFmtId="0" fontId="62" fillId="0" borderId="0"/>
    <xf numFmtId="0" fontId="61" fillId="0" borderId="0"/>
    <xf numFmtId="0" fontId="62" fillId="0" borderId="0"/>
    <xf numFmtId="0" fontId="62" fillId="0" borderId="0"/>
    <xf numFmtId="0" fontId="62" fillId="0" borderId="0"/>
    <xf numFmtId="0" fontId="62" fillId="0" borderId="0"/>
    <xf numFmtId="0" fontId="61" fillId="0" borderId="0"/>
    <xf numFmtId="0" fontId="61" fillId="0" borderId="0"/>
    <xf numFmtId="0" fontId="61" fillId="0" borderId="0"/>
    <xf numFmtId="0" fontId="61" fillId="0" borderId="0"/>
    <xf numFmtId="0" fontId="61" fillId="0" borderId="0"/>
    <xf numFmtId="0" fontId="2"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0" fontId="3" fillId="0" borderId="0"/>
    <xf numFmtId="0" fontId="3" fillId="0" borderId="0"/>
    <xf numFmtId="0" fontId="3" fillId="0" borderId="0"/>
    <xf numFmtId="0" fontId="3" fillId="0" borderId="0"/>
    <xf numFmtId="0" fontId="61" fillId="0" borderId="0"/>
    <xf numFmtId="0" fontId="61" fillId="0" borderId="0"/>
    <xf numFmtId="0" fontId="61" fillId="0" borderId="0"/>
    <xf numFmtId="0" fontId="3" fillId="0" borderId="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applyProtection="0"/>
    <xf numFmtId="0" fontId="3" fillId="0" borderId="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 fillId="0" borderId="0" applyBorder="0"/>
    <xf numFmtId="0" fontId="3"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2" fillId="0" borderId="0"/>
    <xf numFmtId="0" fontId="62"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3" fillId="0" borderId="0"/>
    <xf numFmtId="0" fontId="5" fillId="0" borderId="0"/>
    <xf numFmtId="0" fontId="5" fillId="0" borderId="0"/>
    <xf numFmtId="0" fontId="5" fillId="0" borderId="0"/>
    <xf numFmtId="0" fontId="5" fillId="0" borderId="0"/>
    <xf numFmtId="9" fontId="42" fillId="0" borderId="0" applyFont="0" applyFill="0" applyBorder="0" applyAlignment="0" applyProtection="0"/>
    <xf numFmtId="189" fontId="3" fillId="0" borderId="0" applyFont="0" applyFill="0" applyBorder="0" applyAlignment="0" applyProtection="0"/>
    <xf numFmtId="210" fontId="3" fillId="0" borderId="0" applyFill="0" applyBorder="0" applyAlignment="0" applyProtection="0"/>
    <xf numFmtId="171" fontId="3" fillId="0" borderId="0" applyFont="0" applyFill="0" applyBorder="0" applyAlignment="0" applyProtection="0"/>
    <xf numFmtId="171" fontId="3" fillId="0" borderId="0" applyFill="0" applyBorder="0" applyAlignment="0" applyProtection="0"/>
    <xf numFmtId="10" fontId="3" fillId="0" borderId="0" applyFont="0" applyFill="0" applyBorder="0" applyAlignment="0" applyProtection="0"/>
    <xf numFmtId="10" fontId="3" fillId="0" borderId="0" applyFill="0" applyBorder="0" applyAlignment="0" applyProtection="0"/>
    <xf numFmtId="9" fontId="2" fillId="0" borderId="0" applyFont="0" applyFill="0" applyBorder="0" applyAlignment="0" applyProtection="0"/>
    <xf numFmtId="9" fontId="6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7" fillId="0" borderId="0" applyFont="0"/>
    <xf numFmtId="0" fontId="3" fillId="0" borderId="0"/>
    <xf numFmtId="0" fontId="31" fillId="0" borderId="0">
      <protection locked="0"/>
    </xf>
    <xf numFmtId="0" fontId="53" fillId="0" borderId="0">
      <protection locked="0"/>
    </xf>
    <xf numFmtId="186" fontId="3" fillId="0" borderId="0" applyFill="0" applyBorder="0" applyAlignment="0"/>
    <xf numFmtId="187" fontId="27" fillId="0" borderId="0" applyFill="0" applyBorder="0" applyAlignment="0"/>
    <xf numFmtId="186" fontId="3" fillId="0" borderId="0" applyFill="0" applyBorder="0" applyAlignment="0"/>
    <xf numFmtId="190" fontId="3" fillId="0" borderId="0" applyFill="0" applyBorder="0" applyAlignment="0"/>
    <xf numFmtId="187" fontId="27" fillId="0" borderId="0" applyFill="0" applyBorder="0" applyAlignment="0"/>
    <xf numFmtId="0" fontId="15" fillId="0" borderId="0"/>
    <xf numFmtId="38" fontId="38" fillId="0" borderId="0"/>
    <xf numFmtId="38" fontId="4" fillId="0" borderId="0"/>
    <xf numFmtId="0" fontId="39" fillId="0" borderId="0" applyNumberFormat="0" applyFill="0" applyBorder="0" applyAlignment="0" applyProtection="0">
      <alignment vertical="top"/>
      <protection locked="0"/>
    </xf>
    <xf numFmtId="0" fontId="55" fillId="0" borderId="0" applyNumberFormat="0" applyFill="0" applyBorder="0" applyAlignment="0" applyProtection="0"/>
    <xf numFmtId="184" fontId="20" fillId="0" borderId="0"/>
    <xf numFmtId="0" fontId="40" fillId="0" borderId="0"/>
    <xf numFmtId="0" fontId="56" fillId="0" borderId="0"/>
    <xf numFmtId="0" fontId="9" fillId="0" borderId="0">
      <alignment vertical="top"/>
    </xf>
    <xf numFmtId="0" fontId="15" fillId="0" borderId="1"/>
    <xf numFmtId="49" fontId="9" fillId="0" borderId="0" applyFill="0" applyBorder="0" applyAlignment="0"/>
    <xf numFmtId="198" fontId="3" fillId="0" borderId="0" applyFill="0" applyBorder="0" applyAlignment="0"/>
    <xf numFmtId="213" fontId="3" fillId="0" borderId="0" applyFill="0" applyBorder="0" applyAlignment="0"/>
    <xf numFmtId="199" fontId="3" fillId="0" borderId="0" applyFill="0" applyBorder="0" applyAlignment="0"/>
    <xf numFmtId="214" fontId="3" fillId="0" borderId="0" applyFill="0" applyBorder="0" applyAlignment="0"/>
    <xf numFmtId="0" fontId="3" fillId="0" borderId="0"/>
    <xf numFmtId="40" fontId="8" fillId="0" borderId="0"/>
    <xf numFmtId="0" fontId="21" fillId="9" borderId="0"/>
    <xf numFmtId="0" fontId="17" fillId="0" borderId="11"/>
    <xf numFmtId="0" fontId="17" fillId="0" borderId="1"/>
    <xf numFmtId="168" fontId="3" fillId="0" borderId="0" applyFont="0" applyFill="0" applyBorder="0" applyAlignment="0" applyProtection="0"/>
    <xf numFmtId="170" fontId="3" fillId="0" borderId="0" applyFont="0" applyFill="0" applyBorder="0" applyAlignment="0" applyProtection="0"/>
    <xf numFmtId="200" fontId="3" fillId="0" borderId="0" applyFont="0" applyFill="0" applyBorder="0" applyAlignment="0" applyProtection="0"/>
    <xf numFmtId="201"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0" fontId="22" fillId="0" borderId="0">
      <alignment horizontal="left"/>
    </xf>
    <xf numFmtId="0" fontId="23" fillId="0" borderId="0"/>
    <xf numFmtId="0" fontId="5" fillId="0" borderId="0"/>
    <xf numFmtId="0" fontId="1" fillId="0" borderId="0"/>
    <xf numFmtId="9" fontId="3" fillId="0" borderId="0" applyFill="0" applyBorder="0" applyAlignment="0" applyProtection="0"/>
    <xf numFmtId="0" fontId="90" fillId="0" borderId="0"/>
    <xf numFmtId="0" fontId="90" fillId="0" borderId="0"/>
    <xf numFmtId="0" fontId="90" fillId="0" borderId="0"/>
    <xf numFmtId="0" fontId="90" fillId="0" borderId="0"/>
    <xf numFmtId="209" fontId="3" fillId="0" borderId="0" applyFill="0" applyBorder="0" applyAlignment="0" applyProtection="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cellStyleXfs>
  <cellXfs count="1192">
    <xf numFmtId="0" fontId="0" fillId="0" borderId="0" xfId="0"/>
    <xf numFmtId="172" fontId="64" fillId="0" borderId="0" xfId="120" applyNumberFormat="1" applyFont="1" applyFill="1" applyBorder="1"/>
    <xf numFmtId="172" fontId="64" fillId="0" borderId="19" xfId="120" applyNumberFormat="1" applyFont="1" applyFill="1" applyBorder="1"/>
    <xf numFmtId="166" fontId="64" fillId="0" borderId="0" xfId="32" applyFont="1" applyFill="1" applyBorder="1"/>
    <xf numFmtId="172" fontId="65" fillId="0" borderId="8" xfId="120" applyNumberFormat="1" applyFont="1" applyFill="1" applyBorder="1"/>
    <xf numFmtId="172" fontId="64" fillId="0" borderId="20" xfId="120" applyNumberFormat="1" applyFont="1" applyFill="1" applyBorder="1"/>
    <xf numFmtId="166" fontId="64" fillId="0" borderId="19" xfId="120" applyFont="1" applyFill="1" applyBorder="1"/>
    <xf numFmtId="172" fontId="65" fillId="0" borderId="0" xfId="120" applyNumberFormat="1" applyFont="1" applyFill="1" applyBorder="1"/>
    <xf numFmtId="0" fontId="66" fillId="0" borderId="0" xfId="220" applyFont="1" applyFill="1" applyAlignment="1" applyProtection="1"/>
    <xf numFmtId="0" fontId="65" fillId="0" borderId="0" xfId="0" applyFont="1" applyAlignment="1">
      <alignment horizontal="left"/>
    </xf>
    <xf numFmtId="9" fontId="65" fillId="0" borderId="0" xfId="0" applyNumberFormat="1" applyFont="1" applyAlignment="1">
      <alignment horizontal="left"/>
    </xf>
    <xf numFmtId="164" fontId="65" fillId="0" borderId="0" xfId="32" applyNumberFormat="1" applyFont="1" applyBorder="1" applyAlignment="1">
      <alignment horizontal="left"/>
    </xf>
    <xf numFmtId="164" fontId="64" fillId="0" borderId="0" xfId="32" applyNumberFormat="1" applyFont="1" applyBorder="1"/>
    <xf numFmtId="0" fontId="64" fillId="0" borderId="0" xfId="0" applyFont="1"/>
    <xf numFmtId="0" fontId="65" fillId="0" borderId="13" xfId="0" applyFont="1" applyBorder="1"/>
    <xf numFmtId="0" fontId="64" fillId="0" borderId="12" xfId="0" applyFont="1" applyBorder="1"/>
    <xf numFmtId="9" fontId="64" fillId="0" borderId="12" xfId="0" applyNumberFormat="1" applyFont="1" applyBorder="1"/>
    <xf numFmtId="164" fontId="64" fillId="0" borderId="12" xfId="32" applyNumberFormat="1" applyFont="1" applyBorder="1"/>
    <xf numFmtId="164" fontId="64" fillId="0" borderId="17" xfId="32" applyNumberFormat="1" applyFont="1" applyBorder="1"/>
    <xf numFmtId="0" fontId="65" fillId="0" borderId="14" xfId="0" applyFont="1" applyBorder="1"/>
    <xf numFmtId="9" fontId="64" fillId="0" borderId="0" xfId="0" applyNumberFormat="1" applyFont="1"/>
    <xf numFmtId="164" fontId="64" fillId="0" borderId="9" xfId="32" applyNumberFormat="1" applyFont="1" applyBorder="1"/>
    <xf numFmtId="0" fontId="67" fillId="0" borderId="15" xfId="0" applyFont="1" applyBorder="1" applyAlignment="1">
      <alignment horizontal="left"/>
    </xf>
    <xf numFmtId="0" fontId="68" fillId="0" borderId="16" xfId="0" applyFont="1" applyBorder="1" applyAlignment="1">
      <alignment horizontal="left"/>
    </xf>
    <xf numFmtId="9" fontId="68" fillId="0" borderId="16" xfId="0" applyNumberFormat="1" applyFont="1" applyBorder="1" applyAlignment="1">
      <alignment horizontal="left"/>
    </xf>
    <xf numFmtId="164" fontId="68" fillId="0" borderId="16" xfId="32" applyNumberFormat="1" applyFont="1" applyBorder="1" applyAlignment="1">
      <alignment horizontal="left"/>
    </xf>
    <xf numFmtId="164" fontId="64" fillId="0" borderId="16" xfId="32" applyNumberFormat="1" applyFont="1" applyBorder="1"/>
    <xf numFmtId="164" fontId="64" fillId="0" borderId="18" xfId="32" applyNumberFormat="1" applyFont="1" applyBorder="1"/>
    <xf numFmtId="0" fontId="65" fillId="0" borderId="8" xfId="0" applyFont="1" applyBorder="1" applyAlignment="1">
      <alignment horizontal="center" vertical="center" wrapText="1"/>
    </xf>
    <xf numFmtId="9" fontId="65" fillId="0" borderId="8" xfId="0" applyNumberFormat="1" applyFont="1" applyBorder="1" applyAlignment="1">
      <alignment horizontal="center" vertical="center" wrapText="1"/>
    </xf>
    <xf numFmtId="0" fontId="67" fillId="0" borderId="21" xfId="0" applyFont="1" applyBorder="1" applyAlignment="1">
      <alignment horizontal="center"/>
    </xf>
    <xf numFmtId="0" fontId="64" fillId="0" borderId="21" xfId="0" applyFont="1" applyBorder="1" applyAlignment="1">
      <alignment horizontal="left" vertical="center" wrapText="1"/>
    </xf>
    <xf numFmtId="164" fontId="64" fillId="0" borderId="8" xfId="32" applyNumberFormat="1" applyFont="1" applyBorder="1" applyAlignment="1">
      <alignment horizontal="center" vertical="center" wrapText="1"/>
    </xf>
    <xf numFmtId="164" fontId="64" fillId="0" borderId="8" xfId="32" applyNumberFormat="1" applyFont="1" applyBorder="1" applyAlignment="1">
      <alignment horizontal="center" vertical="center"/>
    </xf>
    <xf numFmtId="0" fontId="65" fillId="0" borderId="21" xfId="0" applyFont="1" applyBorder="1" applyAlignment="1">
      <alignment horizontal="center" vertical="center" wrapText="1"/>
    </xf>
    <xf numFmtId="0" fontId="64" fillId="0" borderId="21" xfId="0" applyFont="1" applyBorder="1" applyAlignment="1">
      <alignment horizontal="left"/>
    </xf>
    <xf numFmtId="9" fontId="64" fillId="0" borderId="8" xfId="0" applyNumberFormat="1" applyFont="1" applyBorder="1" applyAlignment="1">
      <alignment horizontal="center" vertical="center" wrapText="1"/>
    </xf>
    <xf numFmtId="164" fontId="64" fillId="0" borderId="0" xfId="0" applyNumberFormat="1" applyFont="1"/>
    <xf numFmtId="0" fontId="64" fillId="0" borderId="21" xfId="0" applyFont="1" applyBorder="1"/>
    <xf numFmtId="0" fontId="64" fillId="0" borderId="8" xfId="0" applyFont="1" applyBorder="1"/>
    <xf numFmtId="49" fontId="64" fillId="0" borderId="8" xfId="0" applyNumberFormat="1" applyFont="1" applyBorder="1" applyAlignment="1">
      <alignment horizontal="left" vertical="center"/>
    </xf>
    <xf numFmtId="166" fontId="64" fillId="0" borderId="20" xfId="0" applyNumberFormat="1" applyFont="1" applyBorder="1" applyAlignment="1">
      <alignment horizontal="left" wrapText="1"/>
    </xf>
    <xf numFmtId="172" fontId="64" fillId="0" borderId="0" xfId="32" applyNumberFormat="1" applyFont="1" applyBorder="1" applyAlignment="1">
      <alignment horizontal="center"/>
    </xf>
    <xf numFmtId="0" fontId="64" fillId="0" borderId="13" xfId="0" applyFont="1" applyBorder="1"/>
    <xf numFmtId="172" fontId="64" fillId="0" borderId="12" xfId="32" applyNumberFormat="1" applyFont="1" applyBorder="1" applyAlignment="1">
      <alignment horizontal="right"/>
    </xf>
    <xf numFmtId="164" fontId="64" fillId="0" borderId="12" xfId="0" applyNumberFormat="1" applyFont="1" applyBorder="1"/>
    <xf numFmtId="164" fontId="64" fillId="0" borderId="17" xfId="0" applyNumberFormat="1" applyFont="1" applyBorder="1"/>
    <xf numFmtId="164" fontId="64" fillId="0" borderId="9" xfId="0" applyNumberFormat="1" applyFont="1" applyBorder="1"/>
    <xf numFmtId="0" fontId="64" fillId="0" borderId="15" xfId="0" applyFont="1" applyBorder="1"/>
    <xf numFmtId="0" fontId="64" fillId="0" borderId="16" xfId="0" applyFont="1" applyBorder="1"/>
    <xf numFmtId="164" fontId="64" fillId="0" borderId="16" xfId="0" applyNumberFormat="1" applyFont="1" applyBorder="1"/>
    <xf numFmtId="164" fontId="64" fillId="0" borderId="18" xfId="0" applyNumberFormat="1" applyFont="1" applyBorder="1"/>
    <xf numFmtId="164" fontId="65" fillId="0" borderId="8" xfId="32" applyNumberFormat="1" applyFont="1" applyBorder="1" applyAlignment="1">
      <alignment horizontal="center" vertical="center"/>
    </xf>
    <xf numFmtId="164" fontId="65" fillId="0" borderId="8" xfId="32" applyNumberFormat="1" applyFont="1" applyBorder="1" applyAlignment="1">
      <alignment horizontal="center" vertical="center" wrapText="1"/>
    </xf>
    <xf numFmtId="0" fontId="69" fillId="0" borderId="0" xfId="0" applyFont="1" applyAlignment="1">
      <alignment horizontal="left"/>
    </xf>
    <xf numFmtId="0" fontId="69" fillId="0" borderId="0" xfId="0" applyFont="1"/>
    <xf numFmtId="0" fontId="64" fillId="0" borderId="14" xfId="0" applyFont="1" applyBorder="1"/>
    <xf numFmtId="0" fontId="64" fillId="0" borderId="0" xfId="420" applyFont="1"/>
    <xf numFmtId="0" fontId="64" fillId="0" borderId="13" xfId="420" applyFont="1" applyBorder="1"/>
    <xf numFmtId="172" fontId="64" fillId="0" borderId="16" xfId="82" applyNumberFormat="1" applyFont="1" applyBorder="1"/>
    <xf numFmtId="0" fontId="64" fillId="0" borderId="14" xfId="420" applyFont="1" applyBorder="1"/>
    <xf numFmtId="0" fontId="65" fillId="0" borderId="14" xfId="420" applyFont="1" applyBorder="1"/>
    <xf numFmtId="0" fontId="65" fillId="0" borderId="0" xfId="420" applyFont="1"/>
    <xf numFmtId="172" fontId="65" fillId="0" borderId="0" xfId="82" applyNumberFormat="1" applyFont="1" applyBorder="1"/>
    <xf numFmtId="172" fontId="64" fillId="0" borderId="9" xfId="82" applyNumberFormat="1" applyFont="1" applyBorder="1"/>
    <xf numFmtId="172" fontId="65" fillId="0" borderId="7" xfId="82" applyNumberFormat="1" applyFont="1" applyBorder="1" applyAlignment="1">
      <alignment horizontal="center" vertical="center"/>
    </xf>
    <xf numFmtId="172" fontId="65" fillId="0" borderId="22" xfId="82" applyNumberFormat="1" applyFont="1" applyBorder="1" applyAlignment="1">
      <alignment horizontal="center" vertical="center"/>
    </xf>
    <xf numFmtId="172" fontId="64" fillId="0" borderId="0" xfId="420" applyNumberFormat="1" applyFont="1"/>
    <xf numFmtId="172" fontId="65" fillId="0" borderId="0" xfId="82" applyNumberFormat="1" applyFont="1" applyBorder="1" applyAlignment="1">
      <alignment horizontal="right"/>
    </xf>
    <xf numFmtId="172" fontId="65" fillId="0" borderId="9" xfId="82" applyNumberFormat="1" applyFont="1" applyFill="1" applyBorder="1" applyAlignment="1">
      <alignment horizontal="right"/>
    </xf>
    <xf numFmtId="166" fontId="64" fillId="0" borderId="0" xfId="32" applyFont="1"/>
    <xf numFmtId="172" fontId="64" fillId="0" borderId="0" xfId="82" applyNumberFormat="1" applyFont="1" applyBorder="1"/>
    <xf numFmtId="172" fontId="64" fillId="0" borderId="9" xfId="82" applyNumberFormat="1" applyFont="1" applyFill="1" applyBorder="1"/>
    <xf numFmtId="173" fontId="64" fillId="0" borderId="0" xfId="420" applyNumberFormat="1" applyFont="1"/>
    <xf numFmtId="1" fontId="64" fillId="0" borderId="0" xfId="420" applyNumberFormat="1" applyFont="1" applyProtection="1">
      <protection locked="0"/>
    </xf>
    <xf numFmtId="166" fontId="64" fillId="0" borderId="0" xfId="32" applyFont="1" applyBorder="1" applyProtection="1">
      <protection locked="0"/>
    </xf>
    <xf numFmtId="166" fontId="64" fillId="0" borderId="0" xfId="420" applyNumberFormat="1" applyFont="1"/>
    <xf numFmtId="164" fontId="64" fillId="0" borderId="0" xfId="420" applyNumberFormat="1" applyFont="1"/>
    <xf numFmtId="0" fontId="64" fillId="0" borderId="14" xfId="420" applyFont="1" applyBorder="1" applyAlignment="1">
      <alignment horizontal="left" indent="4"/>
    </xf>
    <xf numFmtId="172" fontId="64" fillId="0" borderId="0" xfId="82" applyNumberFormat="1" applyFont="1" applyFill="1" applyBorder="1"/>
    <xf numFmtId="1" fontId="64" fillId="0" borderId="0" xfId="420" applyNumberFormat="1" applyFont="1"/>
    <xf numFmtId="172" fontId="64" fillId="0" borderId="16" xfId="82" applyNumberFormat="1" applyFont="1" applyFill="1" applyBorder="1"/>
    <xf numFmtId="172" fontId="64" fillId="0" borderId="18" xfId="82" applyNumberFormat="1" applyFont="1" applyBorder="1"/>
    <xf numFmtId="172" fontId="64" fillId="0" borderId="18" xfId="82" applyNumberFormat="1" applyFont="1" applyFill="1" applyBorder="1"/>
    <xf numFmtId="0" fontId="65" fillId="0" borderId="14" xfId="420" applyFont="1" applyBorder="1" applyAlignment="1">
      <alignment horizontal="right"/>
    </xf>
    <xf numFmtId="172" fontId="65" fillId="0" borderId="9" xfId="82" applyNumberFormat="1" applyFont="1" applyFill="1" applyBorder="1"/>
    <xf numFmtId="0" fontId="65" fillId="0" borderId="0" xfId="420" applyFont="1" applyAlignment="1">
      <alignment horizontal="left"/>
    </xf>
    <xf numFmtId="0" fontId="65" fillId="0" borderId="14" xfId="420" applyFont="1" applyBorder="1" applyAlignment="1">
      <alignment horizontal="left"/>
    </xf>
    <xf numFmtId="172" fontId="65" fillId="0" borderId="18" xfId="82" applyNumberFormat="1" applyFont="1" applyFill="1" applyBorder="1"/>
    <xf numFmtId="0" fontId="65" fillId="0" borderId="14" xfId="420" applyFont="1" applyBorder="1" applyAlignment="1">
      <alignment horizontal="center"/>
    </xf>
    <xf numFmtId="0" fontId="64" fillId="0" borderId="15" xfId="420" applyFont="1" applyBorder="1"/>
    <xf numFmtId="0" fontId="65" fillId="0" borderId="16" xfId="420" applyFont="1" applyBorder="1" applyAlignment="1">
      <alignment horizontal="right"/>
    </xf>
    <xf numFmtId="172" fontId="65" fillId="0" borderId="18" xfId="82" applyNumberFormat="1" applyFont="1" applyFill="1" applyBorder="1" applyAlignment="1">
      <alignment horizontal="left"/>
    </xf>
    <xf numFmtId="0" fontId="64" fillId="0" borderId="14" xfId="418" applyFont="1" applyBorder="1"/>
    <xf numFmtId="0" fontId="65" fillId="0" borderId="14" xfId="418" applyFont="1" applyBorder="1"/>
    <xf numFmtId="172" fontId="65" fillId="0" borderId="0" xfId="420" applyNumberFormat="1" applyFont="1"/>
    <xf numFmtId="0" fontId="64" fillId="0" borderId="14" xfId="420" applyFont="1" applyBorder="1" applyAlignment="1">
      <alignment horizontal="left" indent="14"/>
    </xf>
    <xf numFmtId="166" fontId="71" fillId="0" borderId="0" xfId="420" applyNumberFormat="1" applyFont="1"/>
    <xf numFmtId="166" fontId="64" fillId="0" borderId="0" xfId="418" applyNumberFormat="1" applyFont="1"/>
    <xf numFmtId="0" fontId="64" fillId="0" borderId="0" xfId="418" applyFont="1"/>
    <xf numFmtId="166" fontId="65" fillId="0" borderId="0" xfId="32" applyFont="1"/>
    <xf numFmtId="0" fontId="64" fillId="0" borderId="14" xfId="421" applyFont="1" applyBorder="1" applyAlignment="1">
      <alignment horizontal="left"/>
    </xf>
    <xf numFmtId="172" fontId="64" fillId="0" borderId="17" xfId="82" applyNumberFormat="1" applyFont="1" applyBorder="1"/>
    <xf numFmtId="172" fontId="65" fillId="0" borderId="22" xfId="82" applyNumberFormat="1" applyFont="1" applyBorder="1"/>
    <xf numFmtId="166" fontId="65" fillId="0" borderId="23" xfId="32" applyFont="1" applyFill="1" applyBorder="1"/>
    <xf numFmtId="0" fontId="64" fillId="0" borderId="15" xfId="421" applyFont="1" applyBorder="1" applyAlignment="1">
      <alignment horizontal="left"/>
    </xf>
    <xf numFmtId="0" fontId="65" fillId="0" borderId="16" xfId="420" applyFont="1" applyBorder="1" applyAlignment="1">
      <alignment horizontal="left"/>
    </xf>
    <xf numFmtId="172" fontId="65" fillId="0" borderId="16" xfId="82" applyNumberFormat="1" applyFont="1" applyBorder="1" applyAlignment="1">
      <alignment horizontal="center"/>
    </xf>
    <xf numFmtId="0" fontId="65" fillId="0" borderId="0" xfId="418" applyFont="1"/>
    <xf numFmtId="164" fontId="64" fillId="0" borderId="0" xfId="418" applyNumberFormat="1" applyFont="1"/>
    <xf numFmtId="0" fontId="64" fillId="0" borderId="12" xfId="420" applyFont="1" applyBorder="1"/>
    <xf numFmtId="172" fontId="64" fillId="0" borderId="0" xfId="82" applyNumberFormat="1" applyFont="1"/>
    <xf numFmtId="0" fontId="64" fillId="0" borderId="0" xfId="419" applyFont="1"/>
    <xf numFmtId="172" fontId="64" fillId="0" borderId="0" xfId="150" applyNumberFormat="1" applyFont="1"/>
    <xf numFmtId="166" fontId="64" fillId="0" borderId="0" xfId="82" applyFont="1"/>
    <xf numFmtId="0" fontId="64" fillId="0" borderId="17" xfId="298" applyFont="1" applyBorder="1"/>
    <xf numFmtId="0" fontId="64" fillId="0" borderId="20" xfId="298" applyFont="1" applyBorder="1"/>
    <xf numFmtId="0" fontId="64" fillId="0" borderId="14" xfId="298" applyFont="1" applyBorder="1"/>
    <xf numFmtId="0" fontId="64" fillId="0" borderId="9" xfId="298" applyFont="1" applyBorder="1"/>
    <xf numFmtId="0" fontId="65" fillId="0" borderId="9" xfId="298" applyFont="1" applyBorder="1" applyAlignment="1">
      <alignment horizontal="center" vertical="center"/>
    </xf>
    <xf numFmtId="10" fontId="64" fillId="0" borderId="9" xfId="432" applyNumberFormat="1" applyFont="1" applyBorder="1"/>
    <xf numFmtId="10" fontId="64" fillId="0" borderId="18" xfId="432" applyNumberFormat="1" applyFont="1" applyBorder="1"/>
    <xf numFmtId="0" fontId="65" fillId="0" borderId="9" xfId="298" applyFont="1" applyBorder="1"/>
    <xf numFmtId="10" fontId="65" fillId="0" borderId="9" xfId="298" applyNumberFormat="1" applyFont="1" applyBorder="1"/>
    <xf numFmtId="0" fontId="64" fillId="0" borderId="19" xfId="298" applyFont="1" applyBorder="1"/>
    <xf numFmtId="166" fontId="64" fillId="0" borderId="9" xfId="149" applyFont="1" applyBorder="1"/>
    <xf numFmtId="0" fontId="65" fillId="0" borderId="14" xfId="298" applyFont="1" applyBorder="1" applyAlignment="1">
      <alignment horizontal="center"/>
    </xf>
    <xf numFmtId="0" fontId="67" fillId="0" borderId="9" xfId="298" applyFont="1" applyBorder="1"/>
    <xf numFmtId="0" fontId="65" fillId="0" borderId="14" xfId="298" applyFont="1" applyBorder="1"/>
    <xf numFmtId="172" fontId="64" fillId="0" borderId="9" xfId="149" applyNumberFormat="1" applyFont="1" applyBorder="1"/>
    <xf numFmtId="172" fontId="64" fillId="0" borderId="19" xfId="298" applyNumberFormat="1" applyFont="1" applyBorder="1"/>
    <xf numFmtId="172" fontId="64" fillId="0" borderId="18" xfId="149" applyNumberFormat="1" applyFont="1" applyBorder="1"/>
    <xf numFmtId="172" fontId="65" fillId="0" borderId="22" xfId="149" applyNumberFormat="1" applyFont="1" applyBorder="1"/>
    <xf numFmtId="172" fontId="65" fillId="0" borderId="9" xfId="149" applyNumberFormat="1" applyFont="1" applyBorder="1"/>
    <xf numFmtId="172" fontId="64" fillId="0" borderId="19" xfId="120" applyNumberFormat="1" applyFont="1" applyBorder="1"/>
    <xf numFmtId="172" fontId="64" fillId="0" borderId="9" xfId="298" applyNumberFormat="1" applyFont="1" applyBorder="1"/>
    <xf numFmtId="172" fontId="65" fillId="0" borderId="24" xfId="298" applyNumberFormat="1" applyFont="1" applyBorder="1"/>
    <xf numFmtId="172" fontId="65" fillId="0" borderId="22" xfId="298" applyNumberFormat="1" applyFont="1" applyBorder="1" applyAlignment="1">
      <alignment horizontal="center"/>
    </xf>
    <xf numFmtId="172" fontId="65" fillId="0" borderId="8" xfId="298" applyNumberFormat="1" applyFont="1" applyBorder="1" applyAlignment="1">
      <alignment horizontal="center"/>
    </xf>
    <xf numFmtId="0" fontId="64" fillId="0" borderId="14" xfId="298" applyFont="1" applyBorder="1" applyAlignment="1">
      <alignment horizontal="right"/>
    </xf>
    <xf numFmtId="0" fontId="64" fillId="0" borderId="9" xfId="298" applyFont="1" applyBorder="1" applyAlignment="1">
      <alignment horizontal="left" indent="2"/>
    </xf>
    <xf numFmtId="0" fontId="64" fillId="0" borderId="9" xfId="298" applyFont="1" applyBorder="1" applyAlignment="1">
      <alignment horizontal="left" indent="3"/>
    </xf>
    <xf numFmtId="0" fontId="64" fillId="0" borderId="15" xfId="298" applyFont="1" applyBorder="1"/>
    <xf numFmtId="0" fontId="64" fillId="0" borderId="18" xfId="298" applyFont="1" applyBorder="1" applyAlignment="1">
      <alignment horizontal="left" indent="3"/>
    </xf>
    <xf numFmtId="0" fontId="64" fillId="0" borderId="16" xfId="298" applyFont="1" applyBorder="1"/>
    <xf numFmtId="172" fontId="65" fillId="0" borderId="16" xfId="298" applyNumberFormat="1" applyFont="1" applyBorder="1"/>
    <xf numFmtId="172" fontId="65" fillId="0" borderId="18" xfId="298" applyNumberFormat="1" applyFont="1" applyBorder="1"/>
    <xf numFmtId="203" fontId="65" fillId="0" borderId="8" xfId="305" applyNumberFormat="1" applyFont="1" applyBorder="1" applyAlignment="1">
      <alignment horizontal="center" vertical="center" wrapText="1"/>
    </xf>
    <xf numFmtId="166" fontId="65" fillId="0" borderId="8" xfId="32" applyFont="1" applyFill="1" applyBorder="1" applyAlignment="1">
      <alignment horizontal="center" vertical="center" wrapText="1"/>
    </xf>
    <xf numFmtId="166" fontId="64" fillId="0" borderId="19" xfId="32" applyFont="1" applyFill="1" applyBorder="1"/>
    <xf numFmtId="0" fontId="65" fillId="0" borderId="19" xfId="0" applyFont="1" applyBorder="1" applyAlignment="1">
      <alignment horizontal="center"/>
    </xf>
    <xf numFmtId="0" fontId="43" fillId="0" borderId="12" xfId="0" applyFont="1" applyBorder="1" applyAlignment="1">
      <alignment horizontal="center" vertical="top"/>
    </xf>
    <xf numFmtId="0" fontId="43" fillId="0" borderId="12" xfId="0" applyFont="1" applyBorder="1"/>
    <xf numFmtId="0" fontId="43" fillId="0" borderId="12" xfId="0" applyFont="1" applyBorder="1" applyAlignment="1">
      <alignment vertical="top"/>
    </xf>
    <xf numFmtId="0" fontId="43" fillId="0" borderId="0" xfId="0" applyFont="1"/>
    <xf numFmtId="0" fontId="44" fillId="0" borderId="14" xfId="0" applyFont="1" applyBorder="1" applyAlignment="1">
      <alignment horizontal="left"/>
    </xf>
    <xf numFmtId="0" fontId="43" fillId="0" borderId="0" xfId="0" applyFont="1" applyAlignment="1">
      <alignment horizontal="center"/>
    </xf>
    <xf numFmtId="0" fontId="43" fillId="0" borderId="0" xfId="0" applyFont="1" applyAlignment="1">
      <alignment horizontal="center" vertical="top"/>
    </xf>
    <xf numFmtId="0" fontId="43" fillId="0" borderId="0" xfId="0" applyFont="1" applyAlignment="1">
      <alignment vertical="top"/>
    </xf>
    <xf numFmtId="0" fontId="43" fillId="0" borderId="16" xfId="0" applyFont="1" applyBorder="1" applyAlignment="1">
      <alignment horizontal="center" vertical="top"/>
    </xf>
    <xf numFmtId="0" fontId="43" fillId="0" borderId="16" xfId="0" applyFont="1" applyBorder="1" applyAlignment="1">
      <alignment vertical="top"/>
    </xf>
    <xf numFmtId="0" fontId="43" fillId="0" borderId="13" xfId="0" applyFont="1" applyBorder="1" applyAlignment="1">
      <alignment horizontal="center" vertical="top"/>
    </xf>
    <xf numFmtId="0" fontId="44" fillId="0" borderId="20" xfId="0" applyFont="1" applyBorder="1" applyAlignment="1">
      <alignment vertical="top" wrapText="1"/>
    </xf>
    <xf numFmtId="0" fontId="44" fillId="0" borderId="17" xfId="0" applyFont="1" applyBorder="1" applyAlignment="1">
      <alignment horizontal="center" vertical="top" wrapText="1"/>
    </xf>
    <xf numFmtId="0" fontId="44" fillId="0" borderId="22" xfId="0" applyFont="1" applyBorder="1" applyAlignment="1">
      <alignment horizontal="center" vertical="center" wrapText="1"/>
    </xf>
    <xf numFmtId="0" fontId="44" fillId="0" borderId="8" xfId="0" applyFont="1" applyBorder="1" applyAlignment="1">
      <alignment horizontal="center" vertical="center" wrapText="1"/>
    </xf>
    <xf numFmtId="0" fontId="43" fillId="0" borderId="0" xfId="0" applyFont="1" applyAlignment="1">
      <alignment wrapText="1"/>
    </xf>
    <xf numFmtId="0" fontId="43" fillId="0" borderId="21" xfId="0" applyFont="1" applyBorder="1" applyAlignment="1">
      <alignment horizontal="center" vertical="top" wrapText="1"/>
    </xf>
    <xf numFmtId="0" fontId="44" fillId="0" borderId="18" xfId="0" applyFont="1" applyBorder="1" applyAlignment="1">
      <alignment horizontal="center" vertical="top" wrapText="1"/>
    </xf>
    <xf numFmtId="0" fontId="43" fillId="0" borderId="14" xfId="0" applyFont="1" applyBorder="1" applyAlignment="1">
      <alignment horizontal="center"/>
    </xf>
    <xf numFmtId="0" fontId="44" fillId="0" borderId="14" xfId="0" applyFont="1" applyBorder="1"/>
    <xf numFmtId="0" fontId="44" fillId="0" borderId="20" xfId="0" applyFont="1" applyBorder="1" applyAlignment="1">
      <alignment horizontal="center"/>
    </xf>
    <xf numFmtId="10" fontId="44" fillId="0" borderId="14" xfId="0" applyNumberFormat="1" applyFont="1" applyBorder="1"/>
    <xf numFmtId="0" fontId="44" fillId="0" borderId="19" xfId="0" applyFont="1" applyBorder="1" applyAlignment="1">
      <alignment horizontal="center"/>
    </xf>
    <xf numFmtId="0" fontId="43" fillId="0" borderId="14" xfId="0" applyFont="1" applyBorder="1" applyAlignment="1">
      <alignment horizontal="center" vertical="top"/>
    </xf>
    <xf numFmtId="0" fontId="43" fillId="0" borderId="14" xfId="0" applyFont="1" applyBorder="1"/>
    <xf numFmtId="10" fontId="43" fillId="0" borderId="14" xfId="0" applyNumberFormat="1" applyFont="1" applyBorder="1" applyAlignment="1">
      <alignment horizontal="left" vertical="top"/>
    </xf>
    <xf numFmtId="166" fontId="43" fillId="0" borderId="19" xfId="32" applyFont="1" applyFill="1" applyBorder="1" applyAlignment="1">
      <alignment horizontal="center" vertical="top"/>
    </xf>
    <xf numFmtId="166" fontId="43" fillId="0" borderId="0" xfId="32" applyFont="1" applyFill="1" applyBorder="1" applyAlignment="1">
      <alignment horizontal="center" vertical="top"/>
    </xf>
    <xf numFmtId="0" fontId="43" fillId="0" borderId="14" xfId="0" applyFont="1" applyBorder="1" applyAlignment="1">
      <alignment horizontal="left" vertical="top"/>
    </xf>
    <xf numFmtId="166" fontId="43" fillId="0" borderId="9" xfId="32" applyFont="1" applyFill="1" applyBorder="1" applyAlignment="1">
      <alignment horizontal="center" vertical="top"/>
    </xf>
    <xf numFmtId="166" fontId="43" fillId="0" borderId="0" xfId="0" applyNumberFormat="1" applyFont="1"/>
    <xf numFmtId="166" fontId="43" fillId="0" borderId="0" xfId="32" applyFont="1" applyFill="1"/>
    <xf numFmtId="0" fontId="43" fillId="0" borderId="25" xfId="0" applyFont="1" applyBorder="1" applyAlignment="1">
      <alignment horizontal="center" vertical="top"/>
    </xf>
    <xf numFmtId="166" fontId="44" fillId="0" borderId="8" xfId="32" applyFont="1" applyFill="1" applyBorder="1" applyAlignment="1">
      <alignment horizontal="center"/>
    </xf>
    <xf numFmtId="166" fontId="44" fillId="0" borderId="8" xfId="32" applyFont="1" applyFill="1" applyBorder="1"/>
    <xf numFmtId="0" fontId="43" fillId="0" borderId="19" xfId="0" applyFont="1" applyBorder="1" applyAlignment="1">
      <alignment horizontal="center" vertical="top"/>
    </xf>
    <xf numFmtId="0" fontId="44" fillId="0" borderId="19" xfId="0" applyFont="1" applyBorder="1" applyAlignment="1">
      <alignment horizontal="left" vertical="top"/>
    </xf>
    <xf numFmtId="0" fontId="44" fillId="0" borderId="14" xfId="0" applyFont="1" applyBorder="1" applyAlignment="1">
      <alignment horizontal="left" vertical="top"/>
    </xf>
    <xf numFmtId="166" fontId="43" fillId="0" borderId="19" xfId="0" applyNumberFormat="1" applyFont="1" applyBorder="1" applyAlignment="1">
      <alignment horizontal="center" vertical="top"/>
    </xf>
    <xf numFmtId="0" fontId="43" fillId="0" borderId="19" xfId="0" applyFont="1" applyBorder="1" applyAlignment="1">
      <alignment horizontal="left" vertical="top"/>
    </xf>
    <xf numFmtId="0" fontId="43" fillId="0" borderId="19" xfId="0" applyFont="1" applyBorder="1" applyAlignment="1">
      <alignment horizontal="left" vertical="top" wrapText="1"/>
    </xf>
    <xf numFmtId="166" fontId="44" fillId="0" borderId="19" xfId="32" applyFont="1" applyFill="1" applyBorder="1" applyAlignment="1">
      <alignment horizontal="center"/>
    </xf>
    <xf numFmtId="166" fontId="43" fillId="0" borderId="26" xfId="32" applyFont="1" applyFill="1" applyBorder="1"/>
    <xf numFmtId="172" fontId="43" fillId="0" borderId="19" xfId="32" applyNumberFormat="1" applyFont="1" applyFill="1" applyBorder="1" applyAlignment="1">
      <alignment horizontal="center" vertical="top"/>
    </xf>
    <xf numFmtId="0" fontId="46" fillId="0" borderId="0" xfId="0" applyFont="1"/>
    <xf numFmtId="0" fontId="44" fillId="0" borderId="25" xfId="0" applyFont="1" applyBorder="1" applyAlignment="1">
      <alignment horizontal="center" vertical="center" wrapText="1"/>
    </xf>
    <xf numFmtId="0" fontId="44" fillId="0" borderId="13" xfId="0" applyFont="1" applyBorder="1" applyAlignment="1">
      <alignment horizontal="center"/>
    </xf>
    <xf numFmtId="0" fontId="44" fillId="0" borderId="19" xfId="0" applyFont="1" applyBorder="1" applyAlignment="1">
      <alignment horizontal="center" vertical="center" wrapText="1"/>
    </xf>
    <xf numFmtId="166" fontId="65" fillId="0" borderId="8" xfId="0" applyNumberFormat="1" applyFont="1" applyBorder="1" applyAlignment="1">
      <alignment horizontal="center" wrapText="1"/>
    </xf>
    <xf numFmtId="164" fontId="65" fillId="0" borderId="20" xfId="0" applyNumberFormat="1" applyFont="1" applyBorder="1" applyAlignment="1">
      <alignment wrapText="1"/>
    </xf>
    <xf numFmtId="0" fontId="64" fillId="0" borderId="19" xfId="0" applyFont="1" applyBorder="1"/>
    <xf numFmtId="166" fontId="64" fillId="0" borderId="19" xfId="120" applyFont="1" applyFill="1" applyBorder="1" applyAlignment="1"/>
    <xf numFmtId="166" fontId="64" fillId="0" borderId="27" xfId="0" applyNumberFormat="1" applyFont="1" applyBorder="1" applyAlignment="1">
      <alignment wrapText="1"/>
    </xf>
    <xf numFmtId="166" fontId="65" fillId="0" borderId="19" xfId="0" applyNumberFormat="1" applyFont="1" applyBorder="1" applyAlignment="1">
      <alignment wrapText="1"/>
    </xf>
    <xf numFmtId="49" fontId="64" fillId="0" borderId="0" xfId="302" applyNumberFormat="1" applyFont="1" applyAlignment="1">
      <alignment wrapText="1"/>
    </xf>
    <xf numFmtId="166" fontId="64" fillId="0" borderId="27" xfId="120" applyFont="1" applyFill="1" applyBorder="1" applyAlignment="1"/>
    <xf numFmtId="166" fontId="65" fillId="0" borderId="19" xfId="120" applyFont="1" applyFill="1" applyBorder="1" applyAlignment="1"/>
    <xf numFmtId="0" fontId="72" fillId="0" borderId="0" xfId="0" applyFont="1"/>
    <xf numFmtId="166" fontId="64" fillId="0" borderId="21" xfId="120" applyFont="1" applyFill="1" applyBorder="1" applyAlignment="1"/>
    <xf numFmtId="0" fontId="72" fillId="0" borderId="16" xfId="0" applyFont="1" applyBorder="1"/>
    <xf numFmtId="166" fontId="65" fillId="0" borderId="28" xfId="120" applyFont="1" applyFill="1" applyBorder="1" applyAlignment="1"/>
    <xf numFmtId="0" fontId="64" fillId="0" borderId="20" xfId="0" applyFont="1" applyBorder="1"/>
    <xf numFmtId="49" fontId="64" fillId="0" borderId="12" xfId="0" applyNumberFormat="1" applyFont="1" applyBorder="1" applyAlignment="1">
      <alignment wrapText="1"/>
    </xf>
    <xf numFmtId="166" fontId="64" fillId="0" borderId="20" xfId="0" applyNumberFormat="1" applyFont="1" applyBorder="1" applyAlignment="1">
      <alignment wrapText="1"/>
    </xf>
    <xf numFmtId="49" fontId="64" fillId="0" borderId="0" xfId="0" applyNumberFormat="1" applyFont="1" applyAlignment="1">
      <alignment wrapText="1"/>
    </xf>
    <xf numFmtId="166" fontId="64" fillId="0" borderId="19" xfId="0" applyNumberFormat="1" applyFont="1" applyBorder="1" applyAlignment="1">
      <alignment wrapText="1"/>
    </xf>
    <xf numFmtId="166" fontId="65" fillId="0" borderId="21" xfId="120" applyFont="1" applyFill="1" applyBorder="1" applyAlignment="1"/>
    <xf numFmtId="166" fontId="65" fillId="0" borderId="14" xfId="120" applyFont="1" applyFill="1" applyBorder="1" applyAlignment="1"/>
    <xf numFmtId="166" fontId="65" fillId="0" borderId="26" xfId="120" applyFont="1" applyFill="1" applyBorder="1" applyAlignment="1"/>
    <xf numFmtId="166" fontId="64" fillId="0" borderId="0" xfId="0" applyNumberFormat="1" applyFont="1"/>
    <xf numFmtId="0" fontId="69" fillId="0" borderId="16" xfId="0" applyFont="1" applyBorder="1"/>
    <xf numFmtId="164" fontId="64" fillId="0" borderId="21" xfId="120" applyNumberFormat="1" applyFont="1" applyFill="1" applyBorder="1" applyAlignment="1"/>
    <xf numFmtId="0" fontId="69" fillId="0" borderId="13" xfId="0" applyFont="1" applyBorder="1"/>
    <xf numFmtId="0" fontId="69" fillId="0" borderId="12" xfId="0" applyFont="1" applyBorder="1"/>
    <xf numFmtId="0" fontId="43" fillId="0" borderId="19"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0" xfId="0" applyFont="1" applyAlignment="1">
      <alignment horizontal="right"/>
    </xf>
    <xf numFmtId="0" fontId="64" fillId="0" borderId="9" xfId="420" applyFont="1" applyBorder="1"/>
    <xf numFmtId="174" fontId="65" fillId="0" borderId="0" xfId="420" applyNumberFormat="1" applyFont="1"/>
    <xf numFmtId="0" fontId="64" fillId="0" borderId="0" xfId="420" applyFont="1" applyAlignment="1">
      <alignment horizontal="center"/>
    </xf>
    <xf numFmtId="0" fontId="65" fillId="0" borderId="15" xfId="420" applyFont="1" applyBorder="1"/>
    <xf numFmtId="0" fontId="65" fillId="0" borderId="16" xfId="420" applyFont="1" applyBorder="1"/>
    <xf numFmtId="0" fontId="73" fillId="0" borderId="18" xfId="420" applyFont="1" applyBorder="1" applyAlignment="1">
      <alignment horizontal="right"/>
    </xf>
    <xf numFmtId="0" fontId="65" fillId="4" borderId="8" xfId="420" applyFont="1" applyFill="1" applyBorder="1" applyAlignment="1">
      <alignment horizontal="center" wrapText="1"/>
    </xf>
    <xf numFmtId="0" fontId="65" fillId="0" borderId="14" xfId="420" applyFont="1" applyBorder="1" applyAlignment="1">
      <alignment vertical="center" wrapText="1"/>
    </xf>
    <xf numFmtId="0" fontId="64" fillId="0" borderId="0" xfId="420" applyFont="1" applyAlignment="1">
      <alignment vertical="center" wrapText="1"/>
    </xf>
    <xf numFmtId="172" fontId="65" fillId="0" borderId="20" xfId="82" applyNumberFormat="1" applyFont="1" applyFill="1" applyBorder="1" applyAlignment="1">
      <alignment horizontal="center" wrapText="1"/>
    </xf>
    <xf numFmtId="172" fontId="65" fillId="0" borderId="19" xfId="82" applyNumberFormat="1" applyFont="1" applyFill="1" applyBorder="1" applyAlignment="1">
      <alignment horizontal="center" wrapText="1"/>
    </xf>
    <xf numFmtId="172" fontId="64" fillId="0" borderId="19" xfId="82" applyNumberFormat="1" applyFont="1" applyBorder="1"/>
    <xf numFmtId="172" fontId="64" fillId="0" borderId="19" xfId="82" applyNumberFormat="1" applyFont="1" applyFill="1" applyBorder="1"/>
    <xf numFmtId="0" fontId="67" fillId="0" borderId="14" xfId="420" applyFont="1" applyBorder="1"/>
    <xf numFmtId="170" fontId="64" fillId="0" borderId="0" xfId="420" applyNumberFormat="1" applyFont="1"/>
    <xf numFmtId="172" fontId="64" fillId="0" borderId="14" xfId="82" applyNumberFormat="1" applyFont="1" applyFill="1" applyBorder="1"/>
    <xf numFmtId="172" fontId="64" fillId="0" borderId="21" xfId="82" applyNumberFormat="1" applyFont="1" applyFill="1" applyBorder="1"/>
    <xf numFmtId="0" fontId="64" fillId="0" borderId="14" xfId="420" applyFont="1" applyBorder="1" applyAlignment="1">
      <alignment wrapText="1"/>
    </xf>
    <xf numFmtId="172" fontId="65" fillId="0" borderId="19" xfId="82" applyNumberFormat="1" applyFont="1" applyBorder="1" applyAlignment="1">
      <alignment horizontal="left"/>
    </xf>
    <xf numFmtId="172" fontId="65" fillId="0" borderId="26" xfId="82" applyNumberFormat="1" applyFont="1" applyFill="1" applyBorder="1"/>
    <xf numFmtId="172" fontId="65" fillId="0" borderId="19" xfId="82" applyNumberFormat="1" applyFont="1" applyBorder="1" applyAlignment="1">
      <alignment horizontal="center"/>
    </xf>
    <xf numFmtId="172" fontId="65" fillId="0" borderId="19" xfId="82" applyNumberFormat="1" applyFont="1" applyFill="1" applyBorder="1"/>
    <xf numFmtId="0" fontId="65" fillId="0" borderId="0" xfId="420" applyFont="1" applyAlignment="1">
      <alignment horizontal="center"/>
    </xf>
    <xf numFmtId="0" fontId="65" fillId="0" borderId="16" xfId="420" applyFont="1" applyBorder="1" applyAlignment="1">
      <alignment horizontal="center"/>
    </xf>
    <xf numFmtId="172" fontId="65" fillId="0" borderId="21" xfId="82" applyNumberFormat="1" applyFont="1" applyBorder="1" applyAlignment="1">
      <alignment horizontal="center"/>
    </xf>
    <xf numFmtId="0" fontId="64" fillId="0" borderId="19" xfId="420" applyFont="1" applyBorder="1"/>
    <xf numFmtId="0" fontId="65" fillId="0" borderId="8" xfId="420" applyFont="1" applyBorder="1" applyAlignment="1">
      <alignment horizontal="left"/>
    </xf>
    <xf numFmtId="172" fontId="65" fillId="0" borderId="8" xfId="420" applyNumberFormat="1" applyFont="1" applyBorder="1"/>
    <xf numFmtId="206" fontId="64" fillId="0" borderId="19" xfId="0" applyNumberFormat="1" applyFont="1" applyBorder="1" applyAlignment="1">
      <alignment horizontal="left" vertical="top"/>
    </xf>
    <xf numFmtId="43" fontId="43" fillId="0" borderId="19" xfId="0" applyNumberFormat="1" applyFont="1" applyBorder="1" applyAlignment="1">
      <alignment horizontal="center" vertical="top"/>
    </xf>
    <xf numFmtId="166" fontId="43" fillId="0" borderId="14" xfId="32" applyFont="1" applyFill="1" applyBorder="1" applyAlignment="1">
      <alignment horizontal="center" vertical="top"/>
    </xf>
    <xf numFmtId="164" fontId="64" fillId="0" borderId="8" xfId="32" applyNumberFormat="1" applyFont="1" applyFill="1" applyBorder="1" applyAlignment="1">
      <alignment horizontal="center" vertical="center" wrapText="1"/>
    </xf>
    <xf numFmtId="164" fontId="64" fillId="0" borderId="8" xfId="0" applyNumberFormat="1" applyFont="1" applyBorder="1"/>
    <xf numFmtId="43" fontId="43" fillId="0" borderId="0" xfId="0" applyNumberFormat="1" applyFont="1"/>
    <xf numFmtId="166" fontId="64" fillId="0" borderId="16" xfId="32" applyFont="1" applyBorder="1"/>
    <xf numFmtId="0" fontId="65" fillId="0" borderId="20" xfId="305" applyFont="1" applyBorder="1" applyAlignment="1">
      <alignment horizontal="center" vertical="center" wrapText="1"/>
    </xf>
    <xf numFmtId="166" fontId="65" fillId="0" borderId="20" xfId="32" applyFont="1" applyFill="1" applyBorder="1" applyAlignment="1">
      <alignment horizontal="center" vertical="center" wrapText="1"/>
    </xf>
    <xf numFmtId="166" fontId="65" fillId="0" borderId="0" xfId="32" applyFont="1" applyFill="1" applyBorder="1" applyAlignment="1">
      <alignment horizontal="center" vertical="center" wrapText="1"/>
    </xf>
    <xf numFmtId="166" fontId="64" fillId="0" borderId="14" xfId="32" applyFont="1" applyFill="1" applyBorder="1"/>
    <xf numFmtId="172" fontId="64" fillId="0" borderId="19" xfId="32" applyNumberFormat="1" applyFont="1" applyFill="1" applyBorder="1"/>
    <xf numFmtId="172" fontId="64" fillId="0" borderId="21" xfId="32" applyNumberFormat="1" applyFont="1" applyFill="1" applyBorder="1"/>
    <xf numFmtId="166" fontId="64" fillId="0" borderId="19" xfId="32" applyFont="1" applyFill="1" applyBorder="1" applyAlignment="1">
      <alignment horizontal="center" vertical="top"/>
    </xf>
    <xf numFmtId="0" fontId="6" fillId="0" borderId="0" xfId="0" applyFont="1" applyAlignment="1">
      <alignment horizontal="center" vertical="center"/>
    </xf>
    <xf numFmtId="0" fontId="49" fillId="0" borderId="0" xfId="0" applyFont="1" applyAlignment="1">
      <alignment vertical="center" wrapText="1"/>
    </xf>
    <xf numFmtId="166" fontId="64" fillId="0" borderId="0" xfId="32" applyFont="1" applyAlignment="1">
      <alignment vertical="center"/>
    </xf>
    <xf numFmtId="0" fontId="64" fillId="0" borderId="0" xfId="0" applyFont="1" applyAlignment="1">
      <alignment vertical="center"/>
    </xf>
    <xf numFmtId="0" fontId="64" fillId="0" borderId="0" xfId="0" applyFont="1" applyAlignment="1">
      <alignment horizontal="left" vertical="center"/>
    </xf>
    <xf numFmtId="0" fontId="65" fillId="0" borderId="0" xfId="0" applyFont="1" applyAlignment="1">
      <alignment horizontal="left" vertical="center"/>
    </xf>
    <xf numFmtId="2" fontId="64" fillId="0" borderId="0" xfId="0" applyNumberFormat="1" applyFont="1" applyAlignment="1">
      <alignment vertical="center"/>
    </xf>
    <xf numFmtId="0" fontId="65" fillId="0" borderId="14" xfId="0" applyFont="1" applyBorder="1" applyAlignment="1">
      <alignment horizontal="left"/>
    </xf>
    <xf numFmtId="0" fontId="63" fillId="0" borderId="0" xfId="219" applyAlignment="1" applyProtection="1"/>
    <xf numFmtId="0" fontId="64" fillId="0" borderId="19" xfId="0" applyFont="1" applyBorder="1" applyAlignment="1">
      <alignment vertical="center"/>
    </xf>
    <xf numFmtId="166" fontId="64" fillId="0" borderId="19" xfId="120" applyFont="1" applyFill="1" applyBorder="1" applyAlignment="1">
      <alignment vertical="center"/>
    </xf>
    <xf numFmtId="172" fontId="64" fillId="0" borderId="9" xfId="120" applyNumberFormat="1" applyFont="1" applyBorder="1"/>
    <xf numFmtId="0" fontId="74" fillId="0" borderId="0" xfId="0" applyFont="1"/>
    <xf numFmtId="49" fontId="75" fillId="0" borderId="8" xfId="0" applyNumberFormat="1" applyFont="1" applyBorder="1" applyAlignment="1">
      <alignment horizontal="center" vertical="top"/>
    </xf>
    <xf numFmtId="0" fontId="74" fillId="0" borderId="20" xfId="0" applyFont="1" applyBorder="1" applyAlignment="1">
      <alignment horizontal="center"/>
    </xf>
    <xf numFmtId="49" fontId="76" fillId="0" borderId="0" xfId="0" applyNumberFormat="1" applyFont="1" applyAlignment="1">
      <alignment vertical="top"/>
    </xf>
    <xf numFmtId="0" fontId="74" fillId="0" borderId="19" xfId="0" applyFont="1" applyBorder="1" applyAlignment="1">
      <alignment horizontal="center"/>
    </xf>
    <xf numFmtId="39" fontId="76" fillId="0" borderId="19" xfId="0" applyNumberFormat="1" applyFont="1" applyBorder="1" applyAlignment="1">
      <alignment horizontal="right" vertical="top"/>
    </xf>
    <xf numFmtId="39" fontId="76" fillId="0" borderId="0" xfId="0" applyNumberFormat="1" applyFont="1" applyAlignment="1">
      <alignment horizontal="right" vertical="top"/>
    </xf>
    <xf numFmtId="0" fontId="74" fillId="0" borderId="8" xfId="0" applyFont="1" applyBorder="1"/>
    <xf numFmtId="49" fontId="77" fillId="0" borderId="7" xfId="0" applyNumberFormat="1" applyFont="1" applyBorder="1" applyAlignment="1">
      <alignment horizontal="left" vertical="top" indent="2"/>
    </xf>
    <xf numFmtId="39" fontId="77" fillId="0" borderId="8" xfId="0" applyNumberFormat="1" applyFont="1" applyBorder="1" applyAlignment="1">
      <alignment horizontal="right" vertical="top"/>
    </xf>
    <xf numFmtId="0" fontId="76" fillId="0" borderId="0" xfId="0" applyFont="1"/>
    <xf numFmtId="0" fontId="77" fillId="0" borderId="0" xfId="0" applyFont="1"/>
    <xf numFmtId="39" fontId="77" fillId="0" borderId="0" xfId="0" applyNumberFormat="1" applyFont="1"/>
    <xf numFmtId="2" fontId="76" fillId="0" borderId="0" xfId="0" applyNumberFormat="1" applyFont="1"/>
    <xf numFmtId="0" fontId="77" fillId="0" borderId="0" xfId="0" applyFont="1" applyAlignment="1">
      <alignment horizontal="center"/>
    </xf>
    <xf numFmtId="39" fontId="77" fillId="0" borderId="23" xfId="0" applyNumberFormat="1" applyFont="1" applyBorder="1"/>
    <xf numFmtId="39" fontId="76" fillId="0" borderId="0" xfId="0" applyNumberFormat="1" applyFont="1"/>
    <xf numFmtId="39" fontId="74" fillId="0" borderId="0" xfId="0" applyNumberFormat="1" applyFont="1"/>
    <xf numFmtId="0" fontId="43" fillId="0" borderId="0" xfId="0" applyFont="1" applyAlignment="1">
      <alignment vertical="center"/>
    </xf>
    <xf numFmtId="172" fontId="64" fillId="0" borderId="29" xfId="298" applyNumberFormat="1" applyFont="1" applyBorder="1"/>
    <xf numFmtId="0" fontId="68" fillId="0" borderId="13" xfId="298" applyFont="1" applyBorder="1"/>
    <xf numFmtId="0" fontId="68" fillId="0" borderId="17" xfId="298" applyFont="1" applyBorder="1"/>
    <xf numFmtId="0" fontId="64" fillId="0" borderId="9" xfId="337" applyFont="1" applyBorder="1"/>
    <xf numFmtId="172" fontId="65" fillId="0" borderId="9" xfId="82" applyNumberFormat="1" applyFont="1" applyBorder="1"/>
    <xf numFmtId="172" fontId="65" fillId="0" borderId="22" xfId="82" applyNumberFormat="1" applyFont="1" applyFill="1" applyBorder="1"/>
    <xf numFmtId="49" fontId="65" fillId="0" borderId="0" xfId="0" applyNumberFormat="1" applyFont="1"/>
    <xf numFmtId="49" fontId="65" fillId="0" borderId="12" xfId="0" applyNumberFormat="1" applyFont="1" applyBorder="1"/>
    <xf numFmtId="0" fontId="43" fillId="0" borderId="20" xfId="0" applyFont="1" applyBorder="1" applyAlignment="1">
      <alignment horizontal="center" vertical="top"/>
    </xf>
    <xf numFmtId="166" fontId="43" fillId="0" borderId="20" xfId="32" applyFont="1" applyFill="1" applyBorder="1" applyAlignment="1">
      <alignment horizontal="center" vertical="top"/>
    </xf>
    <xf numFmtId="49" fontId="78" fillId="10" borderId="8" xfId="308" applyNumberFormat="1" applyFont="1" applyFill="1" applyBorder="1" applyAlignment="1">
      <alignment horizontal="left" vertical="center"/>
    </xf>
    <xf numFmtId="49" fontId="78" fillId="0" borderId="0" xfId="308" applyNumberFormat="1" applyFont="1" applyAlignment="1">
      <alignment horizontal="left" vertical="center"/>
    </xf>
    <xf numFmtId="166" fontId="79" fillId="0" borderId="0" xfId="32" applyFont="1" applyFill="1" applyBorder="1" applyAlignment="1">
      <alignment horizontal="center" vertical="center"/>
    </xf>
    <xf numFmtId="172" fontId="64" fillId="0" borderId="21" xfId="120" applyNumberFormat="1" applyFont="1" applyFill="1" applyBorder="1"/>
    <xf numFmtId="166" fontId="64" fillId="0" borderId="21" xfId="32" applyFont="1" applyFill="1" applyBorder="1"/>
    <xf numFmtId="166" fontId="64" fillId="0" borderId="20" xfId="32" applyFont="1" applyFill="1" applyBorder="1"/>
    <xf numFmtId="207" fontId="64" fillId="0" borderId="19" xfId="120" applyNumberFormat="1" applyFont="1" applyFill="1" applyBorder="1"/>
    <xf numFmtId="207" fontId="64" fillId="0" borderId="21" xfId="120" applyNumberFormat="1" applyFont="1" applyFill="1" applyBorder="1"/>
    <xf numFmtId="172" fontId="65" fillId="0" borderId="19" xfId="120" applyNumberFormat="1" applyFont="1" applyFill="1" applyBorder="1"/>
    <xf numFmtId="172" fontId="65" fillId="0" borderId="20" xfId="120" applyNumberFormat="1" applyFont="1" applyFill="1" applyBorder="1"/>
    <xf numFmtId="172" fontId="65" fillId="0" borderId="13" xfId="120" applyNumberFormat="1" applyFont="1" applyFill="1" applyBorder="1"/>
    <xf numFmtId="0" fontId="64" fillId="0" borderId="14" xfId="420" applyFont="1" applyBorder="1" applyAlignment="1">
      <alignment horizontal="left" indent="3"/>
    </xf>
    <xf numFmtId="166" fontId="64" fillId="0" borderId="0" xfId="32" applyFont="1" applyFill="1"/>
    <xf numFmtId="166" fontId="65" fillId="0" borderId="19" xfId="120" applyFont="1" applyFill="1" applyBorder="1" applyAlignment="1">
      <alignment horizontal="center" vertical="center"/>
    </xf>
    <xf numFmtId="172" fontId="65" fillId="0" borderId="8" xfId="120" applyNumberFormat="1" applyFont="1" applyFill="1" applyBorder="1" applyAlignment="1">
      <alignment horizontal="center" vertical="center" wrapText="1"/>
    </xf>
    <xf numFmtId="172" fontId="65" fillId="0" borderId="19" xfId="120" applyNumberFormat="1" applyFont="1" applyFill="1" applyBorder="1" applyAlignment="1">
      <alignment horizontal="center" vertical="center"/>
    </xf>
    <xf numFmtId="172" fontId="65" fillId="0" borderId="8" xfId="120" applyNumberFormat="1" applyFont="1" applyFill="1" applyBorder="1" applyAlignment="1">
      <alignment horizontal="center" vertical="center"/>
    </xf>
    <xf numFmtId="172" fontId="65" fillId="0" borderId="19" xfId="120" applyNumberFormat="1" applyFont="1" applyFill="1" applyBorder="1" applyAlignment="1">
      <alignment horizontal="center" vertical="center" wrapText="1"/>
    </xf>
    <xf numFmtId="166" fontId="65" fillId="0" borderId="14" xfId="32" applyFont="1" applyFill="1" applyBorder="1"/>
    <xf numFmtId="166" fontId="64" fillId="0" borderId="9" xfId="32" applyFont="1" applyFill="1" applyBorder="1" applyAlignment="1">
      <alignment horizontal="right" vertical="top"/>
    </xf>
    <xf numFmtId="43" fontId="64" fillId="0" borderId="19" xfId="120" applyNumberFormat="1" applyFont="1" applyFill="1" applyBorder="1"/>
    <xf numFmtId="166" fontId="64" fillId="0" borderId="19" xfId="32" applyFont="1" applyFill="1" applyBorder="1" applyAlignment="1">
      <alignment horizontal="right" vertical="top"/>
    </xf>
    <xf numFmtId="166" fontId="43" fillId="0" borderId="19" xfId="0" applyNumberFormat="1" applyFont="1" applyBorder="1" applyAlignment="1">
      <alignment vertical="center"/>
    </xf>
    <xf numFmtId="166" fontId="43" fillId="0" borderId="0" xfId="0" applyNumberFormat="1" applyFont="1" applyAlignment="1">
      <alignment vertical="center"/>
    </xf>
    <xf numFmtId="0" fontId="43" fillId="0" borderId="14" xfId="0" applyFont="1" applyBorder="1" applyAlignment="1">
      <alignment vertical="center"/>
    </xf>
    <xf numFmtId="43" fontId="43" fillId="0" borderId="0" xfId="0" applyNumberFormat="1" applyFont="1" applyAlignment="1">
      <alignment vertical="center"/>
    </xf>
    <xf numFmtId="166" fontId="43" fillId="0" borderId="9" xfId="0" applyNumberFormat="1" applyFont="1" applyBorder="1" applyAlignment="1">
      <alignment vertical="center"/>
    </xf>
    <xf numFmtId="166" fontId="43" fillId="0" borderId="14" xfId="0" applyNumberFormat="1" applyFont="1" applyBorder="1" applyAlignment="1">
      <alignment vertical="center"/>
    </xf>
    <xf numFmtId="0" fontId="43" fillId="0" borderId="0" xfId="0" applyFont="1" applyAlignment="1">
      <alignment horizontal="center" vertical="center"/>
    </xf>
    <xf numFmtId="172" fontId="65" fillId="0" borderId="8" xfId="32" applyNumberFormat="1" applyFont="1" applyFill="1" applyBorder="1" applyAlignment="1">
      <alignment horizontal="right" vertical="top"/>
    </xf>
    <xf numFmtId="0" fontId="43" fillId="0" borderId="13" xfId="0" applyFont="1" applyBorder="1" applyAlignment="1">
      <alignment vertical="center"/>
    </xf>
    <xf numFmtId="0" fontId="43" fillId="0" borderId="17" xfId="0" applyFont="1" applyBorder="1" applyAlignment="1">
      <alignment vertical="center"/>
    </xf>
    <xf numFmtId="0" fontId="43" fillId="0" borderId="19" xfId="0" applyFont="1" applyBorder="1" applyAlignment="1">
      <alignment horizontal="center" vertical="center"/>
    </xf>
    <xf numFmtId="0" fontId="43" fillId="0" borderId="19" xfId="0" applyFont="1" applyBorder="1" applyAlignment="1">
      <alignment vertical="center"/>
    </xf>
    <xf numFmtId="0" fontId="43" fillId="0" borderId="9" xfId="0" applyFont="1" applyBorder="1" applyAlignment="1">
      <alignment vertical="center"/>
    </xf>
    <xf numFmtId="0" fontId="44" fillId="0" borderId="14" xfId="0" applyFont="1" applyBorder="1" applyAlignment="1">
      <alignment vertical="center"/>
    </xf>
    <xf numFmtId="0" fontId="44" fillId="0" borderId="9" xfId="0" applyFont="1" applyBorder="1" applyAlignment="1">
      <alignment vertical="center"/>
    </xf>
    <xf numFmtId="166" fontId="44" fillId="0" borderId="26" xfId="0" applyNumberFormat="1" applyFont="1" applyBorder="1" applyAlignment="1">
      <alignment vertical="center"/>
    </xf>
    <xf numFmtId="166" fontId="43" fillId="0" borderId="19" xfId="32" applyFont="1" applyFill="1" applyBorder="1" applyAlignment="1">
      <alignment vertical="center"/>
    </xf>
    <xf numFmtId="166" fontId="43" fillId="0" borderId="0" xfId="32" applyFont="1" applyFill="1" applyBorder="1" applyAlignment="1">
      <alignment vertical="center"/>
    </xf>
    <xf numFmtId="166" fontId="43" fillId="0" borderId="9" xfId="32" applyFont="1" applyFill="1" applyBorder="1" applyAlignment="1">
      <alignment vertical="center"/>
    </xf>
    <xf numFmtId="166" fontId="43" fillId="0" borderId="13" xfId="0" applyNumberFormat="1" applyFont="1" applyBorder="1" applyAlignment="1">
      <alignment vertical="center"/>
    </xf>
    <xf numFmtId="0" fontId="43" fillId="0" borderId="12" xfId="0" applyFont="1" applyBorder="1" applyAlignment="1">
      <alignment vertical="center"/>
    </xf>
    <xf numFmtId="166" fontId="47" fillId="0" borderId="14" xfId="0" applyNumberFormat="1" applyFont="1" applyBorder="1" applyAlignment="1">
      <alignment vertical="center"/>
    </xf>
    <xf numFmtId="10" fontId="43" fillId="0" borderId="0" xfId="0" applyNumberFormat="1" applyFont="1" applyAlignment="1">
      <alignment vertical="center"/>
    </xf>
    <xf numFmtId="0" fontId="44" fillId="0" borderId="9" xfId="0" applyFont="1" applyBorder="1" applyAlignment="1">
      <alignment vertical="center" wrapText="1"/>
    </xf>
    <xf numFmtId="166" fontId="44" fillId="0" borderId="19" xfId="0" applyNumberFormat="1" applyFont="1" applyBorder="1" applyAlignment="1">
      <alignment vertical="center"/>
    </xf>
    <xf numFmtId="172" fontId="43" fillId="0" borderId="0" xfId="0" applyNumberFormat="1" applyFont="1" applyAlignment="1">
      <alignment vertical="center"/>
    </xf>
    <xf numFmtId="166" fontId="43" fillId="0" borderId="21" xfId="32" applyFont="1" applyFill="1" applyBorder="1" applyAlignment="1">
      <alignment vertical="center"/>
    </xf>
    <xf numFmtId="166" fontId="43" fillId="0" borderId="18" xfId="32" applyFont="1" applyFill="1" applyBorder="1" applyAlignment="1">
      <alignment vertical="center"/>
    </xf>
    <xf numFmtId="166" fontId="43" fillId="0" borderId="18" xfId="0" applyNumberFormat="1" applyFont="1" applyBorder="1" applyAlignment="1">
      <alignment vertical="center"/>
    </xf>
    <xf numFmtId="166" fontId="44" fillId="0" borderId="14" xfId="0" applyNumberFormat="1" applyFont="1" applyBorder="1" applyAlignment="1">
      <alignment vertical="center"/>
    </xf>
    <xf numFmtId="0" fontId="43" fillId="0" borderId="14" xfId="0" applyFont="1" applyBorder="1" applyAlignment="1">
      <alignment horizontal="left" vertical="center"/>
    </xf>
    <xf numFmtId="166" fontId="43" fillId="0" borderId="0" xfId="32" applyFont="1" applyFill="1" applyAlignment="1">
      <alignment vertical="center"/>
    </xf>
    <xf numFmtId="166" fontId="43" fillId="0" borderId="14" xfId="32" applyFont="1" applyFill="1" applyBorder="1" applyAlignment="1">
      <alignment vertical="center"/>
    </xf>
    <xf numFmtId="166" fontId="51" fillId="0" borderId="21" xfId="32" applyFont="1" applyFill="1" applyBorder="1" applyAlignment="1">
      <alignment vertical="center"/>
    </xf>
    <xf numFmtId="9" fontId="43" fillId="0" borderId="0" xfId="422" applyFont="1" applyFill="1" applyAlignment="1">
      <alignment vertical="center"/>
    </xf>
    <xf numFmtId="164" fontId="43" fillId="0" borderId="0" xfId="0" applyNumberFormat="1" applyFont="1" applyAlignment="1">
      <alignment vertical="center"/>
    </xf>
    <xf numFmtId="166" fontId="43" fillId="0" borderId="16" xfId="32" applyFont="1" applyFill="1" applyBorder="1" applyAlignment="1">
      <alignment vertical="center"/>
    </xf>
    <xf numFmtId="166" fontId="44" fillId="0" borderId="0" xfId="32" applyFont="1" applyFill="1" applyBorder="1" applyAlignment="1">
      <alignment vertical="center"/>
    </xf>
    <xf numFmtId="166" fontId="44" fillId="0" borderId="30" xfId="32" applyFont="1" applyFill="1" applyBorder="1" applyAlignment="1">
      <alignment vertical="center"/>
    </xf>
    <xf numFmtId="0" fontId="43" fillId="0" borderId="15" xfId="0" applyFont="1" applyBorder="1" applyAlignment="1">
      <alignment vertical="center"/>
    </xf>
    <xf numFmtId="0" fontId="43" fillId="0" borderId="16" xfId="0" applyFont="1" applyBorder="1" applyAlignment="1">
      <alignment vertical="center"/>
    </xf>
    <xf numFmtId="0" fontId="43" fillId="0" borderId="31" xfId="0" applyFont="1" applyBorder="1" applyAlignment="1">
      <alignment vertical="center"/>
    </xf>
    <xf numFmtId="0" fontId="45" fillId="0" borderId="0" xfId="0" applyFont="1" applyAlignment="1">
      <alignment vertical="center"/>
    </xf>
    <xf numFmtId="166" fontId="43" fillId="0" borderId="17" xfId="0" applyNumberFormat="1" applyFont="1" applyBorder="1" applyAlignment="1">
      <alignment vertical="center"/>
    </xf>
    <xf numFmtId="0" fontId="43" fillId="0" borderId="18" xfId="0" applyFont="1" applyBorder="1" applyAlignment="1">
      <alignment vertical="center"/>
    </xf>
    <xf numFmtId="0" fontId="43" fillId="0" borderId="21" xfId="0" applyFont="1" applyBorder="1" applyAlignment="1">
      <alignment horizontal="center" vertical="center"/>
    </xf>
    <xf numFmtId="166" fontId="44" fillId="0" borderId="30" xfId="0" applyNumberFormat="1" applyFont="1" applyBorder="1" applyAlignment="1">
      <alignment vertical="center"/>
    </xf>
    <xf numFmtId="166" fontId="43" fillId="0" borderId="15" xfId="0" applyNumberFormat="1" applyFont="1" applyBorder="1" applyAlignment="1">
      <alignment vertical="center"/>
    </xf>
    <xf numFmtId="14" fontId="44" fillId="0" borderId="0" xfId="0" applyNumberFormat="1" applyFont="1" applyAlignment="1">
      <alignment vertical="center"/>
    </xf>
    <xf numFmtId="0" fontId="72" fillId="0" borderId="0" xfId="0" applyFont="1" applyAlignment="1">
      <alignment vertical="center"/>
    </xf>
    <xf numFmtId="43" fontId="72" fillId="0" borderId="0" xfId="0" applyNumberFormat="1" applyFont="1" applyAlignment="1">
      <alignment horizontal="center" vertical="center" wrapText="1"/>
    </xf>
    <xf numFmtId="0" fontId="72" fillId="0" borderId="0" xfId="0" applyFont="1" applyAlignment="1">
      <alignment vertical="center" wrapText="1"/>
    </xf>
    <xf numFmtId="172" fontId="43" fillId="0" borderId="0" xfId="32" applyNumberFormat="1" applyFont="1" applyFill="1" applyBorder="1" applyAlignment="1">
      <alignment vertical="center"/>
    </xf>
    <xf numFmtId="0" fontId="46" fillId="0" borderId="0" xfId="0" applyFont="1" applyAlignment="1">
      <alignment vertical="center"/>
    </xf>
    <xf numFmtId="0" fontId="48" fillId="0" borderId="0" xfId="0" applyFont="1" applyAlignment="1">
      <alignment vertical="center"/>
    </xf>
    <xf numFmtId="172" fontId="44" fillId="0" borderId="0" xfId="32" applyNumberFormat="1" applyFont="1" applyFill="1" applyBorder="1" applyAlignment="1">
      <alignment vertical="center"/>
    </xf>
    <xf numFmtId="170" fontId="43" fillId="0" borderId="0" xfId="0" applyNumberFormat="1" applyFont="1" applyAlignment="1">
      <alignment vertical="center"/>
    </xf>
    <xf numFmtId="172" fontId="64" fillId="0" borderId="9" xfId="32" applyNumberFormat="1" applyFont="1" applyFill="1" applyBorder="1"/>
    <xf numFmtId="172" fontId="64" fillId="0" borderId="14" xfId="32" applyNumberFormat="1" applyFont="1" applyFill="1" applyBorder="1" applyAlignment="1">
      <alignment horizontal="left" vertical="top"/>
    </xf>
    <xf numFmtId="172" fontId="64" fillId="0" borderId="0" xfId="32" applyNumberFormat="1" applyFont="1" applyFill="1"/>
    <xf numFmtId="172" fontId="64" fillId="0" borderId="14" xfId="32" applyNumberFormat="1" applyFont="1" applyFill="1" applyBorder="1"/>
    <xf numFmtId="166" fontId="65" fillId="0" borderId="22" xfId="32" applyFont="1" applyFill="1" applyBorder="1"/>
    <xf numFmtId="172" fontId="80" fillId="0" borderId="19" xfId="120" applyNumberFormat="1" applyFont="1" applyFill="1" applyBorder="1"/>
    <xf numFmtId="166" fontId="81" fillId="0" borderId="22" xfId="32" applyFont="1" applyFill="1" applyBorder="1"/>
    <xf numFmtId="172" fontId="81" fillId="0" borderId="8" xfId="32" applyNumberFormat="1" applyFont="1" applyFill="1" applyBorder="1" applyAlignment="1">
      <alignment horizontal="right" vertical="top"/>
    </xf>
    <xf numFmtId="166" fontId="43" fillId="11" borderId="0" xfId="32" applyFont="1" applyFill="1"/>
    <xf numFmtId="0" fontId="43" fillId="11" borderId="0" xfId="0" applyFont="1" applyFill="1"/>
    <xf numFmtId="49" fontId="78" fillId="0" borderId="12" xfId="308" applyNumberFormat="1" applyFont="1" applyBorder="1" applyAlignment="1">
      <alignment vertical="center"/>
    </xf>
    <xf numFmtId="49" fontId="79" fillId="0" borderId="0" xfId="308" applyNumberFormat="1" applyFont="1" applyAlignment="1">
      <alignment vertical="center"/>
    </xf>
    <xf numFmtId="14" fontId="64" fillId="0" borderId="0" xfId="420" applyNumberFormat="1" applyFont="1"/>
    <xf numFmtId="172" fontId="65" fillId="0" borderId="9" xfId="120" applyNumberFormat="1" applyFont="1" applyFill="1" applyBorder="1"/>
    <xf numFmtId="0" fontId="64" fillId="0" borderId="8" xfId="420" applyFont="1" applyBorder="1"/>
    <xf numFmtId="166" fontId="65" fillId="0" borderId="0" xfId="32" applyFont="1" applyFill="1" applyBorder="1"/>
    <xf numFmtId="172" fontId="64" fillId="0" borderId="0" xfId="32" applyNumberFormat="1" applyFont="1"/>
    <xf numFmtId="166" fontId="78" fillId="10" borderId="8" xfId="32" applyFont="1" applyFill="1" applyBorder="1" applyAlignment="1">
      <alignment horizontal="center" vertical="center"/>
    </xf>
    <xf numFmtId="172" fontId="64" fillId="0" borderId="8" xfId="420" applyNumberFormat="1" applyFont="1" applyBorder="1"/>
    <xf numFmtId="43" fontId="64" fillId="0" borderId="0" xfId="420" applyNumberFormat="1" applyFont="1"/>
    <xf numFmtId="49" fontId="83" fillId="0" borderId="0" xfId="0" applyNumberFormat="1" applyFont="1" applyAlignment="1">
      <alignment vertical="top"/>
    </xf>
    <xf numFmtId="0" fontId="67" fillId="0" borderId="14" xfId="300" applyFont="1" applyBorder="1" applyAlignment="1">
      <alignment horizontal="left"/>
    </xf>
    <xf numFmtId="0" fontId="65" fillId="0" borderId="0" xfId="305" applyFont="1" applyAlignment="1">
      <alignment horizontal="left"/>
    </xf>
    <xf numFmtId="0" fontId="64" fillId="0" borderId="0" xfId="250" applyFont="1"/>
    <xf numFmtId="0" fontId="64" fillId="0" borderId="0" xfId="250" applyFont="1" applyAlignment="1">
      <alignment horizontal="center"/>
    </xf>
    <xf numFmtId="0" fontId="65" fillId="0" borderId="14" xfId="300" applyFont="1" applyBorder="1" applyAlignment="1">
      <alignment horizontal="left"/>
    </xf>
    <xf numFmtId="0" fontId="67" fillId="0" borderId="0" xfId="250" applyFont="1"/>
    <xf numFmtId="0" fontId="65" fillId="0" borderId="0" xfId="307" applyFont="1"/>
    <xf numFmtId="0" fontId="64" fillId="0" borderId="16" xfId="250" applyFont="1" applyBorder="1"/>
    <xf numFmtId="9" fontId="64" fillId="0" borderId="0" xfId="250" applyNumberFormat="1" applyFont="1"/>
    <xf numFmtId="0" fontId="65" fillId="0" borderId="8" xfId="250" applyFont="1" applyBorder="1" applyAlignment="1">
      <alignment horizontal="center" vertical="center" wrapText="1"/>
    </xf>
    <xf numFmtId="10" fontId="65" fillId="0" borderId="8" xfId="432" applyNumberFormat="1" applyFont="1" applyFill="1" applyBorder="1" applyAlignment="1">
      <alignment horizontal="center" vertical="center" wrapText="1"/>
    </xf>
    <xf numFmtId="0" fontId="65" fillId="0" borderId="19" xfId="250" applyFont="1" applyBorder="1" applyAlignment="1">
      <alignment horizontal="center" vertical="center"/>
    </xf>
    <xf numFmtId="0" fontId="65" fillId="0" borderId="14" xfId="250" applyFont="1" applyBorder="1" applyAlignment="1">
      <alignment horizontal="center" vertical="center"/>
    </xf>
    <xf numFmtId="0" fontId="65" fillId="0" borderId="20" xfId="250" applyFont="1" applyBorder="1" applyAlignment="1">
      <alignment horizontal="center" vertical="center"/>
    </xf>
    <xf numFmtId="0" fontId="65" fillId="0" borderId="9" xfId="250" applyFont="1" applyBorder="1" applyAlignment="1">
      <alignment horizontal="center" vertical="center"/>
    </xf>
    <xf numFmtId="0" fontId="65" fillId="0" borderId="8" xfId="250" applyFont="1" applyBorder="1" applyAlignment="1">
      <alignment horizontal="center" vertical="center"/>
    </xf>
    <xf numFmtId="202" fontId="65" fillId="0" borderId="19" xfId="250" applyNumberFormat="1" applyFont="1" applyBorder="1" applyAlignment="1">
      <alignment horizontal="center" vertical="center"/>
    </xf>
    <xf numFmtId="202" fontId="65" fillId="0" borderId="20" xfId="250" applyNumberFormat="1" applyFont="1" applyBorder="1" applyAlignment="1">
      <alignment horizontal="center" vertical="center"/>
    </xf>
    <xf numFmtId="14" fontId="65" fillId="0" borderId="19" xfId="250" applyNumberFormat="1" applyFont="1" applyBorder="1" applyAlignment="1">
      <alignment horizontal="center" vertical="center"/>
    </xf>
    <xf numFmtId="10" fontId="65" fillId="0" borderId="19" xfId="432" applyNumberFormat="1" applyFont="1" applyFill="1" applyBorder="1" applyAlignment="1">
      <alignment horizontal="center" vertical="center"/>
    </xf>
    <xf numFmtId="0" fontId="65" fillId="0" borderId="0" xfId="250" applyFont="1"/>
    <xf numFmtId="0" fontId="64" fillId="0" borderId="20" xfId="250" applyFont="1" applyBorder="1"/>
    <xf numFmtId="0" fontId="64" fillId="0" borderId="19" xfId="250" applyFont="1" applyBorder="1"/>
    <xf numFmtId="0" fontId="64" fillId="0" borderId="14" xfId="250" applyFont="1" applyBorder="1"/>
    <xf numFmtId="9" fontId="64" fillId="0" borderId="19" xfId="250" applyNumberFormat="1" applyFont="1" applyBorder="1"/>
    <xf numFmtId="166" fontId="64" fillId="0" borderId="19" xfId="250" applyNumberFormat="1" applyFont="1" applyBorder="1"/>
    <xf numFmtId="166" fontId="64" fillId="0" borderId="19" xfId="250" applyNumberFormat="1" applyFont="1" applyBorder="1" applyAlignment="1">
      <alignment horizontal="center"/>
    </xf>
    <xf numFmtId="202" fontId="64" fillId="0" borderId="19" xfId="250" applyNumberFormat="1" applyFont="1" applyBorder="1"/>
    <xf numFmtId="172" fontId="64" fillId="0" borderId="19" xfId="250" applyNumberFormat="1" applyFont="1" applyBorder="1"/>
    <xf numFmtId="10" fontId="64" fillId="0" borderId="19" xfId="432" applyNumberFormat="1" applyFont="1" applyFill="1" applyBorder="1"/>
    <xf numFmtId="166" fontId="64" fillId="0" borderId="0" xfId="250" applyNumberFormat="1" applyFont="1"/>
    <xf numFmtId="166" fontId="64" fillId="0" borderId="9" xfId="250" applyNumberFormat="1" applyFont="1" applyBorder="1"/>
    <xf numFmtId="14" fontId="64" fillId="0" borderId="19" xfId="250" applyNumberFormat="1" applyFont="1" applyBorder="1"/>
    <xf numFmtId="0" fontId="64" fillId="0" borderId="8" xfId="250" applyFont="1" applyBorder="1"/>
    <xf numFmtId="0" fontId="64" fillId="0" borderId="25" xfId="250" applyFont="1" applyBorder="1"/>
    <xf numFmtId="166" fontId="65" fillId="0" borderId="22" xfId="250" applyNumberFormat="1" applyFont="1" applyBorder="1"/>
    <xf numFmtId="166" fontId="81" fillId="0" borderId="22" xfId="250" applyNumberFormat="1" applyFont="1" applyBorder="1"/>
    <xf numFmtId="43" fontId="65" fillId="0" borderId="19" xfId="250" applyNumberFormat="1" applyFont="1" applyBorder="1" applyAlignment="1">
      <alignment horizontal="center" vertical="center"/>
    </xf>
    <xf numFmtId="166" fontId="65" fillId="0" borderId="19" xfId="250" applyNumberFormat="1" applyFont="1" applyBorder="1" applyAlignment="1">
      <alignment horizontal="center" vertical="center"/>
    </xf>
    <xf numFmtId="0" fontId="64" fillId="0" borderId="9" xfId="250" applyFont="1" applyBorder="1"/>
    <xf numFmtId="206" fontId="64" fillId="0" borderId="19" xfId="250" applyNumberFormat="1" applyFont="1" applyBorder="1" applyAlignment="1">
      <alignment horizontal="right" vertical="top"/>
    </xf>
    <xf numFmtId="43" fontId="64" fillId="0" borderId="19" xfId="250" applyNumberFormat="1" applyFont="1" applyBorder="1"/>
    <xf numFmtId="166" fontId="65" fillId="0" borderId="8" xfId="250" applyNumberFormat="1" applyFont="1" applyBorder="1" applyAlignment="1">
      <alignment horizontal="center"/>
    </xf>
    <xf numFmtId="166" fontId="65" fillId="0" borderId="8" xfId="250" applyNumberFormat="1" applyFont="1" applyBorder="1"/>
    <xf numFmtId="172" fontId="65" fillId="0" borderId="8" xfId="250" applyNumberFormat="1" applyFont="1" applyBorder="1"/>
    <xf numFmtId="10" fontId="64" fillId="0" borderId="8" xfId="432" applyNumberFormat="1" applyFont="1" applyFill="1" applyBorder="1"/>
    <xf numFmtId="166" fontId="81" fillId="0" borderId="8" xfId="250" applyNumberFormat="1" applyFont="1" applyBorder="1"/>
    <xf numFmtId="166" fontId="65" fillId="0" borderId="25" xfId="250" applyNumberFormat="1" applyFont="1" applyBorder="1"/>
    <xf numFmtId="166" fontId="65" fillId="0" borderId="7" xfId="250" applyNumberFormat="1" applyFont="1" applyBorder="1"/>
    <xf numFmtId="0" fontId="64" fillId="0" borderId="13" xfId="250" applyFont="1" applyBorder="1"/>
    <xf numFmtId="0" fontId="64" fillId="0" borderId="12" xfId="250" applyFont="1" applyBorder="1"/>
    <xf numFmtId="0" fontId="64" fillId="0" borderId="17" xfId="250" applyFont="1" applyBorder="1"/>
    <xf numFmtId="0" fontId="64" fillId="0" borderId="20" xfId="250" applyFont="1" applyBorder="1" applyAlignment="1">
      <alignment horizontal="center"/>
    </xf>
    <xf numFmtId="166" fontId="64" fillId="0" borderId="20" xfId="250" applyNumberFormat="1" applyFont="1" applyBorder="1"/>
    <xf numFmtId="172" fontId="64" fillId="0" borderId="20" xfId="250" applyNumberFormat="1" applyFont="1" applyBorder="1"/>
    <xf numFmtId="10" fontId="64" fillId="0" borderId="20" xfId="432" applyNumberFormat="1" applyFont="1" applyFill="1" applyBorder="1"/>
    <xf numFmtId="0" fontId="64" fillId="0" borderId="14" xfId="250" applyFont="1" applyBorder="1" applyAlignment="1">
      <alignment horizontal="left" vertical="top"/>
    </xf>
    <xf numFmtId="10" fontId="64" fillId="0" borderId="19" xfId="250" applyNumberFormat="1" applyFont="1" applyBorder="1"/>
    <xf numFmtId="39" fontId="64" fillId="0" borderId="9" xfId="250" applyNumberFormat="1" applyFont="1" applyBorder="1"/>
    <xf numFmtId="39" fontId="64" fillId="0" borderId="19" xfId="250" applyNumberFormat="1" applyFont="1" applyBorder="1" applyAlignment="1">
      <alignment horizontal="center"/>
    </xf>
    <xf numFmtId="0" fontId="64" fillId="0" borderId="0" xfId="250" applyFont="1" applyAlignment="1">
      <alignment horizontal="left" vertical="top"/>
    </xf>
    <xf numFmtId="10" fontId="64" fillId="0" borderId="0" xfId="250" applyNumberFormat="1" applyFont="1"/>
    <xf numFmtId="15" fontId="64" fillId="0" borderId="19" xfId="250" applyNumberFormat="1" applyFont="1" applyBorder="1"/>
    <xf numFmtId="0" fontId="65" fillId="0" borderId="8" xfId="250" applyFont="1" applyBorder="1"/>
    <xf numFmtId="0" fontId="65" fillId="0" borderId="25" xfId="250" applyFont="1" applyBorder="1"/>
    <xf numFmtId="10" fontId="65" fillId="0" borderId="8" xfId="432" applyNumberFormat="1" applyFont="1" applyFill="1" applyBorder="1"/>
    <xf numFmtId="0" fontId="64" fillId="0" borderId="19" xfId="250" applyFont="1" applyBorder="1" applyAlignment="1">
      <alignment horizontal="center"/>
    </xf>
    <xf numFmtId="206" fontId="64" fillId="0" borderId="19" xfId="250" applyNumberFormat="1" applyFont="1" applyBorder="1" applyAlignment="1">
      <alignment horizontal="left" vertical="top"/>
    </xf>
    <xf numFmtId="202" fontId="64" fillId="0" borderId="19" xfId="250" applyNumberFormat="1" applyFont="1" applyBorder="1" applyAlignment="1">
      <alignment horizontal="center"/>
    </xf>
    <xf numFmtId="0" fontId="79" fillId="0" borderId="9" xfId="250" applyFont="1" applyBorder="1"/>
    <xf numFmtId="14" fontId="79" fillId="0" borderId="9" xfId="250" applyNumberFormat="1" applyFont="1" applyBorder="1"/>
    <xf numFmtId="14" fontId="79" fillId="11" borderId="9" xfId="250" applyNumberFormat="1" applyFont="1" applyFill="1" applyBorder="1"/>
    <xf numFmtId="0" fontId="65" fillId="0" borderId="19" xfId="250" applyFont="1" applyBorder="1"/>
    <xf numFmtId="166" fontId="65" fillId="0" borderId="19" xfId="250" applyNumberFormat="1" applyFont="1" applyBorder="1"/>
    <xf numFmtId="0" fontId="65" fillId="0" borderId="9" xfId="250" applyFont="1" applyBorder="1"/>
    <xf numFmtId="166" fontId="65" fillId="0" borderId="9" xfId="250" applyNumberFormat="1" applyFont="1" applyBorder="1"/>
    <xf numFmtId="0" fontId="64" fillId="0" borderId="21" xfId="250" applyFont="1" applyBorder="1"/>
    <xf numFmtId="166" fontId="65" fillId="0" borderId="9" xfId="250" applyNumberFormat="1" applyFont="1" applyBorder="1" applyAlignment="1">
      <alignment horizontal="center"/>
    </xf>
    <xf numFmtId="10" fontId="65" fillId="0" borderId="9" xfId="432" applyNumberFormat="1" applyFont="1" applyFill="1" applyBorder="1"/>
    <xf numFmtId="172" fontId="65" fillId="0" borderId="22" xfId="250" applyNumberFormat="1" applyFont="1" applyBorder="1"/>
    <xf numFmtId="0" fontId="65" fillId="0" borderId="14" xfId="250" applyFont="1" applyBorder="1"/>
    <xf numFmtId="166" fontId="65" fillId="0" borderId="19" xfId="250" applyNumberFormat="1" applyFont="1" applyBorder="1" applyAlignment="1">
      <alignment horizontal="center"/>
    </xf>
    <xf numFmtId="166" fontId="64" fillId="0" borderId="13" xfId="250" applyNumberFormat="1" applyFont="1" applyBorder="1"/>
    <xf numFmtId="166" fontId="64" fillId="0" borderId="14" xfId="250" applyNumberFormat="1" applyFont="1" applyBorder="1"/>
    <xf numFmtId="0" fontId="64" fillId="0" borderId="15" xfId="250" applyFont="1" applyBorder="1" applyAlignment="1">
      <alignment horizontal="left" vertical="top"/>
    </xf>
    <xf numFmtId="10" fontId="64" fillId="0" borderId="21" xfId="250" applyNumberFormat="1" applyFont="1" applyBorder="1"/>
    <xf numFmtId="39" fontId="64" fillId="0" borderId="18" xfId="250" applyNumberFormat="1" applyFont="1" applyBorder="1"/>
    <xf numFmtId="39" fontId="64" fillId="0" borderId="21" xfId="250" applyNumberFormat="1" applyFont="1" applyBorder="1" applyAlignment="1">
      <alignment horizontal="center"/>
    </xf>
    <xf numFmtId="14" fontId="64" fillId="0" borderId="21" xfId="250" applyNumberFormat="1" applyFont="1" applyBorder="1"/>
    <xf numFmtId="166" fontId="64" fillId="0" borderId="21" xfId="250" applyNumberFormat="1" applyFont="1" applyBorder="1"/>
    <xf numFmtId="172" fontId="64" fillId="0" borderId="21" xfId="250" applyNumberFormat="1" applyFont="1" applyBorder="1"/>
    <xf numFmtId="10" fontId="64" fillId="0" borderId="21" xfId="432" applyNumberFormat="1" applyFont="1" applyFill="1" applyBorder="1"/>
    <xf numFmtId="166" fontId="64" fillId="0" borderId="15" xfId="250" applyNumberFormat="1" applyFont="1" applyBorder="1"/>
    <xf numFmtId="166" fontId="64" fillId="0" borderId="0" xfId="250" applyNumberFormat="1" applyFont="1" applyAlignment="1">
      <alignment horizontal="center"/>
    </xf>
    <xf numFmtId="202" fontId="64" fillId="0" borderId="0" xfId="250" applyNumberFormat="1" applyFont="1" applyAlignment="1">
      <alignment horizontal="center"/>
    </xf>
    <xf numFmtId="172" fontId="64" fillId="0" borderId="0" xfId="250" applyNumberFormat="1" applyFont="1"/>
    <xf numFmtId="10" fontId="64" fillId="0" borderId="0" xfId="432" applyNumberFormat="1" applyFont="1" applyFill="1" applyBorder="1"/>
    <xf numFmtId="166" fontId="64" fillId="0" borderId="0" xfId="120" applyFont="1" applyFill="1" applyBorder="1"/>
    <xf numFmtId="166" fontId="65" fillId="0" borderId="0" xfId="250" applyNumberFormat="1" applyFont="1"/>
    <xf numFmtId="39" fontId="65" fillId="0" borderId="19" xfId="250" applyNumberFormat="1" applyFont="1" applyBorder="1" applyAlignment="1">
      <alignment horizontal="center"/>
    </xf>
    <xf numFmtId="39" fontId="65" fillId="12" borderId="19" xfId="250" applyNumberFormat="1" applyFont="1" applyFill="1" applyBorder="1" applyAlignment="1">
      <alignment horizontal="center"/>
    </xf>
    <xf numFmtId="172" fontId="64" fillId="0" borderId="0" xfId="250" applyNumberFormat="1" applyFont="1" applyAlignment="1">
      <alignment horizontal="center"/>
    </xf>
    <xf numFmtId="43" fontId="64" fillId="0" borderId="0" xfId="0" applyNumberFormat="1" applyFont="1"/>
    <xf numFmtId="204" fontId="83" fillId="0" borderId="0" xfId="0" applyNumberFormat="1" applyFont="1" applyAlignment="1">
      <alignment horizontal="right" vertical="top"/>
    </xf>
    <xf numFmtId="205" fontId="83" fillId="0" borderId="0" xfId="0" applyNumberFormat="1" applyFont="1" applyAlignment="1">
      <alignment horizontal="right" vertical="top"/>
    </xf>
    <xf numFmtId="204" fontId="83" fillId="0" borderId="19" xfId="0" applyNumberFormat="1" applyFont="1" applyBorder="1" applyAlignment="1">
      <alignment horizontal="right" vertical="top"/>
    </xf>
    <xf numFmtId="205" fontId="83" fillId="0" borderId="20" xfId="0" applyNumberFormat="1" applyFont="1" applyBorder="1" applyAlignment="1">
      <alignment horizontal="right" vertical="top"/>
    </xf>
    <xf numFmtId="205" fontId="83" fillId="0" borderId="19" xfId="0" applyNumberFormat="1" applyFont="1" applyBorder="1" applyAlignment="1">
      <alignment horizontal="right" vertical="top"/>
    </xf>
    <xf numFmtId="166" fontId="71" fillId="0" borderId="0" xfId="420" applyNumberFormat="1" applyFont="1" applyAlignment="1">
      <alignment horizontal="center"/>
    </xf>
    <xf numFmtId="0" fontId="84" fillId="0" borderId="0" xfId="420" applyFont="1"/>
    <xf numFmtId="166" fontId="64" fillId="0" borderId="8" xfId="32" applyFont="1" applyBorder="1"/>
    <xf numFmtId="172" fontId="65" fillId="0" borderId="23" xfId="82" applyNumberFormat="1" applyFont="1" applyBorder="1"/>
    <xf numFmtId="166" fontId="64" fillId="0" borderId="8" xfId="420" applyNumberFormat="1" applyFont="1" applyBorder="1"/>
    <xf numFmtId="172" fontId="64" fillId="0" borderId="8" xfId="82" applyNumberFormat="1" applyFont="1" applyBorder="1"/>
    <xf numFmtId="172" fontId="65" fillId="0" borderId="8" xfId="82" applyNumberFormat="1" applyFont="1" applyBorder="1" applyAlignment="1">
      <alignment horizontal="center" vertical="center"/>
    </xf>
    <xf numFmtId="172" fontId="65" fillId="0" borderId="8" xfId="82" applyNumberFormat="1" applyFont="1" applyBorder="1" applyAlignment="1">
      <alignment horizontal="center" vertical="center" wrapText="1"/>
    </xf>
    <xf numFmtId="0" fontId="65" fillId="0" borderId="8" xfId="420" applyFont="1" applyBorder="1" applyAlignment="1">
      <alignment horizontal="center" vertical="center" wrapText="1"/>
    </xf>
    <xf numFmtId="0" fontId="65" fillId="0" borderId="8" xfId="420" applyFont="1" applyBorder="1" applyAlignment="1">
      <alignment horizontal="center" vertical="center"/>
    </xf>
    <xf numFmtId="4" fontId="64" fillId="0" borderId="8" xfId="420" applyNumberFormat="1" applyFont="1" applyBorder="1"/>
    <xf numFmtId="166" fontId="43" fillId="0" borderId="19" xfId="32" applyFont="1" applyFill="1" applyBorder="1"/>
    <xf numFmtId="166" fontId="43" fillId="0" borderId="19" xfId="0" applyNumberFormat="1" applyFont="1" applyBorder="1"/>
    <xf numFmtId="166" fontId="44" fillId="0" borderId="12" xfId="32" applyFont="1" applyFill="1" applyBorder="1"/>
    <xf numFmtId="166" fontId="43" fillId="0" borderId="12" xfId="32" applyFont="1" applyFill="1" applyBorder="1"/>
    <xf numFmtId="172" fontId="65" fillId="0" borderId="8" xfId="32" applyNumberFormat="1" applyFont="1" applyBorder="1" applyAlignment="1">
      <alignment horizontal="center" vertical="center"/>
    </xf>
    <xf numFmtId="172" fontId="65" fillId="0" borderId="8" xfId="32" applyNumberFormat="1" applyFont="1" applyBorder="1" applyAlignment="1">
      <alignment horizontal="center" vertical="center" wrapText="1"/>
    </xf>
    <xf numFmtId="172" fontId="64" fillId="0" borderId="8" xfId="32" applyNumberFormat="1" applyFont="1" applyBorder="1" applyAlignment="1">
      <alignment horizontal="center" vertical="center"/>
    </xf>
    <xf numFmtId="0" fontId="79" fillId="0" borderId="0" xfId="250" applyFont="1"/>
    <xf numFmtId="14" fontId="64" fillId="0" borderId="9" xfId="250" applyNumberFormat="1" applyFont="1" applyBorder="1"/>
    <xf numFmtId="0" fontId="43" fillId="0" borderId="12" xfId="0" applyFont="1" applyBorder="1" applyAlignment="1">
      <alignment horizontal="center" vertical="center"/>
    </xf>
    <xf numFmtId="0" fontId="65" fillId="0" borderId="14" xfId="0" applyFont="1" applyBorder="1" applyAlignment="1">
      <alignment horizontal="left" vertical="center"/>
    </xf>
    <xf numFmtId="0" fontId="43" fillId="0" borderId="20" xfId="0" quotePrefix="1" applyFont="1" applyBorder="1" applyAlignment="1">
      <alignment horizontal="center" vertical="center" wrapText="1"/>
    </xf>
    <xf numFmtId="0" fontId="44" fillId="0" borderId="13" xfId="0" applyFont="1" applyBorder="1" applyAlignment="1">
      <alignment vertical="center"/>
    </xf>
    <xf numFmtId="0" fontId="43" fillId="0" borderId="12" xfId="0" quotePrefix="1" applyFont="1" applyBorder="1" applyAlignment="1">
      <alignment horizontal="center" vertical="center"/>
    </xf>
    <xf numFmtId="0" fontId="43" fillId="0" borderId="20" xfId="0" applyFont="1" applyBorder="1" applyAlignment="1">
      <alignment horizontal="center" vertical="center"/>
    </xf>
    <xf numFmtId="0" fontId="43" fillId="0" borderId="20" xfId="0" applyFont="1" applyBorder="1" applyAlignment="1">
      <alignment vertical="center"/>
    </xf>
    <xf numFmtId="0" fontId="44" fillId="0" borderId="0" xfId="0" applyFont="1" applyAlignment="1">
      <alignment vertical="center"/>
    </xf>
    <xf numFmtId="0" fontId="43" fillId="0" borderId="14" xfId="0" applyFont="1" applyBorder="1" applyAlignment="1">
      <alignment horizontal="center" vertical="center"/>
    </xf>
    <xf numFmtId="0" fontId="44" fillId="0" borderId="0" xfId="0" applyFont="1" applyAlignment="1">
      <alignment horizontal="right" vertical="center"/>
    </xf>
    <xf numFmtId="0" fontId="44" fillId="0" borderId="9" xfId="0" applyFont="1" applyBorder="1" applyAlignment="1">
      <alignment horizontal="right" vertical="center"/>
    </xf>
    <xf numFmtId="0" fontId="51" fillId="0" borderId="0" xfId="0" applyFont="1"/>
    <xf numFmtId="0" fontId="51" fillId="0" borderId="0" xfId="0" applyFont="1" applyAlignment="1">
      <alignment vertical="center"/>
    </xf>
    <xf numFmtId="15" fontId="51" fillId="0" borderId="0" xfId="0" applyNumberFormat="1" applyFont="1"/>
    <xf numFmtId="4" fontId="51" fillId="0" borderId="0" xfId="0" applyNumberFormat="1" applyFont="1"/>
    <xf numFmtId="172" fontId="51" fillId="0" borderId="0" xfId="0" applyNumberFormat="1" applyFont="1"/>
    <xf numFmtId="166" fontId="51" fillId="0" borderId="0" xfId="0" applyNumberFormat="1" applyFont="1"/>
    <xf numFmtId="0" fontId="51" fillId="0" borderId="0" xfId="0" applyFont="1" applyAlignment="1">
      <alignment vertical="top"/>
    </xf>
    <xf numFmtId="43" fontId="51" fillId="0" borderId="0" xfId="0" applyNumberFormat="1" applyFont="1"/>
    <xf numFmtId="0" fontId="51" fillId="0" borderId="14" xfId="0" applyFont="1" applyBorder="1"/>
    <xf numFmtId="0" fontId="64" fillId="0" borderId="25" xfId="420" applyFont="1" applyBorder="1"/>
    <xf numFmtId="0" fontId="64" fillId="0" borderId="7" xfId="420" applyFont="1" applyBorder="1"/>
    <xf numFmtId="172" fontId="64" fillId="0" borderId="7" xfId="82" applyNumberFormat="1" applyFont="1" applyBorder="1"/>
    <xf numFmtId="172" fontId="64" fillId="0" borderId="22" xfId="82" applyNumberFormat="1" applyFont="1" applyBorder="1"/>
    <xf numFmtId="172" fontId="64" fillId="0" borderId="19" xfId="419" applyNumberFormat="1" applyFont="1" applyBorder="1"/>
    <xf numFmtId="172" fontId="64" fillId="0" borderId="9" xfId="32" applyNumberFormat="1" applyFont="1" applyBorder="1"/>
    <xf numFmtId="172" fontId="64" fillId="0" borderId="22" xfId="32" applyNumberFormat="1" applyFont="1" applyBorder="1"/>
    <xf numFmtId="172" fontId="65" fillId="0" borderId="19" xfId="298" applyNumberFormat="1" applyFont="1" applyBorder="1"/>
    <xf numFmtId="172" fontId="65" fillId="0" borderId="9" xfId="298" applyNumberFormat="1" applyFont="1" applyBorder="1"/>
    <xf numFmtId="172" fontId="64" fillId="0" borderId="26" xfId="298" applyNumberFormat="1" applyFont="1" applyBorder="1"/>
    <xf numFmtId="172" fontId="64" fillId="0" borderId="19" xfId="32" applyNumberFormat="1" applyFont="1" applyBorder="1"/>
    <xf numFmtId="172" fontId="65" fillId="0" borderId="8" xfId="32" applyNumberFormat="1" applyFont="1" applyBorder="1"/>
    <xf numFmtId="43" fontId="64" fillId="0" borderId="0" xfId="82" applyNumberFormat="1" applyFont="1" applyBorder="1"/>
    <xf numFmtId="172" fontId="64" fillId="0" borderId="9" xfId="250" applyNumberFormat="1" applyFont="1" applyBorder="1"/>
    <xf numFmtId="10" fontId="64" fillId="0" borderId="9" xfId="432" applyNumberFormat="1" applyFont="1" applyFill="1" applyBorder="1"/>
    <xf numFmtId="43" fontId="64" fillId="0" borderId="9" xfId="120" applyNumberFormat="1" applyFont="1" applyFill="1" applyBorder="1"/>
    <xf numFmtId="172" fontId="64" fillId="0" borderId="9" xfId="120" applyNumberFormat="1" applyFont="1" applyFill="1" applyBorder="1"/>
    <xf numFmtId="39" fontId="64" fillId="0" borderId="9" xfId="250" applyNumberFormat="1" applyFont="1" applyBorder="1" applyAlignment="1">
      <alignment horizontal="center"/>
    </xf>
    <xf numFmtId="202" fontId="64" fillId="0" borderId="9" xfId="250" applyNumberFormat="1" applyFont="1" applyBorder="1"/>
    <xf numFmtId="166" fontId="64" fillId="0" borderId="9" xfId="32" applyFont="1" applyFill="1" applyBorder="1"/>
    <xf numFmtId="166" fontId="69" fillId="0" borderId="0" xfId="32" applyFont="1" applyFill="1"/>
    <xf numFmtId="14" fontId="65" fillId="0" borderId="9" xfId="250" applyNumberFormat="1" applyFont="1" applyBorder="1"/>
    <xf numFmtId="166" fontId="6" fillId="0" borderId="0" xfId="32" applyFont="1" applyFill="1" applyBorder="1" applyAlignment="1">
      <alignment horizontal="left"/>
    </xf>
    <xf numFmtId="166" fontId="46" fillId="0" borderId="0" xfId="32" applyFont="1" applyFill="1" applyBorder="1" applyAlignment="1">
      <alignment horizontal="center"/>
    </xf>
    <xf numFmtId="166" fontId="44" fillId="0" borderId="0" xfId="32" applyFont="1" applyFill="1" applyBorder="1" applyAlignment="1">
      <alignment horizontal="center" vertical="center"/>
    </xf>
    <xf numFmtId="166" fontId="44" fillId="0" borderId="0" xfId="32" applyFont="1" applyFill="1" applyBorder="1" applyAlignment="1">
      <alignment horizontal="center" vertical="center" wrapText="1"/>
    </xf>
    <xf numFmtId="166" fontId="43" fillId="0" borderId="0" xfId="32" applyFont="1" applyFill="1" applyBorder="1" applyAlignment="1">
      <alignment horizontal="center" vertical="center"/>
    </xf>
    <xf numFmtId="166" fontId="43" fillId="0" borderId="0" xfId="32" applyFont="1" applyFill="1" applyBorder="1" applyAlignment="1">
      <alignment horizontal="left" vertical="center"/>
    </xf>
    <xf numFmtId="166" fontId="43" fillId="0" borderId="0" xfId="32" applyFont="1" applyFill="1" applyBorder="1" applyAlignment="1">
      <alignment horizontal="right" vertical="center"/>
    </xf>
    <xf numFmtId="166" fontId="46" fillId="0" borderId="0" xfId="32" applyFont="1" applyFill="1" applyBorder="1" applyAlignment="1">
      <alignment vertical="center"/>
    </xf>
    <xf numFmtId="166" fontId="46" fillId="0" borderId="0" xfId="32" applyFont="1" applyFill="1" applyBorder="1" applyAlignment="1">
      <alignment horizontal="right" vertical="center"/>
    </xf>
    <xf numFmtId="166" fontId="46" fillId="0" borderId="0" xfId="32" applyFont="1" applyFill="1" applyBorder="1" applyAlignment="1">
      <alignment horizontal="center" vertical="center"/>
    </xf>
    <xf numFmtId="166" fontId="43" fillId="0" borderId="21" xfId="0" applyNumberFormat="1" applyFont="1" applyBorder="1" applyAlignment="1">
      <alignment vertical="center"/>
    </xf>
    <xf numFmtId="172" fontId="44" fillId="0" borderId="19" xfId="61" applyNumberFormat="1" applyFont="1" applyFill="1" applyBorder="1" applyAlignment="1">
      <alignment horizontal="center"/>
    </xf>
    <xf numFmtId="166" fontId="44" fillId="0" borderId="19" xfId="61" applyFont="1" applyFill="1" applyBorder="1" applyAlignment="1">
      <alignment horizontal="center" vertical="center"/>
    </xf>
    <xf numFmtId="172" fontId="43" fillId="0" borderId="19" xfId="61" applyNumberFormat="1" applyFont="1" applyFill="1" applyBorder="1" applyAlignment="1">
      <alignment horizontal="center"/>
    </xf>
    <xf numFmtId="172" fontId="43" fillId="0" borderId="19" xfId="61" applyNumberFormat="1" applyFont="1" applyFill="1" applyBorder="1" applyAlignment="1">
      <alignment horizontal="center" vertical="top"/>
    </xf>
    <xf numFmtId="166" fontId="44" fillId="0" borderId="12" xfId="61" applyFont="1" applyFill="1" applyBorder="1" applyAlignment="1">
      <alignment horizontal="center" vertical="center"/>
    </xf>
    <xf numFmtId="172" fontId="43" fillId="0" borderId="21" xfId="61" applyNumberFormat="1" applyFont="1" applyFill="1" applyBorder="1" applyAlignment="1">
      <alignment horizontal="center" vertical="top"/>
    </xf>
    <xf numFmtId="166" fontId="44" fillId="0" borderId="21" xfId="61" applyFont="1" applyFill="1" applyBorder="1" applyAlignment="1">
      <alignment horizontal="center" vertical="center"/>
    </xf>
    <xf numFmtId="166" fontId="44" fillId="0" borderId="0" xfId="61" applyFont="1" applyFill="1" applyBorder="1" applyAlignment="1">
      <alignment vertical="top" wrapText="1"/>
    </xf>
    <xf numFmtId="172" fontId="65" fillId="0" borderId="0" xfId="49" applyNumberFormat="1" applyFont="1" applyFill="1" applyBorder="1" applyAlignment="1" applyProtection="1">
      <alignment vertical="center"/>
    </xf>
    <xf numFmtId="172" fontId="43" fillId="0" borderId="19" xfId="119" applyNumberFormat="1" applyFont="1" applyFill="1" applyBorder="1" applyAlignment="1">
      <alignment horizontal="center"/>
    </xf>
    <xf numFmtId="172" fontId="44" fillId="0" borderId="19" xfId="119" applyNumberFormat="1" applyFont="1" applyFill="1" applyBorder="1" applyAlignment="1">
      <alignment horizontal="center"/>
    </xf>
    <xf numFmtId="172" fontId="43" fillId="0" borderId="19" xfId="119" applyNumberFormat="1" applyFont="1" applyFill="1" applyBorder="1" applyAlignment="1">
      <alignment horizontal="center" vertical="top"/>
    </xf>
    <xf numFmtId="43" fontId="44" fillId="0" borderId="19" xfId="119" applyFont="1" applyFill="1" applyBorder="1" applyAlignment="1">
      <alignment horizontal="center" vertical="center"/>
    </xf>
    <xf numFmtId="172" fontId="43" fillId="0" borderId="21" xfId="119" applyNumberFormat="1" applyFont="1" applyFill="1" applyBorder="1" applyAlignment="1">
      <alignment horizontal="center" vertical="top"/>
    </xf>
    <xf numFmtId="43" fontId="44" fillId="0" borderId="21" xfId="119" applyFont="1" applyFill="1" applyBorder="1" applyAlignment="1">
      <alignment horizontal="center" vertical="center"/>
    </xf>
    <xf numFmtId="172" fontId="44" fillId="0" borderId="9" xfId="61" applyNumberFormat="1" applyFont="1" applyFill="1" applyBorder="1" applyAlignment="1">
      <alignment horizontal="center"/>
    </xf>
    <xf numFmtId="172" fontId="43" fillId="0" borderId="9" xfId="61" applyNumberFormat="1" applyFont="1" applyFill="1" applyBorder="1" applyAlignment="1">
      <alignment horizontal="center"/>
    </xf>
    <xf numFmtId="172" fontId="43" fillId="0" borderId="9" xfId="61" applyNumberFormat="1" applyFont="1" applyFill="1" applyBorder="1" applyAlignment="1">
      <alignment horizontal="center" vertical="top"/>
    </xf>
    <xf numFmtId="172" fontId="43" fillId="0" borderId="18" xfId="61" applyNumberFormat="1" applyFont="1" applyFill="1" applyBorder="1" applyAlignment="1">
      <alignment horizontal="center" vertical="top"/>
    </xf>
    <xf numFmtId="43" fontId="44" fillId="0" borderId="8" xfId="119" applyFont="1" applyFill="1" applyBorder="1" applyAlignment="1">
      <alignment vertical="center" wrapText="1"/>
    </xf>
    <xf numFmtId="43" fontId="44" fillId="0" borderId="0" xfId="119" applyFont="1" applyFill="1" applyBorder="1" applyAlignment="1">
      <alignment vertical="top" wrapText="1"/>
    </xf>
    <xf numFmtId="172" fontId="44" fillId="0" borderId="0" xfId="119" applyNumberFormat="1" applyFont="1" applyFill="1" applyBorder="1" applyAlignment="1"/>
    <xf numFmtId="172" fontId="64" fillId="0" borderId="0" xfId="86" applyNumberFormat="1" applyFont="1" applyFill="1" applyBorder="1" applyAlignment="1" applyProtection="1">
      <alignment horizontal="center" vertical="center"/>
    </xf>
    <xf numFmtId="172" fontId="44" fillId="0" borderId="14" xfId="119" applyNumberFormat="1" applyFont="1" applyFill="1" applyBorder="1" applyAlignment="1"/>
    <xf numFmtId="166" fontId="78" fillId="0" borderId="22" xfId="135" applyFont="1" applyFill="1" applyBorder="1" applyAlignment="1">
      <alignment horizontal="center" vertical="top" wrapText="1"/>
    </xf>
    <xf numFmtId="166" fontId="78" fillId="0" borderId="8" xfId="135" applyFont="1" applyFill="1" applyBorder="1" applyAlignment="1">
      <alignment horizontal="center" vertical="top" wrapText="1"/>
    </xf>
    <xf numFmtId="10" fontId="79" fillId="0" borderId="9" xfId="437" applyNumberFormat="1" applyFont="1" applyFill="1" applyBorder="1" applyAlignment="1">
      <alignment horizontal="left" vertical="center" indent="6"/>
    </xf>
    <xf numFmtId="10" fontId="79" fillId="0" borderId="21" xfId="432" applyNumberFormat="1" applyFont="1" applyFill="1" applyBorder="1"/>
    <xf numFmtId="10" fontId="79" fillId="0" borderId="18" xfId="437" applyNumberFormat="1" applyFont="1" applyFill="1" applyBorder="1" applyAlignment="1">
      <alignment horizontal="left" vertical="center" indent="6"/>
    </xf>
    <xf numFmtId="0" fontId="58" fillId="0" borderId="0" xfId="0" applyFont="1"/>
    <xf numFmtId="10" fontId="79" fillId="0" borderId="19" xfId="432" applyNumberFormat="1" applyFont="1" applyFill="1" applyBorder="1"/>
    <xf numFmtId="166" fontId="85" fillId="0" borderId="19" xfId="32" applyFont="1" applyFill="1" applyBorder="1" applyAlignment="1">
      <alignment horizontal="center" vertical="top"/>
    </xf>
    <xf numFmtId="172" fontId="64" fillId="11" borderId="19" xfId="120" applyNumberFormat="1" applyFont="1" applyFill="1" applyBorder="1"/>
    <xf numFmtId="0" fontId="64" fillId="11" borderId="19" xfId="250" applyFont="1" applyFill="1" applyBorder="1"/>
    <xf numFmtId="172" fontId="80" fillId="11" borderId="19" xfId="120" applyNumberFormat="1" applyFont="1" applyFill="1" applyBorder="1"/>
    <xf numFmtId="202" fontId="64" fillId="11" borderId="9" xfId="250" applyNumberFormat="1" applyFont="1" applyFill="1" applyBorder="1"/>
    <xf numFmtId="10" fontId="64" fillId="11" borderId="19" xfId="432" applyNumberFormat="1" applyFont="1" applyFill="1" applyBorder="1"/>
    <xf numFmtId="206" fontId="64" fillId="0" borderId="0" xfId="0" applyNumberFormat="1" applyFont="1" applyAlignment="1">
      <alignment horizontal="left" vertical="top"/>
    </xf>
    <xf numFmtId="166" fontId="44" fillId="0" borderId="0" xfId="32" applyFont="1" applyFill="1" applyBorder="1" applyAlignment="1">
      <alignment vertical="top"/>
    </xf>
    <xf numFmtId="0" fontId="45" fillId="0" borderId="12" xfId="0" applyFont="1" applyBorder="1" applyAlignment="1">
      <alignment horizontal="center" vertical="center"/>
    </xf>
    <xf numFmtId="0" fontId="45" fillId="0" borderId="17" xfId="0" applyFont="1" applyBorder="1" applyAlignment="1">
      <alignment horizontal="center" vertical="center"/>
    </xf>
    <xf numFmtId="166" fontId="44" fillId="0" borderId="20" xfId="32" applyFont="1" applyFill="1" applyBorder="1" applyAlignment="1">
      <alignment horizontal="center" vertical="center" wrapText="1"/>
    </xf>
    <xf numFmtId="0" fontId="45" fillId="0" borderId="16" xfId="0" applyFont="1" applyBorder="1" applyAlignment="1">
      <alignment horizontal="center" vertical="center"/>
    </xf>
    <xf numFmtId="0" fontId="45" fillId="0" borderId="18" xfId="0" applyFont="1" applyBorder="1" applyAlignment="1">
      <alignment horizontal="center" vertical="center"/>
    </xf>
    <xf numFmtId="215" fontId="44" fillId="0" borderId="21" xfId="32" applyNumberFormat="1" applyFont="1" applyFill="1" applyBorder="1" applyAlignment="1">
      <alignment horizontal="center" vertical="center"/>
    </xf>
    <xf numFmtId="0" fontId="45" fillId="0" borderId="14" xfId="0" applyFont="1" applyBorder="1" applyAlignment="1">
      <alignment horizontal="left"/>
    </xf>
    <xf numFmtId="0" fontId="43" fillId="0" borderId="9" xfId="0" applyFont="1" applyBorder="1" applyAlignment="1">
      <alignment horizontal="center" vertical="top"/>
    </xf>
    <xf numFmtId="166" fontId="43" fillId="0" borderId="19" xfId="32" applyFont="1" applyFill="1" applyBorder="1" applyAlignment="1">
      <alignment vertical="top"/>
    </xf>
    <xf numFmtId="0" fontId="45" fillId="0" borderId="9" xfId="0" applyFont="1" applyBorder="1" applyAlignment="1">
      <alignment horizontal="left"/>
    </xf>
    <xf numFmtId="0" fontId="43" fillId="0" borderId="14" xfId="0" applyFont="1" applyBorder="1" applyAlignment="1">
      <alignment horizontal="left"/>
    </xf>
    <xf numFmtId="172" fontId="43" fillId="0" borderId="19" xfId="32" applyNumberFormat="1" applyFont="1" applyFill="1" applyBorder="1" applyAlignment="1">
      <alignment vertical="top"/>
    </xf>
    <xf numFmtId="0" fontId="44" fillId="0" borderId="25" xfId="0" applyFont="1" applyBorder="1" applyAlignment="1">
      <alignment horizontal="center"/>
    </xf>
    <xf numFmtId="0" fontId="44" fillId="0" borderId="7" xfId="0" applyFont="1" applyBorder="1" applyAlignment="1">
      <alignment horizontal="center"/>
    </xf>
    <xf numFmtId="0" fontId="44" fillId="0" borderId="22" xfId="0" applyFont="1" applyBorder="1" applyAlignment="1">
      <alignment horizontal="center"/>
    </xf>
    <xf numFmtId="0" fontId="44" fillId="0" borderId="8" xfId="0" applyFont="1" applyBorder="1" applyAlignment="1">
      <alignment horizontal="center" wrapText="1"/>
    </xf>
    <xf numFmtId="172" fontId="43" fillId="0" borderId="20" xfId="32" applyNumberFormat="1" applyFont="1" applyFill="1" applyBorder="1" applyAlignment="1">
      <alignment horizontal="center" vertical="center"/>
    </xf>
    <xf numFmtId="172" fontId="43" fillId="0" borderId="0" xfId="32" applyNumberFormat="1" applyFont="1" applyFill="1" applyBorder="1" applyAlignment="1">
      <alignment horizontal="center" vertical="center"/>
    </xf>
    <xf numFmtId="0" fontId="43" fillId="0" borderId="14" xfId="0" applyFont="1" applyBorder="1" applyAlignment="1">
      <alignment horizontal="left" wrapText="1"/>
    </xf>
    <xf numFmtId="0" fontId="43" fillId="0" borderId="9" xfId="0" applyFont="1" applyBorder="1" applyAlignment="1">
      <alignment horizontal="left" wrapText="1"/>
    </xf>
    <xf numFmtId="172" fontId="43" fillId="0" borderId="19" xfId="32" applyNumberFormat="1" applyFont="1" applyFill="1" applyBorder="1" applyAlignment="1">
      <alignment horizontal="center" vertical="center"/>
    </xf>
    <xf numFmtId="172" fontId="43" fillId="0" borderId="0" xfId="32" applyNumberFormat="1" applyFont="1" applyFill="1" applyBorder="1" applyAlignment="1">
      <alignment horizontal="center" vertical="top"/>
    </xf>
    <xf numFmtId="172" fontId="43" fillId="0" borderId="21" xfId="32" applyNumberFormat="1" applyFont="1" applyFill="1" applyBorder="1" applyAlignment="1">
      <alignment horizontal="center" vertical="top"/>
    </xf>
    <xf numFmtId="172" fontId="43" fillId="0" borderId="16" xfId="32" applyNumberFormat="1" applyFont="1" applyFill="1" applyBorder="1" applyAlignment="1">
      <alignment horizontal="center" vertical="top"/>
    </xf>
    <xf numFmtId="166" fontId="44" fillId="0" borderId="8" xfId="32" applyFont="1" applyFill="1" applyBorder="1" applyAlignment="1">
      <alignment horizontal="center" vertical="center"/>
    </xf>
    <xf numFmtId="166" fontId="44" fillId="0" borderId="8" xfId="32" applyFont="1" applyFill="1" applyBorder="1" applyAlignment="1">
      <alignment horizontal="center" vertical="center" wrapText="1"/>
    </xf>
    <xf numFmtId="0" fontId="44" fillId="0" borderId="8" xfId="0" applyFont="1" applyBorder="1" applyAlignment="1">
      <alignment horizontal="center" vertical="center"/>
    </xf>
    <xf numFmtId="172" fontId="43" fillId="0" borderId="20" xfId="32" applyNumberFormat="1" applyFont="1" applyFill="1" applyBorder="1" applyAlignment="1">
      <alignment vertical="top"/>
    </xf>
    <xf numFmtId="10" fontId="43" fillId="0" borderId="20" xfId="32" applyNumberFormat="1" applyFont="1" applyFill="1" applyBorder="1"/>
    <xf numFmtId="172" fontId="44" fillId="0" borderId="8" xfId="0" applyNumberFormat="1" applyFont="1" applyBorder="1" applyAlignment="1">
      <alignment horizontal="center" vertical="top"/>
    </xf>
    <xf numFmtId="9" fontId="44" fillId="0" borderId="8" xfId="422" applyFont="1" applyFill="1" applyBorder="1" applyAlignment="1">
      <alignment horizontal="center" vertical="top"/>
    </xf>
    <xf numFmtId="172" fontId="44" fillId="0" borderId="8" xfId="422" applyNumberFormat="1" applyFont="1" applyFill="1" applyBorder="1" applyAlignment="1">
      <alignment horizontal="center" vertical="top"/>
    </xf>
    <xf numFmtId="0" fontId="45" fillId="0" borderId="7" xfId="0" applyFont="1" applyBorder="1" applyAlignment="1">
      <alignment horizontal="center" vertical="center"/>
    </xf>
    <xf numFmtId="0" fontId="45" fillId="0" borderId="22" xfId="0" applyFont="1" applyBorder="1" applyAlignment="1">
      <alignment horizontal="center" vertical="center"/>
    </xf>
    <xf numFmtId="166" fontId="44" fillId="0" borderId="8" xfId="0" applyNumberFormat="1" applyFont="1" applyBorder="1" applyAlignment="1">
      <alignment horizontal="center" vertical="center" wrapText="1"/>
    </xf>
    <xf numFmtId="0" fontId="45" fillId="0" borderId="9" xfId="0" applyFont="1" applyBorder="1" applyAlignment="1">
      <alignment horizontal="center" vertical="center"/>
    </xf>
    <xf numFmtId="166" fontId="43" fillId="0" borderId="19" xfId="0" applyNumberFormat="1" applyFont="1" applyBorder="1" applyAlignment="1">
      <alignment horizontal="center" vertical="center" wrapText="1"/>
    </xf>
    <xf numFmtId="166" fontId="44" fillId="0" borderId="19" xfId="0" applyNumberFormat="1" applyFont="1" applyBorder="1" applyAlignment="1">
      <alignment horizontal="center" vertical="center" wrapText="1"/>
    </xf>
    <xf numFmtId="0" fontId="44" fillId="0" borderId="14" xfId="0" applyFont="1" applyBorder="1" applyAlignment="1">
      <alignment horizontal="center" vertical="center"/>
    </xf>
    <xf numFmtId="0" fontId="44" fillId="0" borderId="25" xfId="0" applyFont="1" applyBorder="1" applyAlignment="1">
      <alignment horizontal="left"/>
    </xf>
    <xf numFmtId="0" fontId="44" fillId="0" borderId="7" xfId="0" applyFont="1" applyBorder="1" applyAlignment="1">
      <alignment horizontal="left"/>
    </xf>
    <xf numFmtId="0" fontId="44" fillId="0" borderId="14" xfId="0" applyFont="1" applyBorder="1" applyAlignment="1">
      <alignment horizontal="center"/>
    </xf>
    <xf numFmtId="166" fontId="43" fillId="0" borderId="16" xfId="32" applyFont="1" applyFill="1" applyBorder="1" applyAlignment="1">
      <alignment horizontal="center" vertical="top"/>
    </xf>
    <xf numFmtId="166" fontId="43" fillId="0" borderId="20" xfId="32" applyFont="1" applyFill="1" applyBorder="1"/>
    <xf numFmtId="0" fontId="44" fillId="0" borderId="9" xfId="0" applyFont="1" applyBorder="1" applyAlignment="1">
      <alignment horizontal="left"/>
    </xf>
    <xf numFmtId="0" fontId="43" fillId="0" borderId="14" xfId="0" applyFont="1" applyBorder="1" applyAlignment="1">
      <alignment horizontal="left" indent="1"/>
    </xf>
    <xf numFmtId="0" fontId="44" fillId="0" borderId="25" xfId="0" applyFont="1" applyBorder="1" applyAlignment="1">
      <alignment horizontal="center" vertical="top"/>
    </xf>
    <xf numFmtId="0" fontId="43" fillId="0" borderId="7" xfId="0" applyFont="1" applyBorder="1" applyAlignment="1">
      <alignment horizontal="center" vertical="top"/>
    </xf>
    <xf numFmtId="0" fontId="43" fillId="0" borderId="22" xfId="0" applyFont="1" applyBorder="1" applyAlignment="1">
      <alignment horizontal="center" vertical="top"/>
    </xf>
    <xf numFmtId="0" fontId="45" fillId="0" borderId="14" xfId="0" applyFont="1" applyBorder="1" applyAlignment="1">
      <alignment horizontal="center" vertical="center"/>
    </xf>
    <xf numFmtId="0" fontId="43" fillId="0" borderId="14" xfId="0" applyFont="1" applyBorder="1" applyAlignment="1">
      <alignment horizontal="left" vertical="top" indent="2"/>
    </xf>
    <xf numFmtId="0" fontId="43" fillId="0" borderId="9" xfId="0" applyFont="1" applyBorder="1" applyAlignment="1">
      <alignment horizontal="left" vertical="top"/>
    </xf>
    <xf numFmtId="166" fontId="44" fillId="0" borderId="19" xfId="32" applyFont="1" applyFill="1" applyBorder="1" applyAlignment="1">
      <alignment horizontal="center" vertical="center"/>
    </xf>
    <xf numFmtId="0" fontId="43" fillId="0" borderId="14" xfId="0" applyFont="1" applyBorder="1" applyAlignment="1">
      <alignment horizontal="left" indent="2"/>
    </xf>
    <xf numFmtId="0" fontId="44" fillId="0" borderId="12" xfId="0" applyFont="1" applyBorder="1" applyAlignment="1">
      <alignment horizontal="center"/>
    </xf>
    <xf numFmtId="166" fontId="44" fillId="0" borderId="12" xfId="32" applyFont="1" applyFill="1" applyBorder="1" applyAlignment="1">
      <alignment horizontal="center" vertical="center"/>
    </xf>
    <xf numFmtId="0" fontId="45" fillId="0" borderId="16" xfId="0" applyFont="1" applyBorder="1" applyAlignment="1">
      <alignment vertical="top"/>
    </xf>
    <xf numFmtId="166" fontId="43" fillId="0" borderId="0" xfId="32" applyFont="1" applyFill="1" applyBorder="1" applyAlignment="1">
      <alignment vertical="top"/>
    </xf>
    <xf numFmtId="166" fontId="44" fillId="0" borderId="19" xfId="32" applyFont="1" applyFill="1" applyBorder="1" applyAlignment="1">
      <alignment horizontal="center" vertical="top" wrapText="1"/>
    </xf>
    <xf numFmtId="166" fontId="43" fillId="0" borderId="19" xfId="32" applyFont="1" applyFill="1" applyBorder="1" applyAlignment="1">
      <alignment horizontal="center" vertical="top" wrapText="1"/>
    </xf>
    <xf numFmtId="166" fontId="43" fillId="0" borderId="19" xfId="32" applyFont="1" applyFill="1" applyBorder="1" applyAlignment="1">
      <alignment horizontal="right"/>
    </xf>
    <xf numFmtId="166" fontId="43" fillId="0" borderId="21" xfId="0"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0" fontId="59" fillId="0" borderId="14" xfId="0" applyFont="1" applyBorder="1" applyAlignment="1">
      <alignment horizontal="left"/>
    </xf>
    <xf numFmtId="0" fontId="43" fillId="0" borderId="7" xfId="0" applyFont="1" applyBorder="1" applyAlignment="1">
      <alignment horizontal="right" vertical="top"/>
    </xf>
    <xf numFmtId="0" fontId="43" fillId="0" borderId="22" xfId="0" applyFont="1" applyBorder="1" applyAlignment="1">
      <alignment horizontal="right" vertical="top"/>
    </xf>
    <xf numFmtId="166" fontId="43" fillId="0" borderId="18" xfId="32" applyFont="1" applyFill="1" applyBorder="1"/>
    <xf numFmtId="0" fontId="43" fillId="0" borderId="14" xfId="0" applyFont="1" applyBorder="1" applyAlignment="1">
      <alignment wrapText="1"/>
    </xf>
    <xf numFmtId="0" fontId="43" fillId="0" borderId="0" xfId="0" applyFont="1" applyAlignment="1">
      <alignment horizontal="left" wrapText="1"/>
    </xf>
    <xf numFmtId="166" fontId="43" fillId="0" borderId="8" xfId="32" applyFont="1" applyFill="1" applyBorder="1"/>
    <xf numFmtId="166" fontId="43" fillId="0" borderId="0" xfId="32" applyFont="1" applyFill="1" applyBorder="1"/>
    <xf numFmtId="166" fontId="60" fillId="0" borderId="19" xfId="32" applyFont="1" applyFill="1" applyBorder="1" applyAlignment="1">
      <alignment horizontal="right"/>
    </xf>
    <xf numFmtId="166" fontId="43" fillId="0" borderId="20" xfId="32" applyFont="1" applyFill="1" applyBorder="1" applyAlignment="1">
      <alignment horizontal="right"/>
    </xf>
    <xf numFmtId="3" fontId="44" fillId="0" borderId="14" xfId="0" applyNumberFormat="1" applyFont="1" applyBorder="1" applyAlignment="1">
      <alignment horizontal="left" wrapText="1"/>
    </xf>
    <xf numFmtId="3" fontId="44" fillId="0" borderId="9" xfId="0" applyNumberFormat="1" applyFont="1" applyBorder="1" applyAlignment="1">
      <alignment horizontal="left" wrapText="1"/>
    </xf>
    <xf numFmtId="3" fontId="43" fillId="0" borderId="14" xfId="0" applyNumberFormat="1" applyFont="1" applyBorder="1" applyAlignment="1">
      <alignment horizontal="left" wrapText="1"/>
    </xf>
    <xf numFmtId="166" fontId="43" fillId="0" borderId="21" xfId="32" applyFont="1" applyFill="1" applyBorder="1" applyAlignment="1">
      <alignment horizontal="right"/>
    </xf>
    <xf numFmtId="0" fontId="43" fillId="0" borderId="7" xfId="0" applyFont="1" applyBorder="1"/>
    <xf numFmtId="0" fontId="43" fillId="0" borderId="22" xfId="0" applyFont="1" applyBorder="1"/>
    <xf numFmtId="166" fontId="43" fillId="0" borderId="12" xfId="32" applyFont="1" applyFill="1" applyBorder="1" applyAlignment="1">
      <alignment horizontal="center" vertical="top"/>
    </xf>
    <xf numFmtId="0" fontId="43" fillId="0" borderId="16" xfId="0" applyFont="1" applyBorder="1" applyAlignment="1">
      <alignment wrapText="1"/>
    </xf>
    <xf numFmtId="166" fontId="43" fillId="0" borderId="16" xfId="32" applyFont="1" applyFill="1" applyBorder="1" applyAlignment="1">
      <alignment wrapText="1"/>
    </xf>
    <xf numFmtId="0" fontId="43" fillId="0" borderId="25" xfId="0" applyFont="1" applyBorder="1" applyAlignment="1">
      <alignment horizontal="left" wrapText="1"/>
    </xf>
    <xf numFmtId="0" fontId="43" fillId="0" borderId="7" xfId="0" applyFont="1" applyBorder="1" applyAlignment="1">
      <alignment horizontal="left" wrapText="1"/>
    </xf>
    <xf numFmtId="0" fontId="43" fillId="0" borderId="22" xfId="0" applyFont="1" applyBorder="1" applyAlignment="1">
      <alignment horizontal="left" wrapText="1"/>
    </xf>
    <xf numFmtId="0" fontId="43" fillId="0" borderId="8" xfId="0" applyFont="1" applyBorder="1" applyAlignment="1">
      <alignment horizontal="left" wrapText="1"/>
    </xf>
    <xf numFmtId="166" fontId="65" fillId="0" borderId="19" xfId="32" applyFont="1" applyFill="1" applyBorder="1" applyAlignment="1">
      <alignment horizontal="right" vertical="top"/>
    </xf>
    <xf numFmtId="172" fontId="64" fillId="0" borderId="8" xfId="32" applyNumberFormat="1" applyFont="1" applyFill="1" applyBorder="1" applyAlignment="1">
      <alignment horizontal="center" vertical="center"/>
    </xf>
    <xf numFmtId="164" fontId="64" fillId="0" borderId="8" xfId="32" applyNumberFormat="1" applyFont="1" applyFill="1" applyBorder="1" applyAlignment="1">
      <alignment horizontal="center" vertical="center"/>
    </xf>
    <xf numFmtId="166" fontId="82" fillId="0" borderId="9" xfId="32" applyFont="1" applyFill="1" applyBorder="1" applyAlignment="1">
      <alignment horizontal="center" vertical="top"/>
    </xf>
    <xf numFmtId="166" fontId="82" fillId="0" borderId="19" xfId="32" applyFont="1" applyFill="1" applyBorder="1" applyAlignment="1">
      <alignment horizontal="center" vertical="top"/>
    </xf>
    <xf numFmtId="10" fontId="43" fillId="0" borderId="19" xfId="32" applyNumberFormat="1" applyFont="1" applyFill="1" applyBorder="1"/>
    <xf numFmtId="10" fontId="43" fillId="0" borderId="9" xfId="32" applyNumberFormat="1" applyFont="1" applyFill="1" applyBorder="1"/>
    <xf numFmtId="0" fontId="64" fillId="0" borderId="14" xfId="0" applyFont="1" applyBorder="1" applyAlignment="1">
      <alignment horizontal="left" indent="1"/>
    </xf>
    <xf numFmtId="0" fontId="65" fillId="0" borderId="22" xfId="0" applyFont="1" applyBorder="1" applyAlignment="1">
      <alignment horizontal="center" vertical="center" wrapText="1"/>
    </xf>
    <xf numFmtId="0" fontId="65" fillId="0" borderId="8" xfId="0" applyFont="1" applyBorder="1" applyAlignment="1">
      <alignment horizontal="center" vertical="center"/>
    </xf>
    <xf numFmtId="209" fontId="65" fillId="0" borderId="8" xfId="0" applyNumberFormat="1" applyFont="1" applyBorder="1" applyAlignment="1">
      <alignment horizontal="center" vertical="center" wrapText="1"/>
    </xf>
    <xf numFmtId="209" fontId="3" fillId="0" borderId="14" xfId="86" applyFill="1" applyBorder="1" applyAlignment="1">
      <alignment horizontal="center"/>
    </xf>
    <xf numFmtId="209" fontId="3" fillId="0" borderId="15" xfId="86" applyFill="1" applyBorder="1" applyAlignment="1">
      <alignment horizontal="center"/>
    </xf>
    <xf numFmtId="0" fontId="64" fillId="0" borderId="13" xfId="0" applyFont="1" applyBorder="1" applyAlignment="1">
      <alignment horizontal="left"/>
    </xf>
    <xf numFmtId="166" fontId="64" fillId="0" borderId="0" xfId="32" applyFont="1" applyFill="1" applyBorder="1" applyAlignment="1">
      <alignment horizontal="right" vertical="top"/>
    </xf>
    <xf numFmtId="49" fontId="86" fillId="0" borderId="0" xfId="290" applyNumberFormat="1" applyFont="1" applyAlignment="1">
      <alignment vertical="center"/>
    </xf>
    <xf numFmtId="49" fontId="83" fillId="0" borderId="0" xfId="290" applyNumberFormat="1" applyFont="1" applyAlignment="1">
      <alignment vertical="center"/>
    </xf>
    <xf numFmtId="49" fontId="86" fillId="0" borderId="7" xfId="290" applyNumberFormat="1" applyFont="1" applyBorder="1" applyAlignment="1">
      <alignment horizontal="left" vertical="center"/>
    </xf>
    <xf numFmtId="166" fontId="51" fillId="0" borderId="0" xfId="32" applyFont="1" applyFill="1" applyBorder="1"/>
    <xf numFmtId="3" fontId="64" fillId="0" borderId="0" xfId="0" applyNumberFormat="1" applyFont="1"/>
    <xf numFmtId="43" fontId="65" fillId="0" borderId="0" xfId="82" applyNumberFormat="1" applyFont="1" applyBorder="1"/>
    <xf numFmtId="0" fontId="65" fillId="0" borderId="0" xfId="0" applyFont="1"/>
    <xf numFmtId="166" fontId="65" fillId="0" borderId="0" xfId="32" applyFont="1" applyFill="1"/>
    <xf numFmtId="166" fontId="64" fillId="0" borderId="16" xfId="32" applyFont="1" applyFill="1" applyBorder="1"/>
    <xf numFmtId="166" fontId="64" fillId="0" borderId="18" xfId="32" applyFont="1" applyFill="1" applyBorder="1"/>
    <xf numFmtId="14" fontId="65" fillId="0" borderId="0" xfId="0" applyNumberFormat="1" applyFont="1" applyAlignment="1">
      <alignment vertical="center"/>
    </xf>
    <xf numFmtId="166" fontId="64" fillId="0" borderId="0" xfId="32" applyFont="1" applyFill="1" applyAlignment="1">
      <alignment vertical="center"/>
    </xf>
    <xf numFmtId="0" fontId="64" fillId="0" borderId="20" xfId="0" applyFont="1" applyBorder="1" applyAlignment="1">
      <alignment horizontal="center" vertical="center"/>
    </xf>
    <xf numFmtId="206" fontId="64" fillId="0" borderId="20" xfId="0" applyNumberFormat="1" applyFont="1" applyBorder="1" applyAlignment="1">
      <alignment horizontal="left" vertical="top"/>
    </xf>
    <xf numFmtId="202" fontId="64" fillId="0" borderId="19" xfId="0" applyNumberFormat="1" applyFont="1" applyBorder="1" applyAlignment="1">
      <alignment horizontal="right" vertical="top"/>
    </xf>
    <xf numFmtId="202" fontId="64" fillId="0" borderId="9" xfId="0" applyNumberFormat="1" applyFont="1" applyBorder="1" applyAlignment="1">
      <alignment horizontal="right" vertical="top"/>
    </xf>
    <xf numFmtId="43" fontId="64" fillId="0" borderId="20" xfId="62" applyFont="1" applyFill="1" applyBorder="1"/>
    <xf numFmtId="0" fontId="64" fillId="0" borderId="0" xfId="295" applyFont="1"/>
    <xf numFmtId="0" fontId="64" fillId="0" borderId="19" xfId="0" applyFont="1" applyBorder="1" applyAlignment="1">
      <alignment horizontal="center" vertical="center"/>
    </xf>
    <xf numFmtId="0" fontId="65" fillId="0" borderId="21" xfId="0" applyFont="1" applyBorder="1" applyAlignment="1">
      <alignment horizontal="left"/>
    </xf>
    <xf numFmtId="43" fontId="64" fillId="0" borderId="19" xfId="62" applyFont="1" applyFill="1" applyBorder="1"/>
    <xf numFmtId="206" fontId="65" fillId="0" borderId="21" xfId="0" applyNumberFormat="1" applyFont="1" applyBorder="1" applyAlignment="1">
      <alignment horizontal="left" vertical="top"/>
    </xf>
    <xf numFmtId="0" fontId="64" fillId="0" borderId="21" xfId="0" applyFont="1" applyBorder="1" applyAlignment="1">
      <alignment horizontal="center" vertical="center"/>
    </xf>
    <xf numFmtId="166" fontId="65" fillId="0" borderId="21" xfId="32" applyFont="1" applyFill="1" applyBorder="1"/>
    <xf numFmtId="0" fontId="64" fillId="0" borderId="0" xfId="0" applyFont="1" applyAlignment="1">
      <alignment horizontal="center" vertical="center"/>
    </xf>
    <xf numFmtId="202" fontId="64" fillId="0" borderId="0" xfId="0" applyNumberFormat="1" applyFont="1" applyAlignment="1">
      <alignment horizontal="right" vertical="top"/>
    </xf>
    <xf numFmtId="166" fontId="65" fillId="0" borderId="0" xfId="32" applyFont="1" applyFill="1" applyBorder="1" applyAlignment="1">
      <alignment horizontal="right" vertical="top"/>
    </xf>
    <xf numFmtId="14" fontId="64" fillId="0" borderId="0" xfId="0" applyNumberFormat="1" applyFont="1"/>
    <xf numFmtId="0" fontId="67" fillId="10" borderId="0" xfId="0" applyFont="1" applyFill="1" applyAlignment="1">
      <alignment vertical="center"/>
    </xf>
    <xf numFmtId="166" fontId="65" fillId="10" borderId="0" xfId="32" applyFont="1" applyFill="1" applyBorder="1" applyAlignment="1">
      <alignment horizontal="right" vertical="center"/>
    </xf>
    <xf numFmtId="166" fontId="65" fillId="0" borderId="0" xfId="32" applyFont="1" applyBorder="1" applyAlignment="1">
      <alignment vertical="center"/>
    </xf>
    <xf numFmtId="0" fontId="65" fillId="0" borderId="0" xfId="0" applyFont="1" applyAlignment="1">
      <alignment vertical="center"/>
    </xf>
    <xf numFmtId="166" fontId="64" fillId="0" borderId="0" xfId="32" applyFont="1" applyBorder="1" applyAlignment="1">
      <alignment vertical="center"/>
    </xf>
    <xf numFmtId="49" fontId="64" fillId="0" borderId="0" xfId="308" applyNumberFormat="1" applyFont="1" applyAlignment="1">
      <alignment horizontal="left" vertical="center"/>
    </xf>
    <xf numFmtId="166" fontId="64" fillId="0" borderId="0" xfId="120" applyFont="1" applyFill="1" applyBorder="1" applyAlignment="1">
      <alignment vertical="center"/>
    </xf>
    <xf numFmtId="166" fontId="64" fillId="0" borderId="0" xfId="32" applyFont="1" applyFill="1" applyBorder="1" applyAlignment="1">
      <alignment vertical="center"/>
    </xf>
    <xf numFmtId="49" fontId="64" fillId="0" borderId="0" xfId="308" applyNumberFormat="1" applyFont="1" applyAlignment="1">
      <alignment vertical="center"/>
    </xf>
    <xf numFmtId="49" fontId="79" fillId="0" borderId="0" xfId="276" applyNumberFormat="1" applyFont="1" applyAlignment="1">
      <alignment vertical="center"/>
    </xf>
    <xf numFmtId="49" fontId="64" fillId="0" borderId="0" xfId="413" applyNumberFormat="1" applyFont="1" applyAlignment="1">
      <alignment horizontal="left" vertical="center"/>
    </xf>
    <xf numFmtId="49" fontId="87" fillId="0" borderId="0" xfId="0" applyNumberFormat="1" applyFont="1" applyAlignment="1">
      <alignment vertical="center"/>
    </xf>
    <xf numFmtId="166" fontId="64" fillId="0" borderId="0" xfId="0" applyNumberFormat="1" applyFont="1" applyAlignment="1">
      <alignment vertical="center"/>
    </xf>
    <xf numFmtId="49" fontId="79" fillId="0" borderId="0" xfId="275" applyNumberFormat="1" applyFont="1" applyAlignment="1">
      <alignment vertical="center"/>
    </xf>
    <xf numFmtId="49" fontId="87" fillId="0" borderId="0" xfId="289" applyNumberFormat="1" applyFont="1" applyAlignment="1">
      <alignment vertical="top"/>
    </xf>
    <xf numFmtId="49" fontId="64" fillId="0" borderId="0" xfId="401" applyNumberFormat="1" applyFont="1" applyAlignment="1">
      <alignment horizontal="left" vertical="center"/>
    </xf>
    <xf numFmtId="49" fontId="79" fillId="0" borderId="0" xfId="0" applyNumberFormat="1" applyFont="1" applyAlignment="1">
      <alignment vertical="center"/>
    </xf>
    <xf numFmtId="49" fontId="87" fillId="0" borderId="0" xfId="289" applyNumberFormat="1" applyFont="1" applyAlignment="1">
      <alignment vertical="top" wrapText="1"/>
    </xf>
    <xf numFmtId="49" fontId="88" fillId="0" borderId="0" xfId="0" applyNumberFormat="1" applyFont="1" applyAlignment="1">
      <alignment vertical="center"/>
    </xf>
    <xf numFmtId="49" fontId="87" fillId="0" borderId="0" xfId="0" applyNumberFormat="1" applyFont="1" applyAlignment="1">
      <alignment vertical="top"/>
    </xf>
    <xf numFmtId="49" fontId="64" fillId="0" borderId="0" xfId="399" applyNumberFormat="1" applyFont="1" applyAlignment="1">
      <alignment horizontal="left" vertical="center"/>
    </xf>
    <xf numFmtId="49" fontId="79" fillId="0" borderId="0" xfId="282" applyNumberFormat="1" applyFont="1" applyAlignment="1">
      <alignment vertical="center"/>
    </xf>
    <xf numFmtId="3" fontId="64" fillId="0" borderId="0" xfId="0" applyNumberFormat="1" applyFont="1" applyAlignment="1">
      <alignment horizontal="left" vertical="center" wrapText="1"/>
    </xf>
    <xf numFmtId="49" fontId="87" fillId="0" borderId="14" xfId="0" applyNumberFormat="1" applyFont="1" applyBorder="1" applyAlignment="1">
      <alignment vertical="center"/>
    </xf>
    <xf numFmtId="0" fontId="67" fillId="0" borderId="0" xfId="0" applyFont="1" applyAlignment="1">
      <alignment vertical="center"/>
    </xf>
    <xf numFmtId="166" fontId="65" fillId="0" borderId="0" xfId="32" applyFont="1" applyFill="1" applyBorder="1" applyAlignment="1">
      <alignment horizontal="right" vertical="center"/>
    </xf>
    <xf numFmtId="49" fontId="64" fillId="0" borderId="0" xfId="403" applyNumberFormat="1" applyFont="1" applyAlignment="1">
      <alignment horizontal="left" vertical="center"/>
    </xf>
    <xf numFmtId="49" fontId="64" fillId="0" borderId="0" xfId="414" applyNumberFormat="1" applyFont="1" applyAlignment="1">
      <alignment horizontal="left" vertical="center"/>
    </xf>
    <xf numFmtId="49" fontId="64" fillId="0" borderId="0" xfId="403" applyNumberFormat="1" applyFont="1" applyAlignment="1">
      <alignment vertical="center"/>
    </xf>
    <xf numFmtId="0" fontId="64" fillId="13" borderId="0" xfId="0" applyFont="1" applyFill="1" applyAlignment="1">
      <alignment vertical="center"/>
    </xf>
    <xf numFmtId="0" fontId="79" fillId="0" borderId="0" xfId="0" applyFont="1" applyAlignment="1">
      <alignment vertical="center"/>
    </xf>
    <xf numFmtId="2" fontId="87" fillId="0" borderId="0" xfId="0" applyNumberFormat="1" applyFont="1" applyAlignment="1">
      <alignment vertical="center"/>
    </xf>
    <xf numFmtId="3" fontId="64" fillId="0" borderId="14" xfId="0" applyNumberFormat="1" applyFont="1" applyBorder="1" applyAlignment="1">
      <alignment horizontal="left" vertical="center" wrapText="1"/>
    </xf>
    <xf numFmtId="3" fontId="65" fillId="0" borderId="0" xfId="0" applyNumberFormat="1" applyFont="1" applyAlignment="1">
      <alignment horizontal="left" vertical="center"/>
    </xf>
    <xf numFmtId="3" fontId="65" fillId="0" borderId="14" xfId="0" applyNumberFormat="1" applyFont="1" applyBorder="1" applyAlignment="1">
      <alignment horizontal="left" vertical="center" wrapText="1"/>
    </xf>
    <xf numFmtId="49" fontId="87" fillId="0" borderId="0" xfId="290" applyNumberFormat="1" applyFont="1" applyAlignment="1">
      <alignment vertical="center"/>
    </xf>
    <xf numFmtId="3" fontId="65" fillId="0" borderId="0" xfId="0" applyNumberFormat="1" applyFont="1" applyAlignment="1">
      <alignment horizontal="left" vertical="center" wrapText="1"/>
    </xf>
    <xf numFmtId="49" fontId="65" fillId="0" borderId="0" xfId="0" applyNumberFormat="1" applyFont="1" applyAlignment="1">
      <alignment vertical="center"/>
    </xf>
    <xf numFmtId="49" fontId="64" fillId="0" borderId="0" xfId="0" applyNumberFormat="1" applyFont="1" applyAlignment="1">
      <alignment vertical="center"/>
    </xf>
    <xf numFmtId="49" fontId="64" fillId="0" borderId="0" xfId="409" applyNumberFormat="1" applyFont="1" applyAlignment="1">
      <alignment horizontal="left" vertical="center"/>
    </xf>
    <xf numFmtId="49" fontId="64" fillId="0" borderId="0" xfId="310" applyNumberFormat="1" applyFont="1" applyAlignment="1">
      <alignment horizontal="left" vertical="center"/>
    </xf>
    <xf numFmtId="166" fontId="64" fillId="13" borderId="0" xfId="120" applyFont="1" applyFill="1" applyBorder="1" applyAlignment="1">
      <alignment vertical="center"/>
    </xf>
    <xf numFmtId="166" fontId="64" fillId="13" borderId="0" xfId="32" applyFont="1" applyFill="1" applyBorder="1" applyAlignment="1">
      <alignment vertical="center"/>
    </xf>
    <xf numFmtId="49" fontId="64" fillId="0" borderId="0" xfId="312" applyNumberFormat="1" applyFont="1" applyAlignment="1">
      <alignment horizontal="left" vertical="center"/>
    </xf>
    <xf numFmtId="49" fontId="64" fillId="0" borderId="0" xfId="341" applyNumberFormat="1" applyFont="1" applyAlignment="1">
      <alignment horizontal="left" vertical="center"/>
    </xf>
    <xf numFmtId="43" fontId="43" fillId="13" borderId="0" xfId="105" applyFont="1" applyFill="1" applyBorder="1" applyAlignment="1">
      <alignment horizontal="right" vertical="center"/>
    </xf>
    <xf numFmtId="166" fontId="64" fillId="0" borderId="0" xfId="32" applyFont="1" applyFill="1" applyBorder="1" applyAlignment="1">
      <alignment horizontal="right" vertical="center"/>
    </xf>
    <xf numFmtId="49" fontId="64" fillId="0" borderId="0" xfId="385" applyNumberFormat="1" applyFont="1" applyAlignment="1">
      <alignment horizontal="left" vertical="center"/>
    </xf>
    <xf numFmtId="49" fontId="64" fillId="0" borderId="0" xfId="323" applyNumberFormat="1" applyFont="1" applyAlignment="1">
      <alignment horizontal="left" vertical="center"/>
    </xf>
    <xf numFmtId="49" fontId="64" fillId="0" borderId="0" xfId="315" applyNumberFormat="1" applyFont="1" applyAlignment="1">
      <alignment horizontal="left" vertical="center"/>
    </xf>
    <xf numFmtId="49" fontId="64" fillId="0" borderId="0" xfId="387" applyNumberFormat="1" applyFont="1" applyAlignment="1">
      <alignment horizontal="left" vertical="center"/>
    </xf>
    <xf numFmtId="49" fontId="64" fillId="0" borderId="0" xfId="333" applyNumberFormat="1" applyFont="1" applyAlignment="1">
      <alignment horizontal="left" vertical="center"/>
    </xf>
    <xf numFmtId="49" fontId="64" fillId="0" borderId="0" xfId="338" applyNumberFormat="1" applyFont="1" applyAlignment="1">
      <alignment horizontal="left" vertical="center"/>
    </xf>
    <xf numFmtId="49" fontId="64" fillId="0" borderId="0" xfId="371" applyNumberFormat="1" applyFont="1" applyAlignment="1">
      <alignment horizontal="left" vertical="center"/>
    </xf>
    <xf numFmtId="49" fontId="64" fillId="0" borderId="0" xfId="360" applyNumberFormat="1" applyFont="1" applyAlignment="1">
      <alignment horizontal="left" vertical="center"/>
    </xf>
    <xf numFmtId="49" fontId="64" fillId="0" borderId="0" xfId="353" applyNumberFormat="1" applyFont="1" applyAlignment="1">
      <alignment horizontal="left" vertical="center"/>
    </xf>
    <xf numFmtId="49" fontId="64" fillId="0" borderId="0" xfId="350" applyNumberFormat="1" applyFont="1" applyAlignment="1">
      <alignment horizontal="left" vertical="center"/>
    </xf>
    <xf numFmtId="49" fontId="64" fillId="0" borderId="0" xfId="348" applyNumberFormat="1" applyFont="1" applyAlignment="1">
      <alignment horizontal="left" vertical="center"/>
    </xf>
    <xf numFmtId="49" fontId="64" fillId="0" borderId="0" xfId="353" applyNumberFormat="1" applyFont="1" applyAlignment="1">
      <alignment vertical="center"/>
    </xf>
    <xf numFmtId="49" fontId="64" fillId="0" borderId="0" xfId="406" applyNumberFormat="1" applyFont="1" applyAlignment="1">
      <alignment horizontal="left" vertical="center"/>
    </xf>
    <xf numFmtId="49" fontId="64" fillId="0" borderId="0" xfId="406" applyNumberFormat="1" applyFont="1" applyAlignment="1">
      <alignment vertical="center"/>
    </xf>
    <xf numFmtId="49" fontId="64" fillId="0" borderId="0" xfId="356" applyNumberFormat="1" applyFont="1" applyAlignment="1">
      <alignment horizontal="left" vertical="center"/>
    </xf>
    <xf numFmtId="49" fontId="64" fillId="0" borderId="0" xfId="363" applyNumberFormat="1" applyFont="1" applyAlignment="1">
      <alignment horizontal="left" vertical="center"/>
    </xf>
    <xf numFmtId="49" fontId="64" fillId="0" borderId="0" xfId="391" applyNumberFormat="1" applyFont="1" applyAlignment="1">
      <alignment horizontal="left" vertical="center"/>
    </xf>
    <xf numFmtId="49" fontId="64" fillId="0" borderId="0" xfId="328" applyNumberFormat="1" applyFont="1" applyAlignment="1">
      <alignment horizontal="left" vertical="center"/>
    </xf>
    <xf numFmtId="49" fontId="64" fillId="0" borderId="0" xfId="393" applyNumberFormat="1" applyFont="1" applyAlignment="1">
      <alignment horizontal="left" vertical="center"/>
    </xf>
    <xf numFmtId="49" fontId="64" fillId="0" borderId="0" xfId="395" applyNumberFormat="1" applyFont="1" applyAlignment="1">
      <alignment horizontal="left" vertical="center"/>
    </xf>
    <xf numFmtId="49" fontId="64" fillId="0" borderId="0" xfId="381" applyNumberFormat="1" applyFont="1" applyAlignment="1">
      <alignment horizontal="left" vertical="center"/>
    </xf>
    <xf numFmtId="49" fontId="64" fillId="0" borderId="0" xfId="366" applyNumberFormat="1" applyFont="1" applyAlignment="1">
      <alignment horizontal="left" vertical="center"/>
    </xf>
    <xf numFmtId="49" fontId="64" fillId="0" borderId="0" xfId="379" applyNumberFormat="1" applyFont="1" applyAlignment="1">
      <alignment horizontal="left" vertical="center"/>
    </xf>
    <xf numFmtId="49" fontId="64" fillId="0" borderId="0" xfId="368" applyNumberFormat="1" applyFont="1" applyAlignment="1">
      <alignment horizontal="left" vertical="center"/>
    </xf>
    <xf numFmtId="49" fontId="64" fillId="0" borderId="0" xfId="397" applyNumberFormat="1" applyFont="1" applyAlignment="1">
      <alignment horizontal="left" vertical="center"/>
    </xf>
    <xf numFmtId="49" fontId="64" fillId="0" borderId="0" xfId="374" applyNumberFormat="1" applyFont="1" applyAlignment="1">
      <alignment horizontal="left" vertical="center"/>
    </xf>
    <xf numFmtId="49" fontId="64" fillId="0" borderId="0" xfId="358" applyNumberFormat="1" applyFont="1" applyAlignment="1">
      <alignment horizontal="left" vertical="center"/>
    </xf>
    <xf numFmtId="49" fontId="64" fillId="0" borderId="0" xfId="376" applyNumberFormat="1" applyFont="1" applyAlignment="1">
      <alignment horizontal="left" vertical="center"/>
    </xf>
    <xf numFmtId="49" fontId="64" fillId="0" borderId="0" xfId="330" applyNumberFormat="1" applyFont="1" applyAlignment="1">
      <alignment horizontal="left" vertical="center"/>
    </xf>
    <xf numFmtId="49" fontId="64" fillId="0" borderId="0" xfId="383" applyNumberFormat="1" applyFont="1" applyAlignment="1">
      <alignment horizontal="left" vertical="center"/>
    </xf>
    <xf numFmtId="49" fontId="64" fillId="0" borderId="0" xfId="346" applyNumberFormat="1" applyFont="1" applyAlignment="1">
      <alignment horizontal="left" vertical="center"/>
    </xf>
    <xf numFmtId="49" fontId="64" fillId="0" borderId="0" xfId="321" applyNumberFormat="1" applyFont="1" applyAlignment="1">
      <alignment horizontal="left" vertical="center"/>
    </xf>
    <xf numFmtId="49" fontId="64" fillId="0" borderId="0" xfId="319" applyNumberFormat="1" applyFont="1" applyAlignment="1">
      <alignment horizontal="left" vertical="center"/>
    </xf>
    <xf numFmtId="49" fontId="65" fillId="0" borderId="0" xfId="319" applyNumberFormat="1" applyFont="1" applyAlignment="1">
      <alignment horizontal="left" vertical="center"/>
    </xf>
    <xf numFmtId="49" fontId="64" fillId="0" borderId="0" xfId="325" applyNumberFormat="1" applyFont="1" applyAlignment="1">
      <alignment horizontal="left" vertical="center"/>
    </xf>
    <xf numFmtId="166" fontId="65" fillId="0" borderId="23" xfId="32" applyFont="1" applyFill="1" applyBorder="1" applyAlignment="1">
      <alignment vertical="center"/>
    </xf>
    <xf numFmtId="166" fontId="65" fillId="0" borderId="0" xfId="32" applyFont="1" applyFill="1" applyBorder="1" applyAlignment="1">
      <alignment vertical="center"/>
    </xf>
    <xf numFmtId="0" fontId="44" fillId="0" borderId="14" xfId="0" applyFont="1" applyBorder="1" applyAlignment="1">
      <alignment horizontal="left" vertical="top" wrapText="1"/>
    </xf>
    <xf numFmtId="0" fontId="44" fillId="0" borderId="14" xfId="0" applyFont="1" applyBorder="1" applyAlignment="1">
      <alignment wrapText="1"/>
    </xf>
    <xf numFmtId="166" fontId="65" fillId="14" borderId="20" xfId="67" applyFont="1" applyFill="1" applyBorder="1" applyAlignment="1">
      <alignment horizontal="center" vertical="center" wrapText="1"/>
    </xf>
    <xf numFmtId="172" fontId="80" fillId="0" borderId="0" xfId="64" applyNumberFormat="1" applyFont="1" applyFill="1" applyBorder="1" applyAlignment="1">
      <alignment horizontal="center"/>
    </xf>
    <xf numFmtId="172" fontId="64" fillId="0" borderId="0" xfId="64" applyNumberFormat="1" applyFont="1" applyFill="1" applyBorder="1"/>
    <xf numFmtId="41" fontId="64" fillId="0" borderId="19" xfId="67" applyNumberFormat="1" applyFont="1" applyFill="1" applyBorder="1"/>
    <xf numFmtId="166" fontId="64" fillId="0" borderId="9" xfId="67" applyFont="1" applyFill="1" applyBorder="1"/>
    <xf numFmtId="41" fontId="64" fillId="0" borderId="9" xfId="67" applyNumberFormat="1" applyFont="1" applyFill="1" applyBorder="1"/>
    <xf numFmtId="166" fontId="64" fillId="0" borderId="19" xfId="67" applyFont="1" applyFill="1" applyBorder="1"/>
    <xf numFmtId="166" fontId="64" fillId="0" borderId="19" xfId="67" quotePrefix="1" applyFont="1" applyFill="1" applyBorder="1"/>
    <xf numFmtId="166" fontId="64" fillId="0" borderId="21" xfId="67" applyFont="1" applyFill="1" applyBorder="1"/>
    <xf numFmtId="166" fontId="64" fillId="0" borderId="18" xfId="67" applyFont="1" applyFill="1" applyBorder="1"/>
    <xf numFmtId="166" fontId="64" fillId="0" borderId="0" xfId="67" applyFont="1" applyFill="1"/>
    <xf numFmtId="0" fontId="65" fillId="14" borderId="20" xfId="479" applyFont="1" applyFill="1" applyBorder="1" applyAlignment="1">
      <alignment vertical="center" wrapText="1"/>
    </xf>
    <xf numFmtId="0" fontId="64" fillId="15" borderId="0" xfId="479" applyFont="1" applyFill="1"/>
    <xf numFmtId="43" fontId="64" fillId="0" borderId="0" xfId="479" applyNumberFormat="1" applyFont="1"/>
    <xf numFmtId="0" fontId="64" fillId="0" borderId="0" xfId="479" applyFont="1"/>
    <xf numFmtId="0" fontId="64" fillId="0" borderId="14" xfId="479" quotePrefix="1" applyFont="1" applyBorder="1" applyAlignment="1">
      <alignment wrapText="1"/>
    </xf>
    <xf numFmtId="41" fontId="64" fillId="0" borderId="0" xfId="479" applyNumberFormat="1" applyFont="1"/>
    <xf numFmtId="0" fontId="64" fillId="0" borderId="14" xfId="479" applyFont="1" applyBorder="1" applyAlignment="1">
      <alignment wrapText="1"/>
    </xf>
    <xf numFmtId="0" fontId="64" fillId="0" borderId="15" xfId="479" applyFont="1" applyBorder="1" applyAlignment="1">
      <alignment wrapText="1"/>
    </xf>
    <xf numFmtId="166" fontId="64" fillId="15" borderId="0" xfId="67" applyFont="1" applyFill="1"/>
    <xf numFmtId="166" fontId="65" fillId="0" borderId="22" xfId="67" applyFont="1" applyFill="1" applyBorder="1"/>
    <xf numFmtId="0" fontId="91" fillId="0" borderId="0" xfId="492" applyFont="1"/>
    <xf numFmtId="0" fontId="65" fillId="0" borderId="0" xfId="479" applyFont="1"/>
    <xf numFmtId="0" fontId="65" fillId="0" borderId="25" xfId="479" applyFont="1" applyBorder="1" applyAlignment="1">
      <alignment wrapText="1"/>
    </xf>
    <xf numFmtId="10" fontId="65" fillId="0" borderId="8" xfId="67" applyNumberFormat="1" applyFont="1" applyFill="1" applyBorder="1" applyAlignment="1">
      <alignment horizontal="right"/>
    </xf>
    <xf numFmtId="166" fontId="65" fillId="0" borderId="8" xfId="32" applyFont="1" applyFill="1" applyBorder="1" applyAlignment="1">
      <alignment horizontal="right"/>
    </xf>
    <xf numFmtId="10" fontId="65" fillId="0" borderId="8" xfId="422" applyNumberFormat="1" applyFont="1" applyFill="1" applyBorder="1" applyAlignment="1">
      <alignment horizontal="right"/>
    </xf>
    <xf numFmtId="216" fontId="64" fillId="0" borderId="19" xfId="67" applyNumberFormat="1" applyFont="1" applyFill="1" applyBorder="1"/>
    <xf numFmtId="216" fontId="64" fillId="0" borderId="9" xfId="67" applyNumberFormat="1" applyFont="1" applyFill="1" applyBorder="1"/>
    <xf numFmtId="216" fontId="64" fillId="0" borderId="21" xfId="67" applyNumberFormat="1" applyFont="1" applyFill="1" applyBorder="1"/>
    <xf numFmtId="216" fontId="64" fillId="0" borderId="18" xfId="67" applyNumberFormat="1" applyFont="1" applyFill="1" applyBorder="1"/>
    <xf numFmtId="10" fontId="65" fillId="0" borderId="22" xfId="480" applyNumberFormat="1" applyFont="1" applyFill="1" applyBorder="1"/>
    <xf numFmtId="10" fontId="64" fillId="0" borderId="9" xfId="480" applyNumberFormat="1" applyFont="1" applyFill="1" applyBorder="1"/>
    <xf numFmtId="10" fontId="64" fillId="0" borderId="18" xfId="480" applyNumberFormat="1" applyFont="1" applyFill="1" applyBorder="1"/>
    <xf numFmtId="10" fontId="64" fillId="0" borderId="19" xfId="67" applyNumberFormat="1" applyFont="1" applyFill="1" applyBorder="1"/>
    <xf numFmtId="10" fontId="64" fillId="0" borderId="9" xfId="67" applyNumberFormat="1" applyFont="1" applyFill="1" applyBorder="1"/>
    <xf numFmtId="10" fontId="64" fillId="0" borderId="0" xfId="67" applyNumberFormat="1" applyFont="1" applyFill="1"/>
    <xf numFmtId="0" fontId="70" fillId="0" borderId="0" xfId="420" applyFont="1" applyAlignment="1">
      <alignment vertical="center"/>
    </xf>
    <xf numFmtId="0" fontId="66" fillId="0" borderId="0" xfId="220" applyFont="1" applyFill="1" applyAlignment="1" applyProtection="1">
      <alignment vertical="center"/>
    </xf>
    <xf numFmtId="0" fontId="64" fillId="0" borderId="0" xfId="420" applyFont="1" applyAlignment="1">
      <alignment vertical="center"/>
    </xf>
    <xf numFmtId="172" fontId="64" fillId="0" borderId="0" xfId="82" applyNumberFormat="1" applyFont="1" applyFill="1" applyAlignment="1">
      <alignment vertical="center"/>
    </xf>
    <xf numFmtId="166" fontId="79" fillId="0" borderId="0" xfId="32" applyFont="1" applyAlignment="1">
      <alignment vertical="center"/>
    </xf>
    <xf numFmtId="166" fontId="78" fillId="0" borderId="12" xfId="32" applyFont="1" applyBorder="1" applyAlignment="1">
      <alignment vertical="center"/>
    </xf>
    <xf numFmtId="166" fontId="86" fillId="0" borderId="0" xfId="32" applyFont="1" applyAlignment="1">
      <alignment horizontal="right" vertical="center"/>
    </xf>
    <xf numFmtId="166" fontId="83" fillId="0" borderId="0" xfId="32" applyFont="1" applyAlignment="1">
      <alignment horizontal="right" vertical="center"/>
    </xf>
    <xf numFmtId="166" fontId="86" fillId="0" borderId="7" xfId="32" applyFont="1" applyBorder="1" applyAlignment="1">
      <alignment horizontal="right" vertical="center"/>
    </xf>
    <xf numFmtId="0" fontId="64" fillId="0" borderId="14" xfId="420" applyFont="1" applyBorder="1" applyAlignment="1">
      <alignment horizontal="left"/>
    </xf>
    <xf numFmtId="0" fontId="44" fillId="0" borderId="25" xfId="0" applyFont="1" applyBorder="1" applyAlignment="1">
      <alignment horizontal="center" vertical="center"/>
    </xf>
    <xf numFmtId="0" fontId="44" fillId="0" borderId="16" xfId="0" applyFont="1" applyBorder="1" applyAlignment="1">
      <alignment horizontal="left" vertical="top"/>
    </xf>
    <xf numFmtId="166" fontId="44" fillId="0" borderId="8" xfId="32" applyFont="1" applyFill="1" applyBorder="1" applyAlignment="1">
      <alignment horizontal="center" wrapText="1"/>
    </xf>
    <xf numFmtId="0" fontId="44" fillId="0" borderId="25" xfId="0" applyFont="1" applyBorder="1" applyAlignment="1">
      <alignment horizontal="left" vertical="top"/>
    </xf>
    <xf numFmtId="0" fontId="64" fillId="0" borderId="14" xfId="0" applyFont="1" applyBorder="1" applyAlignment="1">
      <alignment horizontal="left"/>
    </xf>
    <xf numFmtId="0" fontId="64" fillId="0" borderId="15" xfId="0" applyFont="1" applyBorder="1" applyAlignment="1">
      <alignment horizontal="left"/>
    </xf>
    <xf numFmtId="0" fontId="43" fillId="0" borderId="14" xfId="0" applyFont="1" applyBorder="1" applyAlignment="1">
      <alignment horizontal="left" vertical="top" wrapText="1"/>
    </xf>
    <xf numFmtId="0" fontId="43" fillId="0" borderId="9" xfId="0" applyFont="1" applyBorder="1" applyAlignment="1">
      <alignment horizontal="left" vertical="top" wrapText="1"/>
    </xf>
    <xf numFmtId="0" fontId="43" fillId="0" borderId="16" xfId="0" applyFont="1" applyBorder="1"/>
    <xf numFmtId="0" fontId="43" fillId="0" borderId="9" xfId="0" applyFont="1" applyBorder="1" applyAlignment="1">
      <alignment horizontal="left"/>
    </xf>
    <xf numFmtId="0" fontId="43" fillId="0" borderId="9" xfId="0" applyFont="1" applyBorder="1"/>
    <xf numFmtId="0" fontId="64" fillId="0" borderId="0" xfId="420" applyFont="1" applyAlignment="1">
      <alignment horizontal="left"/>
    </xf>
    <xf numFmtId="166" fontId="44" fillId="0" borderId="26" xfId="32" applyFont="1" applyBorder="1" applyAlignment="1">
      <alignment vertical="center"/>
    </xf>
    <xf numFmtId="166" fontId="44" fillId="0" borderId="19" xfId="32" applyFont="1" applyBorder="1" applyAlignment="1">
      <alignment vertical="center"/>
    </xf>
    <xf numFmtId="164" fontId="64" fillId="0" borderId="0" xfId="0" applyNumberFormat="1" applyFont="1" applyAlignment="1">
      <alignment wrapText="1"/>
    </xf>
    <xf numFmtId="0" fontId="64" fillId="0" borderId="12" xfId="0" applyFont="1" applyBorder="1" applyAlignment="1">
      <alignment horizontal="left"/>
    </xf>
    <xf numFmtId="0" fontId="69" fillId="0" borderId="0" xfId="0" applyFont="1" applyAlignment="1">
      <alignment horizontal="right"/>
    </xf>
    <xf numFmtId="0" fontId="69" fillId="0" borderId="0" xfId="0" applyFont="1" applyAlignment="1">
      <alignment horizontal="center"/>
    </xf>
    <xf numFmtId="166" fontId="64" fillId="0" borderId="20" xfId="120" applyFont="1" applyFill="1" applyBorder="1" applyAlignment="1"/>
    <xf numFmtId="0" fontId="45" fillId="0" borderId="0" xfId="0" applyFont="1" applyAlignment="1">
      <alignment horizontal="left" vertical="top"/>
    </xf>
    <xf numFmtId="0" fontId="44" fillId="0" borderId="0" xfId="0" applyFont="1" applyAlignment="1">
      <alignment vertical="top"/>
    </xf>
    <xf numFmtId="0" fontId="44" fillId="0" borderId="16" xfId="0" applyFont="1" applyBorder="1" applyAlignment="1">
      <alignment vertical="top"/>
    </xf>
    <xf numFmtId="166" fontId="44" fillId="0" borderId="16" xfId="32" applyFont="1" applyFill="1" applyBorder="1" applyAlignment="1">
      <alignment horizontal="right"/>
    </xf>
    <xf numFmtId="0" fontId="44" fillId="0" borderId="0" xfId="0" applyFont="1" applyAlignment="1">
      <alignment horizontal="left"/>
    </xf>
    <xf numFmtId="0" fontId="43" fillId="0" borderId="16" xfId="0" applyFont="1" applyBorder="1" applyAlignment="1">
      <alignment horizontal="right"/>
    </xf>
    <xf numFmtId="0" fontId="43" fillId="0" borderId="20" xfId="0" applyFont="1" applyBorder="1" applyAlignment="1">
      <alignment horizontal="center" vertical="center" wrapText="1"/>
    </xf>
    <xf numFmtId="0" fontId="44" fillId="0" borderId="12" xfId="0" applyFont="1" applyBorder="1" applyAlignment="1">
      <alignment horizontal="right" vertical="center"/>
    </xf>
    <xf numFmtId="0" fontId="44" fillId="0" borderId="17" xfId="0" applyFont="1" applyBorder="1" applyAlignment="1">
      <alignment horizontal="right" vertical="center"/>
    </xf>
    <xf numFmtId="166" fontId="44" fillId="0" borderId="20" xfId="0" applyNumberFormat="1" applyFont="1" applyBorder="1" applyAlignment="1">
      <alignment vertical="center"/>
    </xf>
    <xf numFmtId="0" fontId="43" fillId="0" borderId="0" xfId="0" applyFont="1" applyAlignment="1">
      <alignment horizontal="left" vertical="center"/>
    </xf>
    <xf numFmtId="0" fontId="43" fillId="0" borderId="0" xfId="0" applyFont="1" applyAlignment="1">
      <alignment horizontal="right" vertical="center"/>
    </xf>
    <xf numFmtId="0" fontId="46" fillId="0" borderId="0" xfId="0" applyFont="1" applyAlignment="1">
      <alignment horizontal="right" vertical="center"/>
    </xf>
    <xf numFmtId="0" fontId="46" fillId="0" borderId="0" xfId="0" applyFont="1" applyAlignment="1">
      <alignment horizontal="center" vertical="center"/>
    </xf>
    <xf numFmtId="14" fontId="46" fillId="0" borderId="0" xfId="0" applyNumberFormat="1" applyFont="1" applyAlignment="1">
      <alignment horizontal="left" vertical="center"/>
    </xf>
    <xf numFmtId="166" fontId="44" fillId="0" borderId="20" xfId="32" applyFont="1" applyFill="1" applyBorder="1"/>
    <xf numFmtId="0" fontId="43" fillId="0" borderId="0" xfId="0" applyFont="1" applyAlignment="1">
      <alignment horizontal="left"/>
    </xf>
    <xf numFmtId="0" fontId="43" fillId="0" borderId="0" xfId="0" applyFont="1" applyAlignment="1">
      <alignment horizontal="left" vertical="top"/>
    </xf>
    <xf numFmtId="0" fontId="44" fillId="0" borderId="0" xfId="0" applyFont="1" applyAlignment="1">
      <alignment horizontal="center"/>
    </xf>
    <xf numFmtId="0" fontId="44" fillId="0" borderId="0" xfId="0" applyFont="1" applyAlignment="1">
      <alignment horizontal="left" vertical="top"/>
    </xf>
    <xf numFmtId="0" fontId="44" fillId="0" borderId="0" xfId="0" applyFont="1" applyAlignment="1">
      <alignment horizontal="center" vertical="top"/>
    </xf>
    <xf numFmtId="0" fontId="65" fillId="0" borderId="12" xfId="0" applyFont="1" applyBorder="1"/>
    <xf numFmtId="166" fontId="65" fillId="0" borderId="12" xfId="32" applyFont="1" applyFill="1" applyBorder="1" applyAlignment="1"/>
    <xf numFmtId="166" fontId="65" fillId="0" borderId="17" xfId="32" applyFont="1" applyFill="1" applyBorder="1" applyAlignment="1"/>
    <xf numFmtId="166" fontId="65" fillId="0" borderId="0" xfId="32" applyFont="1" applyFill="1" applyBorder="1" applyAlignment="1"/>
    <xf numFmtId="166" fontId="65" fillId="0" borderId="9" xfId="32" applyFont="1" applyFill="1" applyBorder="1" applyAlignment="1"/>
    <xf numFmtId="0" fontId="65" fillId="0" borderId="15" xfId="0" applyFont="1" applyBorder="1"/>
    <xf numFmtId="0" fontId="65" fillId="0" borderId="0" xfId="420" applyFont="1" applyAlignment="1">
      <alignment horizontal="right"/>
    </xf>
    <xf numFmtId="0" fontId="65" fillId="0" borderId="0" xfId="418" applyFont="1" applyAlignment="1">
      <alignment horizontal="center"/>
    </xf>
    <xf numFmtId="207" fontId="61" fillId="0" borderId="17" xfId="62" applyNumberFormat="1" applyFont="1" applyBorder="1"/>
    <xf numFmtId="172" fontId="64" fillId="0" borderId="0" xfId="32" applyNumberFormat="1" applyFont="1" applyBorder="1"/>
    <xf numFmtId="0" fontId="45" fillId="0" borderId="0" xfId="0" applyFont="1" applyAlignment="1">
      <alignment horizontal="left"/>
    </xf>
    <xf numFmtId="0" fontId="45" fillId="0" borderId="0" xfId="0" applyFont="1" applyAlignment="1">
      <alignment horizontal="center" vertical="center"/>
    </xf>
    <xf numFmtId="0" fontId="45" fillId="0" borderId="0" xfId="0" applyFont="1" applyAlignment="1">
      <alignment vertical="top"/>
    </xf>
    <xf numFmtId="0" fontId="43" fillId="0" borderId="0" xfId="0" applyFont="1" applyAlignment="1">
      <alignment horizontal="left" vertical="top" wrapText="1"/>
    </xf>
    <xf numFmtId="172" fontId="43" fillId="0" borderId="19" xfId="61" applyNumberFormat="1" applyFont="1" applyFill="1" applyBorder="1" applyAlignment="1">
      <alignment horizontal="center" vertical="center"/>
    </xf>
    <xf numFmtId="3" fontId="44" fillId="0" borderId="0" xfId="0" applyNumberFormat="1" applyFont="1" applyAlignment="1">
      <alignment horizontal="left" wrapText="1"/>
    </xf>
    <xf numFmtId="0" fontId="44" fillId="0" borderId="16" xfId="0" applyFont="1" applyBorder="1"/>
    <xf numFmtId="0" fontId="44" fillId="0" borderId="12" xfId="0" applyFont="1" applyBorder="1" applyAlignment="1">
      <alignment horizontal="left" vertical="top"/>
    </xf>
    <xf numFmtId="172" fontId="44" fillId="0" borderId="12" xfId="0" applyNumberFormat="1" applyFont="1" applyBorder="1" applyAlignment="1">
      <alignment horizontal="center" vertical="top"/>
    </xf>
    <xf numFmtId="9" fontId="44" fillId="0" borderId="12" xfId="422" applyFont="1" applyFill="1" applyBorder="1" applyAlignment="1">
      <alignment horizontal="center" vertical="top"/>
    </xf>
    <xf numFmtId="172" fontId="44" fillId="0" borderId="12" xfId="422" applyNumberFormat="1" applyFont="1" applyFill="1" applyBorder="1" applyAlignment="1">
      <alignment horizontal="center" vertical="top"/>
    </xf>
    <xf numFmtId="15" fontId="78" fillId="0" borderId="0" xfId="135" applyNumberFormat="1" applyFont="1" applyFill="1" applyBorder="1" applyAlignment="1">
      <alignment vertical="center"/>
    </xf>
    <xf numFmtId="172" fontId="78" fillId="0" borderId="17" xfId="114" applyNumberFormat="1" applyFont="1" applyFill="1" applyBorder="1" applyAlignment="1">
      <alignment horizontal="right"/>
    </xf>
    <xf numFmtId="10" fontId="78" fillId="0" borderId="20" xfId="432" applyNumberFormat="1" applyFont="1" applyFill="1" applyBorder="1" applyAlignment="1">
      <alignment horizontal="right" vertical="top"/>
    </xf>
    <xf numFmtId="166" fontId="78" fillId="0" borderId="20" xfId="32" applyFont="1" applyFill="1" applyBorder="1" applyAlignment="1">
      <alignment horizontal="right"/>
    </xf>
    <xf numFmtId="0" fontId="45" fillId="0" borderId="12" xfId="0" applyFont="1" applyBorder="1" applyAlignment="1">
      <alignment vertical="top"/>
    </xf>
    <xf numFmtId="166" fontId="44" fillId="0" borderId="16" xfId="0" applyNumberFormat="1" applyFont="1" applyBorder="1" applyAlignment="1">
      <alignment horizontal="center" vertical="center" wrapText="1"/>
    </xf>
    <xf numFmtId="0" fontId="44" fillId="0" borderId="15" xfId="0" applyFont="1" applyBorder="1" applyAlignment="1">
      <alignment horizontal="center" vertical="top"/>
    </xf>
    <xf numFmtId="166" fontId="44" fillId="0" borderId="18" xfId="0" applyNumberFormat="1" applyFont="1" applyBorder="1" applyAlignment="1">
      <alignment horizontal="center" vertical="center" wrapText="1"/>
    </xf>
    <xf numFmtId="0" fontId="44" fillId="0" borderId="16" xfId="0" applyFont="1" applyBorder="1" applyAlignment="1">
      <alignment horizontal="left" vertical="center"/>
    </xf>
    <xf numFmtId="166" fontId="44" fillId="0" borderId="12" xfId="61" applyFont="1" applyFill="1" applyBorder="1" applyAlignment="1">
      <alignment horizontal="center" vertical="top" wrapText="1"/>
    </xf>
    <xf numFmtId="172" fontId="44" fillId="0" borderId="12" xfId="61" applyNumberFormat="1" applyFont="1" applyFill="1" applyBorder="1" applyAlignment="1">
      <alignment horizontal="center"/>
    </xf>
    <xf numFmtId="172" fontId="43" fillId="0" borderId="12" xfId="61" applyNumberFormat="1" applyFont="1" applyFill="1" applyBorder="1" applyAlignment="1">
      <alignment horizontal="center" vertical="top"/>
    </xf>
    <xf numFmtId="0" fontId="44" fillId="0" borderId="12" xfId="0" applyFont="1" applyBorder="1" applyAlignment="1">
      <alignment vertical="top"/>
    </xf>
    <xf numFmtId="43" fontId="44" fillId="0" borderId="12" xfId="119" applyFont="1" applyFill="1" applyBorder="1" applyAlignment="1">
      <alignment horizontal="center" vertical="top" wrapText="1"/>
    </xf>
    <xf numFmtId="172" fontId="44" fillId="0" borderId="12" xfId="119" applyNumberFormat="1" applyFont="1" applyFill="1" applyBorder="1" applyAlignment="1">
      <alignment horizontal="right" vertical="top"/>
    </xf>
    <xf numFmtId="43" fontId="44" fillId="0" borderId="12" xfId="119" applyFont="1" applyFill="1" applyBorder="1"/>
    <xf numFmtId="166" fontId="45" fillId="0" borderId="0" xfId="0" applyNumberFormat="1" applyFont="1" applyAlignment="1">
      <alignment vertical="top"/>
    </xf>
    <xf numFmtId="0" fontId="65" fillId="0" borderId="0" xfId="0" applyFont="1" applyAlignment="1">
      <alignment horizontal="center" vertical="center"/>
    </xf>
    <xf numFmtId="0" fontId="44" fillId="0" borderId="14" xfId="0" applyFont="1" applyBorder="1" applyAlignment="1">
      <alignment horizontal="left" vertical="center"/>
    </xf>
    <xf numFmtId="0" fontId="43" fillId="0" borderId="9" xfId="0" applyFont="1" applyBorder="1" applyAlignment="1">
      <alignment horizontal="center" vertical="center"/>
    </xf>
    <xf numFmtId="0" fontId="43" fillId="0" borderId="9" xfId="0" applyFont="1" applyBorder="1" applyAlignment="1">
      <alignment horizontal="center"/>
    </xf>
    <xf numFmtId="0" fontId="43" fillId="0" borderId="22" xfId="0" applyFont="1" applyBorder="1" applyAlignment="1">
      <alignment horizontal="center"/>
    </xf>
    <xf numFmtId="0" fontId="44" fillId="0" borderId="14" xfId="0" applyFont="1" applyBorder="1" applyAlignment="1">
      <alignment horizontal="center" vertical="top"/>
    </xf>
    <xf numFmtId="166" fontId="44" fillId="0" borderId="0" xfId="32" applyFont="1" applyFill="1" applyBorder="1"/>
    <xf numFmtId="216" fontId="64" fillId="11" borderId="19" xfId="67" applyNumberFormat="1" applyFont="1" applyFill="1" applyBorder="1"/>
    <xf numFmtId="172" fontId="43" fillId="0" borderId="13" xfId="119" applyNumberFormat="1" applyFont="1" applyFill="1" applyBorder="1" applyAlignment="1">
      <alignment horizontal="center"/>
    </xf>
    <xf numFmtId="172" fontId="44" fillId="0" borderId="12" xfId="32" applyNumberFormat="1" applyFont="1" applyFill="1" applyBorder="1"/>
    <xf numFmtId="172" fontId="44" fillId="0" borderId="0" xfId="32" applyNumberFormat="1" applyFont="1" applyFill="1" applyBorder="1"/>
    <xf numFmtId="166" fontId="78" fillId="0" borderId="25" xfId="135" applyFont="1" applyFill="1" applyBorder="1" applyAlignment="1">
      <alignment vertical="center" wrapText="1"/>
    </xf>
    <xf numFmtId="0" fontId="79" fillId="0" borderId="14" xfId="0" applyFont="1" applyBorder="1"/>
    <xf numFmtId="166" fontId="78" fillId="0" borderId="13" xfId="135" applyFont="1" applyFill="1" applyBorder="1" applyAlignment="1">
      <alignment vertical="top"/>
    </xf>
    <xf numFmtId="0" fontId="92" fillId="0" borderId="0" xfId="0" applyFont="1" applyAlignment="1">
      <alignment horizontal="center" vertical="center"/>
    </xf>
    <xf numFmtId="0" fontId="44" fillId="0" borderId="0" xfId="0" applyFont="1" applyAlignment="1">
      <alignment horizontal="center" vertical="center" wrapText="1"/>
    </xf>
    <xf numFmtId="166" fontId="44" fillId="0" borderId="0" xfId="0" applyNumberFormat="1" applyFont="1" applyAlignment="1">
      <alignment vertical="center"/>
    </xf>
    <xf numFmtId="0" fontId="64" fillId="15" borderId="8" xfId="0" applyFont="1" applyFill="1" applyBorder="1"/>
    <xf numFmtId="9" fontId="64" fillId="15" borderId="8" xfId="422" applyFont="1" applyFill="1" applyBorder="1"/>
    <xf numFmtId="0" fontId="79" fillId="0" borderId="13" xfId="0" applyFont="1" applyBorder="1"/>
    <xf numFmtId="0" fontId="79" fillId="0" borderId="0" xfId="0" applyFont="1"/>
    <xf numFmtId="0" fontId="78" fillId="0" borderId="32" xfId="0" applyFont="1" applyBorder="1" applyAlignment="1">
      <alignment horizontal="left"/>
    </xf>
    <xf numFmtId="0" fontId="79" fillId="0" borderId="33" xfId="0" applyFont="1" applyBorder="1"/>
    <xf numFmtId="0" fontId="78" fillId="0" borderId="0" xfId="0" applyFont="1" applyAlignment="1">
      <alignment horizontal="center" vertical="top"/>
    </xf>
    <xf numFmtId="0" fontId="78" fillId="0" borderId="16" xfId="0" applyFont="1" applyBorder="1" applyAlignment="1">
      <alignment horizontal="right" vertical="top"/>
    </xf>
    <xf numFmtId="0" fontId="78" fillId="0" borderId="25" xfId="0" applyFont="1" applyBorder="1" applyAlignment="1">
      <alignment horizontal="center" vertical="center" wrapText="1"/>
    </xf>
    <xf numFmtId="166" fontId="65" fillId="0" borderId="25" xfId="32" applyFont="1" applyFill="1" applyBorder="1" applyAlignment="1">
      <alignment horizontal="center" vertical="center" wrapText="1"/>
    </xf>
    <xf numFmtId="0" fontId="78" fillId="0" borderId="14" xfId="0" applyFont="1" applyBorder="1" applyAlignment="1">
      <alignment horizontal="center" vertical="center" wrapText="1"/>
    </xf>
    <xf numFmtId="166" fontId="65" fillId="0" borderId="9" xfId="32" applyFont="1" applyFill="1" applyBorder="1" applyAlignment="1">
      <alignment horizontal="center" vertical="center" wrapText="1"/>
    </xf>
    <xf numFmtId="166" fontId="79" fillId="0" borderId="9" xfId="32" applyFont="1" applyFill="1" applyBorder="1"/>
    <xf numFmtId="166" fontId="79" fillId="0" borderId="0" xfId="0" applyNumberFormat="1" applyFont="1"/>
    <xf numFmtId="0" fontId="79" fillId="0" borderId="14" xfId="0" applyFont="1" applyBorder="1" applyAlignment="1">
      <alignment wrapText="1"/>
    </xf>
    <xf numFmtId="166" fontId="64" fillId="0" borderId="19" xfId="0" applyNumberFormat="1" applyFont="1" applyBorder="1"/>
    <xf numFmtId="166" fontId="79" fillId="0" borderId="9" xfId="0" applyNumberFormat="1" applyFont="1" applyBorder="1"/>
    <xf numFmtId="0" fontId="78" fillId="0" borderId="8" xfId="0" applyFont="1" applyBorder="1" applyAlignment="1">
      <alignment horizontal="right"/>
    </xf>
    <xf numFmtId="166" fontId="65" fillId="0" borderId="8" xfId="32" applyFont="1" applyFill="1" applyBorder="1"/>
    <xf numFmtId="166" fontId="78" fillId="0" borderId="8" xfId="32" applyFont="1" applyFill="1" applyBorder="1"/>
    <xf numFmtId="0" fontId="78" fillId="0" borderId="12" xfId="0" applyFont="1" applyBorder="1" applyAlignment="1">
      <alignment horizontal="right"/>
    </xf>
    <xf numFmtId="166" fontId="65" fillId="0" borderId="12" xfId="32" applyFont="1" applyFill="1" applyBorder="1"/>
    <xf numFmtId="166" fontId="78" fillId="0" borderId="12" xfId="32" applyFont="1" applyFill="1" applyBorder="1"/>
    <xf numFmtId="166" fontId="78" fillId="0" borderId="8" xfId="32" applyFont="1" applyFill="1" applyBorder="1" applyAlignment="1">
      <alignment horizontal="center" vertical="center" wrapText="1"/>
    </xf>
    <xf numFmtId="166" fontId="65" fillId="0" borderId="14" xfId="32" applyFont="1" applyFill="1" applyBorder="1" applyAlignment="1">
      <alignment horizontal="center" vertical="center" wrapText="1"/>
    </xf>
    <xf numFmtId="166" fontId="78" fillId="0" borderId="19" xfId="32" applyFont="1" applyFill="1" applyBorder="1" applyAlignment="1">
      <alignment horizontal="center" vertical="center" wrapText="1"/>
    </xf>
    <xf numFmtId="166" fontId="79" fillId="0" borderId="19" xfId="0" applyNumberFormat="1" applyFont="1" applyBorder="1"/>
    <xf numFmtId="49" fontId="79" fillId="0" borderId="14" xfId="0" applyNumberFormat="1" applyFont="1" applyBorder="1" applyAlignment="1">
      <alignment wrapText="1"/>
    </xf>
    <xf numFmtId="0" fontId="78" fillId="0" borderId="12" xfId="0" applyFont="1" applyBorder="1" applyAlignment="1">
      <alignment horizontal="center"/>
    </xf>
    <xf numFmtId="0" fontId="79" fillId="0" borderId="14" xfId="0" applyFont="1" applyBorder="1" applyAlignment="1">
      <alignment horizontal="left" vertical="center" wrapText="1"/>
    </xf>
    <xf numFmtId="43" fontId="79" fillId="0" borderId="0" xfId="0" applyNumberFormat="1" applyFont="1"/>
    <xf numFmtId="14" fontId="79" fillId="0" borderId="0" xfId="0" applyNumberFormat="1" applyFont="1"/>
    <xf numFmtId="0" fontId="78" fillId="0" borderId="14" xfId="0" applyFont="1" applyBorder="1" applyAlignment="1">
      <alignment wrapText="1"/>
    </xf>
    <xf numFmtId="0" fontId="79" fillId="0" borderId="14" xfId="0" applyFont="1" applyBorder="1" applyAlignment="1">
      <alignment vertical="center"/>
    </xf>
    <xf numFmtId="0" fontId="79" fillId="0" borderId="14" xfId="0" applyFont="1" applyBorder="1" applyAlignment="1">
      <alignment vertical="center" wrapText="1"/>
    </xf>
    <xf numFmtId="166" fontId="64" fillId="0" borderId="19" xfId="0" applyNumberFormat="1" applyFont="1" applyBorder="1" applyAlignment="1">
      <alignment vertical="center"/>
    </xf>
    <xf numFmtId="166" fontId="79" fillId="0" borderId="9" xfId="0" applyNumberFormat="1" applyFont="1" applyBorder="1" applyAlignment="1">
      <alignment vertical="center"/>
    </xf>
    <xf numFmtId="4" fontId="79" fillId="0" borderId="0" xfId="0" applyNumberFormat="1" applyFont="1"/>
    <xf numFmtId="0" fontId="79" fillId="0" borderId="19" xfId="0" applyFont="1" applyBorder="1"/>
    <xf numFmtId="0" fontId="78" fillId="0" borderId="0" xfId="0" applyFont="1" applyAlignment="1">
      <alignment horizontal="right"/>
    </xf>
    <xf numFmtId="166" fontId="78" fillId="0" borderId="0" xfId="32" applyFont="1" applyFill="1" applyBorder="1"/>
    <xf numFmtId="0" fontId="78" fillId="0" borderId="0" xfId="0" applyFont="1" applyAlignment="1">
      <alignment horizontal="left" vertical="top"/>
    </xf>
    <xf numFmtId="0" fontId="78" fillId="0" borderId="16" xfId="0" applyFont="1" applyBorder="1" applyAlignment="1">
      <alignment horizontal="left" vertical="top"/>
    </xf>
    <xf numFmtId="0" fontId="79" fillId="0" borderId="16" xfId="0" applyFont="1" applyBorder="1"/>
    <xf numFmtId="166" fontId="78" fillId="0" borderId="20" xfId="32" applyFont="1" applyFill="1" applyBorder="1" applyAlignment="1">
      <alignment horizontal="center" vertical="center" wrapText="1"/>
    </xf>
    <xf numFmtId="166" fontId="64" fillId="0" borderId="12" xfId="32" applyFont="1" applyFill="1" applyBorder="1"/>
    <xf numFmtId="166" fontId="78" fillId="0" borderId="9" xfId="32" applyFont="1" applyFill="1" applyBorder="1" applyAlignment="1">
      <alignment horizontal="center" vertical="center" wrapText="1"/>
    </xf>
    <xf numFmtId="166" fontId="79" fillId="0" borderId="12" xfId="32" applyFont="1" applyFill="1" applyBorder="1"/>
    <xf numFmtId="0" fontId="78" fillId="0" borderId="14" xfId="0" applyFont="1" applyBorder="1" applyAlignment="1">
      <alignment horizontal="left" vertical="center" wrapText="1"/>
    </xf>
    <xf numFmtId="0" fontId="65" fillId="0" borderId="20" xfId="0" applyFont="1" applyBorder="1" applyAlignment="1">
      <alignment horizontal="center" vertical="center" wrapText="1"/>
    </xf>
    <xf numFmtId="0" fontId="78" fillId="0" borderId="20" xfId="0" applyFont="1" applyBorder="1" applyAlignment="1">
      <alignment horizontal="center" vertical="center" wrapText="1"/>
    </xf>
    <xf numFmtId="0" fontId="79" fillId="0" borderId="14" xfId="0" applyFont="1" applyBorder="1" applyAlignment="1">
      <alignment horizontal="left" indent="1"/>
    </xf>
    <xf numFmtId="0" fontId="78" fillId="0" borderId="14" xfId="0" applyFont="1" applyBorder="1" applyAlignment="1">
      <alignment horizontal="left"/>
    </xf>
    <xf numFmtId="0" fontId="79" fillId="0" borderId="19" xfId="0" applyFont="1" applyBorder="1" applyAlignment="1">
      <alignment horizontal="center"/>
    </xf>
    <xf numFmtId="166" fontId="64" fillId="0" borderId="21" xfId="0" applyNumberFormat="1" applyFont="1" applyBorder="1"/>
    <xf numFmtId="166" fontId="79" fillId="0" borderId="21" xfId="0" applyNumberFormat="1" applyFont="1" applyBorder="1"/>
    <xf numFmtId="166" fontId="65" fillId="0" borderId="8" xfId="0" applyNumberFormat="1" applyFont="1" applyBorder="1"/>
    <xf numFmtId="166" fontId="78" fillId="0" borderId="8" xfId="0" applyNumberFormat="1" applyFont="1" applyBorder="1"/>
    <xf numFmtId="0" fontId="79" fillId="0" borderId="14" xfId="0" applyFont="1" applyBorder="1" applyAlignment="1">
      <alignment vertical="top" wrapText="1"/>
    </xf>
    <xf numFmtId="166" fontId="64" fillId="0" borderId="19" xfId="32" applyFont="1" applyFill="1" applyBorder="1" applyAlignment="1">
      <alignment vertical="top" wrapText="1"/>
    </xf>
    <xf numFmtId="0" fontId="79" fillId="0" borderId="9" xfId="0" applyFont="1" applyBorder="1" applyAlignment="1">
      <alignment vertical="top" wrapText="1"/>
    </xf>
    <xf numFmtId="0" fontId="0" fillId="0" borderId="0" xfId="0" applyAlignment="1">
      <alignment wrapText="1"/>
    </xf>
    <xf numFmtId="166" fontId="0" fillId="0" borderId="0" xfId="0" applyNumberFormat="1"/>
    <xf numFmtId="2" fontId="0" fillId="0" borderId="0" xfId="0" applyNumberFormat="1"/>
    <xf numFmtId="49" fontId="78" fillId="0" borderId="0" xfId="308" applyNumberFormat="1" applyFont="1" applyAlignment="1">
      <alignment vertical="center"/>
    </xf>
    <xf numFmtId="49" fontId="79" fillId="0" borderId="0" xfId="308" applyNumberFormat="1" applyFont="1" applyAlignment="1">
      <alignment vertical="center"/>
    </xf>
    <xf numFmtId="49" fontId="79" fillId="0" borderId="16" xfId="308" applyNumberFormat="1" applyFont="1" applyBorder="1" applyAlignment="1">
      <alignment vertical="center"/>
    </xf>
    <xf numFmtId="166" fontId="78" fillId="0" borderId="7" xfId="32" applyFont="1" applyBorder="1" applyAlignment="1">
      <alignment horizontal="center" vertical="center"/>
    </xf>
    <xf numFmtId="0" fontId="67" fillId="4" borderId="25" xfId="420" applyFont="1" applyFill="1" applyBorder="1" applyAlignment="1">
      <alignment horizontal="center"/>
    </xf>
    <xf numFmtId="0" fontId="67" fillId="4" borderId="7" xfId="420" applyFont="1" applyFill="1" applyBorder="1" applyAlignment="1">
      <alignment horizontal="center"/>
    </xf>
    <xf numFmtId="0" fontId="67" fillId="4" borderId="22" xfId="420" applyFont="1" applyFill="1" applyBorder="1" applyAlignment="1">
      <alignment horizontal="center"/>
    </xf>
    <xf numFmtId="0" fontId="65" fillId="0" borderId="25" xfId="420" applyFont="1" applyBorder="1" applyAlignment="1">
      <alignment horizontal="center" vertical="center"/>
    </xf>
    <xf numFmtId="0" fontId="65" fillId="0" borderId="7" xfId="420" applyFont="1" applyBorder="1" applyAlignment="1">
      <alignment horizontal="center" vertical="center"/>
    </xf>
    <xf numFmtId="0" fontId="65" fillId="0" borderId="14" xfId="420" applyFont="1" applyBorder="1" applyAlignment="1">
      <alignment horizontal="left"/>
    </xf>
    <xf numFmtId="0" fontId="65" fillId="0" borderId="0" xfId="420" applyFont="1" applyAlignment="1">
      <alignment horizontal="left"/>
    </xf>
    <xf numFmtId="0" fontId="64" fillId="0" borderId="14" xfId="420" applyFont="1" applyBorder="1" applyAlignment="1">
      <alignment horizontal="left"/>
    </xf>
    <xf numFmtId="0" fontId="64" fillId="0" borderId="0" xfId="420" applyFont="1" applyAlignment="1">
      <alignment horizontal="left"/>
    </xf>
    <xf numFmtId="0" fontId="65" fillId="4" borderId="25" xfId="418" applyFont="1" applyFill="1" applyBorder="1" applyAlignment="1">
      <alignment horizontal="center"/>
    </xf>
    <xf numFmtId="0" fontId="65" fillId="4" borderId="7" xfId="418" applyFont="1" applyFill="1" applyBorder="1" applyAlignment="1">
      <alignment horizontal="center"/>
    </xf>
    <xf numFmtId="0" fontId="65" fillId="4" borderId="22" xfId="418" applyFont="1" applyFill="1" applyBorder="1" applyAlignment="1">
      <alignment horizontal="center"/>
    </xf>
    <xf numFmtId="0" fontId="65" fillId="0" borderId="25" xfId="420" applyFont="1" applyBorder="1" applyAlignment="1">
      <alignment horizontal="left"/>
    </xf>
    <xf numFmtId="0" fontId="65" fillId="0" borderId="22" xfId="420" applyFont="1" applyBorder="1" applyAlignment="1">
      <alignment horizontal="left"/>
    </xf>
    <xf numFmtId="0" fontId="65" fillId="0" borderId="25" xfId="420" applyFont="1" applyBorder="1" applyAlignment="1">
      <alignment horizontal="center"/>
    </xf>
    <xf numFmtId="0" fontId="65" fillId="0" borderId="7" xfId="420" applyFont="1" applyBorder="1" applyAlignment="1">
      <alignment horizontal="center"/>
    </xf>
    <xf numFmtId="0" fontId="65" fillId="0" borderId="22" xfId="420" applyFont="1" applyBorder="1" applyAlignment="1">
      <alignment horizontal="center"/>
    </xf>
    <xf numFmtId="0" fontId="65" fillId="4" borderId="25" xfId="420" applyFont="1" applyFill="1" applyBorder="1" applyAlignment="1">
      <alignment horizontal="center" vertical="center" wrapText="1"/>
    </xf>
    <xf numFmtId="0" fontId="64" fillId="4" borderId="22" xfId="420" applyFont="1" applyFill="1" applyBorder="1" applyAlignment="1">
      <alignment horizontal="center" vertical="center" wrapText="1"/>
    </xf>
    <xf numFmtId="0" fontId="65" fillId="0" borderId="9" xfId="420" applyFont="1" applyBorder="1" applyAlignment="1">
      <alignment horizontal="left"/>
    </xf>
    <xf numFmtId="0" fontId="67" fillId="0" borderId="14" xfId="420" applyFont="1" applyBorder="1" applyAlignment="1">
      <alignment horizontal="left"/>
    </xf>
    <xf numFmtId="0" fontId="67" fillId="0" borderId="9" xfId="420" applyFont="1" applyBorder="1" applyAlignment="1">
      <alignment horizontal="left"/>
    </xf>
    <xf numFmtId="0" fontId="69" fillId="0" borderId="0" xfId="0" applyFont="1" applyAlignment="1">
      <alignment horizontal="left"/>
    </xf>
    <xf numFmtId="0" fontId="69" fillId="0" borderId="9" xfId="0" applyFont="1" applyBorder="1" applyAlignment="1">
      <alignment horizontal="left"/>
    </xf>
    <xf numFmtId="0" fontId="64" fillId="0" borderId="14" xfId="0" applyFont="1" applyBorder="1"/>
    <xf numFmtId="0" fontId="64" fillId="0" borderId="0" xfId="0" applyFont="1"/>
    <xf numFmtId="0" fontId="65" fillId="0" borderId="8" xfId="0" applyFont="1" applyBorder="1" applyAlignment="1">
      <alignment horizontal="center"/>
    </xf>
    <xf numFmtId="164" fontId="65" fillId="0" borderId="8" xfId="32" applyNumberFormat="1" applyFont="1" applyBorder="1" applyAlignment="1">
      <alignment horizontal="center" vertical="center"/>
    </xf>
    <xf numFmtId="164" fontId="65" fillId="0" borderId="8" xfId="32" applyNumberFormat="1" applyFont="1" applyBorder="1" applyAlignment="1">
      <alignment horizontal="center" vertical="center" wrapText="1"/>
    </xf>
    <xf numFmtId="0" fontId="69" fillId="0" borderId="0" xfId="0" applyFont="1"/>
    <xf numFmtId="0" fontId="65" fillId="0" borderId="25" xfId="0" applyFont="1" applyBorder="1" applyAlignment="1">
      <alignment horizontal="center" vertical="center"/>
    </xf>
    <xf numFmtId="0" fontId="65" fillId="0" borderId="7" xfId="0" applyFont="1" applyBorder="1" applyAlignment="1">
      <alignment horizontal="center" vertical="center"/>
    </xf>
    <xf numFmtId="0" fontId="65" fillId="0" borderId="22" xfId="0" applyFont="1" applyBorder="1" applyAlignment="1">
      <alignment horizontal="center" vertical="center"/>
    </xf>
    <xf numFmtId="0" fontId="43" fillId="0" borderId="0" xfId="0" applyFont="1" applyAlignment="1">
      <alignment horizontal="left" vertical="center"/>
    </xf>
    <xf numFmtId="0" fontId="44" fillId="0" borderId="25" xfId="0" applyFont="1" applyBorder="1" applyAlignment="1">
      <alignment horizontal="center" vertical="center" wrapText="1"/>
    </xf>
    <xf numFmtId="0" fontId="44" fillId="0" borderId="7" xfId="0" applyFont="1" applyBorder="1" applyAlignment="1">
      <alignment horizontal="center" vertical="center" wrapText="1"/>
    </xf>
    <xf numFmtId="0" fontId="44" fillId="0" borderId="22" xfId="0" applyFont="1" applyBorder="1" applyAlignment="1">
      <alignment horizontal="center" vertical="center" wrapText="1"/>
    </xf>
    <xf numFmtId="0" fontId="43" fillId="0" borderId="0" xfId="0" applyFont="1" applyAlignment="1">
      <alignment horizontal="left" vertical="center" wrapText="1"/>
    </xf>
    <xf numFmtId="0" fontId="43" fillId="0" borderId="9" xfId="0" applyFont="1" applyBorder="1" applyAlignment="1">
      <alignment horizontal="left" vertical="center" wrapText="1"/>
    </xf>
    <xf numFmtId="0" fontId="65" fillId="0" borderId="0" xfId="0" applyFont="1" applyAlignment="1">
      <alignment horizontal="center" vertical="center"/>
    </xf>
    <xf numFmtId="0" fontId="92" fillId="0" borderId="16" xfId="0" applyFont="1" applyBorder="1" applyAlignment="1">
      <alignment horizontal="center" vertical="center"/>
    </xf>
    <xf numFmtId="0" fontId="43" fillId="0" borderId="0" xfId="0" applyFont="1" applyAlignment="1">
      <alignment vertical="center"/>
    </xf>
    <xf numFmtId="0" fontId="65" fillId="0" borderId="0" xfId="0" applyFont="1" applyAlignment="1">
      <alignment horizontal="center"/>
    </xf>
    <xf numFmtId="0" fontId="92" fillId="0" borderId="16" xfId="0" applyFont="1" applyBorder="1" applyAlignment="1">
      <alignment horizontal="center"/>
    </xf>
    <xf numFmtId="0" fontId="43" fillId="0" borderId="14" xfId="0" applyFont="1" applyBorder="1" applyAlignment="1">
      <alignment horizontal="left" vertical="center" wrapText="1"/>
    </xf>
    <xf numFmtId="0" fontId="46" fillId="0" borderId="0" xfId="0" applyFont="1" applyAlignment="1">
      <alignment vertical="center"/>
    </xf>
    <xf numFmtId="0" fontId="44" fillId="0" borderId="0" xfId="0" applyFont="1" applyAlignment="1">
      <alignment horizontal="center"/>
    </xf>
    <xf numFmtId="0" fontId="93" fillId="0" borderId="0" xfId="0" applyFont="1" applyAlignment="1">
      <alignment horizontal="center" vertical="top"/>
    </xf>
    <xf numFmtId="0" fontId="44" fillId="0" borderId="0" xfId="0" applyFont="1" applyAlignment="1">
      <alignment horizontal="center" vertical="center"/>
    </xf>
    <xf numFmtId="0" fontId="44" fillId="0" borderId="16" xfId="0" applyFont="1" applyBorder="1" applyAlignment="1">
      <alignment horizontal="left" vertical="top"/>
    </xf>
    <xf numFmtId="0" fontId="44" fillId="0" borderId="13" xfId="0" applyFont="1" applyBorder="1" applyAlignment="1">
      <alignment horizontal="center" vertical="center"/>
    </xf>
    <xf numFmtId="0" fontId="44" fillId="0" borderId="15" xfId="0" applyFont="1" applyBorder="1" applyAlignment="1">
      <alignment horizontal="center" vertical="center"/>
    </xf>
    <xf numFmtId="166" fontId="44" fillId="0" borderId="8" xfId="32" applyFont="1" applyFill="1" applyBorder="1" applyAlignment="1">
      <alignment horizontal="center" wrapText="1"/>
    </xf>
    <xf numFmtId="0" fontId="43" fillId="0" borderId="8" xfId="0" applyFont="1" applyBorder="1" applyAlignment="1">
      <alignment horizontal="center" wrapText="1"/>
    </xf>
    <xf numFmtId="166" fontId="44" fillId="0" borderId="25" xfId="0" applyNumberFormat="1" applyFont="1" applyBorder="1" applyAlignment="1">
      <alignment horizontal="center" vertical="center" wrapText="1"/>
    </xf>
    <xf numFmtId="0" fontId="43" fillId="0" borderId="22" xfId="0" applyFont="1" applyBorder="1" applyAlignment="1">
      <alignment horizontal="center" vertical="center" wrapText="1"/>
    </xf>
    <xf numFmtId="0" fontId="44" fillId="0" borderId="25" xfId="0" applyFont="1" applyBorder="1" applyAlignment="1">
      <alignment horizontal="left" vertical="top"/>
    </xf>
    <xf numFmtId="0" fontId="44" fillId="0" borderId="22" xfId="0" applyFont="1" applyBorder="1" applyAlignment="1">
      <alignment horizontal="left" vertical="top"/>
    </xf>
    <xf numFmtId="166" fontId="44" fillId="0" borderId="25" xfId="32" applyFont="1" applyFill="1" applyBorder="1" applyAlignment="1">
      <alignment horizontal="center" wrapText="1"/>
    </xf>
    <xf numFmtId="166" fontId="44" fillId="0" borderId="22" xfId="32" applyFont="1" applyFill="1" applyBorder="1" applyAlignment="1">
      <alignment horizontal="center" wrapText="1"/>
    </xf>
    <xf numFmtId="0" fontId="44" fillId="0" borderId="13" xfId="0" applyFont="1" applyBorder="1" applyAlignment="1">
      <alignment horizontal="left" vertical="center" wrapText="1"/>
    </xf>
    <xf numFmtId="0" fontId="44" fillId="0" borderId="17" xfId="0" applyFont="1" applyBorder="1" applyAlignment="1">
      <alignment horizontal="left" vertical="center" wrapText="1"/>
    </xf>
    <xf numFmtId="0" fontId="44" fillId="0" borderId="15" xfId="0" applyFont="1" applyBorder="1" applyAlignment="1">
      <alignment horizontal="left" vertical="center" wrapText="1"/>
    </xf>
    <xf numFmtId="0" fontId="44" fillId="0" borderId="18" xfId="0" applyFont="1" applyBorder="1" applyAlignment="1">
      <alignment horizontal="left" vertical="center" wrapText="1"/>
    </xf>
    <xf numFmtId="0" fontId="43" fillId="0" borderId="14" xfId="0" applyFont="1" applyBorder="1" applyAlignment="1">
      <alignment horizontal="left" wrapText="1"/>
    </xf>
    <xf numFmtId="0" fontId="43" fillId="0" borderId="9" xfId="0" applyFont="1" applyBorder="1" applyAlignment="1">
      <alignment horizontal="left" wrapText="1"/>
    </xf>
    <xf numFmtId="0" fontId="43" fillId="0" borderId="15" xfId="0" applyFont="1" applyBorder="1" applyAlignment="1">
      <alignment horizontal="left" vertical="top" wrapText="1"/>
    </xf>
    <xf numFmtId="0" fontId="43" fillId="0" borderId="18" xfId="0" applyFont="1" applyBorder="1" applyAlignment="1">
      <alignment horizontal="left" vertical="top" wrapText="1"/>
    </xf>
    <xf numFmtId="0" fontId="43" fillId="0" borderId="0" xfId="0" applyFont="1" applyAlignment="1">
      <alignment horizontal="left" vertical="top" wrapText="1"/>
    </xf>
    <xf numFmtId="43" fontId="44" fillId="0" borderId="0" xfId="119" applyFont="1" applyFill="1" applyBorder="1" applyAlignment="1">
      <alignment horizontal="left" vertical="top" wrapText="1"/>
    </xf>
    <xf numFmtId="0" fontId="64" fillId="0" borderId="14" xfId="0" applyFont="1" applyBorder="1" applyAlignment="1">
      <alignment horizontal="left"/>
    </xf>
    <xf numFmtId="0" fontId="64" fillId="0" borderId="9" xfId="0" applyFont="1" applyBorder="1" applyAlignment="1">
      <alignment horizontal="left"/>
    </xf>
    <xf numFmtId="0" fontId="64" fillId="0" borderId="15" xfId="0" applyFont="1" applyBorder="1" applyAlignment="1">
      <alignment horizontal="left"/>
    </xf>
    <xf numFmtId="0" fontId="64" fillId="0" borderId="18" xfId="0" applyFont="1" applyBorder="1" applyAlignment="1">
      <alignment horizontal="left"/>
    </xf>
    <xf numFmtId="43" fontId="44" fillId="0" borderId="13" xfId="119" applyFont="1" applyFill="1" applyBorder="1" applyAlignment="1">
      <alignment horizontal="left" vertical="center" wrapText="1"/>
    </xf>
    <xf numFmtId="43" fontId="44" fillId="0" borderId="15" xfId="119" applyFont="1" applyFill="1" applyBorder="1" applyAlignment="1">
      <alignment horizontal="left" vertical="center" wrapText="1"/>
    </xf>
    <xf numFmtId="166" fontId="44" fillId="0" borderId="13" xfId="61" applyFont="1" applyFill="1" applyBorder="1" applyAlignment="1">
      <alignment horizontal="left" vertical="center" wrapText="1"/>
    </xf>
    <xf numFmtId="166" fontId="44" fillId="0" borderId="17" xfId="61" applyFont="1" applyFill="1" applyBorder="1" applyAlignment="1">
      <alignment horizontal="left" vertical="center" wrapText="1"/>
    </xf>
    <xf numFmtId="166" fontId="44" fillId="0" borderId="15" xfId="61" applyFont="1" applyFill="1" applyBorder="1" applyAlignment="1">
      <alignment horizontal="left" vertical="center" wrapText="1"/>
    </xf>
    <xf numFmtId="166" fontId="44" fillId="0" borderId="18" xfId="61" applyFont="1" applyFill="1" applyBorder="1" applyAlignment="1">
      <alignment horizontal="left" vertical="center" wrapText="1"/>
    </xf>
    <xf numFmtId="172" fontId="44" fillId="0" borderId="25" xfId="61" applyNumberFormat="1" applyFont="1" applyFill="1" applyBorder="1" applyAlignment="1">
      <alignment horizontal="center"/>
    </xf>
    <xf numFmtId="172" fontId="44" fillId="0" borderId="7" xfId="61" applyNumberFormat="1" applyFont="1" applyFill="1" applyBorder="1" applyAlignment="1">
      <alignment horizontal="center"/>
    </xf>
    <xf numFmtId="172" fontId="44" fillId="0" borderId="22" xfId="61" applyNumberFormat="1" applyFont="1" applyFill="1" applyBorder="1" applyAlignment="1">
      <alignment horizontal="center"/>
    </xf>
    <xf numFmtId="172" fontId="44" fillId="0" borderId="25" xfId="119" applyNumberFormat="1" applyFont="1" applyFill="1" applyBorder="1" applyAlignment="1">
      <alignment horizontal="center"/>
    </xf>
    <xf numFmtId="172" fontId="44" fillId="0" borderId="7" xfId="119" applyNumberFormat="1" applyFont="1" applyFill="1" applyBorder="1" applyAlignment="1">
      <alignment horizontal="center"/>
    </xf>
    <xf numFmtId="172" fontId="44" fillId="0" borderId="22" xfId="119" applyNumberFormat="1" applyFont="1" applyFill="1" applyBorder="1" applyAlignment="1">
      <alignment horizontal="center"/>
    </xf>
    <xf numFmtId="0" fontId="43" fillId="0" borderId="14" xfId="0" applyFont="1" applyBorder="1" applyAlignment="1">
      <alignment horizontal="left" vertical="top" wrapText="1" indent="1"/>
    </xf>
    <xf numFmtId="0" fontId="43" fillId="0" borderId="0" xfId="0" applyFont="1" applyAlignment="1">
      <alignment horizontal="left" vertical="top" wrapText="1" indent="1"/>
    </xf>
    <xf numFmtId="0" fontId="43" fillId="0" borderId="9" xfId="0" applyFont="1" applyBorder="1" applyAlignment="1">
      <alignment horizontal="left" vertical="top" wrapText="1" indent="1"/>
    </xf>
    <xf numFmtId="0" fontId="43" fillId="0" borderId="14" xfId="0" applyFont="1" applyBorder="1" applyAlignment="1">
      <alignment horizontal="left" vertical="top" wrapText="1"/>
    </xf>
    <xf numFmtId="0" fontId="43" fillId="0" borderId="9" xfId="0" applyFont="1" applyBorder="1" applyAlignment="1">
      <alignment horizontal="left" vertical="top" wrapText="1"/>
    </xf>
    <xf numFmtId="166" fontId="44" fillId="0" borderId="22" xfId="0" applyNumberFormat="1" applyFont="1" applyBorder="1" applyAlignment="1">
      <alignment horizontal="center" vertical="center" wrapText="1"/>
    </xf>
    <xf numFmtId="0" fontId="43" fillId="0" borderId="13" xfId="0" applyFont="1" applyBorder="1" applyAlignment="1">
      <alignment horizontal="left" vertical="center" wrapText="1"/>
    </xf>
    <xf numFmtId="0" fontId="43" fillId="0" borderId="17" xfId="0" applyFont="1" applyBorder="1" applyAlignment="1">
      <alignment horizontal="left" vertical="center" wrapText="1"/>
    </xf>
    <xf numFmtId="166" fontId="44" fillId="0" borderId="16" xfId="61" applyFont="1" applyFill="1" applyBorder="1" applyAlignment="1">
      <alignment horizontal="left" vertical="top" wrapText="1"/>
    </xf>
    <xf numFmtId="43" fontId="44" fillId="0" borderId="16" xfId="119" applyFont="1" applyFill="1" applyBorder="1" applyAlignment="1">
      <alignment horizontal="left" vertical="top" wrapText="1"/>
    </xf>
    <xf numFmtId="0" fontId="78" fillId="0" borderId="0" xfId="0" applyFont="1" applyAlignment="1">
      <alignment horizontal="center" vertical="top"/>
    </xf>
    <xf numFmtId="0" fontId="78" fillId="0" borderId="0" xfId="0" applyFont="1" applyAlignment="1">
      <alignment horizontal="center"/>
    </xf>
    <xf numFmtId="0" fontId="94" fillId="0" borderId="0" xfId="0" applyFont="1" applyAlignment="1">
      <alignment horizontal="center" vertical="top"/>
    </xf>
    <xf numFmtId="0" fontId="78" fillId="0" borderId="16" xfId="0" applyFont="1" applyBorder="1" applyAlignment="1">
      <alignment horizontal="left"/>
    </xf>
    <xf numFmtId="0" fontId="79" fillId="0" borderId="16" xfId="0" applyFont="1" applyBorder="1" applyAlignment="1">
      <alignment horizontal="left"/>
    </xf>
    <xf numFmtId="0" fontId="78" fillId="0" borderId="0" xfId="0" applyFont="1" applyAlignment="1">
      <alignment horizontal="left" vertical="top"/>
    </xf>
    <xf numFmtId="0" fontId="78" fillId="0" borderId="16" xfId="0" applyFont="1" applyBorder="1" applyAlignment="1">
      <alignment horizontal="left" vertical="top"/>
    </xf>
    <xf numFmtId="0" fontId="79" fillId="0" borderId="16" xfId="0" applyFont="1" applyBorder="1" applyAlignment="1">
      <alignment horizontal="left" vertical="top"/>
    </xf>
    <xf numFmtId="0" fontId="79" fillId="0" borderId="0" xfId="0" applyFont="1" applyAlignment="1">
      <alignment horizontal="left" vertical="top"/>
    </xf>
    <xf numFmtId="0" fontId="78" fillId="0" borderId="0" xfId="0" applyFont="1" applyAlignment="1">
      <alignment horizontal="left"/>
    </xf>
    <xf numFmtId="0" fontId="95" fillId="0" borderId="0" xfId="0" applyFont="1" applyAlignment="1">
      <alignment horizontal="left" vertical="top"/>
    </xf>
    <xf numFmtId="49" fontId="67" fillId="0" borderId="25" xfId="0" applyNumberFormat="1" applyFont="1" applyBorder="1" applyAlignment="1">
      <alignment horizontal="center" vertical="center" wrapText="1"/>
    </xf>
    <xf numFmtId="49" fontId="67" fillId="0" borderId="22" xfId="0" applyNumberFormat="1" applyFont="1" applyBorder="1" applyAlignment="1">
      <alignment horizontal="center" vertical="center" wrapText="1"/>
    </xf>
    <xf numFmtId="0" fontId="64" fillId="0" borderId="0" xfId="0" applyFont="1" applyAlignment="1">
      <alignment horizontal="left"/>
    </xf>
    <xf numFmtId="0" fontId="64" fillId="0" borderId="12" xfId="0" applyFont="1" applyBorder="1" applyAlignment="1">
      <alignment horizontal="left"/>
    </xf>
    <xf numFmtId="0" fontId="69" fillId="0" borderId="14" xfId="0" applyFont="1" applyBorder="1" applyAlignment="1">
      <alignment horizontal="center" vertical="center" shrinkToFit="1"/>
    </xf>
    <xf numFmtId="0" fontId="69" fillId="0" borderId="9" xfId="0" applyFont="1" applyBorder="1" applyAlignment="1">
      <alignment horizontal="center" vertical="center" shrinkToFit="1"/>
    </xf>
    <xf numFmtId="0" fontId="69" fillId="0" borderId="14" xfId="0" applyFont="1" applyBorder="1" applyAlignment="1">
      <alignment horizontal="left" shrinkToFit="1"/>
    </xf>
    <xf numFmtId="0" fontId="0" fillId="0" borderId="9" xfId="0" applyBorder="1" applyAlignment="1">
      <alignment horizontal="left" shrinkToFit="1"/>
    </xf>
    <xf numFmtId="0" fontId="44" fillId="0" borderId="0" xfId="0" applyFont="1" applyAlignment="1">
      <alignment horizontal="left" vertical="top"/>
    </xf>
    <xf numFmtId="0" fontId="43" fillId="0" borderId="0" xfId="0" applyFont="1"/>
    <xf numFmtId="0" fontId="43" fillId="0" borderId="0" xfId="0" applyFont="1" applyAlignment="1">
      <alignment horizontal="left"/>
    </xf>
    <xf numFmtId="0" fontId="44" fillId="0" borderId="8" xfId="0" applyFont="1" applyBorder="1" applyAlignment="1">
      <alignment horizontal="center" vertical="center" wrapText="1"/>
    </xf>
    <xf numFmtId="0" fontId="44" fillId="0" borderId="20" xfId="0" applyFont="1" applyBorder="1" applyAlignment="1">
      <alignment horizontal="center" vertical="center" wrapText="1"/>
    </xf>
    <xf numFmtId="0" fontId="44" fillId="0" borderId="21" xfId="0" applyFont="1" applyBorder="1" applyAlignment="1">
      <alignment horizontal="center" vertical="center" wrapText="1"/>
    </xf>
    <xf numFmtId="0" fontId="65" fillId="0" borderId="16" xfId="419" applyFont="1" applyBorder="1" applyAlignment="1">
      <alignment horizontal="center"/>
    </xf>
    <xf numFmtId="0" fontId="65" fillId="0" borderId="0" xfId="220" applyFont="1" applyFill="1" applyBorder="1" applyAlignment="1" applyProtection="1">
      <alignment horizontal="center"/>
    </xf>
    <xf numFmtId="0" fontId="89" fillId="0" borderId="16" xfId="0" applyFont="1" applyBorder="1" applyAlignment="1">
      <alignment horizontal="center"/>
    </xf>
    <xf numFmtId="0" fontId="89" fillId="0" borderId="20" xfId="0" applyFont="1" applyBorder="1" applyAlignment="1">
      <alignment horizontal="center" vertical="center"/>
    </xf>
    <xf numFmtId="0" fontId="89" fillId="0" borderId="21" xfId="0" applyFont="1" applyBorder="1" applyAlignment="1">
      <alignment horizontal="center" vertical="center"/>
    </xf>
    <xf numFmtId="49" fontId="75" fillId="0" borderId="20" xfId="0" applyNumberFormat="1" applyFont="1" applyBorder="1" applyAlignment="1">
      <alignment horizontal="center" vertical="center"/>
    </xf>
    <xf numFmtId="49" fontId="75" fillId="0" borderId="21" xfId="0" applyNumberFormat="1" applyFont="1" applyBorder="1" applyAlignment="1">
      <alignment horizontal="center" vertical="center"/>
    </xf>
    <xf numFmtId="49" fontId="75" fillId="0" borderId="13" xfId="0" applyNumberFormat="1" applyFont="1" applyBorder="1" applyAlignment="1">
      <alignment horizontal="center" vertical="top"/>
    </xf>
    <xf numFmtId="49" fontId="75" fillId="0" borderId="12" xfId="0" applyNumberFormat="1" applyFont="1" applyBorder="1" applyAlignment="1">
      <alignment horizontal="center" vertical="top"/>
    </xf>
    <xf numFmtId="49" fontId="75" fillId="0" borderId="17" xfId="0" applyNumberFormat="1" applyFont="1" applyBorder="1" applyAlignment="1">
      <alignment horizontal="center" vertical="top"/>
    </xf>
    <xf numFmtId="43" fontId="44" fillId="0" borderId="20" xfId="119" applyFont="1" applyFill="1" applyBorder="1" applyAlignment="1">
      <alignment horizontal="left" vertical="center" wrapText="1"/>
    </xf>
    <xf numFmtId="43" fontId="44" fillId="0" borderId="21" xfId="119" applyFont="1" applyFill="1" applyBorder="1" applyAlignment="1">
      <alignment horizontal="left" vertical="center" wrapText="1"/>
    </xf>
    <xf numFmtId="0" fontId="64" fillId="0" borderId="13" xfId="0" applyFont="1" applyBorder="1" applyAlignment="1">
      <alignment horizontal="left"/>
    </xf>
    <xf numFmtId="0" fontId="64" fillId="0" borderId="17" xfId="0" applyFont="1" applyBorder="1" applyAlignment="1">
      <alignment horizontal="left"/>
    </xf>
    <xf numFmtId="166" fontId="64" fillId="0" borderId="0" xfId="32" applyNumberFormat="1" applyFont="1" applyFill="1" applyBorder="1" applyAlignment="1">
      <alignment vertical="center"/>
    </xf>
  </cellXfs>
  <cellStyles count="493">
    <cellStyle name="_02  Form No 3CD(1)" xfId="1" xr:uid="{00000000-0005-0000-0000-000000000000}"/>
    <cellStyle name="_3(1).  Form No 3CD-New" xfId="2" xr:uid="{00000000-0005-0000-0000-000001000000}"/>
    <cellStyle name="_D1_Investments Mar07_v2" xfId="3" xr:uid="{00000000-0005-0000-0000-000002000000}"/>
    <cellStyle name="_D1_Investments Mar07_v2 2" xfId="4" xr:uid="{00000000-0005-0000-0000-000003000000}"/>
    <cellStyle name="_Depn-US GAAP-Audit schedule s on 01-07-2004 - Prasad" xfId="5" xr:uid="{00000000-0005-0000-0000-000004000000}"/>
    <cellStyle name="_Depn-US GAAP-Audit schedule s on 01-07-2004 - Prasad 2" xfId="6" xr:uid="{00000000-0005-0000-0000-000005000000}"/>
    <cellStyle name="_FA" xfId="7" xr:uid="{00000000-0005-0000-0000-000006000000}"/>
    <cellStyle name="_FA 2" xfId="8" xr:uid="{00000000-0005-0000-0000-000007000000}"/>
    <cellStyle name="_FA Reg-YE 30-6-2004 on04_07_2004-final-prasad" xfId="9" xr:uid="{00000000-0005-0000-0000-000008000000}"/>
    <cellStyle name="_FA Reg-YE 30-6-2004 on04_07_2004-final-prasad 2" xfId="10" xr:uid="{00000000-0005-0000-0000-000009000000}"/>
    <cellStyle name="0" xfId="11" xr:uid="{00000000-0005-0000-0000-00000A000000}"/>
    <cellStyle name="0_PF&amp;ESI" xfId="12" xr:uid="{00000000-0005-0000-0000-00000B000000}"/>
    <cellStyle name="¹éºÐÀ²_±âÅ¸" xfId="13" xr:uid="{00000000-0005-0000-0000-00000C000000}"/>
    <cellStyle name="75" xfId="14" xr:uid="{00000000-0005-0000-0000-00000D000000}"/>
    <cellStyle name="active" xfId="15" xr:uid="{00000000-0005-0000-0000-00000E000000}"/>
    <cellStyle name="ÅëÈ­ [0]_±âÅ¸" xfId="16" xr:uid="{00000000-0005-0000-0000-00000F000000}"/>
    <cellStyle name="ÅëÈ­_±âÅ¸" xfId="17" xr:uid="{00000000-0005-0000-0000-000010000000}"/>
    <cellStyle name="ÄÞ¸¶ [0]_±âÅ¸" xfId="18" xr:uid="{00000000-0005-0000-0000-000011000000}"/>
    <cellStyle name="ÄÞ¸¶_±âÅ¸" xfId="19" xr:uid="{00000000-0005-0000-0000-000012000000}"/>
    <cellStyle name="Body" xfId="20" xr:uid="{00000000-0005-0000-0000-000013000000}"/>
    <cellStyle name="Ç¥ÁØ_¿¬°£´©°è¿¹»ó" xfId="21" xr:uid="{00000000-0005-0000-0000-000014000000}"/>
    <cellStyle name="Calc Currency (0)" xfId="22" xr:uid="{00000000-0005-0000-0000-000015000000}"/>
    <cellStyle name="Calc Currency (2)" xfId="23" xr:uid="{00000000-0005-0000-0000-000016000000}"/>
    <cellStyle name="Calc Percent (0)" xfId="24" xr:uid="{00000000-0005-0000-0000-000017000000}"/>
    <cellStyle name="Calc Percent (1)" xfId="25" xr:uid="{00000000-0005-0000-0000-000018000000}"/>
    <cellStyle name="Calc Percent (2)" xfId="26" xr:uid="{00000000-0005-0000-0000-000019000000}"/>
    <cellStyle name="Calc Percent (2) 2" xfId="27" xr:uid="{00000000-0005-0000-0000-00001A000000}"/>
    <cellStyle name="Calc Units (0)" xfId="28" xr:uid="{00000000-0005-0000-0000-00001B000000}"/>
    <cellStyle name="Calc Units (1)" xfId="29" xr:uid="{00000000-0005-0000-0000-00001C000000}"/>
    <cellStyle name="Calc Units (2)" xfId="30" xr:uid="{00000000-0005-0000-0000-00001D000000}"/>
    <cellStyle name="coma" xfId="31" xr:uid="{00000000-0005-0000-0000-00001E000000}"/>
    <cellStyle name="Comma" xfId="32" builtinId="3"/>
    <cellStyle name="Comma  - Style1" xfId="33" xr:uid="{00000000-0005-0000-0000-000020000000}"/>
    <cellStyle name="Comma  - Style1 2" xfId="34" xr:uid="{00000000-0005-0000-0000-000021000000}"/>
    <cellStyle name="Comma  - Style2" xfId="35" xr:uid="{00000000-0005-0000-0000-000022000000}"/>
    <cellStyle name="Comma  - Style2 2" xfId="36" xr:uid="{00000000-0005-0000-0000-000023000000}"/>
    <cellStyle name="Comma  - Style3" xfId="37" xr:uid="{00000000-0005-0000-0000-000024000000}"/>
    <cellStyle name="Comma  - Style3 2" xfId="38" xr:uid="{00000000-0005-0000-0000-000025000000}"/>
    <cellStyle name="Comma  - Style4" xfId="39" xr:uid="{00000000-0005-0000-0000-000026000000}"/>
    <cellStyle name="Comma  - Style4 2" xfId="40" xr:uid="{00000000-0005-0000-0000-000027000000}"/>
    <cellStyle name="Comma  - Style5" xfId="41" xr:uid="{00000000-0005-0000-0000-000028000000}"/>
    <cellStyle name="Comma  - Style5 2" xfId="42" xr:uid="{00000000-0005-0000-0000-000029000000}"/>
    <cellStyle name="Comma  - Style6" xfId="43" xr:uid="{00000000-0005-0000-0000-00002A000000}"/>
    <cellStyle name="Comma  - Style6 2" xfId="44" xr:uid="{00000000-0005-0000-0000-00002B000000}"/>
    <cellStyle name="Comma  - Style7" xfId="45" xr:uid="{00000000-0005-0000-0000-00002C000000}"/>
    <cellStyle name="Comma  - Style7 2" xfId="46" xr:uid="{00000000-0005-0000-0000-00002D000000}"/>
    <cellStyle name="Comma  - Style8" xfId="47" xr:uid="{00000000-0005-0000-0000-00002E000000}"/>
    <cellStyle name="Comma  - Style8 2" xfId="48" xr:uid="{00000000-0005-0000-0000-00002F000000}"/>
    <cellStyle name="Comma [0]" xfId="49" builtinId="6"/>
    <cellStyle name="Comma [0] 2" xfId="50" xr:uid="{00000000-0005-0000-0000-000031000000}"/>
    <cellStyle name="Comma [0] 2 2" xfId="51" xr:uid="{00000000-0005-0000-0000-000032000000}"/>
    <cellStyle name="Comma [0] 2 2 2" xfId="52" xr:uid="{00000000-0005-0000-0000-000033000000}"/>
    <cellStyle name="Comma [00]" xfId="53" xr:uid="{00000000-0005-0000-0000-000034000000}"/>
    <cellStyle name="Comma [00] 2" xfId="54" xr:uid="{00000000-0005-0000-0000-000035000000}"/>
    <cellStyle name="Comma 10" xfId="55" xr:uid="{00000000-0005-0000-0000-000036000000}"/>
    <cellStyle name="Comma 10 2" xfId="56" xr:uid="{00000000-0005-0000-0000-000037000000}"/>
    <cellStyle name="Comma 10 2 2" xfId="57" xr:uid="{00000000-0005-0000-0000-000038000000}"/>
    <cellStyle name="Comma 10 2 6" xfId="58" xr:uid="{00000000-0005-0000-0000-000039000000}"/>
    <cellStyle name="Comma 10 2 6 2" xfId="59" xr:uid="{00000000-0005-0000-0000-00003A000000}"/>
    <cellStyle name="Comma 10 3" xfId="60" xr:uid="{00000000-0005-0000-0000-00003B000000}"/>
    <cellStyle name="Comma 10 6" xfId="61" xr:uid="{00000000-0005-0000-0000-00003C000000}"/>
    <cellStyle name="Comma 11" xfId="62" xr:uid="{00000000-0005-0000-0000-00003D000000}"/>
    <cellStyle name="Comma 11 2" xfId="63" xr:uid="{00000000-0005-0000-0000-00003E000000}"/>
    <cellStyle name="Comma 11 3" xfId="64" xr:uid="{00000000-0005-0000-0000-00003F000000}"/>
    <cellStyle name="Comma 12" xfId="65" xr:uid="{00000000-0005-0000-0000-000040000000}"/>
    <cellStyle name="Comma 12 2" xfId="66" xr:uid="{00000000-0005-0000-0000-000041000000}"/>
    <cellStyle name="Comma 12 2 2 3" xfId="67" xr:uid="{00000000-0005-0000-0000-000042000000}"/>
    <cellStyle name="Comma 13" xfId="68" xr:uid="{00000000-0005-0000-0000-000043000000}"/>
    <cellStyle name="Comma 13 2" xfId="69" xr:uid="{00000000-0005-0000-0000-000044000000}"/>
    <cellStyle name="Comma 14" xfId="70" xr:uid="{00000000-0005-0000-0000-000045000000}"/>
    <cellStyle name="Comma 14 2" xfId="71" xr:uid="{00000000-0005-0000-0000-000046000000}"/>
    <cellStyle name="Comma 15" xfId="72" xr:uid="{00000000-0005-0000-0000-000047000000}"/>
    <cellStyle name="Comma 15 2" xfId="73" xr:uid="{00000000-0005-0000-0000-000048000000}"/>
    <cellStyle name="Comma 16" xfId="74" xr:uid="{00000000-0005-0000-0000-000049000000}"/>
    <cellStyle name="Comma 16 2" xfId="75" xr:uid="{00000000-0005-0000-0000-00004A000000}"/>
    <cellStyle name="Comma 17" xfId="76" xr:uid="{00000000-0005-0000-0000-00004B000000}"/>
    <cellStyle name="Comma 17 2" xfId="77" xr:uid="{00000000-0005-0000-0000-00004C000000}"/>
    <cellStyle name="Comma 18" xfId="78" xr:uid="{00000000-0005-0000-0000-00004D000000}"/>
    <cellStyle name="Comma 18 2" xfId="79" xr:uid="{00000000-0005-0000-0000-00004E000000}"/>
    <cellStyle name="Comma 19" xfId="80" xr:uid="{00000000-0005-0000-0000-00004F000000}"/>
    <cellStyle name="Comma 19 2" xfId="81" xr:uid="{00000000-0005-0000-0000-000050000000}"/>
    <cellStyle name="Comma 2" xfId="82" xr:uid="{00000000-0005-0000-0000-000051000000}"/>
    <cellStyle name="Comma 2 2" xfId="83" xr:uid="{00000000-0005-0000-0000-000052000000}"/>
    <cellStyle name="Comma 2 2 2" xfId="84" xr:uid="{00000000-0005-0000-0000-000053000000}"/>
    <cellStyle name="Comma 2 2 2 2" xfId="85" xr:uid="{00000000-0005-0000-0000-000054000000}"/>
    <cellStyle name="Comma 2 2 3" xfId="86" xr:uid="{00000000-0005-0000-0000-000055000000}"/>
    <cellStyle name="Comma 2 3" xfId="87" xr:uid="{00000000-0005-0000-0000-000056000000}"/>
    <cellStyle name="Comma 2 3 2" xfId="88" xr:uid="{00000000-0005-0000-0000-000057000000}"/>
    <cellStyle name="Comma 2 3 2 2" xfId="89" xr:uid="{00000000-0005-0000-0000-000058000000}"/>
    <cellStyle name="Comma 2 3 3" xfId="90" xr:uid="{00000000-0005-0000-0000-000059000000}"/>
    <cellStyle name="Comma 20" xfId="91" xr:uid="{00000000-0005-0000-0000-00005A000000}"/>
    <cellStyle name="Comma 20 2" xfId="92" xr:uid="{00000000-0005-0000-0000-00005B000000}"/>
    <cellStyle name="Comma 21" xfId="93" xr:uid="{00000000-0005-0000-0000-00005C000000}"/>
    <cellStyle name="Comma 21 2" xfId="94" xr:uid="{00000000-0005-0000-0000-00005D000000}"/>
    <cellStyle name="Comma 22" xfId="95" xr:uid="{00000000-0005-0000-0000-00005E000000}"/>
    <cellStyle name="Comma 22 2" xfId="96" xr:uid="{00000000-0005-0000-0000-00005F000000}"/>
    <cellStyle name="Comma 23" xfId="97" xr:uid="{00000000-0005-0000-0000-000060000000}"/>
    <cellStyle name="Comma 23 2" xfId="98" xr:uid="{00000000-0005-0000-0000-000061000000}"/>
    <cellStyle name="Comma 24" xfId="99" xr:uid="{00000000-0005-0000-0000-000062000000}"/>
    <cellStyle name="Comma 24 2" xfId="100" xr:uid="{00000000-0005-0000-0000-000063000000}"/>
    <cellStyle name="Comma 25" xfId="101" xr:uid="{00000000-0005-0000-0000-000064000000}"/>
    <cellStyle name="Comma 25 2" xfId="102" xr:uid="{00000000-0005-0000-0000-000065000000}"/>
    <cellStyle name="Comma 26" xfId="103" xr:uid="{00000000-0005-0000-0000-000066000000}"/>
    <cellStyle name="Comma 26 2" xfId="104" xr:uid="{00000000-0005-0000-0000-000067000000}"/>
    <cellStyle name="Comma 27" xfId="105" xr:uid="{00000000-0005-0000-0000-000068000000}"/>
    <cellStyle name="Comma 28" xfId="106" xr:uid="{00000000-0005-0000-0000-000069000000}"/>
    <cellStyle name="Comma 3" xfId="107" xr:uid="{00000000-0005-0000-0000-00006A000000}"/>
    <cellStyle name="Comma 3 2" xfId="108" xr:uid="{00000000-0005-0000-0000-00006B000000}"/>
    <cellStyle name="Comma 3 2 2" xfId="109" xr:uid="{00000000-0005-0000-0000-00006C000000}"/>
    <cellStyle name="Comma 3 2 2 2" xfId="110" xr:uid="{00000000-0005-0000-0000-00006D000000}"/>
    <cellStyle name="Comma 3 2 3" xfId="111" xr:uid="{00000000-0005-0000-0000-00006E000000}"/>
    <cellStyle name="Comma 3 2 3 2" xfId="112" xr:uid="{00000000-0005-0000-0000-00006F000000}"/>
    <cellStyle name="Comma 3 3" xfId="113" xr:uid="{00000000-0005-0000-0000-000070000000}"/>
    <cellStyle name="Comma 3 3 2" xfId="114" xr:uid="{00000000-0005-0000-0000-000071000000}"/>
    <cellStyle name="Comma 3 3 2 2" xfId="115" xr:uid="{00000000-0005-0000-0000-000072000000}"/>
    <cellStyle name="Comma 3 3 3" xfId="116" xr:uid="{00000000-0005-0000-0000-000073000000}"/>
    <cellStyle name="Comma 3 4" xfId="117" xr:uid="{00000000-0005-0000-0000-000074000000}"/>
    <cellStyle name="Comma 3 4 2" xfId="118" xr:uid="{00000000-0005-0000-0000-000075000000}"/>
    <cellStyle name="Comma 31" xfId="119" xr:uid="{00000000-0005-0000-0000-000076000000}"/>
    <cellStyle name="Comma 32" xfId="485" xr:uid="{00000000-0005-0000-0000-000077000000}"/>
    <cellStyle name="Comma 4" xfId="120" xr:uid="{00000000-0005-0000-0000-000078000000}"/>
    <cellStyle name="Comma 4 19" xfId="121" xr:uid="{00000000-0005-0000-0000-000079000000}"/>
    <cellStyle name="Comma 4 19 2" xfId="122" xr:uid="{00000000-0005-0000-0000-00007A000000}"/>
    <cellStyle name="Comma 4 2" xfId="123" xr:uid="{00000000-0005-0000-0000-00007B000000}"/>
    <cellStyle name="Comma 4 2 2" xfId="124" xr:uid="{00000000-0005-0000-0000-00007C000000}"/>
    <cellStyle name="Comma 4 2 2 2" xfId="125" xr:uid="{00000000-0005-0000-0000-00007D000000}"/>
    <cellStyle name="Comma 4 2 3" xfId="126" xr:uid="{00000000-0005-0000-0000-00007E000000}"/>
    <cellStyle name="Comma 4 3" xfId="127" xr:uid="{00000000-0005-0000-0000-00007F000000}"/>
    <cellStyle name="Comma 5" xfId="128" xr:uid="{00000000-0005-0000-0000-000080000000}"/>
    <cellStyle name="Comma 5 2" xfId="129" xr:uid="{00000000-0005-0000-0000-000081000000}"/>
    <cellStyle name="Comma 5 2 2" xfId="130" xr:uid="{00000000-0005-0000-0000-000082000000}"/>
    <cellStyle name="Comma 5 3" xfId="131" xr:uid="{00000000-0005-0000-0000-000083000000}"/>
    <cellStyle name="Comma 6" xfId="132" xr:uid="{00000000-0005-0000-0000-000084000000}"/>
    <cellStyle name="Comma 6 2" xfId="133" xr:uid="{00000000-0005-0000-0000-000085000000}"/>
    <cellStyle name="Comma 6 2 2" xfId="134" xr:uid="{00000000-0005-0000-0000-000086000000}"/>
    <cellStyle name="Comma 6 3" xfId="135" xr:uid="{00000000-0005-0000-0000-000087000000}"/>
    <cellStyle name="Comma 6 3 2" xfId="136" xr:uid="{00000000-0005-0000-0000-000088000000}"/>
    <cellStyle name="Comma 7" xfId="137" xr:uid="{00000000-0005-0000-0000-000089000000}"/>
    <cellStyle name="Comma 7 2" xfId="138" xr:uid="{00000000-0005-0000-0000-00008A000000}"/>
    <cellStyle name="Comma 7 2 2" xfId="139" xr:uid="{00000000-0005-0000-0000-00008B000000}"/>
    <cellStyle name="Comma 8" xfId="140" xr:uid="{00000000-0005-0000-0000-00008C000000}"/>
    <cellStyle name="Comma 8 2" xfId="141" xr:uid="{00000000-0005-0000-0000-00008D000000}"/>
    <cellStyle name="Comma 8 2 2" xfId="142" xr:uid="{00000000-0005-0000-0000-00008E000000}"/>
    <cellStyle name="Comma 8 3" xfId="143" xr:uid="{00000000-0005-0000-0000-00008F000000}"/>
    <cellStyle name="Comma 8 3 2" xfId="144" xr:uid="{00000000-0005-0000-0000-000090000000}"/>
    <cellStyle name="Comma 9 2" xfId="145" xr:uid="{00000000-0005-0000-0000-000091000000}"/>
    <cellStyle name="Comma 9 2 2" xfId="146" xr:uid="{00000000-0005-0000-0000-000092000000}"/>
    <cellStyle name="Comma 9 3" xfId="147" xr:uid="{00000000-0005-0000-0000-000093000000}"/>
    <cellStyle name="Comma 9 3 2" xfId="148" xr:uid="{00000000-0005-0000-0000-000094000000}"/>
    <cellStyle name="Comma_Def.Tax calculation" xfId="149" xr:uid="{00000000-0005-0000-0000-000095000000}"/>
    <cellStyle name="Comma_Diferred_Tax" xfId="150" xr:uid="{00000000-0005-0000-0000-000096000000}"/>
    <cellStyle name="Comma0 - Modelo1" xfId="151" xr:uid="{00000000-0005-0000-0000-000097000000}"/>
    <cellStyle name="Comma0 - Style1" xfId="152" xr:uid="{00000000-0005-0000-0000-000098000000}"/>
    <cellStyle name="Comma0 - Style1 2" xfId="153" xr:uid="{00000000-0005-0000-0000-000099000000}"/>
    <cellStyle name="Comma1 - Modelo2" xfId="154" xr:uid="{00000000-0005-0000-0000-00009A000000}"/>
    <cellStyle name="Comma1 - Style2" xfId="155" xr:uid="{00000000-0005-0000-0000-00009B000000}"/>
    <cellStyle name="Comma1 - Style2 2" xfId="156" xr:uid="{00000000-0005-0000-0000-00009C000000}"/>
    <cellStyle name="Currency [00]" xfId="157" xr:uid="{00000000-0005-0000-0000-00009D000000}"/>
    <cellStyle name="Currency [00] 2" xfId="158" xr:uid="{00000000-0005-0000-0000-00009E000000}"/>
    <cellStyle name="Currency 2" xfId="159" xr:uid="{00000000-0005-0000-0000-00009F000000}"/>
    <cellStyle name="Currency 2 2" xfId="160" xr:uid="{00000000-0005-0000-0000-0000A0000000}"/>
    <cellStyle name="Currency 2 3" xfId="161" xr:uid="{00000000-0005-0000-0000-0000A1000000}"/>
    <cellStyle name="Currency 3" xfId="162" xr:uid="{00000000-0005-0000-0000-0000A2000000}"/>
    <cellStyle name="Custom - Style8" xfId="163" xr:uid="{00000000-0005-0000-0000-0000A3000000}"/>
    <cellStyle name="Data   - Style2" xfId="164" xr:uid="{00000000-0005-0000-0000-0000A4000000}"/>
    <cellStyle name="Date" xfId="165" xr:uid="{00000000-0005-0000-0000-0000A5000000}"/>
    <cellStyle name="Date 2" xfId="166" xr:uid="{00000000-0005-0000-0000-0000A6000000}"/>
    <cellStyle name="Date Short" xfId="167" xr:uid="{00000000-0005-0000-0000-0000A7000000}"/>
    <cellStyle name="Date_2002-03 Business plan gross margin" xfId="168" xr:uid="{00000000-0005-0000-0000-0000A8000000}"/>
    <cellStyle name="DELTA" xfId="169" xr:uid="{00000000-0005-0000-0000-0000A9000000}"/>
    <cellStyle name="DELTA 2" xfId="170" xr:uid="{00000000-0005-0000-0000-0000AA000000}"/>
    <cellStyle name="Dezimal [0]_CAR" xfId="171" xr:uid="{00000000-0005-0000-0000-0000AB000000}"/>
    <cellStyle name="Dezimal_CAR" xfId="172" xr:uid="{00000000-0005-0000-0000-0000AC000000}"/>
    <cellStyle name="Dia" xfId="173" xr:uid="{00000000-0005-0000-0000-0000AD000000}"/>
    <cellStyle name="Dia 2" xfId="174" xr:uid="{00000000-0005-0000-0000-0000AE000000}"/>
    <cellStyle name="E&amp;Y House" xfId="175" xr:uid="{00000000-0005-0000-0000-0000AF000000}"/>
    <cellStyle name="Encabez1" xfId="176" xr:uid="{00000000-0005-0000-0000-0000B0000000}"/>
    <cellStyle name="Encabez1 2" xfId="177" xr:uid="{00000000-0005-0000-0000-0000B1000000}"/>
    <cellStyle name="Encabez2" xfId="178" xr:uid="{00000000-0005-0000-0000-0000B2000000}"/>
    <cellStyle name="Encabez2 2" xfId="179" xr:uid="{00000000-0005-0000-0000-0000B3000000}"/>
    <cellStyle name="Enter Currency (0)" xfId="180" xr:uid="{00000000-0005-0000-0000-0000B4000000}"/>
    <cellStyle name="Enter Currency (2)" xfId="181" xr:uid="{00000000-0005-0000-0000-0000B5000000}"/>
    <cellStyle name="Enter Units (0)" xfId="182" xr:uid="{00000000-0005-0000-0000-0000B6000000}"/>
    <cellStyle name="Enter Units (1)" xfId="183" xr:uid="{00000000-0005-0000-0000-0000B7000000}"/>
    <cellStyle name="Enter Units (2)" xfId="184" xr:uid="{00000000-0005-0000-0000-0000B8000000}"/>
    <cellStyle name="Euro" xfId="185" xr:uid="{00000000-0005-0000-0000-0000B9000000}"/>
    <cellStyle name="Euro 2" xfId="186" xr:uid="{00000000-0005-0000-0000-0000BA000000}"/>
    <cellStyle name="F2" xfId="187" xr:uid="{00000000-0005-0000-0000-0000BB000000}"/>
    <cellStyle name="F2 2" xfId="188" xr:uid="{00000000-0005-0000-0000-0000BC000000}"/>
    <cellStyle name="F3" xfId="189" xr:uid="{00000000-0005-0000-0000-0000BD000000}"/>
    <cellStyle name="F3 2" xfId="190" xr:uid="{00000000-0005-0000-0000-0000BE000000}"/>
    <cellStyle name="F4" xfId="191" xr:uid="{00000000-0005-0000-0000-0000BF000000}"/>
    <cellStyle name="F4 2" xfId="192" xr:uid="{00000000-0005-0000-0000-0000C0000000}"/>
    <cellStyle name="F5" xfId="193" xr:uid="{00000000-0005-0000-0000-0000C1000000}"/>
    <cellStyle name="F5 2" xfId="194" xr:uid="{00000000-0005-0000-0000-0000C2000000}"/>
    <cellStyle name="F6" xfId="195" xr:uid="{00000000-0005-0000-0000-0000C3000000}"/>
    <cellStyle name="F6 2" xfId="196" xr:uid="{00000000-0005-0000-0000-0000C4000000}"/>
    <cellStyle name="F7" xfId="197" xr:uid="{00000000-0005-0000-0000-0000C5000000}"/>
    <cellStyle name="F7 2" xfId="198" xr:uid="{00000000-0005-0000-0000-0000C6000000}"/>
    <cellStyle name="F8" xfId="199" xr:uid="{00000000-0005-0000-0000-0000C7000000}"/>
    <cellStyle name="F8 2" xfId="200" xr:uid="{00000000-0005-0000-0000-0000C8000000}"/>
    <cellStyle name="Fijo" xfId="201" xr:uid="{00000000-0005-0000-0000-0000C9000000}"/>
    <cellStyle name="Fijo 2" xfId="202" xr:uid="{00000000-0005-0000-0000-0000CA000000}"/>
    <cellStyle name="Financiero" xfId="203" xr:uid="{00000000-0005-0000-0000-0000CB000000}"/>
    <cellStyle name="Financiero 2" xfId="204" xr:uid="{00000000-0005-0000-0000-0000CC000000}"/>
    <cellStyle name="Fixed" xfId="205" xr:uid="{00000000-0005-0000-0000-0000CD000000}"/>
    <cellStyle name="Fixed 2" xfId="206" xr:uid="{00000000-0005-0000-0000-0000CE000000}"/>
    <cellStyle name="Formula" xfId="207" xr:uid="{00000000-0005-0000-0000-0000CF000000}"/>
    <cellStyle name="Formula 2" xfId="208" xr:uid="{00000000-0005-0000-0000-0000D0000000}"/>
    <cellStyle name="Good 2" xfId="209" xr:uid="{00000000-0005-0000-0000-0000D1000000}"/>
    <cellStyle name="Good 2 2" xfId="210" xr:uid="{00000000-0005-0000-0000-0000D2000000}"/>
    <cellStyle name="Grey" xfId="211" xr:uid="{00000000-0005-0000-0000-0000D3000000}"/>
    <cellStyle name="Grey 2" xfId="212" xr:uid="{00000000-0005-0000-0000-0000D4000000}"/>
    <cellStyle name="Header1" xfId="213" xr:uid="{00000000-0005-0000-0000-0000D5000000}"/>
    <cellStyle name="Header2" xfId="214" xr:uid="{00000000-0005-0000-0000-0000D6000000}"/>
    <cellStyle name="Heading1" xfId="215" xr:uid="{00000000-0005-0000-0000-0000D7000000}"/>
    <cellStyle name="Heading1 1" xfId="216" xr:uid="{00000000-0005-0000-0000-0000D8000000}"/>
    <cellStyle name="Heading2" xfId="217" xr:uid="{00000000-0005-0000-0000-0000D9000000}"/>
    <cellStyle name="Heading2 2" xfId="218" xr:uid="{00000000-0005-0000-0000-0000DA000000}"/>
    <cellStyle name="Hyperlink" xfId="219" builtinId="8"/>
    <cellStyle name="Hyperlink_S03. Schedule VI - AutoTec 2007-08" xfId="220" xr:uid="{00000000-0005-0000-0000-0000DC000000}"/>
    <cellStyle name="Hypertextový odkaz" xfId="221" xr:uid="{00000000-0005-0000-0000-0000DD000000}"/>
    <cellStyle name="Hypertextový odkaz 2" xfId="222" xr:uid="{00000000-0005-0000-0000-0000DE000000}"/>
    <cellStyle name="Input [yellow]" xfId="223" xr:uid="{00000000-0005-0000-0000-0000DF000000}"/>
    <cellStyle name="Input [yellow] 2" xfId="224" xr:uid="{00000000-0005-0000-0000-0000E0000000}"/>
    <cellStyle name="Labels - Style3" xfId="225" xr:uid="{00000000-0005-0000-0000-0000E1000000}"/>
    <cellStyle name="Link Currency (0)" xfId="226" xr:uid="{00000000-0005-0000-0000-0000E2000000}"/>
    <cellStyle name="Link Currency (2)" xfId="227" xr:uid="{00000000-0005-0000-0000-0000E3000000}"/>
    <cellStyle name="Link Units (0)" xfId="228" xr:uid="{00000000-0005-0000-0000-0000E4000000}"/>
    <cellStyle name="Link Units (1)" xfId="229" xr:uid="{00000000-0005-0000-0000-0000E5000000}"/>
    <cellStyle name="Link Units (2)" xfId="230" xr:uid="{00000000-0005-0000-0000-0000E6000000}"/>
    <cellStyle name="MANKAD" xfId="231" xr:uid="{00000000-0005-0000-0000-0000E7000000}"/>
    <cellStyle name="MANKAD 2" xfId="232" xr:uid="{00000000-0005-0000-0000-0000E8000000}"/>
    <cellStyle name="Millares [0]_10 AVERIAS MASIVAS + ANT" xfId="233" xr:uid="{00000000-0005-0000-0000-0000E9000000}"/>
    <cellStyle name="Millares_10 AVERIAS MASIVAS + ANT" xfId="234" xr:uid="{00000000-0005-0000-0000-0000EA000000}"/>
    <cellStyle name="Milliers [0]_A1_96VX" xfId="235" xr:uid="{00000000-0005-0000-0000-0000EB000000}"/>
    <cellStyle name="Milliers_A1_96VX" xfId="236" xr:uid="{00000000-0005-0000-0000-0000EC000000}"/>
    <cellStyle name="Moneda [0]_10 AVERIAS MASIVAS + ANT" xfId="237" xr:uid="{00000000-0005-0000-0000-0000ED000000}"/>
    <cellStyle name="Moneda_10 AVERIAS MASIVAS + ANT" xfId="238" xr:uid="{00000000-0005-0000-0000-0000EE000000}"/>
    <cellStyle name="Monétaire [0]_A1_96VX" xfId="239" xr:uid="{00000000-0005-0000-0000-0000EF000000}"/>
    <cellStyle name="Monétaire_A1_96VX" xfId="240" xr:uid="{00000000-0005-0000-0000-0000F0000000}"/>
    <cellStyle name="Monetario" xfId="241" xr:uid="{00000000-0005-0000-0000-0000F1000000}"/>
    <cellStyle name="Monetario 2" xfId="242" xr:uid="{00000000-0005-0000-0000-0000F2000000}"/>
    <cellStyle name="no dec" xfId="243" xr:uid="{00000000-0005-0000-0000-0000F3000000}"/>
    <cellStyle name="Nor}al" xfId="244" xr:uid="{00000000-0005-0000-0000-0000F4000000}"/>
    <cellStyle name="Normal" xfId="0" builtinId="0"/>
    <cellStyle name="Normal - Style1" xfId="245" xr:uid="{00000000-0005-0000-0000-0000F6000000}"/>
    <cellStyle name="Normal - Style1 2" xfId="246" xr:uid="{00000000-0005-0000-0000-0000F7000000}"/>
    <cellStyle name="Normal 10" xfId="247" xr:uid="{00000000-0005-0000-0000-0000F8000000}"/>
    <cellStyle name="Normal 10 2" xfId="248" xr:uid="{00000000-0005-0000-0000-0000F9000000}"/>
    <cellStyle name="Normal 10 2 2" xfId="249" xr:uid="{00000000-0005-0000-0000-0000FA000000}"/>
    <cellStyle name="Normal 10 3" xfId="479" xr:uid="{00000000-0005-0000-0000-0000FB000000}"/>
    <cellStyle name="Normal 100" xfId="250" xr:uid="{00000000-0005-0000-0000-0000FC000000}"/>
    <cellStyle name="Normal 101" xfId="251" xr:uid="{00000000-0005-0000-0000-0000FD000000}"/>
    <cellStyle name="Normal 102" xfId="252" xr:uid="{00000000-0005-0000-0000-0000FE000000}"/>
    <cellStyle name="Normal 103" xfId="253" xr:uid="{00000000-0005-0000-0000-0000FF000000}"/>
    <cellStyle name="Normal 104" xfId="254" xr:uid="{00000000-0005-0000-0000-000000010000}"/>
    <cellStyle name="Normal 105" xfId="255" xr:uid="{00000000-0005-0000-0000-000001010000}"/>
    <cellStyle name="Normal 106" xfId="256" xr:uid="{00000000-0005-0000-0000-000002010000}"/>
    <cellStyle name="Normal 107" xfId="257" xr:uid="{00000000-0005-0000-0000-000003010000}"/>
    <cellStyle name="Normal 107 2" xfId="481" xr:uid="{00000000-0005-0000-0000-000004010000}"/>
    <cellStyle name="Normal 108" xfId="258" xr:uid="{00000000-0005-0000-0000-000005010000}"/>
    <cellStyle name="Normal 109" xfId="259" xr:uid="{00000000-0005-0000-0000-000006010000}"/>
    <cellStyle name="Normal 109 2" xfId="483" xr:uid="{00000000-0005-0000-0000-000007010000}"/>
    <cellStyle name="Normal 11 2" xfId="260" xr:uid="{00000000-0005-0000-0000-000008010000}"/>
    <cellStyle name="Normal 110" xfId="261" xr:uid="{00000000-0005-0000-0000-000009010000}"/>
    <cellStyle name="Normal 110 2" xfId="486" xr:uid="{00000000-0005-0000-0000-00000A010000}"/>
    <cellStyle name="Normal 111" xfId="262" xr:uid="{00000000-0005-0000-0000-00000B010000}"/>
    <cellStyle name="Normal 111 2" xfId="487" xr:uid="{00000000-0005-0000-0000-00000C010000}"/>
    <cellStyle name="Normal 112" xfId="263" xr:uid="{00000000-0005-0000-0000-00000D010000}"/>
    <cellStyle name="Normal 112 2" xfId="488" xr:uid="{00000000-0005-0000-0000-00000E010000}"/>
    <cellStyle name="Normal 113" xfId="264" xr:uid="{00000000-0005-0000-0000-00000F010000}"/>
    <cellStyle name="Normal 113 2" xfId="489" xr:uid="{00000000-0005-0000-0000-000010010000}"/>
    <cellStyle name="Normal 114" xfId="265" xr:uid="{00000000-0005-0000-0000-000011010000}"/>
    <cellStyle name="Normal 114 2" xfId="490" xr:uid="{00000000-0005-0000-0000-000012010000}"/>
    <cellStyle name="Normal 115" xfId="266" xr:uid="{00000000-0005-0000-0000-000013010000}"/>
    <cellStyle name="Normal 115 2" xfId="491" xr:uid="{00000000-0005-0000-0000-000014010000}"/>
    <cellStyle name="Normal 116" xfId="267" xr:uid="{00000000-0005-0000-0000-000015010000}"/>
    <cellStyle name="Normal 116 2" xfId="492" xr:uid="{00000000-0005-0000-0000-000016010000}"/>
    <cellStyle name="Normal 117" xfId="268" xr:uid="{00000000-0005-0000-0000-000017010000}"/>
    <cellStyle name="Normal 117 2" xfId="484" xr:uid="{00000000-0005-0000-0000-000018010000}"/>
    <cellStyle name="Normal 118" xfId="269" xr:uid="{00000000-0005-0000-0000-000019010000}"/>
    <cellStyle name="Normal 118 2" xfId="482" xr:uid="{00000000-0005-0000-0000-00001A010000}"/>
    <cellStyle name="Normal 119" xfId="270" xr:uid="{00000000-0005-0000-0000-00001B010000}"/>
    <cellStyle name="Normal 120" xfId="271" xr:uid="{00000000-0005-0000-0000-00001C010000}"/>
    <cellStyle name="Normal 121" xfId="272" xr:uid="{00000000-0005-0000-0000-00001D010000}"/>
    <cellStyle name="Normal 122" xfId="273" xr:uid="{00000000-0005-0000-0000-00001E010000}"/>
    <cellStyle name="Normal 123" xfId="274" xr:uid="{00000000-0005-0000-0000-00001F010000}"/>
    <cellStyle name="Normal 124" xfId="275" xr:uid="{00000000-0005-0000-0000-000020010000}"/>
    <cellStyle name="Normal 125" xfId="276" xr:uid="{00000000-0005-0000-0000-000021010000}"/>
    <cellStyle name="Normal 126" xfId="277" xr:uid="{00000000-0005-0000-0000-000022010000}"/>
    <cellStyle name="Normal 127" xfId="278" xr:uid="{00000000-0005-0000-0000-000023010000}"/>
    <cellStyle name="Normal 128" xfId="279" xr:uid="{00000000-0005-0000-0000-000024010000}"/>
    <cellStyle name="Normal 129" xfId="280" xr:uid="{00000000-0005-0000-0000-000025010000}"/>
    <cellStyle name="Normal 13 2" xfId="281" xr:uid="{00000000-0005-0000-0000-000026010000}"/>
    <cellStyle name="Normal 130" xfId="282" xr:uid="{00000000-0005-0000-0000-000027010000}"/>
    <cellStyle name="Normal 131" xfId="283" xr:uid="{00000000-0005-0000-0000-000028010000}"/>
    <cellStyle name="Normal 132" xfId="284" xr:uid="{00000000-0005-0000-0000-000029010000}"/>
    <cellStyle name="Normal 133" xfId="285" xr:uid="{00000000-0005-0000-0000-00002A010000}"/>
    <cellStyle name="Normal 134" xfId="286" xr:uid="{00000000-0005-0000-0000-00002B010000}"/>
    <cellStyle name="Normal 135" xfId="287" xr:uid="{00000000-0005-0000-0000-00002C010000}"/>
    <cellStyle name="Normal 136" xfId="288" xr:uid="{00000000-0005-0000-0000-00002D010000}"/>
    <cellStyle name="Normal 137" xfId="289" xr:uid="{00000000-0005-0000-0000-00002E010000}"/>
    <cellStyle name="Normal 138" xfId="290" xr:uid="{00000000-0005-0000-0000-00002F010000}"/>
    <cellStyle name="Normal 139" xfId="291" xr:uid="{00000000-0005-0000-0000-000030010000}"/>
    <cellStyle name="Normal 14 2" xfId="292" xr:uid="{00000000-0005-0000-0000-000031010000}"/>
    <cellStyle name="Normal 15 2" xfId="293" xr:uid="{00000000-0005-0000-0000-000032010000}"/>
    <cellStyle name="Normal 16 2" xfId="294" xr:uid="{00000000-0005-0000-0000-000033010000}"/>
    <cellStyle name="Normal 17" xfId="295" xr:uid="{00000000-0005-0000-0000-000034010000}"/>
    <cellStyle name="Normal 17 2" xfId="296" xr:uid="{00000000-0005-0000-0000-000035010000}"/>
    <cellStyle name="Normal 2" xfId="297" xr:uid="{00000000-0005-0000-0000-000036010000}"/>
    <cellStyle name="Normal 2 2" xfId="298" xr:uid="{00000000-0005-0000-0000-000037010000}"/>
    <cellStyle name="Normal 2 2 2" xfId="299" xr:uid="{00000000-0005-0000-0000-000038010000}"/>
    <cellStyle name="Normal 2 3" xfId="300" xr:uid="{00000000-0005-0000-0000-000039010000}"/>
    <cellStyle name="Normal 2_Accounts" xfId="301" xr:uid="{00000000-0005-0000-0000-00003A010000}"/>
    <cellStyle name="Normal 2_Ayn Media Mar11 financials" xfId="302" xr:uid="{00000000-0005-0000-0000-00003B010000}"/>
    <cellStyle name="Normal 21" xfId="303" xr:uid="{00000000-0005-0000-0000-00003C010000}"/>
    <cellStyle name="Normal 23" xfId="304" xr:uid="{00000000-0005-0000-0000-00003D010000}"/>
    <cellStyle name="Normal 3" xfId="305" xr:uid="{00000000-0005-0000-0000-00003E010000}"/>
    <cellStyle name="Normal 3 2" xfId="306" xr:uid="{00000000-0005-0000-0000-00003F010000}"/>
    <cellStyle name="Normal 3 7" xfId="307" xr:uid="{00000000-0005-0000-0000-000040010000}"/>
    <cellStyle name="Normal 35" xfId="308" xr:uid="{00000000-0005-0000-0000-000041010000}"/>
    <cellStyle name="Normal 35 2" xfId="309" xr:uid="{00000000-0005-0000-0000-000042010000}"/>
    <cellStyle name="Normal 36" xfId="310" xr:uid="{00000000-0005-0000-0000-000043010000}"/>
    <cellStyle name="Normal 36 2" xfId="311" xr:uid="{00000000-0005-0000-0000-000044010000}"/>
    <cellStyle name="Normal 37" xfId="312" xr:uid="{00000000-0005-0000-0000-000045010000}"/>
    <cellStyle name="Normal 37 2" xfId="313" xr:uid="{00000000-0005-0000-0000-000046010000}"/>
    <cellStyle name="Normal 38 2" xfId="314" xr:uid="{00000000-0005-0000-0000-000047010000}"/>
    <cellStyle name="Normal 39" xfId="315" xr:uid="{00000000-0005-0000-0000-000048010000}"/>
    <cellStyle name="Normal 39 2" xfId="316" xr:uid="{00000000-0005-0000-0000-000049010000}"/>
    <cellStyle name="Normal 4" xfId="317" xr:uid="{00000000-0005-0000-0000-00004A010000}"/>
    <cellStyle name="Normal 4 2" xfId="318" xr:uid="{00000000-0005-0000-0000-00004B010000}"/>
    <cellStyle name="Normal 40" xfId="319" xr:uid="{00000000-0005-0000-0000-00004C010000}"/>
    <cellStyle name="Normal 40 2" xfId="320" xr:uid="{00000000-0005-0000-0000-00004D010000}"/>
    <cellStyle name="Normal 41" xfId="321" xr:uid="{00000000-0005-0000-0000-00004E010000}"/>
    <cellStyle name="Normal 41 2" xfId="322" xr:uid="{00000000-0005-0000-0000-00004F010000}"/>
    <cellStyle name="Normal 42" xfId="323" xr:uid="{00000000-0005-0000-0000-000050010000}"/>
    <cellStyle name="Normal 42 2" xfId="324" xr:uid="{00000000-0005-0000-0000-000051010000}"/>
    <cellStyle name="Normal 43" xfId="325" xr:uid="{00000000-0005-0000-0000-000052010000}"/>
    <cellStyle name="Normal 43 2" xfId="326" xr:uid="{00000000-0005-0000-0000-000053010000}"/>
    <cellStyle name="Normal 44 2" xfId="327" xr:uid="{00000000-0005-0000-0000-000054010000}"/>
    <cellStyle name="Normal 45" xfId="328" xr:uid="{00000000-0005-0000-0000-000055010000}"/>
    <cellStyle name="Normal 45 2" xfId="329" xr:uid="{00000000-0005-0000-0000-000056010000}"/>
    <cellStyle name="Normal 46" xfId="330" xr:uid="{00000000-0005-0000-0000-000057010000}"/>
    <cellStyle name="Normal 46 2" xfId="331" xr:uid="{00000000-0005-0000-0000-000058010000}"/>
    <cellStyle name="Normal 47 2" xfId="332" xr:uid="{00000000-0005-0000-0000-000059010000}"/>
    <cellStyle name="Normal 48" xfId="333" xr:uid="{00000000-0005-0000-0000-00005A010000}"/>
    <cellStyle name="Normal 48 2" xfId="334" xr:uid="{00000000-0005-0000-0000-00005B010000}"/>
    <cellStyle name="Normal 49 2" xfId="335" xr:uid="{00000000-0005-0000-0000-00005C010000}"/>
    <cellStyle name="Normal 5" xfId="336" xr:uid="{00000000-0005-0000-0000-00005D010000}"/>
    <cellStyle name="Normal 5 2" xfId="337" xr:uid="{00000000-0005-0000-0000-00005E010000}"/>
    <cellStyle name="Normal 50" xfId="338" xr:uid="{00000000-0005-0000-0000-00005F010000}"/>
    <cellStyle name="Normal 50 2" xfId="339" xr:uid="{00000000-0005-0000-0000-000060010000}"/>
    <cellStyle name="Normal 51 2" xfId="340" xr:uid="{00000000-0005-0000-0000-000061010000}"/>
    <cellStyle name="Normal 52" xfId="341" xr:uid="{00000000-0005-0000-0000-000062010000}"/>
    <cellStyle name="Normal 52 2" xfId="342" xr:uid="{00000000-0005-0000-0000-000063010000}"/>
    <cellStyle name="Normal 53 2" xfId="343" xr:uid="{00000000-0005-0000-0000-000064010000}"/>
    <cellStyle name="Normal 54 2" xfId="344" xr:uid="{00000000-0005-0000-0000-000065010000}"/>
    <cellStyle name="Normal 55 2" xfId="345" xr:uid="{00000000-0005-0000-0000-000066010000}"/>
    <cellStyle name="Normal 56" xfId="346" xr:uid="{00000000-0005-0000-0000-000067010000}"/>
    <cellStyle name="Normal 56 2" xfId="347" xr:uid="{00000000-0005-0000-0000-000068010000}"/>
    <cellStyle name="Normal 57" xfId="348" xr:uid="{00000000-0005-0000-0000-000069010000}"/>
    <cellStyle name="Normal 57 2" xfId="349" xr:uid="{00000000-0005-0000-0000-00006A010000}"/>
    <cellStyle name="Normal 58" xfId="350" xr:uid="{00000000-0005-0000-0000-00006B010000}"/>
    <cellStyle name="Normal 58 2" xfId="351" xr:uid="{00000000-0005-0000-0000-00006C010000}"/>
    <cellStyle name="Normal 6" xfId="352" xr:uid="{00000000-0005-0000-0000-00006D010000}"/>
    <cellStyle name="Normal 60" xfId="353" xr:uid="{00000000-0005-0000-0000-00006E010000}"/>
    <cellStyle name="Normal 60 2" xfId="354" xr:uid="{00000000-0005-0000-0000-00006F010000}"/>
    <cellStyle name="Normal 61 2" xfId="355" xr:uid="{00000000-0005-0000-0000-000070010000}"/>
    <cellStyle name="Normal 62" xfId="356" xr:uid="{00000000-0005-0000-0000-000071010000}"/>
    <cellStyle name="Normal 62 2" xfId="357" xr:uid="{00000000-0005-0000-0000-000072010000}"/>
    <cellStyle name="Normal 63" xfId="358" xr:uid="{00000000-0005-0000-0000-000073010000}"/>
    <cellStyle name="Normal 63 2" xfId="359" xr:uid="{00000000-0005-0000-0000-000074010000}"/>
    <cellStyle name="Normal 64" xfId="360" xr:uid="{00000000-0005-0000-0000-000075010000}"/>
    <cellStyle name="Normal 64 2" xfId="361" xr:uid="{00000000-0005-0000-0000-000076010000}"/>
    <cellStyle name="Normal 65 2" xfId="362" xr:uid="{00000000-0005-0000-0000-000077010000}"/>
    <cellStyle name="Normal 66" xfId="363" xr:uid="{00000000-0005-0000-0000-000078010000}"/>
    <cellStyle name="Normal 66 2" xfId="364" xr:uid="{00000000-0005-0000-0000-000079010000}"/>
    <cellStyle name="Normal 67 2" xfId="365" xr:uid="{00000000-0005-0000-0000-00007A010000}"/>
    <cellStyle name="Normal 68" xfId="366" xr:uid="{00000000-0005-0000-0000-00007B010000}"/>
    <cellStyle name="Normal 68 2" xfId="367" xr:uid="{00000000-0005-0000-0000-00007C010000}"/>
    <cellStyle name="Normal 69" xfId="368" xr:uid="{00000000-0005-0000-0000-00007D010000}"/>
    <cellStyle name="Normal 69 2" xfId="369" xr:uid="{00000000-0005-0000-0000-00007E010000}"/>
    <cellStyle name="Normal 7 2" xfId="370" xr:uid="{00000000-0005-0000-0000-00007F010000}"/>
    <cellStyle name="Normal 70" xfId="371" xr:uid="{00000000-0005-0000-0000-000080010000}"/>
    <cellStyle name="Normal 70 2" xfId="372" xr:uid="{00000000-0005-0000-0000-000081010000}"/>
    <cellStyle name="Normal 71 2" xfId="373" xr:uid="{00000000-0005-0000-0000-000082010000}"/>
    <cellStyle name="Normal 72" xfId="374" xr:uid="{00000000-0005-0000-0000-000083010000}"/>
    <cellStyle name="Normal 72 2" xfId="375" xr:uid="{00000000-0005-0000-0000-000084010000}"/>
    <cellStyle name="Normal 73" xfId="376" xr:uid="{00000000-0005-0000-0000-000085010000}"/>
    <cellStyle name="Normal 73 2" xfId="377" xr:uid="{00000000-0005-0000-0000-000086010000}"/>
    <cellStyle name="Normal 74 2" xfId="378" xr:uid="{00000000-0005-0000-0000-000087010000}"/>
    <cellStyle name="Normal 75" xfId="379" xr:uid="{00000000-0005-0000-0000-000088010000}"/>
    <cellStyle name="Normal 75 2" xfId="380" xr:uid="{00000000-0005-0000-0000-000089010000}"/>
    <cellStyle name="Normal 76" xfId="381" xr:uid="{00000000-0005-0000-0000-00008A010000}"/>
    <cellStyle name="Normal 76 2" xfId="382" xr:uid="{00000000-0005-0000-0000-00008B010000}"/>
    <cellStyle name="Normal 77" xfId="383" xr:uid="{00000000-0005-0000-0000-00008C010000}"/>
    <cellStyle name="Normal 77 2" xfId="384" xr:uid="{00000000-0005-0000-0000-00008D010000}"/>
    <cellStyle name="Normal 78" xfId="385" xr:uid="{00000000-0005-0000-0000-00008E010000}"/>
    <cellStyle name="Normal 78 2" xfId="386" xr:uid="{00000000-0005-0000-0000-00008F010000}"/>
    <cellStyle name="Normal 79" xfId="387" xr:uid="{00000000-0005-0000-0000-000090010000}"/>
    <cellStyle name="Normal 79 2" xfId="388" xr:uid="{00000000-0005-0000-0000-000091010000}"/>
    <cellStyle name="Normal 8 2" xfId="389" xr:uid="{00000000-0005-0000-0000-000092010000}"/>
    <cellStyle name="Normal 8 3" xfId="390" xr:uid="{00000000-0005-0000-0000-000093010000}"/>
    <cellStyle name="Normal 81" xfId="391" xr:uid="{00000000-0005-0000-0000-000094010000}"/>
    <cellStyle name="Normal 81 2" xfId="392" xr:uid="{00000000-0005-0000-0000-000095010000}"/>
    <cellStyle name="Normal 82" xfId="393" xr:uid="{00000000-0005-0000-0000-000096010000}"/>
    <cellStyle name="Normal 82 2" xfId="394" xr:uid="{00000000-0005-0000-0000-000097010000}"/>
    <cellStyle name="Normal 83" xfId="395" xr:uid="{00000000-0005-0000-0000-000098010000}"/>
    <cellStyle name="Normal 83 2" xfId="396" xr:uid="{00000000-0005-0000-0000-000099010000}"/>
    <cellStyle name="Normal 84" xfId="397" xr:uid="{00000000-0005-0000-0000-00009A010000}"/>
    <cellStyle name="Normal 84 2" xfId="398" xr:uid="{00000000-0005-0000-0000-00009B010000}"/>
    <cellStyle name="Normal 85" xfId="399" xr:uid="{00000000-0005-0000-0000-00009C010000}"/>
    <cellStyle name="Normal 85 2" xfId="400" xr:uid="{00000000-0005-0000-0000-00009D010000}"/>
    <cellStyle name="Normal 86" xfId="401" xr:uid="{00000000-0005-0000-0000-00009E010000}"/>
    <cellStyle name="Normal 86 2" xfId="402" xr:uid="{00000000-0005-0000-0000-00009F010000}"/>
    <cellStyle name="Normal 87" xfId="403" xr:uid="{00000000-0005-0000-0000-0000A0010000}"/>
    <cellStyle name="Normal 87 2" xfId="404" xr:uid="{00000000-0005-0000-0000-0000A1010000}"/>
    <cellStyle name="Normal 88 2" xfId="405" xr:uid="{00000000-0005-0000-0000-0000A2010000}"/>
    <cellStyle name="Normal 89" xfId="406" xr:uid="{00000000-0005-0000-0000-0000A3010000}"/>
    <cellStyle name="Normal 89 2" xfId="407" xr:uid="{00000000-0005-0000-0000-0000A4010000}"/>
    <cellStyle name="Normal 9 2" xfId="408" xr:uid="{00000000-0005-0000-0000-0000A5010000}"/>
    <cellStyle name="Normal 91" xfId="409" xr:uid="{00000000-0005-0000-0000-0000A6010000}"/>
    <cellStyle name="Normal 92 2" xfId="410" xr:uid="{00000000-0005-0000-0000-0000A7010000}"/>
    <cellStyle name="Normal 93" xfId="411" xr:uid="{00000000-0005-0000-0000-0000A8010000}"/>
    <cellStyle name="Normal 94" xfId="412" xr:uid="{00000000-0005-0000-0000-0000A9010000}"/>
    <cellStyle name="Normal 95" xfId="413" xr:uid="{00000000-0005-0000-0000-0000AA010000}"/>
    <cellStyle name="Normal 96" xfId="414" xr:uid="{00000000-0005-0000-0000-0000AB010000}"/>
    <cellStyle name="Normal 97" xfId="415" xr:uid="{00000000-0005-0000-0000-0000AC010000}"/>
    <cellStyle name="Normal 98" xfId="416" xr:uid="{00000000-0005-0000-0000-0000AD010000}"/>
    <cellStyle name="Normal 99" xfId="417" xr:uid="{00000000-0005-0000-0000-0000AE010000}"/>
    <cellStyle name="Normal_D. Sch-vi-23.06.05-final" xfId="418" xr:uid="{00000000-0005-0000-0000-0000AF010000}"/>
    <cellStyle name="Normal_Def Tax" xfId="419" xr:uid="{00000000-0005-0000-0000-0000B0010000}"/>
    <cellStyle name="Normal_S03. Schedule VI - AutoTec 2007-08" xfId="420" xr:uid="{00000000-0005-0000-0000-0000B1010000}"/>
    <cellStyle name="Normal_S3 SCPL-SCHVI 2005-06" xfId="421" xr:uid="{00000000-0005-0000-0000-0000B2010000}"/>
    <cellStyle name="Percent" xfId="422" builtinId="5"/>
    <cellStyle name="Percent [0]" xfId="423" xr:uid="{00000000-0005-0000-0000-0000B4010000}"/>
    <cellStyle name="Percent [0] 2" xfId="424" xr:uid="{00000000-0005-0000-0000-0000B5010000}"/>
    <cellStyle name="Percent [00]" xfId="425" xr:uid="{00000000-0005-0000-0000-0000B6010000}"/>
    <cellStyle name="Percent [00] 2" xfId="426" xr:uid="{00000000-0005-0000-0000-0000B7010000}"/>
    <cellStyle name="Percent [2]" xfId="427" xr:uid="{00000000-0005-0000-0000-0000B8010000}"/>
    <cellStyle name="Percent [2] 2" xfId="428" xr:uid="{00000000-0005-0000-0000-0000B9010000}"/>
    <cellStyle name="Percent 10" xfId="429" xr:uid="{00000000-0005-0000-0000-0000BA010000}"/>
    <cellStyle name="Percent 10 2 2" xfId="430" xr:uid="{00000000-0005-0000-0000-0000BB010000}"/>
    <cellStyle name="Percent 2" xfId="431" xr:uid="{00000000-0005-0000-0000-0000BC010000}"/>
    <cellStyle name="Percent 2 2" xfId="432" xr:uid="{00000000-0005-0000-0000-0000BD010000}"/>
    <cellStyle name="Percent 2 5" xfId="433" xr:uid="{00000000-0005-0000-0000-0000BE010000}"/>
    <cellStyle name="Percent 3" xfId="434" xr:uid="{00000000-0005-0000-0000-0000BF010000}"/>
    <cellStyle name="Percent 3 2" xfId="435" xr:uid="{00000000-0005-0000-0000-0000C0010000}"/>
    <cellStyle name="Percent 3 3" xfId="436" xr:uid="{00000000-0005-0000-0000-0000C1010000}"/>
    <cellStyle name="Percent 4" xfId="437" xr:uid="{00000000-0005-0000-0000-0000C2010000}"/>
    <cellStyle name="Percent 4 2" xfId="480" xr:uid="{00000000-0005-0000-0000-0000C3010000}"/>
    <cellStyle name="Percent 5" xfId="438" xr:uid="{00000000-0005-0000-0000-0000C4010000}"/>
    <cellStyle name="Percent 6" xfId="439" xr:uid="{00000000-0005-0000-0000-0000C5010000}"/>
    <cellStyle name="Percent 7" xfId="440" xr:uid="{00000000-0005-0000-0000-0000C6010000}"/>
    <cellStyle name="Popis" xfId="441" xr:uid="{00000000-0005-0000-0000-0000C7010000}"/>
    <cellStyle name="Popis 2" xfId="442" xr:uid="{00000000-0005-0000-0000-0000C8010000}"/>
    <cellStyle name="Porcentaje" xfId="443" xr:uid="{00000000-0005-0000-0000-0000C9010000}"/>
    <cellStyle name="Porcentaje 2" xfId="444" xr:uid="{00000000-0005-0000-0000-0000CA010000}"/>
    <cellStyle name="PrePop Currency (0)" xfId="445" xr:uid="{00000000-0005-0000-0000-0000CB010000}"/>
    <cellStyle name="PrePop Currency (2)" xfId="446" xr:uid="{00000000-0005-0000-0000-0000CC010000}"/>
    <cellStyle name="PrePop Units (0)" xfId="447" xr:uid="{00000000-0005-0000-0000-0000CD010000}"/>
    <cellStyle name="PrePop Units (1)" xfId="448" xr:uid="{00000000-0005-0000-0000-0000CE010000}"/>
    <cellStyle name="PrePop Units (2)" xfId="449" xr:uid="{00000000-0005-0000-0000-0000CF010000}"/>
    <cellStyle name="Reset  - Style7" xfId="450" xr:uid="{00000000-0005-0000-0000-0000D0010000}"/>
    <cellStyle name="RM" xfId="451" xr:uid="{00000000-0005-0000-0000-0000D1010000}"/>
    <cellStyle name="RM 2" xfId="452" xr:uid="{00000000-0005-0000-0000-0000D2010000}"/>
    <cellStyle name="Sledovaný hypertextový odkaz" xfId="453" xr:uid="{00000000-0005-0000-0000-0000D3010000}"/>
    <cellStyle name="Sledovaný hypertextový odkaz 2" xfId="454" xr:uid="{00000000-0005-0000-0000-0000D4010000}"/>
    <cellStyle name="Standard_2b_11" xfId="455" xr:uid="{00000000-0005-0000-0000-0000D5010000}"/>
    <cellStyle name="STYL1 - Style1" xfId="456" xr:uid="{00000000-0005-0000-0000-0000D6010000}"/>
    <cellStyle name="STYL1 - Style1 2" xfId="457" xr:uid="{00000000-0005-0000-0000-0000D7010000}"/>
    <cellStyle name="Style 1" xfId="458" xr:uid="{00000000-0005-0000-0000-0000D8010000}"/>
    <cellStyle name="Table  - Style6" xfId="459" xr:uid="{00000000-0005-0000-0000-0000D9010000}"/>
    <cellStyle name="Text Indent A" xfId="460" xr:uid="{00000000-0005-0000-0000-0000DA010000}"/>
    <cellStyle name="Text Indent B" xfId="461" xr:uid="{00000000-0005-0000-0000-0000DB010000}"/>
    <cellStyle name="Text Indent B 2" xfId="462" xr:uid="{00000000-0005-0000-0000-0000DC010000}"/>
    <cellStyle name="Text Indent C" xfId="463" xr:uid="{00000000-0005-0000-0000-0000DD010000}"/>
    <cellStyle name="Text Indent C 2" xfId="464" xr:uid="{00000000-0005-0000-0000-0000DE010000}"/>
    <cellStyle name="þ_x001d_ð&quot;_x000c_Býò_x000c_5ýU_x0001_e_x0005_¹,_x0007__x0001__x0001_" xfId="465" xr:uid="{00000000-0005-0000-0000-0000DF010000}"/>
    <cellStyle name="Times New Roman" xfId="466" xr:uid="{00000000-0005-0000-0000-0000E0010000}"/>
    <cellStyle name="Title  - Style1" xfId="467" xr:uid="{00000000-0005-0000-0000-0000E1010000}"/>
    <cellStyle name="TotCol - Style5" xfId="468" xr:uid="{00000000-0005-0000-0000-0000E2010000}"/>
    <cellStyle name="TotRow - Style4" xfId="469" xr:uid="{00000000-0005-0000-0000-0000E3010000}"/>
    <cellStyle name="Tusental (0)_pldt" xfId="470" xr:uid="{00000000-0005-0000-0000-0000E4010000}"/>
    <cellStyle name="Tusental_pldt" xfId="471" xr:uid="{00000000-0005-0000-0000-0000E5010000}"/>
    <cellStyle name="Valuta (0)_pldt" xfId="472" xr:uid="{00000000-0005-0000-0000-0000E6010000}"/>
    <cellStyle name="Valuta_pldt" xfId="473" xr:uid="{00000000-0005-0000-0000-0000E7010000}"/>
    <cellStyle name="Währung [0]_CAR" xfId="474" xr:uid="{00000000-0005-0000-0000-0000E8010000}"/>
    <cellStyle name="Währung_CAR" xfId="475" xr:uid="{00000000-0005-0000-0000-0000E9010000}"/>
    <cellStyle name="Обычный_44 расходы 2002" xfId="476" xr:uid="{00000000-0005-0000-0000-0000EA010000}"/>
    <cellStyle name="표준_Sheet5" xfId="477" xr:uid="{00000000-0005-0000-0000-0000EB010000}"/>
    <cellStyle name="標準_NSGVBudget2003" xfId="478" xr:uid="{00000000-0005-0000-0000-0000EC010000}"/>
  </cellStyles>
  <dxfs count="47">
    <dxf>
      <font>
        <condense val="0"/>
        <extend val="0"/>
        <color rgb="FF9C0006"/>
      </font>
      <fill>
        <patternFill>
          <bgColor rgb="FFFFC7CE"/>
        </patternFill>
      </fill>
    </dxf>
    <dxf>
      <font>
        <condense val="0"/>
        <extend val="0"/>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c2\d\Documents%20and%20Settings\administrator\Local%20Settings\Temporary%20Internet%20Files\Content.IE5\7C88GHDK\march2002-tax%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c2\d\Balancesheet-AY-2008-09\Tax%20audit%20templates\Client%20wps%20-%202003%20-04\Sanmar%20Speciality%20Chemicals%20%202004\Vidya%20wp\New%20Folder\SSCL%20ACCOUNTS%202004-Final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s"/>
      <sheetName val="sch 5"/>
      <sheetName val=" BS-sch 1-4"/>
      <sheetName val="BS-sch 6 &amp; 7"/>
      <sheetName val="BS-sch 8 &amp; 9"/>
      <sheetName val="PL-sch 10, 11 &amp; 12"/>
      <sheetName val="PL-sch 13, 14 &amp; 15"/>
      <sheetName val="GP Margin"/>
      <sheetName val="TRIAL BALANCE"/>
      <sheetName val="Clause 12 (b)"/>
      <sheetName val="pl-excl"/>
      <sheetName val="pl-incl"/>
      <sheetName val="down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BS"/>
      <sheetName val="CASHFLOW"/>
      <sheetName val="PL sch 1"/>
      <sheetName val="PL SCH2"/>
      <sheetName val="BS sch1"/>
      <sheetName val="BS sch2"/>
      <sheetName val="FA"/>
      <sheetName val="BS sch 3"/>
      <sheetName val="BS sch 4"/>
      <sheetName val="Notes-1"/>
      <sheetName val="Notes-2"/>
      <sheetName val="Tax Prov"/>
      <sheetName val="Grouping"/>
      <sheetName val="P&amp;L Variance"/>
      <sheetName val="Balance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5"/>
  <sheetViews>
    <sheetView topLeftCell="A100" zoomScaleNormal="100" workbookViewId="0">
      <selection activeCell="B111" sqref="B111"/>
    </sheetView>
  </sheetViews>
  <sheetFormatPr defaultColWidth="9.140625" defaultRowHeight="15" customHeight="1"/>
  <cols>
    <col min="1" max="1" width="46.28515625" style="273" bestFit="1" customWidth="1"/>
    <col min="2" max="2" width="16.7109375" style="272" customWidth="1"/>
    <col min="3" max="3" width="15.5703125" style="272" bestFit="1" customWidth="1"/>
    <col min="4" max="4" width="4.7109375" style="272" customWidth="1"/>
    <col min="5" max="5" width="58" style="274" customWidth="1"/>
    <col min="6" max="7" width="9.140625" style="273" customWidth="1"/>
    <col min="8" max="8" width="9.5703125" style="273" bestFit="1" customWidth="1"/>
    <col min="9" max="16384" width="9.140625" style="273"/>
  </cols>
  <sheetData>
    <row r="1" spans="1:5" ht="15" customHeight="1">
      <c r="A1" s="1052" t="s">
        <v>556</v>
      </c>
      <c r="B1" s="1052"/>
      <c r="C1" s="1052"/>
    </row>
    <row r="2" spans="1:5" ht="15" customHeight="1">
      <c r="A2" s="1053" t="s">
        <v>394</v>
      </c>
      <c r="B2" s="1053"/>
      <c r="C2" s="1053"/>
    </row>
    <row r="3" spans="1:5" ht="15" customHeight="1">
      <c r="A3" s="1053" t="s">
        <v>395</v>
      </c>
      <c r="B3" s="1053"/>
      <c r="C3" s="1053"/>
    </row>
    <row r="4" spans="1:5" ht="15" customHeight="1">
      <c r="A4" s="1054" t="s">
        <v>557</v>
      </c>
      <c r="B4" s="1054"/>
      <c r="C4" s="1054"/>
      <c r="E4" s="274">
        <v>1000</v>
      </c>
    </row>
    <row r="5" spans="1:5" ht="15" customHeight="1">
      <c r="A5" s="401"/>
      <c r="B5" s="887"/>
      <c r="C5" s="887"/>
    </row>
    <row r="6" spans="1:5" ht="15" customHeight="1">
      <c r="A6" s="400" t="s">
        <v>1093</v>
      </c>
      <c r="B6" s="1055" t="s">
        <v>1395</v>
      </c>
      <c r="C6" s="1055"/>
    </row>
    <row r="7" spans="1:5" ht="15" customHeight="1">
      <c r="A7" s="400"/>
      <c r="B7" s="888"/>
      <c r="C7" s="888"/>
    </row>
    <row r="8" spans="1:5" ht="15" customHeight="1">
      <c r="A8" s="311" t="s">
        <v>16</v>
      </c>
      <c r="B8" s="407" t="s">
        <v>201</v>
      </c>
      <c r="C8" s="407" t="s">
        <v>200</v>
      </c>
      <c r="E8" s="275" t="s">
        <v>472</v>
      </c>
    </row>
    <row r="9" spans="1:5" ht="15" customHeight="1">
      <c r="A9" s="312"/>
      <c r="B9" s="313"/>
      <c r="C9" s="313"/>
      <c r="E9" s="275"/>
    </row>
    <row r="10" spans="1:5" ht="15" customHeight="1">
      <c r="A10" s="732" t="s">
        <v>199</v>
      </c>
      <c r="B10" s="889">
        <v>56896.006999999998</v>
      </c>
      <c r="C10" s="889">
        <v>0</v>
      </c>
      <c r="E10" s="274" t="str">
        <f>VLOOKUP(A10,'Link Sheet'!A:A,1,0)</f>
        <v>Opening Stock</v>
      </c>
    </row>
    <row r="11" spans="1:5" ht="15" customHeight="1">
      <c r="A11" s="733" t="s">
        <v>1257</v>
      </c>
      <c r="B11" s="890">
        <v>234.42099999999999</v>
      </c>
      <c r="C11" s="890">
        <v>0</v>
      </c>
      <c r="E11" s="274" t="str">
        <f>VLOOKUP(A11,'Link Sheet'!A:A,1,0)</f>
        <v>Ace Metro Enterprises</v>
      </c>
    </row>
    <row r="12" spans="1:5" ht="15" customHeight="1">
      <c r="A12" s="733" t="s">
        <v>1258</v>
      </c>
      <c r="B12" s="890">
        <v>4.5430000000000001</v>
      </c>
      <c r="C12" s="890">
        <v>0</v>
      </c>
      <c r="E12" s="274" t="str">
        <f>VLOOKUP(A12,'Link Sheet'!A:A,1,0)</f>
        <v>AC Zone Private Limited</v>
      </c>
    </row>
    <row r="13" spans="1:5" ht="15" customHeight="1">
      <c r="A13" s="733" t="s">
        <v>1396</v>
      </c>
      <c r="B13" s="890">
        <v>167.54</v>
      </c>
      <c r="C13" s="890">
        <v>0</v>
      </c>
      <c r="E13" s="274" t="str">
        <f>VLOOKUP(A13,'Link Sheet'!A:A,1,0)</f>
        <v>Adithya Wire Mesh Solutions</v>
      </c>
    </row>
    <row r="14" spans="1:5" ht="15" customHeight="1">
      <c r="A14" s="733" t="s">
        <v>1082</v>
      </c>
      <c r="B14" s="890">
        <v>0</v>
      </c>
      <c r="C14" s="890">
        <v>77.88</v>
      </c>
      <c r="E14" s="274" t="str">
        <f>VLOOKUP(A14,'Link Sheet'!A:A,1,0)</f>
        <v>Advance Paints Pvt Ltd</v>
      </c>
    </row>
    <row r="15" spans="1:5" ht="15" customHeight="1">
      <c r="A15" s="733" t="s">
        <v>1259</v>
      </c>
      <c r="B15" s="890">
        <v>3000</v>
      </c>
      <c r="C15" s="890">
        <v>0</v>
      </c>
      <c r="E15" s="274" t="str">
        <f>VLOOKUP(A15,'Link Sheet'!A:A,1,0)</f>
        <v>Advance Tax</v>
      </c>
    </row>
    <row r="16" spans="1:5" ht="15" customHeight="1">
      <c r="A16" s="733" t="s">
        <v>740</v>
      </c>
      <c r="B16" s="890">
        <v>23.731999999999999</v>
      </c>
      <c r="C16" s="890">
        <v>0</v>
      </c>
      <c r="E16" s="274" t="str">
        <f>VLOOKUP(A16,'Link Sheet'!A:A,1,0)</f>
        <v>Advertising Expenses</v>
      </c>
    </row>
    <row r="17" spans="1:5" ht="15" customHeight="1">
      <c r="A17" s="733" t="s">
        <v>1260</v>
      </c>
      <c r="B17" s="890">
        <v>1.7</v>
      </c>
      <c r="C17" s="890">
        <v>0</v>
      </c>
      <c r="E17" s="274" t="str">
        <f>VLOOKUP(A17,'Link Sheet'!A:A,1,0)</f>
        <v>Air Clime Engineers</v>
      </c>
    </row>
    <row r="18" spans="1:5" ht="15" customHeight="1">
      <c r="A18" s="733" t="s">
        <v>558</v>
      </c>
      <c r="B18" s="890">
        <v>40.201999999999998</v>
      </c>
      <c r="C18" s="890">
        <v>0</v>
      </c>
      <c r="E18" s="274" t="str">
        <f>VLOOKUP(A18,'Link Sheet'!A:A,1,0)</f>
        <v>Air Comfort</v>
      </c>
    </row>
    <row r="19" spans="1:5" ht="15" customHeight="1">
      <c r="A19" s="733" t="s">
        <v>209</v>
      </c>
      <c r="B19" s="890">
        <v>199.78399999999999</v>
      </c>
      <c r="C19" s="890">
        <v>0</v>
      </c>
      <c r="E19" s="274" t="str">
        <f>VLOOKUP(A19,'Link Sheet'!A:A,1,0)</f>
        <v>Airconditioners</v>
      </c>
    </row>
    <row r="20" spans="1:5" ht="15" customHeight="1">
      <c r="A20" s="733" t="s">
        <v>1261</v>
      </c>
      <c r="B20" s="890">
        <v>29.058</v>
      </c>
      <c r="C20" s="890">
        <v>0</v>
      </c>
      <c r="E20" s="274" t="str">
        <f>VLOOKUP(A20,'Link Sheet'!A:A,1,0)</f>
        <v>Air Cool</v>
      </c>
    </row>
    <row r="21" spans="1:5" ht="15" customHeight="1">
      <c r="A21" s="733" t="s">
        <v>559</v>
      </c>
      <c r="B21" s="890">
        <v>1048.9480000000001</v>
      </c>
      <c r="C21" s="890">
        <v>0</v>
      </c>
      <c r="E21" s="274" t="str">
        <f>VLOOKUP(A21,'Link Sheet'!A:A,1,0)</f>
        <v>Airflow Equipments India Pvt Limited</v>
      </c>
    </row>
    <row r="22" spans="1:5" ht="15" customHeight="1">
      <c r="A22" s="733" t="s">
        <v>1262</v>
      </c>
      <c r="B22" s="890">
        <v>438.02</v>
      </c>
      <c r="C22" s="890">
        <v>0</v>
      </c>
      <c r="E22" s="274" t="str">
        <f>VLOOKUP(A22,'Link Sheet'!A:A,1,0)</f>
        <v>Airflow Equipments India Pvt Limited(P)</v>
      </c>
    </row>
    <row r="23" spans="1:5" ht="15" customHeight="1">
      <c r="A23" s="733" t="s">
        <v>1263</v>
      </c>
      <c r="B23" s="890">
        <v>0.40300000000000002</v>
      </c>
      <c r="C23" s="890">
        <v>0</v>
      </c>
      <c r="E23" s="274" t="str">
        <f>VLOOKUP(A23,'Link Sheet'!A:A,1,0)</f>
        <v>Air  Freeze Corporation</v>
      </c>
    </row>
    <row r="24" spans="1:5" ht="15" customHeight="1">
      <c r="A24" s="733" t="s">
        <v>1264</v>
      </c>
      <c r="B24" s="890">
        <v>117.595</v>
      </c>
      <c r="C24" s="890">
        <v>0</v>
      </c>
      <c r="E24" s="274" t="str">
        <f>VLOOKUP(A24,'Link Sheet'!A:A,1,0)</f>
        <v>Air Friendly Enterprises</v>
      </c>
    </row>
    <row r="25" spans="1:5" ht="15" customHeight="1">
      <c r="A25" s="733" t="s">
        <v>1265</v>
      </c>
      <c r="B25" s="890">
        <v>0</v>
      </c>
      <c r="C25" s="890">
        <v>4.524</v>
      </c>
      <c r="E25" s="274" t="str">
        <f>VLOOKUP(A25,'Link Sheet'!A:A,1,0)</f>
        <v>Airmech Engineers</v>
      </c>
    </row>
    <row r="26" spans="1:5" ht="15" customHeight="1">
      <c r="A26" s="733" t="s">
        <v>1266</v>
      </c>
      <c r="B26" s="890">
        <v>1.0620000000000001</v>
      </c>
      <c r="C26" s="890">
        <v>0</v>
      </c>
      <c r="E26" s="274" t="str">
        <f>VLOOKUP(A26,'Link Sheet'!A:A,1,0)</f>
        <v>Airomech Systems Pvt Ltd</v>
      </c>
    </row>
    <row r="27" spans="1:5" ht="15" customHeight="1">
      <c r="A27" s="733" t="s">
        <v>1397</v>
      </c>
      <c r="B27" s="890">
        <v>37.856000000000002</v>
      </c>
      <c r="C27" s="890">
        <v>0</v>
      </c>
      <c r="E27" s="274" t="str">
        <f>VLOOKUP(A27,'Link Sheet'!A:A,1,0)</f>
        <v>Airtech Engineers</v>
      </c>
    </row>
    <row r="28" spans="1:5" ht="15" customHeight="1">
      <c r="A28" s="733" t="s">
        <v>1083</v>
      </c>
      <c r="B28" s="890">
        <v>0</v>
      </c>
      <c r="C28" s="890">
        <v>27.73</v>
      </c>
      <c r="E28" s="274" t="str">
        <f>VLOOKUP(A28,'Link Sheet'!A:A,1,0)</f>
        <v>Air Water India Private Limited</v>
      </c>
    </row>
    <row r="29" spans="1:5" ht="15" customHeight="1">
      <c r="A29" s="733" t="s">
        <v>1267</v>
      </c>
      <c r="B29" s="890">
        <v>0</v>
      </c>
      <c r="C29" s="890">
        <v>74.316000000000003</v>
      </c>
      <c r="E29" s="274" t="str">
        <f>VLOOKUP(A29,'Link Sheet'!A:A,1,0)</f>
        <v>A.K.Steel &amp; Traders</v>
      </c>
    </row>
    <row r="30" spans="1:5" ht="15" customHeight="1">
      <c r="A30" s="733" t="s">
        <v>560</v>
      </c>
      <c r="B30" s="890">
        <v>603.52</v>
      </c>
      <c r="C30" s="890">
        <v>0</v>
      </c>
      <c r="E30" s="274" t="str">
        <f>VLOOKUP(A30,'Link Sheet'!A:A,1,0)</f>
        <v>Allowances</v>
      </c>
    </row>
    <row r="31" spans="1:5" ht="15" customHeight="1">
      <c r="A31" s="733" t="s">
        <v>1033</v>
      </c>
      <c r="B31" s="890">
        <v>0</v>
      </c>
      <c r="C31" s="890">
        <v>3379.6559999999999</v>
      </c>
      <c r="E31" s="274" t="str">
        <f>VLOOKUP(A31,'Link Sheet'!A:A,1,0)</f>
        <v>Alomex Profiles Pvt Ltd</v>
      </c>
    </row>
    <row r="32" spans="1:5" ht="15" customHeight="1">
      <c r="A32" s="733" t="s">
        <v>422</v>
      </c>
      <c r="B32" s="890">
        <v>0</v>
      </c>
      <c r="C32" s="890">
        <v>613.52300000000002</v>
      </c>
      <c r="E32" s="274" t="str">
        <f>VLOOKUP(A32,'Link Sheet'!A:A,1,0)</f>
        <v>Aluminium Sales Corporation</v>
      </c>
    </row>
    <row r="33" spans="1:5" ht="15" customHeight="1">
      <c r="A33" s="733" t="s">
        <v>1268</v>
      </c>
      <c r="B33" s="890">
        <v>100</v>
      </c>
      <c r="C33" s="890">
        <v>0</v>
      </c>
      <c r="E33" s="274" t="str">
        <f>VLOOKUP(A33,'Link Sheet'!A:A,1,0)</f>
        <v>Amada India Pvt Ltd</v>
      </c>
    </row>
    <row r="34" spans="1:5" ht="15" customHeight="1">
      <c r="A34" s="733" t="s">
        <v>1398</v>
      </c>
      <c r="B34" s="890">
        <v>0</v>
      </c>
      <c r="C34" s="890">
        <v>5</v>
      </c>
      <c r="E34" s="274" t="str">
        <f>VLOOKUP(A34,'Link Sheet'!A:A,1,0)</f>
        <v>Annai Water Supply</v>
      </c>
    </row>
    <row r="35" spans="1:5" ht="15" customHeight="1">
      <c r="A35" s="733" t="s">
        <v>741</v>
      </c>
      <c r="B35" s="890">
        <v>124.39831</v>
      </c>
      <c r="C35" s="890">
        <v>0</v>
      </c>
      <c r="E35" s="274" t="str">
        <f>VLOOKUP(A35,'Link Sheet'!A:A,1,0)</f>
        <v>Annual Maintenance Charges</v>
      </c>
    </row>
    <row r="36" spans="1:5" ht="15" customHeight="1">
      <c r="A36" s="733" t="s">
        <v>398</v>
      </c>
      <c r="B36" s="890">
        <v>0</v>
      </c>
      <c r="C36" s="890">
        <v>16.696999999999999</v>
      </c>
      <c r="E36" s="274" t="str">
        <f>VLOOKUP(A36,'Link Sheet'!A:A,1,0)</f>
        <v>Anu Industries</v>
      </c>
    </row>
    <row r="37" spans="1:5" ht="15" customHeight="1">
      <c r="A37" s="733" t="s">
        <v>1399</v>
      </c>
      <c r="B37" s="890">
        <v>0</v>
      </c>
      <c r="C37" s="890">
        <v>75.513999999999996</v>
      </c>
      <c r="E37" s="274" t="str">
        <f>VLOOKUP(A37,'Link Sheet'!A:A,1,0)</f>
        <v>A.P.R Engineering</v>
      </c>
    </row>
    <row r="38" spans="1:5" ht="15" customHeight="1">
      <c r="A38" s="733" t="s">
        <v>1034</v>
      </c>
      <c r="B38" s="890">
        <v>0</v>
      </c>
      <c r="C38" s="890">
        <v>30</v>
      </c>
      <c r="E38" s="274" t="str">
        <f>VLOOKUP(A38,'Link Sheet'!A:A,1,0)</f>
        <v>Aravind Airconditioners Sales &amp; Services</v>
      </c>
    </row>
    <row r="39" spans="1:5" ht="15" customHeight="1">
      <c r="A39" s="733" t="s">
        <v>561</v>
      </c>
      <c r="B39" s="890">
        <v>0</v>
      </c>
      <c r="C39" s="890">
        <v>44.570999999999998</v>
      </c>
      <c r="E39" s="274" t="str">
        <f>VLOOKUP(A39,'Link Sheet'!A:A,1,0)</f>
        <v>Aravind Engineering Works</v>
      </c>
    </row>
    <row r="40" spans="1:5" ht="15" customHeight="1">
      <c r="A40" s="733" t="s">
        <v>1269</v>
      </c>
      <c r="B40" s="890">
        <v>18.015000000000001</v>
      </c>
      <c r="C40" s="890">
        <v>0</v>
      </c>
      <c r="E40" s="274" t="str">
        <f>VLOOKUP(A40,'Link Sheet'!A:A,1,0)</f>
        <v>Arctic Comfort Engineers</v>
      </c>
    </row>
    <row r="41" spans="1:5" ht="15" customHeight="1">
      <c r="A41" s="733" t="s">
        <v>1270</v>
      </c>
      <c r="B41" s="890">
        <v>0.72</v>
      </c>
      <c r="C41" s="890">
        <v>0</v>
      </c>
      <c r="E41" s="274" t="str">
        <f>VLOOKUP(A41,'Link Sheet'!A:A,1,0)</f>
        <v>Arihant Aluminium Agencies</v>
      </c>
    </row>
    <row r="42" spans="1:5" ht="15" customHeight="1">
      <c r="A42" s="733" t="s">
        <v>1156</v>
      </c>
      <c r="B42" s="890">
        <v>12.2</v>
      </c>
      <c r="C42" s="890">
        <v>0</v>
      </c>
      <c r="E42" s="274" t="str">
        <f>VLOOKUP(A42,'Link Sheet'!A:A,1,0)</f>
        <v>Asfak - Contract Welder</v>
      </c>
    </row>
    <row r="43" spans="1:5" ht="15" customHeight="1">
      <c r="A43" s="733" t="s">
        <v>1400</v>
      </c>
      <c r="B43" s="890">
        <v>0</v>
      </c>
      <c r="C43" s="890">
        <v>43.75</v>
      </c>
      <c r="E43" s="274" t="str">
        <f>VLOOKUP(A43,'Link Sheet'!A:A,1,0)</f>
        <v>Aston Packaging Solutions</v>
      </c>
    </row>
    <row r="44" spans="1:5" ht="15" customHeight="1">
      <c r="A44" s="733" t="s">
        <v>742</v>
      </c>
      <c r="B44" s="890">
        <v>0</v>
      </c>
      <c r="C44" s="890">
        <v>165.238</v>
      </c>
      <c r="E44" s="274" t="str">
        <f>VLOOKUP(A44,'Link Sheet'!A:A,1,0)</f>
        <v>Atlas Tools Suppliers</v>
      </c>
    </row>
    <row r="45" spans="1:5" ht="15" customHeight="1">
      <c r="A45" s="733" t="s">
        <v>562</v>
      </c>
      <c r="B45" s="890">
        <v>175</v>
      </c>
      <c r="C45" s="890">
        <v>0</v>
      </c>
      <c r="E45" s="274" t="str">
        <f>VLOOKUP(A45,'Link Sheet'!A:A,1,0)</f>
        <v>Audit Fee Paid</v>
      </c>
    </row>
    <row r="46" spans="1:5" ht="15" customHeight="1">
      <c r="A46" s="733" t="s">
        <v>1271</v>
      </c>
      <c r="B46" s="890">
        <v>0</v>
      </c>
      <c r="C46" s="890">
        <v>24.155000000000001</v>
      </c>
      <c r="E46" s="274" t="str">
        <f>VLOOKUP(A46,'Link Sheet'!A:A,1,0)</f>
        <v>Austopearl Foundry Technologies</v>
      </c>
    </row>
    <row r="47" spans="1:5" ht="15" customHeight="1">
      <c r="A47" s="733" t="s">
        <v>563</v>
      </c>
      <c r="B47" s="890">
        <v>0</v>
      </c>
      <c r="C47" s="890">
        <v>943.90800000000002</v>
      </c>
      <c r="E47" s="274" t="str">
        <f>VLOOKUP(A47,'Link Sheet'!A:A,1,0)</f>
        <v>Automotive Rubber Sealings &amp; Coatings</v>
      </c>
    </row>
    <row r="48" spans="1:5" ht="15" customHeight="1">
      <c r="A48" s="733" t="s">
        <v>1401</v>
      </c>
      <c r="B48" s="890">
        <v>1957.6365000000001</v>
      </c>
      <c r="C48" s="890">
        <v>0</v>
      </c>
      <c r="E48" s="274" t="str">
        <f>VLOOKUP(A48,'Link Sheet'!A:A,1,0)</f>
        <v>Avalon Technology and Services Pvt Ltd (SEZ)</v>
      </c>
    </row>
    <row r="49" spans="1:8" ht="15" customHeight="1">
      <c r="A49" s="733" t="s">
        <v>1402</v>
      </c>
      <c r="B49" s="890">
        <v>637.20000000000005</v>
      </c>
      <c r="C49" s="890">
        <v>0</v>
      </c>
      <c r="E49" s="274" t="str">
        <f>VLOOKUP(A49,'Link Sheet'!A:A,1,0)</f>
        <v>Avalon Technology and Services Pvt Ltd (SIPCOT)</v>
      </c>
    </row>
    <row r="50" spans="1:8" ht="15" customHeight="1">
      <c r="A50" s="733" t="s">
        <v>1272</v>
      </c>
      <c r="B50" s="890">
        <v>500</v>
      </c>
      <c r="C50" s="890">
        <v>0</v>
      </c>
      <c r="E50" s="274" t="str">
        <f>VLOOKUP(A50,'Link Sheet'!A:A,1,0)</f>
        <v>AVK  Structurals</v>
      </c>
    </row>
    <row r="51" spans="1:8" ht="15" customHeight="1">
      <c r="A51" s="733" t="s">
        <v>1273</v>
      </c>
      <c r="B51" s="890">
        <v>172.322</v>
      </c>
      <c r="C51" s="890">
        <v>0</v>
      </c>
      <c r="E51" s="274" t="str">
        <f>VLOOKUP(A51,'Link Sheet'!A:A,1,0)</f>
        <v>AV Sattva Pvt Ltd</v>
      </c>
    </row>
    <row r="52" spans="1:8" ht="15" customHeight="1">
      <c r="A52" s="733" t="s">
        <v>122</v>
      </c>
      <c r="B52" s="890">
        <v>3014.9695299999998</v>
      </c>
      <c r="C52" s="890">
        <v>0</v>
      </c>
      <c r="E52" s="274" t="str">
        <f>VLOOKUP(A52,'Link Sheet'!A:A,1,0)</f>
        <v>Bank Charges</v>
      </c>
    </row>
    <row r="53" spans="1:8" ht="15" customHeight="1">
      <c r="A53" s="733" t="s">
        <v>1274</v>
      </c>
      <c r="B53" s="890">
        <v>0.33900000000000002</v>
      </c>
      <c r="C53" s="890">
        <v>0</v>
      </c>
      <c r="E53" s="274" t="str">
        <f>VLOOKUP(A53,'Link Sheet'!A:A,1,0)</f>
        <v>Bansal Wire Industries</v>
      </c>
    </row>
    <row r="54" spans="1:8" ht="15" customHeight="1">
      <c r="A54" s="733" t="s">
        <v>1275</v>
      </c>
      <c r="B54" s="890">
        <v>34.109000000000002</v>
      </c>
      <c r="C54" s="890">
        <v>0</v>
      </c>
      <c r="E54" s="274" t="str">
        <f>VLOOKUP(A54,'Link Sheet'!A:A,1,0)</f>
        <v>Best Comfort System</v>
      </c>
    </row>
    <row r="55" spans="1:8" ht="15" customHeight="1">
      <c r="A55" s="733" t="s">
        <v>564</v>
      </c>
      <c r="B55" s="890">
        <v>8.5589999999999993</v>
      </c>
      <c r="C55" s="890">
        <v>0</v>
      </c>
      <c r="E55" s="274" t="str">
        <f>VLOOKUP(A55,'Link Sheet'!A:A,1,0)</f>
        <v>Best Cool Engineering</v>
      </c>
    </row>
    <row r="56" spans="1:8" ht="15" customHeight="1">
      <c r="A56" s="733" t="s">
        <v>1098</v>
      </c>
      <c r="B56" s="890">
        <v>0</v>
      </c>
      <c r="C56" s="890">
        <v>8.5868599999999997</v>
      </c>
      <c r="E56" s="274" t="str">
        <f>VLOOKUP(A56,'Link Sheet'!A:A,1,0)</f>
        <v>Bharathi Airtel Limited</v>
      </c>
    </row>
    <row r="57" spans="1:8" ht="15" customHeight="1">
      <c r="A57" s="733" t="s">
        <v>1086</v>
      </c>
      <c r="B57" s="890">
        <v>0</v>
      </c>
      <c r="C57" s="890">
        <v>3.1</v>
      </c>
      <c r="E57" s="274" t="str">
        <f>VLOOKUP(A57,'Link Sheet'!A:A,1,0)</f>
        <v>Bharathi Power Tools &amp; Service Centre</v>
      </c>
    </row>
    <row r="58" spans="1:8" ht="15" customHeight="1">
      <c r="A58" s="733" t="s">
        <v>565</v>
      </c>
      <c r="B58" s="890">
        <v>165.55</v>
      </c>
      <c r="C58" s="890">
        <v>0</v>
      </c>
      <c r="E58" s="274" t="str">
        <f>VLOOKUP(A58,'Link Sheet'!A:A,1,0)</f>
        <v>Bonus - Staff</v>
      </c>
    </row>
    <row r="59" spans="1:8" ht="15" customHeight="1">
      <c r="A59" s="733" t="s">
        <v>566</v>
      </c>
      <c r="B59" s="890">
        <v>1013.998</v>
      </c>
      <c r="C59" s="890">
        <v>0</v>
      </c>
      <c r="E59" s="274" t="str">
        <f>VLOOKUP(A59,'Link Sheet'!A:A,1,0)</f>
        <v>Bonus - Wages</v>
      </c>
    </row>
    <row r="60" spans="1:8" ht="15" customHeight="1">
      <c r="A60" s="733" t="s">
        <v>1084</v>
      </c>
      <c r="B60" s="890">
        <v>0</v>
      </c>
      <c r="C60" s="890">
        <v>30.658999999999999</v>
      </c>
      <c r="E60" s="274" t="str">
        <f>VLOOKUP(A60,'Link Sheet'!A:A,1,0)</f>
        <v>Bright Aluminium</v>
      </c>
      <c r="H60" s="276"/>
    </row>
    <row r="61" spans="1:8" ht="15" customHeight="1">
      <c r="A61" s="733" t="s">
        <v>1099</v>
      </c>
      <c r="B61" s="890">
        <v>0</v>
      </c>
      <c r="C61" s="890">
        <v>0.69099999999999995</v>
      </c>
      <c r="E61" s="274" t="str">
        <f>VLOOKUP(A61,'Link Sheet'!A:A,1,0)</f>
        <v>BSNL Telephones</v>
      </c>
    </row>
    <row r="62" spans="1:8" ht="15" customHeight="1">
      <c r="A62" s="733" t="s">
        <v>743</v>
      </c>
      <c r="B62" s="890">
        <v>79001.33587000001</v>
      </c>
      <c r="C62" s="890">
        <v>0</v>
      </c>
      <c r="E62" s="274" t="str">
        <f>VLOOKUP(A62,'Link Sheet'!A:A,1,0)</f>
        <v>Building - Sathari Village - Tiruvallur</v>
      </c>
    </row>
    <row r="63" spans="1:8" ht="15" customHeight="1">
      <c r="A63" s="733" t="s">
        <v>1403</v>
      </c>
      <c r="B63" s="890">
        <v>0</v>
      </c>
      <c r="C63" s="890">
        <v>16.204999999999998</v>
      </c>
      <c r="E63" s="274" t="str">
        <f>VLOOKUP(A63,'Link Sheet'!A:A,1,0)</f>
        <v>Burhani Industrial Supplies</v>
      </c>
    </row>
    <row r="64" spans="1:8" ht="15" customHeight="1">
      <c r="A64" s="733" t="s">
        <v>406</v>
      </c>
      <c r="B64" s="890">
        <v>1402.32</v>
      </c>
      <c r="C64" s="890">
        <v>0</v>
      </c>
      <c r="E64" s="274" t="str">
        <f>VLOOKUP(A64,'Link Sheet'!A:A,1,0)</f>
        <v>Carriage Inward</v>
      </c>
    </row>
    <row r="65" spans="1:5" ht="15" customHeight="1">
      <c r="A65" s="733" t="s">
        <v>180</v>
      </c>
      <c r="B65" s="890">
        <v>5461.5427800000007</v>
      </c>
      <c r="C65" s="890">
        <v>0</v>
      </c>
      <c r="E65" s="274" t="str">
        <f>VLOOKUP(A65,'Link Sheet'!A:A,1,0)</f>
        <v>Carriage Outward</v>
      </c>
    </row>
    <row r="66" spans="1:5" ht="15" customHeight="1">
      <c r="A66" s="733" t="s">
        <v>291</v>
      </c>
      <c r="B66" s="890">
        <v>3583.4769999999999</v>
      </c>
      <c r="C66" s="890">
        <v>0</v>
      </c>
      <c r="E66" s="274" t="str">
        <f>VLOOKUP(A66,'Link Sheet'!A:A,1,0)</f>
        <v>Cars</v>
      </c>
    </row>
    <row r="67" spans="1:5" ht="15" customHeight="1">
      <c r="A67" s="733" t="s">
        <v>427</v>
      </c>
      <c r="B67" s="890">
        <v>14.292999999999999</v>
      </c>
      <c r="C67" s="890">
        <v>0</v>
      </c>
      <c r="E67" s="274" t="str">
        <f>VLOOKUP(A67,'Link Sheet'!A:A,1,0)</f>
        <v>Cash</v>
      </c>
    </row>
    <row r="68" spans="1:5" ht="15" customHeight="1">
      <c r="A68" s="733" t="s">
        <v>744</v>
      </c>
      <c r="B68" s="890">
        <v>4.9589999999999996</v>
      </c>
      <c r="C68" s="890">
        <v>0</v>
      </c>
      <c r="E68" s="274" t="str">
        <f>VLOOKUP(A68,'Link Sheet'!A:A,1,0)</f>
        <v>Cash - Mappedu</v>
      </c>
    </row>
    <row r="69" spans="1:5" ht="15" customHeight="1">
      <c r="A69" s="733" t="s">
        <v>1276</v>
      </c>
      <c r="B69" s="890">
        <v>316.50990000000002</v>
      </c>
      <c r="C69" s="890">
        <v>0</v>
      </c>
      <c r="E69" s="274" t="str">
        <f>VLOOKUP(A69,'Link Sheet'!A:A,1,0)</f>
        <v>Certification Expense</v>
      </c>
    </row>
    <row r="70" spans="1:5" ht="15" customHeight="1">
      <c r="A70" s="733" t="s">
        <v>1100</v>
      </c>
      <c r="B70" s="890">
        <v>4109.72</v>
      </c>
      <c r="C70" s="890">
        <v>0</v>
      </c>
      <c r="E70" s="274" t="str">
        <f>VLOOKUP(A70,'Link Sheet'!A:A,1,0)</f>
        <v>CGST Cash Ledger</v>
      </c>
    </row>
    <row r="71" spans="1:5" ht="15" customHeight="1">
      <c r="A71" s="733" t="s">
        <v>274</v>
      </c>
      <c r="B71" s="890">
        <v>0</v>
      </c>
      <c r="C71" s="890">
        <v>14.718</v>
      </c>
      <c r="E71" s="274" t="str">
        <f>VLOOKUP(A71,'Link Sheet'!A:A,1,0)</f>
        <v>Chandru Press Tools</v>
      </c>
    </row>
    <row r="72" spans="1:5" ht="15" customHeight="1">
      <c r="A72" s="733" t="s">
        <v>1035</v>
      </c>
      <c r="B72" s="890">
        <v>0</v>
      </c>
      <c r="C72" s="890">
        <v>62.67</v>
      </c>
      <c r="E72" s="274" t="str">
        <f>VLOOKUP(A72,'Link Sheet'!A:A,1,0)</f>
        <v>Chennai Bearing Centre</v>
      </c>
    </row>
    <row r="73" spans="1:5" ht="15" customHeight="1">
      <c r="A73" s="733" t="s">
        <v>1157</v>
      </c>
      <c r="B73" s="890">
        <v>0</v>
      </c>
      <c r="C73" s="890">
        <v>14.75</v>
      </c>
      <c r="E73" s="274" t="str">
        <f>VLOOKUP(A73,'Link Sheet'!A:A,1,0)</f>
        <v>Chennai Mettex Lab Private Limited</v>
      </c>
    </row>
    <row r="74" spans="1:5" ht="15" customHeight="1">
      <c r="A74" s="733" t="s">
        <v>1036</v>
      </c>
      <c r="B74" s="890">
        <v>26.88</v>
      </c>
      <c r="C74" s="890">
        <v>0</v>
      </c>
      <c r="E74" s="274" t="str">
        <f>VLOOKUP(A74,'Link Sheet'!A:A,1,0)</f>
        <v>Chennai Radha Engineering Works Pvt Ltd</v>
      </c>
    </row>
    <row r="75" spans="1:5" ht="15" customHeight="1">
      <c r="A75" s="733" t="s">
        <v>1404</v>
      </c>
      <c r="B75" s="890">
        <v>0</v>
      </c>
      <c r="C75" s="890">
        <v>0.68500000000000005</v>
      </c>
      <c r="E75" s="274" t="str">
        <f>VLOOKUP(A75,'Link Sheet'!A:A,1,0)</f>
        <v>Chennai Steel Tubes</v>
      </c>
    </row>
    <row r="76" spans="1:5" ht="15" customHeight="1">
      <c r="A76" s="733" t="s">
        <v>1277</v>
      </c>
      <c r="B76" s="890">
        <v>3.9129999999999998</v>
      </c>
      <c r="C76" s="890">
        <v>0</v>
      </c>
      <c r="E76" s="274" t="str">
        <f>VLOOKUP(A76,'Link Sheet'!A:A,1,0)</f>
        <v>Chillzone System</v>
      </c>
    </row>
    <row r="77" spans="1:5" ht="15" customHeight="1">
      <c r="A77" s="733" t="s">
        <v>1037</v>
      </c>
      <c r="B77" s="890">
        <v>0</v>
      </c>
      <c r="C77" s="890">
        <v>47</v>
      </c>
      <c r="E77" s="274" t="str">
        <f>VLOOKUP(A77,'Link Sheet'!A:A,1,0)</f>
        <v>Coastal Steels</v>
      </c>
    </row>
    <row r="78" spans="1:5" ht="15" customHeight="1">
      <c r="A78" s="733" t="s">
        <v>1278</v>
      </c>
      <c r="B78" s="890">
        <v>49.625999999999998</v>
      </c>
      <c r="C78" s="890">
        <v>0</v>
      </c>
      <c r="E78" s="274" t="str">
        <f>VLOOKUP(A78,'Link Sheet'!A:A,1,0)</f>
        <v>Cold Point Private Limited</v>
      </c>
    </row>
    <row r="79" spans="1:5" ht="15" customHeight="1">
      <c r="A79" s="733" t="s">
        <v>1279</v>
      </c>
      <c r="B79" s="890">
        <v>28.628</v>
      </c>
      <c r="C79" s="890">
        <v>0</v>
      </c>
      <c r="E79" s="274" t="str">
        <f>VLOOKUP(A79,'Link Sheet'!A:A,1,0)</f>
        <v>Comfort Cooling Systems</v>
      </c>
    </row>
    <row r="80" spans="1:5" ht="15" customHeight="1">
      <c r="A80" s="733" t="s">
        <v>745</v>
      </c>
      <c r="B80" s="890">
        <v>109.61</v>
      </c>
      <c r="C80" s="890">
        <v>0</v>
      </c>
      <c r="E80" s="274" t="str">
        <f>VLOOKUP(A80,'Link Sheet'!A:A,1,0)</f>
        <v>Commission &amp; Brokerage</v>
      </c>
    </row>
    <row r="81" spans="1:5" ht="15" customHeight="1">
      <c r="A81" s="733" t="s">
        <v>163</v>
      </c>
      <c r="B81" s="890">
        <v>1878.1845800000001</v>
      </c>
      <c r="C81" s="890">
        <v>0</v>
      </c>
      <c r="E81" s="274" t="str">
        <f>VLOOKUP(A81,'Link Sheet'!A:A,1,0)</f>
        <v>Computers</v>
      </c>
    </row>
    <row r="82" spans="1:5" ht="15" customHeight="1">
      <c r="A82" s="733" t="s">
        <v>568</v>
      </c>
      <c r="B82" s="890">
        <v>334.99400000000003</v>
      </c>
      <c r="C82" s="890">
        <v>0</v>
      </c>
      <c r="E82" s="274" t="str">
        <f>VLOOKUP(A82,'Link Sheet'!A:A,1,0)</f>
        <v>Conveyance Expenses</v>
      </c>
    </row>
    <row r="83" spans="1:5" ht="15" customHeight="1">
      <c r="A83" s="733" t="s">
        <v>1039</v>
      </c>
      <c r="B83" s="890">
        <v>2.8319999999999999</v>
      </c>
      <c r="C83" s="890">
        <v>0</v>
      </c>
      <c r="E83" s="274" t="str">
        <f>VLOOKUP(A83,'Link Sheet'!A:A,1,0)</f>
        <v>Cool Makers</v>
      </c>
    </row>
    <row r="84" spans="1:5" ht="15" customHeight="1">
      <c r="A84" s="733" t="s">
        <v>746</v>
      </c>
      <c r="B84" s="890">
        <v>23.983000000000001</v>
      </c>
      <c r="C84" s="890">
        <v>0</v>
      </c>
      <c r="E84" s="274" t="str">
        <f>VLOOKUP(A84,'Link Sheet'!A:A,1,0)</f>
        <v>Cool Point Engineers</v>
      </c>
    </row>
    <row r="85" spans="1:5" ht="15" customHeight="1">
      <c r="A85" s="733" t="s">
        <v>1280</v>
      </c>
      <c r="B85" s="890">
        <v>5.9790000000000001</v>
      </c>
      <c r="C85" s="890">
        <v>0</v>
      </c>
      <c r="E85" s="274" t="str">
        <f>VLOOKUP(A85,'Link Sheet'!A:A,1,0)</f>
        <v>Coolzone(Coimbatore)</v>
      </c>
    </row>
    <row r="86" spans="1:5" ht="15" customHeight="1">
      <c r="A86" s="733" t="s">
        <v>569</v>
      </c>
      <c r="B86" s="890">
        <v>158.29</v>
      </c>
      <c r="C86" s="890">
        <v>0</v>
      </c>
      <c r="E86" s="274" t="str">
        <f>VLOOKUP(A86,'Link Sheet'!A:A,1,0)</f>
        <v>Cool Zone HVAC</v>
      </c>
    </row>
    <row r="87" spans="1:5" ht="15" customHeight="1">
      <c r="A87" s="733" t="s">
        <v>407</v>
      </c>
      <c r="B87" s="890">
        <v>7.8295699999999995</v>
      </c>
      <c r="C87" s="890">
        <v>0</v>
      </c>
      <c r="E87" s="274" t="str">
        <f>VLOOKUP(A87,'Link Sheet'!A:A,1,0)</f>
        <v>Courier Charges</v>
      </c>
    </row>
    <row r="88" spans="1:5" ht="15" customHeight="1">
      <c r="A88" s="733" t="s">
        <v>749</v>
      </c>
      <c r="B88" s="890">
        <v>234.15</v>
      </c>
      <c r="C88" s="890">
        <v>0</v>
      </c>
      <c r="E88" s="274" t="str">
        <f>VLOOKUP(A88,'Link Sheet'!A:A,1,0)</f>
        <v>Crane Hire Charges</v>
      </c>
    </row>
    <row r="89" spans="1:5" ht="15" customHeight="1">
      <c r="A89" s="733" t="s">
        <v>1281</v>
      </c>
      <c r="B89" s="890">
        <v>18</v>
      </c>
      <c r="C89" s="890">
        <v>0</v>
      </c>
      <c r="E89" s="274" t="str">
        <f>VLOOKUP(A89,'Link Sheet'!A:A,1,0)</f>
        <v>Crane Hire Charges (W/o TDS)</v>
      </c>
    </row>
    <row r="90" spans="1:5" ht="15" customHeight="1">
      <c r="A90" s="733" t="s">
        <v>750</v>
      </c>
      <c r="B90" s="890">
        <v>0</v>
      </c>
      <c r="C90" s="890">
        <v>137.05370000000002</v>
      </c>
      <c r="E90" s="274" t="str">
        <f>VLOOKUP(A90,'Link Sheet'!A:A,1,0)</f>
        <v>Creditors Written Off</v>
      </c>
    </row>
    <row r="91" spans="1:5" ht="15" customHeight="1">
      <c r="A91" s="733" t="s">
        <v>751</v>
      </c>
      <c r="B91" s="890">
        <v>41.335000000000001</v>
      </c>
      <c r="C91" s="890">
        <v>0</v>
      </c>
      <c r="E91" s="274" t="str">
        <f>VLOOKUP(A91,'Link Sheet'!A:A,1,0)</f>
        <v>C Square Engineering</v>
      </c>
    </row>
    <row r="92" spans="1:5" ht="15" customHeight="1">
      <c r="A92" s="733" t="s">
        <v>1282</v>
      </c>
      <c r="B92" s="890">
        <v>115.04600000000001</v>
      </c>
      <c r="C92" s="890">
        <v>0</v>
      </c>
      <c r="E92" s="274" t="str">
        <f>VLOOKUP(A92,'Link Sheet'!A:A,1,0)</f>
        <v>CST ITC Reversal</v>
      </c>
    </row>
    <row r="93" spans="1:5" ht="15" customHeight="1">
      <c r="A93" s="733" t="s">
        <v>1118</v>
      </c>
      <c r="B93" s="890">
        <v>1.8440000000000001</v>
      </c>
      <c r="C93" s="890">
        <v>0</v>
      </c>
      <c r="E93" s="274" t="str">
        <f>VLOOKUP(A93,'Link Sheet'!A:A,1,0)</f>
        <v>CVR Aircon Private Limited</v>
      </c>
    </row>
    <row r="94" spans="1:5" ht="15" customHeight="1">
      <c r="A94" s="733" t="s">
        <v>1040</v>
      </c>
      <c r="B94" s="890">
        <v>42.718000000000004</v>
      </c>
      <c r="C94" s="890">
        <v>0</v>
      </c>
      <c r="E94" s="274" t="str">
        <f>VLOOKUP(A94,'Link Sheet'!A:A,1,0)</f>
        <v>Debtors Write Off</v>
      </c>
    </row>
    <row r="95" spans="1:5" ht="15" customHeight="1">
      <c r="A95" s="733" t="s">
        <v>1283</v>
      </c>
      <c r="B95" s="890">
        <v>0</v>
      </c>
      <c r="C95" s="890">
        <v>2719.2719999999999</v>
      </c>
      <c r="E95" s="274" t="str">
        <f>VLOOKUP(A95,'Link Sheet'!A:A,1,0)</f>
        <v>Deep Engineers</v>
      </c>
    </row>
    <row r="96" spans="1:5" ht="15" customHeight="1">
      <c r="A96" s="733" t="s">
        <v>403</v>
      </c>
      <c r="B96" s="890">
        <v>0</v>
      </c>
      <c r="C96" s="890">
        <v>4666.3068499999999</v>
      </c>
      <c r="E96" s="274" t="str">
        <f>VLOOKUP(A96,'Link Sheet'!A:A,1,0)</f>
        <v>Deferrd Tax Liability</v>
      </c>
    </row>
    <row r="97" spans="1:5" ht="15" customHeight="1">
      <c r="A97" s="733" t="s">
        <v>1284</v>
      </c>
      <c r="B97" s="890">
        <v>1.3360000000000001</v>
      </c>
      <c r="C97" s="890">
        <v>0</v>
      </c>
      <c r="E97" s="274" t="str">
        <f>VLOOKUP(A97,'Link Sheet'!A:A,1,0)</f>
        <v>Delight Enterprises</v>
      </c>
    </row>
    <row r="98" spans="1:5" ht="15" customHeight="1">
      <c r="A98" s="733" t="s">
        <v>570</v>
      </c>
      <c r="B98" s="890">
        <v>919.1259</v>
      </c>
      <c r="C98" s="890">
        <v>0</v>
      </c>
      <c r="E98" s="274" t="str">
        <f>VLOOKUP(A98,'Link Sheet'!A:A,1,0)</f>
        <v>Delivery Charges</v>
      </c>
    </row>
    <row r="99" spans="1:5" ht="15" customHeight="1">
      <c r="A99" s="733" t="s">
        <v>717</v>
      </c>
      <c r="B99" s="890">
        <v>32221.599999999999</v>
      </c>
      <c r="C99" s="890">
        <v>0</v>
      </c>
      <c r="E99" s="274" t="str">
        <f>VLOOKUP(A99,'Link Sheet'!A:A,1,0)</f>
        <v>Depreciation</v>
      </c>
    </row>
    <row r="100" spans="1:5" ht="15" customHeight="1">
      <c r="A100" s="733" t="s">
        <v>1041</v>
      </c>
      <c r="B100" s="890">
        <v>0</v>
      </c>
      <c r="C100" s="890">
        <v>184.78567000000001</v>
      </c>
      <c r="E100" s="274" t="str">
        <f>VLOOKUP(A100,'Link Sheet'!A:A,1,0)</f>
        <v>Depreciation - Air Conditioners</v>
      </c>
    </row>
    <row r="101" spans="1:5" ht="15" customHeight="1">
      <c r="A101" s="733" t="s">
        <v>1042</v>
      </c>
      <c r="B101" s="890">
        <v>0</v>
      </c>
      <c r="C101" s="890">
        <v>1445.11319</v>
      </c>
      <c r="E101" s="274" t="str">
        <f>VLOOKUP(A101,'Link Sheet'!A:A,1,0)</f>
        <v>Depreciation - Computers</v>
      </c>
    </row>
    <row r="102" spans="1:5" ht="15" customHeight="1">
      <c r="A102" s="733" t="s">
        <v>1043</v>
      </c>
      <c r="B102" s="890">
        <v>0</v>
      </c>
      <c r="C102" s="890">
        <v>12701.941999999999</v>
      </c>
      <c r="E102" s="274" t="str">
        <f>VLOOKUP(A102,'Link Sheet'!A:A,1,0)</f>
        <v>Depreciation - Electrical Installations</v>
      </c>
    </row>
    <row r="103" spans="1:5" ht="15" customHeight="1">
      <c r="A103" s="733" t="s">
        <v>1044</v>
      </c>
      <c r="B103" s="890">
        <v>0</v>
      </c>
      <c r="C103" s="890">
        <v>28012.353480000002</v>
      </c>
      <c r="E103" s="274" t="str">
        <f>VLOOKUP(A103,'Link Sheet'!A:A,1,0)</f>
        <v>Depreciation - Factory Building</v>
      </c>
    </row>
    <row r="104" spans="1:5" ht="15" customHeight="1">
      <c r="A104" s="733" t="s">
        <v>1045</v>
      </c>
      <c r="B104" s="890">
        <v>0</v>
      </c>
      <c r="C104" s="890">
        <v>1098.0076799999999</v>
      </c>
      <c r="E104" s="274" t="str">
        <f>VLOOKUP(A104,'Link Sheet'!A:A,1,0)</f>
        <v>Depreciation - Furniture &amp; Fixtures</v>
      </c>
    </row>
    <row r="105" spans="1:5" ht="15" customHeight="1">
      <c r="A105" s="733" t="s">
        <v>1046</v>
      </c>
      <c r="B105" s="890">
        <v>0</v>
      </c>
      <c r="C105" s="890">
        <v>24.224270000000001</v>
      </c>
      <c r="E105" s="274" t="str">
        <f>VLOOKUP(A105,'Link Sheet'!A:A,1,0)</f>
        <v>Depreciation - Invertor</v>
      </c>
    </row>
    <row r="106" spans="1:5" ht="15" customHeight="1">
      <c r="A106" s="733" t="s">
        <v>1047</v>
      </c>
      <c r="B106" s="890">
        <v>0</v>
      </c>
      <c r="C106" s="890">
        <v>656.01659999999993</v>
      </c>
      <c r="E106" s="274" t="str">
        <f>VLOOKUP(A106,'Link Sheet'!A:A,1,0)</f>
        <v>Depreciation - Office Equipments</v>
      </c>
    </row>
    <row r="107" spans="1:5" ht="15" customHeight="1">
      <c r="A107" s="733" t="s">
        <v>1048</v>
      </c>
      <c r="B107" s="890">
        <v>0</v>
      </c>
      <c r="C107" s="890">
        <v>102383.20123000001</v>
      </c>
      <c r="E107" s="274" t="str">
        <f>VLOOKUP(A107,'Link Sheet'!A:A,1,0)</f>
        <v>Depreciation - Plant &amp; Machineries</v>
      </c>
    </row>
    <row r="108" spans="1:5" ht="15" customHeight="1">
      <c r="A108" s="733" t="s">
        <v>1049</v>
      </c>
      <c r="B108" s="890">
        <v>0</v>
      </c>
      <c r="C108" s="890">
        <v>20.546349999999997</v>
      </c>
      <c r="E108" s="274" t="str">
        <f>VLOOKUP(A108,'Link Sheet'!A:A,1,0)</f>
        <v>Depreciation - Telephone Instruments</v>
      </c>
    </row>
    <row r="109" spans="1:5" ht="15" customHeight="1">
      <c r="A109" s="733" t="s">
        <v>1050</v>
      </c>
      <c r="B109" s="890">
        <v>0</v>
      </c>
      <c r="C109" s="890">
        <v>6409.4233600000007</v>
      </c>
      <c r="E109" s="274" t="str">
        <f>VLOOKUP(A109,'Link Sheet'!A:A,1,0)</f>
        <v>Depreciation - Vehicles</v>
      </c>
    </row>
    <row r="110" spans="1:5" ht="15" customHeight="1">
      <c r="A110" s="733" t="s">
        <v>1285</v>
      </c>
      <c r="B110" s="890">
        <v>44.356999999999999</v>
      </c>
      <c r="C110" s="890">
        <v>0</v>
      </c>
      <c r="E110" s="274" t="str">
        <f>VLOOKUP(A110,'Link Sheet'!A:A,1,0)</f>
        <v>Dewlite Enterprises Pvt Ltd</v>
      </c>
    </row>
    <row r="111" spans="1:5" ht="15" customHeight="1">
      <c r="A111" s="733" t="s">
        <v>571</v>
      </c>
      <c r="B111" s="890">
        <v>18000</v>
      </c>
      <c r="C111" s="890">
        <v>0</v>
      </c>
      <c r="E111" s="274" t="str">
        <f>VLOOKUP(A111,'Link Sheet'!A:A,1,0)</f>
        <v>Directors Remuneration</v>
      </c>
    </row>
    <row r="112" spans="1:5" ht="15" customHeight="1">
      <c r="A112" s="733" t="s">
        <v>1158</v>
      </c>
      <c r="B112" s="890">
        <v>0</v>
      </c>
      <c r="C112" s="890">
        <v>0.80900000000000005</v>
      </c>
      <c r="E112" s="274" t="str">
        <f>VLOOKUP(A112,'Link Sheet'!A:A,1,0)</f>
        <v>Discount Received</v>
      </c>
    </row>
    <row r="113" spans="1:5" ht="15" customHeight="1">
      <c r="A113" s="733" t="s">
        <v>1286</v>
      </c>
      <c r="B113" s="890">
        <v>105.245</v>
      </c>
      <c r="C113" s="890">
        <v>0</v>
      </c>
      <c r="E113" s="274" t="str">
        <f>VLOOKUP(A113,'Link Sheet'!A:A,1,0)</f>
        <v>Dongwoo Surfacetech (India) Pvt Ltd</v>
      </c>
    </row>
    <row r="114" spans="1:5" ht="15" customHeight="1">
      <c r="A114" s="733" t="s">
        <v>517</v>
      </c>
      <c r="B114" s="890">
        <v>567.91600000000005</v>
      </c>
      <c r="C114" s="890">
        <v>0</v>
      </c>
      <c r="E114" s="274" t="str">
        <f>VLOOKUP(A114,'Link Sheet'!A:A,1,0)</f>
        <v>Dosth Vehicle</v>
      </c>
    </row>
    <row r="115" spans="1:5" ht="15" customHeight="1">
      <c r="A115" s="733" t="s">
        <v>572</v>
      </c>
      <c r="B115" s="890">
        <v>0</v>
      </c>
      <c r="C115" s="890">
        <v>108.379</v>
      </c>
      <c r="E115" s="274" t="str">
        <f>VLOOKUP(A115,'Link Sheet'!A:A,1,0)</f>
        <v>D.S. Engineering</v>
      </c>
    </row>
    <row r="116" spans="1:5" ht="15" customHeight="1">
      <c r="A116" s="733" t="s">
        <v>1094</v>
      </c>
      <c r="B116" s="890">
        <v>0</v>
      </c>
      <c r="C116" s="890">
        <v>7.9359999999999999</v>
      </c>
      <c r="E116" s="274" t="str">
        <f>VLOOKUP(A116,'Link Sheet'!A:A,1,0)</f>
        <v>Dynamic Calibration Systems</v>
      </c>
    </row>
    <row r="117" spans="1:5" ht="15" customHeight="1">
      <c r="A117" s="733" t="s">
        <v>752</v>
      </c>
      <c r="B117" s="890">
        <v>629.90899999999999</v>
      </c>
      <c r="C117" s="890">
        <v>0</v>
      </c>
      <c r="E117" s="274" t="str">
        <f>VLOOKUP(A117,'Link Sheet'!A:A,1,0)</f>
        <v>E B Caution Deposit - Satharai Village</v>
      </c>
    </row>
    <row r="118" spans="1:5" ht="15" customHeight="1">
      <c r="A118" s="733" t="s">
        <v>1287</v>
      </c>
      <c r="B118" s="890">
        <v>0</v>
      </c>
      <c r="C118" s="890">
        <v>0.55000000000000004</v>
      </c>
      <c r="E118" s="274" t="str">
        <f>VLOOKUP(A118,'Link Sheet'!A:A,1,0)</f>
        <v>E-Concept Technologies</v>
      </c>
    </row>
    <row r="119" spans="1:5" ht="15" customHeight="1">
      <c r="A119" s="733" t="s">
        <v>753</v>
      </c>
      <c r="B119" s="890">
        <v>19682.886989999999</v>
      </c>
      <c r="C119" s="890">
        <v>0</v>
      </c>
      <c r="E119" s="274" t="str">
        <f>VLOOKUP(A119,'Link Sheet'!A:A,1,0)</f>
        <v>Electrical Equipments &amp; Installations</v>
      </c>
    </row>
    <row r="120" spans="1:5" ht="15" customHeight="1">
      <c r="A120" s="733" t="s">
        <v>574</v>
      </c>
      <c r="B120" s="890">
        <v>5903.482</v>
      </c>
      <c r="C120" s="890">
        <v>0</v>
      </c>
      <c r="E120" s="274" t="str">
        <f>VLOOKUP(A120,'Link Sheet'!A:A,1,0)</f>
        <v>Electricity Charges</v>
      </c>
    </row>
    <row r="121" spans="1:5" ht="15" customHeight="1">
      <c r="A121" s="733" t="s">
        <v>575</v>
      </c>
      <c r="B121" s="890">
        <v>0</v>
      </c>
      <c r="C121" s="890">
        <v>530.79999999999995</v>
      </c>
      <c r="E121" s="274" t="str">
        <f>VLOOKUP(A121,'Link Sheet'!A:A,1,0)</f>
        <v>Electricity Charges Payable</v>
      </c>
    </row>
    <row r="122" spans="1:5" ht="15" customHeight="1">
      <c r="A122" s="733" t="s">
        <v>1288</v>
      </c>
      <c r="B122" s="890">
        <v>47.564999999999998</v>
      </c>
      <c r="C122" s="890">
        <v>0</v>
      </c>
      <c r="E122" s="274" t="str">
        <f>VLOOKUP(A122,'Link Sheet'!A:A,1,0)</f>
        <v>Elite HVAC &amp; Refrigeration Systems</v>
      </c>
    </row>
    <row r="123" spans="1:5" ht="15" customHeight="1">
      <c r="A123" s="733" t="s">
        <v>1289</v>
      </c>
      <c r="B123" s="890">
        <v>31.55</v>
      </c>
      <c r="C123" s="890">
        <v>0</v>
      </c>
      <c r="E123" s="274" t="str">
        <f>VLOOKUP(A123,'Link Sheet'!A:A,1,0)</f>
        <v>Elite HVAC Systems</v>
      </c>
    </row>
    <row r="124" spans="1:5" ht="15" customHeight="1">
      <c r="A124" s="733" t="s">
        <v>1290</v>
      </c>
      <c r="B124" s="890">
        <v>0</v>
      </c>
      <c r="C124" s="890">
        <v>143.19300000000001</v>
      </c>
      <c r="E124" s="274" t="str">
        <f>VLOOKUP(A124,'Link Sheet'!A:A,1,0)</f>
        <v>Emperor Engineering Pvt Ltd</v>
      </c>
    </row>
    <row r="125" spans="1:5" ht="15" customHeight="1">
      <c r="A125" s="733" t="s">
        <v>576</v>
      </c>
      <c r="B125" s="890">
        <v>0</v>
      </c>
      <c r="C125" s="890">
        <v>0.84199999999999997</v>
      </c>
      <c r="E125" s="274" t="str">
        <f>VLOOKUP(A125,'Link Sheet'!A:A,1,0)</f>
        <v>ESI Employee Cont. Payable</v>
      </c>
    </row>
    <row r="126" spans="1:5" ht="15" customHeight="1">
      <c r="A126" s="733" t="s">
        <v>577</v>
      </c>
      <c r="B126" s="890">
        <v>0</v>
      </c>
      <c r="C126" s="890">
        <v>3.6240000000000001</v>
      </c>
      <c r="E126" s="274" t="str">
        <f>VLOOKUP(A126,'Link Sheet'!A:A,1,0)</f>
        <v>ESI Employer Cont. Payable</v>
      </c>
    </row>
    <row r="127" spans="1:5" ht="15" customHeight="1">
      <c r="A127" s="733" t="s">
        <v>578</v>
      </c>
      <c r="B127" s="890">
        <v>40.332999999999998</v>
      </c>
      <c r="C127" s="890">
        <v>0</v>
      </c>
      <c r="E127" s="274" t="str">
        <f>VLOOKUP(A127,'Link Sheet'!A:A,1,0)</f>
        <v>ESI Employer Contribution</v>
      </c>
    </row>
    <row r="128" spans="1:5" ht="15" customHeight="1">
      <c r="A128" s="733" t="s">
        <v>1291</v>
      </c>
      <c r="B128" s="890">
        <v>0</v>
      </c>
      <c r="C128" s="890">
        <v>2.8</v>
      </c>
      <c r="E128" s="274" t="str">
        <f>VLOOKUP(A128,'Link Sheet'!A:A,1,0)</f>
        <v>Eveready  Industries</v>
      </c>
    </row>
    <row r="129" spans="1:5" ht="15" customHeight="1">
      <c r="A129" s="733" t="s">
        <v>579</v>
      </c>
      <c r="B129" s="890">
        <v>0</v>
      </c>
      <c r="C129" s="890">
        <v>320.34199999999998</v>
      </c>
      <c r="E129" s="274" t="str">
        <f>VLOOKUP(A129,'Link Sheet'!A:A,1,0)</f>
        <v>Everest Engineering Enterprises</v>
      </c>
    </row>
    <row r="130" spans="1:5" ht="15" customHeight="1">
      <c r="A130" s="733" t="s">
        <v>1051</v>
      </c>
      <c r="B130" s="890">
        <v>600</v>
      </c>
      <c r="C130" s="890">
        <v>0</v>
      </c>
      <c r="E130" s="274" t="str">
        <f>VLOOKUP(A130,'Link Sheet'!A:A,1,0)</f>
        <v>Factory Advance - Jai Maruthi</v>
      </c>
    </row>
    <row r="131" spans="1:5" ht="15" customHeight="1">
      <c r="A131" s="733" t="s">
        <v>161</v>
      </c>
      <c r="B131" s="890">
        <v>3772.2714799999999</v>
      </c>
      <c r="C131" s="890">
        <v>0</v>
      </c>
      <c r="E131" s="274" t="str">
        <f>VLOOKUP(A131,'Link Sheet'!A:A,1,0)</f>
        <v>Factory Building</v>
      </c>
    </row>
    <row r="132" spans="1:5" ht="15" customHeight="1">
      <c r="A132" s="733" t="s">
        <v>1292</v>
      </c>
      <c r="B132" s="890">
        <v>36</v>
      </c>
      <c r="C132" s="890">
        <v>0</v>
      </c>
      <c r="E132" s="274" t="str">
        <f>VLOOKUP(A132,'Link Sheet'!A:A,1,0)</f>
        <v>Factory Licence Renewal Charges</v>
      </c>
    </row>
    <row r="133" spans="1:5" ht="15" customHeight="1">
      <c r="A133" s="733" t="s">
        <v>1293</v>
      </c>
      <c r="B133" s="890">
        <v>0</v>
      </c>
      <c r="C133" s="890">
        <v>0.21181</v>
      </c>
      <c r="E133" s="274" t="str">
        <f>VLOOKUP(A133,'Link Sheet'!A:A,1,0)</f>
        <v>FOREX GAIN/lOSS</v>
      </c>
    </row>
    <row r="134" spans="1:5" ht="15" customHeight="1">
      <c r="A134" s="733" t="s">
        <v>272</v>
      </c>
      <c r="B134" s="890">
        <v>0</v>
      </c>
      <c r="C134" s="890">
        <v>2551.3494999999998</v>
      </c>
      <c r="E134" s="274" t="str">
        <f>VLOOKUP(A134,'Link Sheet'!A:A,1,0)</f>
        <v>Freight Charges</v>
      </c>
    </row>
    <row r="135" spans="1:5" ht="15" customHeight="1">
      <c r="A135" s="733" t="s">
        <v>754</v>
      </c>
      <c r="B135" s="890">
        <v>0</v>
      </c>
      <c r="C135" s="890">
        <v>19.149999999999999</v>
      </c>
      <c r="E135" s="274" t="str">
        <f>VLOOKUP(A135,'Link Sheet'!A:A,1,0)</f>
        <v>Freight Charges - IGST</v>
      </c>
    </row>
    <row r="136" spans="1:5" ht="15" customHeight="1">
      <c r="A136" s="733" t="s">
        <v>580</v>
      </c>
      <c r="B136" s="890">
        <v>391.51703000000003</v>
      </c>
      <c r="C136" s="890">
        <v>0</v>
      </c>
      <c r="E136" s="274" t="str">
        <f>VLOOKUP(A136,'Link Sheet'!A:A,1,0)</f>
        <v>Freight Inward Charges</v>
      </c>
    </row>
    <row r="137" spans="1:5" ht="15" customHeight="1">
      <c r="A137" s="733" t="s">
        <v>259</v>
      </c>
      <c r="B137" s="890">
        <v>44.618000000000002</v>
      </c>
      <c r="C137" s="890">
        <v>0</v>
      </c>
      <c r="E137" s="274" t="str">
        <f>VLOOKUP(A137,'Link Sheet'!A:A,1,0)</f>
        <v>Fricon Engineers Pvt Ltd</v>
      </c>
    </row>
    <row r="138" spans="1:5" ht="15" customHeight="1">
      <c r="A138" s="733" t="s">
        <v>581</v>
      </c>
      <c r="B138" s="890">
        <v>1718.80647</v>
      </c>
      <c r="C138" s="890">
        <v>0</v>
      </c>
      <c r="E138" s="274" t="str">
        <f>VLOOKUP(A138,'Link Sheet'!A:A,1,0)</f>
        <v>Furniture &amp; Fixtures</v>
      </c>
    </row>
    <row r="139" spans="1:5" ht="15" customHeight="1">
      <c r="A139" s="733" t="s">
        <v>1442</v>
      </c>
      <c r="B139" s="890">
        <v>0</v>
      </c>
      <c r="C139" s="890">
        <v>39.6</v>
      </c>
      <c r="E139" s="274" t="str">
        <f>VLOOKUP(A139,'Link Sheet'!A:A,1,0)</f>
        <v>G.1.Rock Security &amp; Management Services</v>
      </c>
    </row>
    <row r="140" spans="1:5" ht="15" customHeight="1">
      <c r="A140" s="733" t="s">
        <v>1052</v>
      </c>
      <c r="B140" s="890">
        <v>819.28399999999999</v>
      </c>
      <c r="C140" s="890">
        <v>0</v>
      </c>
      <c r="E140" s="274" t="str">
        <f>VLOOKUP(A140,'Link Sheet'!A:A,1,0)</f>
        <v>Generator Diesel Expenses</v>
      </c>
    </row>
    <row r="141" spans="1:5" ht="15" customHeight="1">
      <c r="A141" s="733" t="s">
        <v>1053</v>
      </c>
      <c r="B141" s="890">
        <v>0</v>
      </c>
      <c r="C141" s="890">
        <v>1207.7159999999999</v>
      </c>
      <c r="E141" s="274" t="str">
        <f>VLOOKUP(A141,'Link Sheet'!A:A,1,0)</f>
        <v>GEZE India Private Limited</v>
      </c>
    </row>
    <row r="142" spans="1:5" ht="15" customHeight="1">
      <c r="A142" s="733" t="s">
        <v>1294</v>
      </c>
      <c r="B142" s="890">
        <v>7.3410000000000002</v>
      </c>
      <c r="C142" s="890">
        <v>0</v>
      </c>
      <c r="E142" s="274" t="str">
        <f>VLOOKUP(A142,'Link Sheet'!A:A,1,0)</f>
        <v>Glacier Systems India Pvt Ltd</v>
      </c>
    </row>
    <row r="143" spans="1:5" ht="15" customHeight="1">
      <c r="A143" s="733" t="s">
        <v>1295</v>
      </c>
      <c r="B143" s="890">
        <v>0</v>
      </c>
      <c r="C143" s="890">
        <v>1.77</v>
      </c>
      <c r="E143" s="274" t="str">
        <f>VLOOKUP(A143,'Link Sheet'!A:A,1,0)</f>
        <v>GMT Engineers Pvt Ltd</v>
      </c>
    </row>
    <row r="144" spans="1:5" ht="15" customHeight="1">
      <c r="A144" s="733" t="s">
        <v>1054</v>
      </c>
      <c r="B144" s="890">
        <v>0</v>
      </c>
      <c r="C144" s="890">
        <v>1.786</v>
      </c>
      <c r="E144" s="274" t="str">
        <f>VLOOKUP(A144,'Link Sheet'!A:A,1,0)</f>
        <v>GOD-Hi Enterprises</v>
      </c>
    </row>
    <row r="145" spans="1:5" ht="15" customHeight="1">
      <c r="A145" s="733" t="s">
        <v>1119</v>
      </c>
      <c r="B145" s="890">
        <v>0</v>
      </c>
      <c r="C145" s="890">
        <v>430.02300000000002</v>
      </c>
      <c r="E145" s="274" t="str">
        <f>VLOOKUP(A145,'Link Sheet'!A:A,1,0)</f>
        <v>Goodluck Trading Co</v>
      </c>
    </row>
    <row r="146" spans="1:5" ht="15" customHeight="1">
      <c r="A146" s="733" t="s">
        <v>277</v>
      </c>
      <c r="B146" s="890">
        <v>40.515999999999998</v>
      </c>
      <c r="C146" s="890">
        <v>0</v>
      </c>
      <c r="E146" s="274" t="str">
        <f>VLOOKUP(A146,'Link Sheet'!A:A,1,0)</f>
        <v>Green Airtech</v>
      </c>
    </row>
    <row r="147" spans="1:5" ht="15" customHeight="1">
      <c r="A147" s="733" t="s">
        <v>1296</v>
      </c>
      <c r="B147" s="890">
        <v>50.771000000000001</v>
      </c>
      <c r="C147" s="890">
        <v>0</v>
      </c>
      <c r="E147" s="274" t="str">
        <f>VLOOKUP(A147,'Link Sheet'!A:A,1,0)</f>
        <v>Green Engineering Technology</v>
      </c>
    </row>
    <row r="148" spans="1:5" ht="15" customHeight="1">
      <c r="A148" s="733" t="s">
        <v>1297</v>
      </c>
      <c r="B148" s="890">
        <v>0</v>
      </c>
      <c r="C148" s="890">
        <v>43.542000000000002</v>
      </c>
      <c r="E148" s="274" t="str">
        <f>VLOOKUP(A148,'Link Sheet'!A:A,1,0)</f>
        <v>Green Power Automation</v>
      </c>
    </row>
    <row r="149" spans="1:5" ht="15" customHeight="1">
      <c r="A149" s="733" t="s">
        <v>1298</v>
      </c>
      <c r="B149" s="890">
        <v>544.80799999999999</v>
      </c>
      <c r="C149" s="890">
        <v>0</v>
      </c>
      <c r="E149" s="274" t="str">
        <f>VLOOKUP(A149,'Link Sheet'!A:A,1,0)</f>
        <v>GST - Eway Bill Penalty</v>
      </c>
    </row>
    <row r="150" spans="1:5" ht="15" customHeight="1">
      <c r="A150" s="733" t="s">
        <v>1405</v>
      </c>
      <c r="B150" s="890">
        <v>0.2</v>
      </c>
      <c r="C150" s="890">
        <v>0</v>
      </c>
      <c r="E150" s="274" t="str">
        <f>VLOOKUP(A150,'Link Sheet'!A:A,1,0)</f>
        <v>GST Late Filing Fee</v>
      </c>
    </row>
    <row r="151" spans="1:5" ht="15" customHeight="1">
      <c r="A151" s="733" t="s">
        <v>755</v>
      </c>
      <c r="B151" s="890">
        <v>45.851550000000003</v>
      </c>
      <c r="C151" s="890">
        <v>0</v>
      </c>
      <c r="E151" s="274" t="str">
        <f>VLOOKUP(A151,'Link Sheet'!A:A,1,0)</f>
        <v>GST on RCM</v>
      </c>
    </row>
    <row r="152" spans="1:5" ht="15" customHeight="1">
      <c r="A152" s="733" t="s">
        <v>1159</v>
      </c>
      <c r="B152" s="890">
        <v>0</v>
      </c>
      <c r="C152" s="890">
        <v>55.5</v>
      </c>
      <c r="E152" s="274" t="str">
        <f>VLOOKUP(A152,'Link Sheet'!A:A,1,0)</f>
        <v>G.S.T Transport</v>
      </c>
    </row>
    <row r="153" spans="1:5" ht="15" customHeight="1">
      <c r="A153" s="733" t="s">
        <v>1299</v>
      </c>
      <c r="B153" s="890">
        <v>0</v>
      </c>
      <c r="C153" s="890">
        <v>9.7650000000000006</v>
      </c>
      <c r="E153" s="274" t="str">
        <f>VLOOKUP(A153,'Link Sheet'!A:A,1,0)</f>
        <v>Hari Enterprises</v>
      </c>
    </row>
    <row r="154" spans="1:5" ht="15" customHeight="1">
      <c r="A154" s="733" t="s">
        <v>1406</v>
      </c>
      <c r="B154" s="890">
        <v>34.692</v>
      </c>
      <c r="C154" s="890">
        <v>0</v>
      </c>
      <c r="E154" s="274" t="str">
        <f>VLOOKUP(A154,'Link Sheet'!A:A,1,0)</f>
        <v>Hensel Electric India Pvt Ltd</v>
      </c>
    </row>
    <row r="155" spans="1:5" ht="15" customHeight="1">
      <c r="A155" s="733" t="s">
        <v>1300</v>
      </c>
      <c r="B155" s="890">
        <v>8.1000000000000003E-2</v>
      </c>
      <c r="C155" s="890">
        <v>0</v>
      </c>
      <c r="E155" s="274" t="str">
        <f>VLOOKUP(A155,'Link Sheet'!A:A,1,0)</f>
        <v>H Square Industries LLP</v>
      </c>
    </row>
    <row r="156" spans="1:5" ht="15" customHeight="1">
      <c r="A156" s="733" t="s">
        <v>756</v>
      </c>
      <c r="B156" s="890">
        <v>13.683</v>
      </c>
      <c r="C156" s="890">
        <v>0</v>
      </c>
      <c r="E156" s="274" t="str">
        <f>VLOOKUP(A156,'Link Sheet'!A:A,1,0)</f>
        <v>HVAC Systemss</v>
      </c>
    </row>
    <row r="157" spans="1:5" ht="15" customHeight="1">
      <c r="A157" s="733" t="s">
        <v>582</v>
      </c>
      <c r="B157" s="890">
        <v>8961.4850000000006</v>
      </c>
      <c r="C157" s="890">
        <v>0</v>
      </c>
      <c r="E157" s="274" t="str">
        <f>VLOOKUP(A157,'Link Sheet'!A:A,1,0)</f>
        <v>ICF - Security Deposit</v>
      </c>
    </row>
    <row r="158" spans="1:5" ht="15" customHeight="1">
      <c r="A158" s="733" t="s">
        <v>757</v>
      </c>
      <c r="B158" s="890">
        <v>932.03</v>
      </c>
      <c r="C158" s="890">
        <v>0</v>
      </c>
      <c r="E158" s="274" t="str">
        <f>VLOOKUP(A158,'Link Sheet'!A:A,1,0)</f>
        <v>ICF Sundry Expenses</v>
      </c>
    </row>
    <row r="159" spans="1:5" ht="15" customHeight="1">
      <c r="A159" s="733" t="s">
        <v>1101</v>
      </c>
      <c r="B159" s="890">
        <v>172.15899999999999</v>
      </c>
      <c r="C159" s="890">
        <v>0</v>
      </c>
      <c r="E159" s="274" t="str">
        <f>VLOOKUP(A159,'Link Sheet'!A:A,1,0)</f>
        <v>IGST Cash Ledger</v>
      </c>
    </row>
    <row r="160" spans="1:5" ht="15" customHeight="1">
      <c r="A160" s="733" t="s">
        <v>1407</v>
      </c>
      <c r="B160" s="890">
        <v>0</v>
      </c>
      <c r="C160" s="890">
        <v>8</v>
      </c>
      <c r="E160" s="274" t="str">
        <f>VLOOKUP(A160,'Link Sheet'!A:A,1,0)</f>
        <v>Illayaraja Rent Payable - Unit II Staff Accom.</v>
      </c>
    </row>
    <row r="161" spans="1:5" ht="15" customHeight="1">
      <c r="A161" s="733" t="s">
        <v>1301</v>
      </c>
      <c r="B161" s="890">
        <v>76.241</v>
      </c>
      <c r="C161" s="890">
        <v>0</v>
      </c>
      <c r="E161" s="274" t="str">
        <f>VLOOKUP(A161,'Link Sheet'!A:A,1,0)</f>
        <v>Import Clearing Charges</v>
      </c>
    </row>
    <row r="162" spans="1:5" ht="15" customHeight="1">
      <c r="A162" s="733" t="s">
        <v>405</v>
      </c>
      <c r="B162" s="890">
        <v>362.50099999999998</v>
      </c>
      <c r="C162" s="890">
        <v>0</v>
      </c>
      <c r="E162" s="274" t="str">
        <f>VLOOKUP(A162,'Link Sheet'!A:A,1,0)</f>
        <v>Import Purchase</v>
      </c>
    </row>
    <row r="163" spans="1:5" ht="15" customHeight="1">
      <c r="A163" s="733" t="s">
        <v>1537</v>
      </c>
      <c r="B163" s="890">
        <v>1.6379999999999999</v>
      </c>
      <c r="C163" s="890">
        <v>0</v>
      </c>
      <c r="E163" s="274" t="str">
        <f>VLOOKUP(A163,'Link Sheet'!A:A,1,0)</f>
        <v>Income Tax Refund</v>
      </c>
    </row>
    <row r="164" spans="1:5" ht="15" customHeight="1">
      <c r="A164" s="733" t="s">
        <v>1302</v>
      </c>
      <c r="B164" s="890">
        <v>1.7</v>
      </c>
      <c r="C164" s="890">
        <v>0</v>
      </c>
      <c r="E164" s="274" t="str">
        <f>VLOOKUP(A164,'Link Sheet'!A:A,1,0)</f>
        <v>Indane -  LPG Security Deposit</v>
      </c>
    </row>
    <row r="165" spans="1:5" ht="15" customHeight="1">
      <c r="A165" s="733" t="s">
        <v>583</v>
      </c>
      <c r="B165" s="890">
        <v>480.76165999999995</v>
      </c>
      <c r="C165" s="890">
        <v>0</v>
      </c>
      <c r="E165" s="274" t="str">
        <f>VLOOKUP(A165,'Link Sheet'!A:A,1,0)</f>
        <v>Indian Bank - 6602334981</v>
      </c>
    </row>
    <row r="166" spans="1:5" ht="15" customHeight="1">
      <c r="A166" s="733" t="s">
        <v>1443</v>
      </c>
      <c r="B166" s="890">
        <v>7500</v>
      </c>
      <c r="C166" s="890">
        <v>0</v>
      </c>
      <c r="E166" s="274" t="str">
        <f>VLOOKUP(A166,'Link Sheet'!A:A,1,0)</f>
        <v>Indian Bank - FD (BG Margin)</v>
      </c>
    </row>
    <row r="167" spans="1:5" ht="15" customHeight="1">
      <c r="A167" s="733" t="s">
        <v>584</v>
      </c>
      <c r="B167" s="890">
        <v>0</v>
      </c>
      <c r="C167" s="890">
        <v>37687.911659999998</v>
      </c>
      <c r="E167" s="274" t="str">
        <f>VLOOKUP(A167,'Link Sheet'!A:A,1,0)</f>
        <v>Indian Bank OCC A/c No:6613788934</v>
      </c>
    </row>
    <row r="168" spans="1:5" ht="15" customHeight="1">
      <c r="A168" s="733" t="s">
        <v>585</v>
      </c>
      <c r="B168" s="890">
        <v>0</v>
      </c>
      <c r="C168" s="890">
        <v>27194.129000000001</v>
      </c>
      <c r="E168" s="274" t="str">
        <f>VLOOKUP(A168,'Link Sheet'!A:A,1,0)</f>
        <v>Indian Bank TL1 A/c No: 6613793057</v>
      </c>
    </row>
    <row r="169" spans="1:5" ht="15" customHeight="1">
      <c r="A169" s="733" t="s">
        <v>586</v>
      </c>
      <c r="B169" s="890">
        <v>0</v>
      </c>
      <c r="C169" s="890">
        <v>97806.491379999992</v>
      </c>
      <c r="E169" s="274" t="str">
        <f>VLOOKUP(A169,'Link Sheet'!A:A,1,0)</f>
        <v>Indian Bank TL2 A/c No: 6613796127</v>
      </c>
    </row>
    <row r="170" spans="1:5" ht="15" customHeight="1">
      <c r="A170" s="733" t="s">
        <v>1160</v>
      </c>
      <c r="B170" s="890">
        <v>0</v>
      </c>
      <c r="C170" s="890">
        <v>32498.902999999998</v>
      </c>
      <c r="E170" s="274" t="str">
        <f>VLOOKUP(A170,'Link Sheet'!A:A,1,0)</f>
        <v>Indian Bank TL3 GECL A/c No: 6887518087</v>
      </c>
    </row>
    <row r="171" spans="1:5" ht="15" customHeight="1">
      <c r="A171" s="733" t="s">
        <v>1303</v>
      </c>
      <c r="B171" s="890">
        <v>0</v>
      </c>
      <c r="C171" s="890">
        <v>683.06299999999999</v>
      </c>
      <c r="E171" s="274" t="str">
        <f>VLOOKUP(A171,'Link Sheet'!A:A,1,0)</f>
        <v>Indian Bank Vehicle Loan 7145753131</v>
      </c>
    </row>
    <row r="172" spans="1:5" ht="15" customHeight="1">
      <c r="A172" s="733" t="s">
        <v>268</v>
      </c>
      <c r="B172" s="890">
        <v>28.657689999999999</v>
      </c>
      <c r="C172" s="890">
        <v>0</v>
      </c>
      <c r="E172" s="274" t="str">
        <f>VLOOKUP(A172,'Link Sheet'!A:A,1,0)</f>
        <v>Indian Overseas Bank</v>
      </c>
    </row>
    <row r="173" spans="1:5" ht="15" customHeight="1">
      <c r="A173" s="733" t="s">
        <v>1055</v>
      </c>
      <c r="B173" s="890">
        <v>274.45699999999999</v>
      </c>
      <c r="C173" s="890">
        <v>0</v>
      </c>
      <c r="E173" s="274" t="str">
        <f>VLOOKUP(A173,'Link Sheet'!A:A,1,0)</f>
        <v>Indian Railways</v>
      </c>
    </row>
    <row r="174" spans="1:5" ht="15" customHeight="1">
      <c r="A174" s="733" t="s">
        <v>1304</v>
      </c>
      <c r="B174" s="890">
        <v>0</v>
      </c>
      <c r="C174" s="890">
        <v>249.21600000000001</v>
      </c>
      <c r="E174" s="274" t="str">
        <f>VLOOKUP(A174,'Link Sheet'!A:A,1,0)</f>
        <v>Indira Enterprises</v>
      </c>
    </row>
    <row r="175" spans="1:5" ht="15" customHeight="1">
      <c r="A175" s="733" t="s">
        <v>1305</v>
      </c>
      <c r="B175" s="890">
        <v>0</v>
      </c>
      <c r="C175" s="890">
        <v>18516.842000000001</v>
      </c>
      <c r="E175" s="274" t="str">
        <f>VLOOKUP(A175,'Link Sheet'!A:A,1,0)</f>
        <v>Inidan Bank TL4 GECL A/c No. 7124472429</v>
      </c>
    </row>
    <row r="176" spans="1:5" ht="15" customHeight="1">
      <c r="A176" s="733" t="s">
        <v>1306</v>
      </c>
      <c r="B176" s="890">
        <v>35.098999999999997</v>
      </c>
      <c r="C176" s="890">
        <v>0</v>
      </c>
      <c r="E176" s="274" t="str">
        <f>VLOOKUP(A176,'Link Sheet'!A:A,1,0)</f>
        <v>Innovac Air Systems Pvt Ltd</v>
      </c>
    </row>
    <row r="177" spans="1:5" ht="15" customHeight="1">
      <c r="A177" s="733" t="s">
        <v>275</v>
      </c>
      <c r="B177" s="890">
        <v>0</v>
      </c>
      <c r="C177" s="890">
        <v>17.7</v>
      </c>
      <c r="E177" s="274" t="str">
        <f>VLOOKUP(A177,'Link Sheet'!A:A,1,0)</f>
        <v>Innovative Engineering Products</v>
      </c>
    </row>
    <row r="178" spans="1:5" ht="15" customHeight="1">
      <c r="A178" s="733" t="s">
        <v>758</v>
      </c>
      <c r="B178" s="890">
        <v>0</v>
      </c>
      <c r="C178" s="890">
        <v>889.17100000000005</v>
      </c>
      <c r="E178" s="274" t="str">
        <f>VLOOKUP(A178,'Link Sheet'!A:A,1,0)</f>
        <v>Inox Air Products</v>
      </c>
    </row>
    <row r="179" spans="1:5" ht="15" customHeight="1">
      <c r="A179" s="733" t="s">
        <v>1056</v>
      </c>
      <c r="B179" s="890">
        <v>319.33300000000003</v>
      </c>
      <c r="C179" s="890">
        <v>0</v>
      </c>
      <c r="E179" s="274" t="str">
        <f>VLOOKUP(A179,'Link Sheet'!A:A,1,0)</f>
        <v>Insurance Premium Paid</v>
      </c>
    </row>
    <row r="180" spans="1:5" ht="15" customHeight="1">
      <c r="A180" s="733" t="s">
        <v>205</v>
      </c>
      <c r="B180" s="890">
        <v>85579.850539999999</v>
      </c>
      <c r="C180" s="890">
        <v>0</v>
      </c>
      <c r="E180" s="274" t="str">
        <f>VLOOKUP(A180,'Link Sheet'!A:A,1,0)</f>
        <v>Integral Coach Factory</v>
      </c>
    </row>
    <row r="181" spans="1:5" ht="15" customHeight="1">
      <c r="A181" s="733" t="s">
        <v>587</v>
      </c>
      <c r="B181" s="890">
        <v>234.22800000000001</v>
      </c>
      <c r="C181" s="890">
        <v>0</v>
      </c>
      <c r="E181" s="274" t="str">
        <f>VLOOKUP(A181,'Link Sheet'!A:A,1,0)</f>
        <v>Interest on Tax Paid 234B / 234C</v>
      </c>
    </row>
    <row r="182" spans="1:5" ht="15" customHeight="1">
      <c r="A182" s="733" t="s">
        <v>1444</v>
      </c>
      <c r="B182" s="890">
        <v>10.663</v>
      </c>
      <c r="C182" s="890">
        <v>0</v>
      </c>
      <c r="E182" s="274" t="str">
        <f>VLOOKUP(A182,'Link Sheet'!A:A,1,0)</f>
        <v>Interest on Vehicle Loan - Indian Bank</v>
      </c>
    </row>
    <row r="183" spans="1:5" ht="15" customHeight="1">
      <c r="A183" s="733" t="s">
        <v>759</v>
      </c>
      <c r="B183" s="890">
        <v>40.421999999999997</v>
      </c>
      <c r="C183" s="890">
        <v>0</v>
      </c>
      <c r="E183" s="274" t="str">
        <f>VLOOKUP(A183,'Link Sheet'!A:A,1,0)</f>
        <v>Interest on Vehicle Loan - Kotak</v>
      </c>
    </row>
    <row r="184" spans="1:5" ht="15" customHeight="1">
      <c r="A184" s="733" t="s">
        <v>588</v>
      </c>
      <c r="B184" s="890">
        <v>3490</v>
      </c>
      <c r="C184" s="890">
        <v>0</v>
      </c>
      <c r="E184" s="274" t="str">
        <f>VLOOKUP(A184,'Link Sheet'!A:A,1,0)</f>
        <v>Interest - Others</v>
      </c>
    </row>
    <row r="185" spans="1:5" ht="15" customHeight="1">
      <c r="A185" s="733" t="s">
        <v>589</v>
      </c>
      <c r="B185" s="890">
        <v>34.676000000000002</v>
      </c>
      <c r="C185" s="890">
        <v>0</v>
      </c>
      <c r="E185" s="274" t="str">
        <f>VLOOKUP(A185,'Link Sheet'!A:A,1,0)</f>
        <v>Interest Paid - Bajaj Capital</v>
      </c>
    </row>
    <row r="186" spans="1:5" ht="15" customHeight="1">
      <c r="A186" s="733" t="s">
        <v>590</v>
      </c>
      <c r="B186" s="890">
        <v>8.7430799999999991</v>
      </c>
      <c r="C186" s="890">
        <v>0</v>
      </c>
      <c r="E186" s="274" t="str">
        <f>VLOOKUP(A186,'Link Sheet'!A:A,1,0)</f>
        <v>Interest Paid - Deutshe Bank</v>
      </c>
    </row>
    <row r="187" spans="1:5" ht="15" customHeight="1">
      <c r="A187" s="733" t="s">
        <v>591</v>
      </c>
      <c r="B187" s="890">
        <v>112.62449000000001</v>
      </c>
      <c r="C187" s="890">
        <v>0</v>
      </c>
      <c r="E187" s="274" t="str">
        <f>VLOOKUP(A187,'Link Sheet'!A:A,1,0)</f>
        <v>Interest Paid - HDFC</v>
      </c>
    </row>
    <row r="188" spans="1:5" ht="15" customHeight="1">
      <c r="A188" s="733" t="s">
        <v>592</v>
      </c>
      <c r="B188" s="890">
        <v>2577.6886099999997</v>
      </c>
      <c r="C188" s="890">
        <v>0</v>
      </c>
      <c r="E188" s="274" t="str">
        <f>VLOOKUP(A188,'Link Sheet'!A:A,1,0)</f>
        <v>Interest Paid - IB TL1</v>
      </c>
    </row>
    <row r="189" spans="1:5" ht="15" customHeight="1">
      <c r="A189" s="733" t="s">
        <v>593</v>
      </c>
      <c r="B189" s="890">
        <v>10351.39935</v>
      </c>
      <c r="C189" s="890">
        <v>0</v>
      </c>
      <c r="E189" s="274" t="str">
        <f>VLOOKUP(A189,'Link Sheet'!A:A,1,0)</f>
        <v>Interest Paid - IB TL2</v>
      </c>
    </row>
    <row r="190" spans="1:5" ht="15" customHeight="1">
      <c r="A190" s="733" t="s">
        <v>1161</v>
      </c>
      <c r="B190" s="890">
        <v>2742.1379999999999</v>
      </c>
      <c r="C190" s="890">
        <v>0</v>
      </c>
      <c r="E190" s="274" t="str">
        <f>VLOOKUP(A190,'Link Sheet'!A:A,1,0)</f>
        <v>Interest Paid - IB TL3 GECL</v>
      </c>
    </row>
    <row r="191" spans="1:5" ht="15" customHeight="1">
      <c r="A191" s="733" t="s">
        <v>1307</v>
      </c>
      <c r="B191" s="890">
        <v>447.14499999999998</v>
      </c>
      <c r="C191" s="890">
        <v>0</v>
      </c>
      <c r="E191" s="274" t="str">
        <f>VLOOKUP(A191,'Link Sheet'!A:A,1,0)</f>
        <v>Interest Paid - IB TL 4 GECL</v>
      </c>
    </row>
    <row r="192" spans="1:5" ht="15" customHeight="1">
      <c r="A192" s="733" t="s">
        <v>760</v>
      </c>
      <c r="B192" s="890">
        <v>2461.5770000000002</v>
      </c>
      <c r="C192" s="890">
        <v>0</v>
      </c>
      <c r="E192" s="274" t="str">
        <f>VLOOKUP(A192,'Link Sheet'!A:A,1,0)</f>
        <v>Interest Paid on NSIC Bills Discounting</v>
      </c>
    </row>
    <row r="193" spans="1:5" ht="15" customHeight="1">
      <c r="A193" s="733" t="s">
        <v>761</v>
      </c>
      <c r="B193" s="890">
        <v>2778.5569399999999</v>
      </c>
      <c r="C193" s="890">
        <v>0</v>
      </c>
      <c r="E193" s="274" t="str">
        <f>VLOOKUP(A193,'Link Sheet'!A:A,1,0)</f>
        <v>Interest Paid on OCC A/c</v>
      </c>
    </row>
    <row r="194" spans="1:5" ht="15" customHeight="1">
      <c r="A194" s="733" t="s">
        <v>1308</v>
      </c>
      <c r="B194" s="890">
        <v>0.82899999999999996</v>
      </c>
      <c r="C194" s="890">
        <v>0</v>
      </c>
      <c r="E194" s="274" t="str">
        <f>VLOOKUP(A194,'Link Sheet'!A:A,1,0)</f>
        <v>Interest / Penalty on PF &amp; ESI</v>
      </c>
    </row>
    <row r="195" spans="1:5" ht="15" customHeight="1">
      <c r="A195" s="733" t="s">
        <v>1057</v>
      </c>
      <c r="B195" s="890">
        <v>265.39999999999998</v>
      </c>
      <c r="C195" s="890">
        <v>0</v>
      </c>
      <c r="E195" s="274" t="str">
        <f>VLOOKUP(A195,'Link Sheet'!A:A,1,0)</f>
        <v>Interest / Penalty on TDS</v>
      </c>
    </row>
    <row r="196" spans="1:5" ht="15" customHeight="1">
      <c r="A196" s="733" t="s">
        <v>762</v>
      </c>
      <c r="B196" s="890">
        <v>0</v>
      </c>
      <c r="C196" s="890">
        <v>365.46</v>
      </c>
      <c r="E196" s="274" t="str">
        <f>VLOOKUP(A196,'Link Sheet'!A:A,1,0)</f>
        <v>Interest Recd on FD - IB</v>
      </c>
    </row>
    <row r="197" spans="1:5" ht="15" customHeight="1">
      <c r="A197" s="733" t="s">
        <v>1102</v>
      </c>
      <c r="B197" s="890">
        <v>3.42</v>
      </c>
      <c r="C197" s="890">
        <v>0</v>
      </c>
      <c r="E197" s="274" t="str">
        <f>VLOOKUP(A197,'Link Sheet'!A:A,1,0)</f>
        <v>Interest Receivable From EB MCD</v>
      </c>
    </row>
    <row r="198" spans="1:5" ht="15" customHeight="1">
      <c r="A198" s="733" t="s">
        <v>836</v>
      </c>
      <c r="B198" s="890">
        <v>644.96500000000003</v>
      </c>
      <c r="C198" s="890">
        <v>0</v>
      </c>
      <c r="E198" s="274" t="str">
        <f>VLOOKUP(A198,'Link Sheet'!A:A,1,0)</f>
        <v>Interest Receivable on IB FD</v>
      </c>
    </row>
    <row r="199" spans="1:5" ht="15" customHeight="1">
      <c r="A199" s="733" t="s">
        <v>763</v>
      </c>
      <c r="B199" s="890">
        <v>0</v>
      </c>
      <c r="C199" s="890">
        <v>25.853999999999999</v>
      </c>
      <c r="E199" s="274" t="str">
        <f>VLOOKUP(A199,'Link Sheet'!A:A,1,0)</f>
        <v>Interest Received From EB</v>
      </c>
    </row>
    <row r="200" spans="1:5" ht="15" customHeight="1">
      <c r="A200" s="733" t="s">
        <v>1309</v>
      </c>
      <c r="B200" s="890">
        <v>12.797000000000001</v>
      </c>
      <c r="C200" s="890">
        <v>0</v>
      </c>
      <c r="E200" s="274" t="str">
        <f>VLOOKUP(A200,'Link Sheet'!A:A,1,0)</f>
        <v>International Trading Corporation</v>
      </c>
    </row>
    <row r="201" spans="1:5" ht="15" customHeight="1">
      <c r="A201" s="733" t="s">
        <v>595</v>
      </c>
      <c r="B201" s="890">
        <v>76.662999999999997</v>
      </c>
      <c r="C201" s="890">
        <v>0</v>
      </c>
      <c r="E201" s="274" t="str">
        <f>VLOOKUP(A201,'Link Sheet'!A:A,1,0)</f>
        <v>Internet Charges</v>
      </c>
    </row>
    <row r="202" spans="1:5" ht="15" customHeight="1">
      <c r="A202" s="733" t="s">
        <v>169</v>
      </c>
      <c r="B202" s="890">
        <v>25.5</v>
      </c>
      <c r="C202" s="890">
        <v>0</v>
      </c>
      <c r="E202" s="274" t="str">
        <f>VLOOKUP(A202,'Link Sheet'!A:A,1,0)</f>
        <v>Invertor</v>
      </c>
    </row>
    <row r="203" spans="1:5" ht="15" customHeight="1">
      <c r="A203" s="733" t="s">
        <v>1310</v>
      </c>
      <c r="B203" s="890">
        <v>0</v>
      </c>
      <c r="C203" s="890">
        <v>90.409000000000006</v>
      </c>
      <c r="E203" s="274" t="str">
        <f>VLOOKUP(A203,'Link Sheet'!A:A,1,0)</f>
        <v>Ishwarya Enterprises</v>
      </c>
    </row>
    <row r="204" spans="1:5" ht="15" customHeight="1">
      <c r="A204" s="733" t="s">
        <v>1058</v>
      </c>
      <c r="B204" s="890">
        <v>2444.0439999999999</v>
      </c>
      <c r="C204" s="890">
        <v>0</v>
      </c>
      <c r="E204" s="274" t="str">
        <f>VLOOKUP(A204,'Link Sheet'!A:A,1,0)</f>
        <v>ITC-CGST Credit Ledger</v>
      </c>
    </row>
    <row r="205" spans="1:5" ht="15" customHeight="1">
      <c r="A205" s="733" t="s">
        <v>1059</v>
      </c>
      <c r="B205" s="890">
        <v>2598.6489999999999</v>
      </c>
      <c r="C205" s="890">
        <v>0</v>
      </c>
      <c r="E205" s="274" t="str">
        <f>VLOOKUP(A205,'Link Sheet'!A:A,1,0)</f>
        <v>ITC-SGST Credit Ledger</v>
      </c>
    </row>
    <row r="206" spans="1:5" ht="15" customHeight="1">
      <c r="A206" s="733" t="s">
        <v>1085</v>
      </c>
      <c r="B206" s="890">
        <v>0</v>
      </c>
      <c r="C206" s="890">
        <v>68.718999999999994</v>
      </c>
      <c r="E206" s="274" t="str">
        <f>VLOOKUP(A206,'Link Sheet'!A:A,1,0)</f>
        <v>ITech Smart Solutions India (P) Ltd</v>
      </c>
    </row>
    <row r="207" spans="1:5" ht="15" customHeight="1">
      <c r="A207" s="733" t="s">
        <v>1087</v>
      </c>
      <c r="B207" s="890">
        <v>0</v>
      </c>
      <c r="C207" s="890">
        <v>105.72799999999999</v>
      </c>
      <c r="E207" s="274" t="str">
        <f>VLOOKUP(A207,'Link Sheet'!A:A,1,0)</f>
        <v>Jai Maruthi Industries</v>
      </c>
    </row>
    <row r="208" spans="1:5" ht="15" customHeight="1">
      <c r="A208" s="733" t="s">
        <v>279</v>
      </c>
      <c r="B208" s="890">
        <v>5.3561199999999998</v>
      </c>
      <c r="C208" s="890">
        <v>0</v>
      </c>
      <c r="E208" s="274" t="str">
        <f>VLOOKUP(A208,'Link Sheet'!A:A,1,0)</f>
        <v>Jamal Sales Corporation</v>
      </c>
    </row>
    <row r="209" spans="1:5" ht="15" customHeight="1">
      <c r="A209" s="733" t="s">
        <v>1162</v>
      </c>
      <c r="B209" s="890">
        <v>31.785</v>
      </c>
      <c r="C209" s="890">
        <v>0</v>
      </c>
      <c r="E209" s="274" t="str">
        <f>VLOOKUP(A209,'Link Sheet'!A:A,1,0)</f>
        <v>Jayesh Metal Corporation</v>
      </c>
    </row>
    <row r="210" spans="1:5" ht="15" customHeight="1">
      <c r="A210" s="733" t="s">
        <v>1311</v>
      </c>
      <c r="B210" s="890">
        <v>23.1</v>
      </c>
      <c r="C210" s="890">
        <v>0</v>
      </c>
      <c r="E210" s="274" t="str">
        <f>VLOOKUP(A210,'Link Sheet'!A:A,1,0)</f>
        <v>J J Engineering</v>
      </c>
    </row>
    <row r="211" spans="1:5" ht="15" customHeight="1">
      <c r="A211" s="733" t="s">
        <v>1120</v>
      </c>
      <c r="B211" s="890">
        <v>0</v>
      </c>
      <c r="C211" s="890">
        <v>25.08</v>
      </c>
      <c r="E211" s="274" t="str">
        <f>VLOOKUP(A211,'Link Sheet'!A:A,1,0)</f>
        <v>JM Printer</v>
      </c>
    </row>
    <row r="212" spans="1:5" ht="15" customHeight="1">
      <c r="A212" s="733" t="s">
        <v>764</v>
      </c>
      <c r="B212" s="890">
        <v>18957.590649999998</v>
      </c>
      <c r="C212" s="890">
        <v>0</v>
      </c>
      <c r="E212" s="274" t="str">
        <f>VLOOKUP(A212,'Link Sheet'!A:A,1,0)</f>
        <v>Job Work Charges</v>
      </c>
    </row>
    <row r="213" spans="1:5" ht="15" customHeight="1">
      <c r="A213" s="733" t="s">
        <v>765</v>
      </c>
      <c r="B213" s="890">
        <v>588.44293000000005</v>
      </c>
      <c r="C213" s="890">
        <v>0</v>
      </c>
      <c r="E213" s="274" t="str">
        <f>VLOOKUP(A213,'Link Sheet'!A:A,1,0)</f>
        <v>Job Work Charges (W/o TDS)</v>
      </c>
    </row>
    <row r="214" spans="1:5" ht="15" customHeight="1">
      <c r="A214" s="733" t="s">
        <v>766</v>
      </c>
      <c r="B214" s="890">
        <v>0</v>
      </c>
      <c r="C214" s="890">
        <v>5650.3578799999996</v>
      </c>
      <c r="E214" s="274" t="str">
        <f>VLOOKUP(A214,'Link Sheet'!A:A,1,0)</f>
        <v>Job Work Income - Unit II</v>
      </c>
    </row>
    <row r="215" spans="1:5" ht="15" customHeight="1">
      <c r="A215" s="733" t="s">
        <v>596</v>
      </c>
      <c r="B215" s="890">
        <v>3.327</v>
      </c>
      <c r="C215" s="890">
        <v>0</v>
      </c>
      <c r="E215" s="274" t="str">
        <f>VLOOKUP(A215,'Link Sheet'!A:A,1,0)</f>
        <v>Joy Kitchen</v>
      </c>
    </row>
    <row r="216" spans="1:5" ht="15" customHeight="1">
      <c r="A216" s="733" t="s">
        <v>1445</v>
      </c>
      <c r="B216" s="890">
        <v>0</v>
      </c>
      <c r="C216" s="890">
        <v>70.201999999999998</v>
      </c>
      <c r="E216" s="274" t="str">
        <f>VLOOKUP(A216,'Link Sheet'!A:A,1,0)</f>
        <v>J S Components</v>
      </c>
    </row>
    <row r="217" spans="1:5" ht="15" customHeight="1">
      <c r="A217" s="733" t="s">
        <v>1312</v>
      </c>
      <c r="B217" s="890">
        <v>79.197999999999993</v>
      </c>
      <c r="C217" s="890">
        <v>0</v>
      </c>
      <c r="E217" s="274" t="str">
        <f>VLOOKUP(A217,'Link Sheet'!A:A,1,0)</f>
        <v>JVS Air Systems</v>
      </c>
    </row>
    <row r="218" spans="1:5" ht="15" customHeight="1">
      <c r="A218" s="733" t="s">
        <v>1088</v>
      </c>
      <c r="B218" s="890">
        <v>0</v>
      </c>
      <c r="C218" s="890">
        <v>220.524</v>
      </c>
      <c r="E218" s="274" t="str">
        <f>VLOOKUP(A218,'Link Sheet'!A:A,1,0)</f>
        <v>K2 Cranes &amp; Components P Ltd</v>
      </c>
    </row>
    <row r="219" spans="1:5" ht="15" customHeight="1">
      <c r="A219" s="733" t="s">
        <v>1089</v>
      </c>
      <c r="B219" s="890">
        <v>0</v>
      </c>
      <c r="C219" s="890">
        <v>15.246</v>
      </c>
      <c r="E219" s="274" t="str">
        <f>VLOOKUP(A219,'Link Sheet'!A:A,1,0)</f>
        <v>Kalpvruksh Office Automation India</v>
      </c>
    </row>
    <row r="220" spans="1:5" ht="15" customHeight="1">
      <c r="A220" s="733" t="s">
        <v>202</v>
      </c>
      <c r="B220" s="890">
        <v>0</v>
      </c>
      <c r="C220" s="890">
        <v>7419.6565599999994</v>
      </c>
      <c r="E220" s="274" t="str">
        <f>VLOOKUP(A220,'Link Sheet'!A:A,1,0)</f>
        <v>Karthik Industries</v>
      </c>
    </row>
    <row r="221" spans="1:5" ht="15" customHeight="1">
      <c r="A221" s="733" t="s">
        <v>1313</v>
      </c>
      <c r="B221" s="890">
        <v>0</v>
      </c>
      <c r="C221" s="890">
        <v>2.681</v>
      </c>
      <c r="E221" s="274" t="str">
        <f>VLOOKUP(A221,'Link Sheet'!A:A,1,0)</f>
        <v>Klean Tech Industries</v>
      </c>
    </row>
    <row r="222" spans="1:5" ht="15" customHeight="1">
      <c r="A222" s="733" t="s">
        <v>597</v>
      </c>
      <c r="B222" s="890">
        <v>18.53116</v>
      </c>
      <c r="C222" s="890">
        <v>0</v>
      </c>
      <c r="E222" s="274" t="str">
        <f>VLOOKUP(A222,'Link Sheet'!A:A,1,0)</f>
        <v>Klima Engineers</v>
      </c>
    </row>
    <row r="223" spans="1:5" ht="15" customHeight="1">
      <c r="A223" s="733" t="s">
        <v>769</v>
      </c>
      <c r="B223" s="890">
        <v>79.995000000000005</v>
      </c>
      <c r="C223" s="890">
        <v>0</v>
      </c>
      <c r="E223" s="274" t="str">
        <f>VLOOKUP(A223,'Link Sheet'!A:A,1,0)</f>
        <v>Kocon India Pvt Ltd</v>
      </c>
    </row>
    <row r="224" spans="1:5" ht="15" customHeight="1">
      <c r="A224" s="733" t="s">
        <v>1314</v>
      </c>
      <c r="B224" s="890">
        <v>4.819</v>
      </c>
      <c r="C224" s="890">
        <v>0</v>
      </c>
      <c r="E224" s="274" t="str">
        <f>VLOOKUP(A224,'Link Sheet'!A:A,1,0)</f>
        <v>Kool Care Air Conditioning</v>
      </c>
    </row>
    <row r="225" spans="1:5" ht="15" customHeight="1">
      <c r="A225" s="733" t="s">
        <v>770</v>
      </c>
      <c r="B225" s="890">
        <v>0</v>
      </c>
      <c r="C225" s="890">
        <v>209.6</v>
      </c>
      <c r="E225" s="274" t="str">
        <f>VLOOKUP(A225,'Link Sheet'!A:A,1,0)</f>
        <v>Kotak Bank Vehicle Loan</v>
      </c>
    </row>
    <row r="226" spans="1:5" ht="15" customHeight="1">
      <c r="A226" s="733" t="s">
        <v>1408</v>
      </c>
      <c r="B226" s="890">
        <v>0</v>
      </c>
      <c r="C226" s="890">
        <v>4.38</v>
      </c>
      <c r="E226" s="274" t="str">
        <f>VLOOKUP(A226,'Link Sheet'!A:A,1,0)</f>
        <v>KS Welding Services</v>
      </c>
    </row>
    <row r="227" spans="1:5" ht="15" customHeight="1">
      <c r="A227" s="733" t="s">
        <v>1315</v>
      </c>
      <c r="B227" s="890">
        <v>13.351000000000001</v>
      </c>
      <c r="C227" s="890">
        <v>0</v>
      </c>
      <c r="E227" s="274" t="str">
        <f>VLOOKUP(A227,'Link Sheet'!A:A,1,0)</f>
        <v>Kulir Technologies</v>
      </c>
    </row>
    <row r="228" spans="1:5" ht="15" customHeight="1">
      <c r="A228" s="733" t="s">
        <v>197</v>
      </c>
      <c r="B228" s="890">
        <v>11931.24</v>
      </c>
      <c r="C228" s="890">
        <v>0</v>
      </c>
      <c r="E228" s="274" t="str">
        <f>VLOOKUP(A228,'Link Sheet'!A:A,1,0)</f>
        <v>Labour Charges</v>
      </c>
    </row>
    <row r="229" spans="1:5" ht="15" customHeight="1">
      <c r="A229" s="733" t="s">
        <v>1121</v>
      </c>
      <c r="B229" s="890">
        <v>690.149</v>
      </c>
      <c r="C229" s="890">
        <v>0</v>
      </c>
      <c r="E229" s="274" t="str">
        <f>VLOOKUP(A229,'Link Sheet'!A:A,1,0)</f>
        <v>Labour Charges (W/o TDS)</v>
      </c>
    </row>
    <row r="230" spans="1:5" ht="15" customHeight="1">
      <c r="A230" s="733" t="s">
        <v>598</v>
      </c>
      <c r="B230" s="890">
        <v>1086.0908899999999</v>
      </c>
      <c r="C230" s="890">
        <v>0</v>
      </c>
      <c r="E230" s="274" t="str">
        <f>VLOOKUP(A230,'Link Sheet'!A:A,1,0)</f>
        <v>Lab Test</v>
      </c>
    </row>
    <row r="231" spans="1:5" ht="15" customHeight="1">
      <c r="A231" s="733" t="s">
        <v>1164</v>
      </c>
      <c r="B231" s="890">
        <v>48.65</v>
      </c>
      <c r="C231" s="890">
        <v>0</v>
      </c>
      <c r="E231" s="274" t="str">
        <f>VLOOKUP(A231,'Link Sheet'!A:A,1,0)</f>
        <v>Lab Test (W/o TDS)</v>
      </c>
    </row>
    <row r="232" spans="1:5" ht="15" customHeight="1">
      <c r="A232" s="733" t="s">
        <v>771</v>
      </c>
      <c r="B232" s="890">
        <v>14119.739250000001</v>
      </c>
      <c r="C232" s="890">
        <v>0</v>
      </c>
      <c r="E232" s="274" t="str">
        <f>VLOOKUP(A232,'Link Sheet'!A:A,1,0)</f>
        <v>Land - Sathari Village, Thiruvallur</v>
      </c>
    </row>
    <row r="233" spans="1:5" ht="15" customHeight="1">
      <c r="A233" s="733" t="s">
        <v>837</v>
      </c>
      <c r="B233" s="890">
        <v>10822.8</v>
      </c>
      <c r="C233" s="890">
        <v>0</v>
      </c>
      <c r="E233" s="274" t="str">
        <f>VLOOKUP(A233,'Link Sheet'!A:A,1,0)</f>
        <v>Land  - Vengaivasal</v>
      </c>
    </row>
    <row r="234" spans="1:5" ht="15" customHeight="1">
      <c r="A234" s="733" t="s">
        <v>1409</v>
      </c>
      <c r="B234" s="890">
        <v>4000</v>
      </c>
      <c r="C234" s="890">
        <v>0</v>
      </c>
      <c r="E234" s="274" t="str">
        <f>VLOOKUP(A234,'Link Sheet'!A:A,1,0)</f>
        <v>Lease Rental Deposit - SVR Paradise 1st Flr</v>
      </c>
    </row>
    <row r="235" spans="1:5" ht="15" customHeight="1">
      <c r="A235" s="733" t="s">
        <v>1410</v>
      </c>
      <c r="B235" s="890">
        <v>5000</v>
      </c>
      <c r="C235" s="890">
        <v>0</v>
      </c>
      <c r="E235" s="274" t="str">
        <f>VLOOKUP(A235,'Link Sheet'!A:A,1,0)</f>
        <v>Lease Rental Deposit - SVR Paradise GF</v>
      </c>
    </row>
    <row r="236" spans="1:5" ht="15" customHeight="1">
      <c r="A236" s="733" t="s">
        <v>1316</v>
      </c>
      <c r="B236" s="890">
        <v>7.5</v>
      </c>
      <c r="C236" s="890">
        <v>0</v>
      </c>
      <c r="E236" s="274" t="str">
        <f>VLOOKUP(A236,'Link Sheet'!A:A,1,0)</f>
        <v>Legal Expenses</v>
      </c>
    </row>
    <row r="237" spans="1:5" ht="15" customHeight="1">
      <c r="A237" s="733" t="s">
        <v>599</v>
      </c>
      <c r="B237" s="890">
        <v>62.5</v>
      </c>
      <c r="C237" s="890">
        <v>0</v>
      </c>
      <c r="E237" s="274" t="str">
        <f>VLOOKUP(A237,'Link Sheet'!A:A,1,0)</f>
        <v>License Fees &amp; Taxes</v>
      </c>
    </row>
    <row r="238" spans="1:5" ht="15" customHeight="1">
      <c r="A238" s="733" t="s">
        <v>428</v>
      </c>
      <c r="B238" s="890">
        <v>217.76</v>
      </c>
      <c r="C238" s="890">
        <v>0</v>
      </c>
      <c r="E238" s="274" t="str">
        <f>VLOOKUP(A238,'Link Sheet'!A:A,1,0)</f>
        <v>Liquidity Damages</v>
      </c>
    </row>
    <row r="239" spans="1:5" ht="15" customHeight="1">
      <c r="A239" s="733" t="s">
        <v>773</v>
      </c>
      <c r="B239" s="890">
        <v>538.351</v>
      </c>
      <c r="C239" s="890">
        <v>0</v>
      </c>
      <c r="E239" s="274" t="str">
        <f>VLOOKUP(A239,'Link Sheet'!A:A,1,0)</f>
        <v>Loading, Unloading &amp; Toll Charges</v>
      </c>
    </row>
    <row r="240" spans="1:5" ht="15" customHeight="1">
      <c r="A240" s="733" t="s">
        <v>600</v>
      </c>
      <c r="B240" s="890">
        <v>196.11600000000001</v>
      </c>
      <c r="C240" s="890">
        <v>0</v>
      </c>
      <c r="E240" s="274" t="str">
        <f>VLOOKUP(A240,'Link Sheet'!A:A,1,0)</f>
        <v>Loan Processing Charges</v>
      </c>
    </row>
    <row r="241" spans="1:5" ht="15" customHeight="1">
      <c r="A241" s="733" t="s">
        <v>1317</v>
      </c>
      <c r="B241" s="890">
        <v>0</v>
      </c>
      <c r="C241" s="890">
        <v>0.59</v>
      </c>
      <c r="E241" s="274" t="str">
        <f>VLOOKUP(A241,'Link Sheet'!A:A,1,0)</f>
        <v>Macro Calibration Services</v>
      </c>
    </row>
    <row r="242" spans="1:5" ht="15" customHeight="1">
      <c r="A242" s="733" t="s">
        <v>423</v>
      </c>
      <c r="B242" s="890">
        <v>0</v>
      </c>
      <c r="C242" s="890">
        <v>345.99700000000001</v>
      </c>
      <c r="E242" s="274" t="str">
        <f>VLOOKUP(A242,'Link Sheet'!A:A,1,0)</f>
        <v>Malar Rubber Products</v>
      </c>
    </row>
    <row r="243" spans="1:5" ht="15" customHeight="1">
      <c r="A243" s="733" t="s">
        <v>774</v>
      </c>
      <c r="B243" s="890">
        <v>5.5865100000000005</v>
      </c>
      <c r="C243" s="890">
        <v>0</v>
      </c>
      <c r="E243" s="274" t="str">
        <f>VLOOKUP(A243,'Link Sheet'!A:A,1,0)</f>
        <v>Maxcool Agencies</v>
      </c>
    </row>
    <row r="244" spans="1:5" ht="15" customHeight="1">
      <c r="A244" s="733" t="s">
        <v>1318</v>
      </c>
      <c r="B244" s="890">
        <v>0</v>
      </c>
      <c r="C244" s="890">
        <v>10.62</v>
      </c>
      <c r="E244" s="274" t="str">
        <f>VLOOKUP(A244,'Link Sheet'!A:A,1,0)</f>
        <v>MBI Welding and Cutting Services</v>
      </c>
    </row>
    <row r="245" spans="1:5" ht="15" customHeight="1">
      <c r="A245" s="733" t="s">
        <v>1319</v>
      </c>
      <c r="B245" s="890">
        <v>119.613</v>
      </c>
      <c r="C245" s="890">
        <v>0</v>
      </c>
      <c r="E245" s="274" t="str">
        <f>VLOOKUP(A245,'Link Sheet'!A:A,1,0)</f>
        <v>Mecelp Project Private Limited</v>
      </c>
    </row>
    <row r="246" spans="1:5" ht="15" customHeight="1">
      <c r="A246" s="733" t="s">
        <v>1122</v>
      </c>
      <c r="B246" s="890">
        <v>85.97</v>
      </c>
      <c r="C246" s="890">
        <v>0</v>
      </c>
      <c r="E246" s="274" t="str">
        <f>VLOOKUP(A246,'Link Sheet'!A:A,1,0)</f>
        <v>M.E.S. Deposit</v>
      </c>
    </row>
    <row r="247" spans="1:5" ht="15" customHeight="1">
      <c r="A247" s="733" t="s">
        <v>1320</v>
      </c>
      <c r="B247" s="890">
        <v>3.5</v>
      </c>
      <c r="C247" s="890">
        <v>0</v>
      </c>
      <c r="E247" s="274" t="str">
        <f>VLOOKUP(A247,'Link Sheet'!A:A,1,0)</f>
        <v>Metal Extrusions - UNIT II</v>
      </c>
    </row>
    <row r="248" spans="1:5" ht="15" customHeight="1">
      <c r="A248" s="733" t="s">
        <v>601</v>
      </c>
      <c r="B248" s="890">
        <v>0</v>
      </c>
      <c r="C248" s="890">
        <v>11683.66</v>
      </c>
      <c r="E248" s="274" t="str">
        <f>VLOOKUP(A248,'Link Sheet'!A:A,1,0)</f>
        <v>Metallica Metals</v>
      </c>
    </row>
    <row r="249" spans="1:5" ht="15" customHeight="1">
      <c r="A249" s="733" t="s">
        <v>1446</v>
      </c>
      <c r="B249" s="890">
        <v>0</v>
      </c>
      <c r="C249" s="890">
        <v>0.9</v>
      </c>
      <c r="E249" s="274" t="str">
        <f>VLOOKUP(A249,'Link Sheet'!A:A,1,0)</f>
        <v>Metal Scope (India) Pvt Ltd (TN)</v>
      </c>
    </row>
    <row r="250" spans="1:5" ht="15" customHeight="1">
      <c r="A250" s="733" t="s">
        <v>1411</v>
      </c>
      <c r="B250" s="890">
        <v>0</v>
      </c>
      <c r="C250" s="890">
        <v>37.584000000000003</v>
      </c>
      <c r="E250" s="274" t="str">
        <f>VLOOKUP(A250,'Link Sheet'!A:A,1,0)</f>
        <v>Metal Testing Centre</v>
      </c>
    </row>
    <row r="251" spans="1:5" ht="15" customHeight="1">
      <c r="A251" s="733" t="s">
        <v>203</v>
      </c>
      <c r="B251" s="890">
        <v>0</v>
      </c>
      <c r="C251" s="890">
        <v>167.131</v>
      </c>
      <c r="E251" s="274" t="str">
        <f>VLOOKUP(A251,'Link Sheet'!A:A,1,0)</f>
        <v>Micron Elastomers Pvt Ltd</v>
      </c>
    </row>
    <row r="252" spans="1:5" ht="15" customHeight="1">
      <c r="A252" s="733" t="s">
        <v>1167</v>
      </c>
      <c r="B252" s="890">
        <v>12.677</v>
      </c>
      <c r="C252" s="890">
        <v>0</v>
      </c>
      <c r="E252" s="274" t="str">
        <f>VLOOKUP(A252,'Link Sheet'!A:A,1,0)</f>
        <v>Mipalloy</v>
      </c>
    </row>
    <row r="253" spans="1:5" ht="15" customHeight="1">
      <c r="A253" s="733" t="s">
        <v>1412</v>
      </c>
      <c r="B253" s="890">
        <v>0</v>
      </c>
      <c r="C253" s="890">
        <v>3.9289999999999998</v>
      </c>
      <c r="E253" s="274" t="str">
        <f>VLOOKUP(A253,'Link Sheet'!A:A,1,0)</f>
        <v>MK Best Calibration Services</v>
      </c>
    </row>
    <row r="254" spans="1:5" ht="15" customHeight="1">
      <c r="A254" s="733" t="s">
        <v>776</v>
      </c>
      <c r="B254" s="890">
        <v>0</v>
      </c>
      <c r="C254" s="890">
        <v>0.54300000000000004</v>
      </c>
      <c r="E254" s="274" t="str">
        <f>VLOOKUP(A254,'Link Sheet'!A:A,1,0)</f>
        <v>MKK Metal Sections Pvt Ltd</v>
      </c>
    </row>
    <row r="255" spans="1:5" ht="15" customHeight="1">
      <c r="A255" s="733" t="s">
        <v>602</v>
      </c>
      <c r="B255" s="890">
        <v>99.697039999999987</v>
      </c>
      <c r="C255" s="890">
        <v>0</v>
      </c>
      <c r="E255" s="274" t="str">
        <f>VLOOKUP(A255,'Link Sheet'!A:A,1,0)</f>
        <v>Mobile Phone Expenses</v>
      </c>
    </row>
    <row r="256" spans="1:5" ht="15" customHeight="1">
      <c r="A256" s="733" t="s">
        <v>777</v>
      </c>
      <c r="B256" s="890">
        <v>0</v>
      </c>
      <c r="C256" s="890">
        <v>3.1712699999999998</v>
      </c>
      <c r="E256" s="274" t="str">
        <f>VLOOKUP(A256,'Link Sheet'!A:A,1,0)</f>
        <v>Model Infra Corporation Pvt Ltd</v>
      </c>
    </row>
    <row r="257" spans="1:5" ht="15" customHeight="1">
      <c r="A257" s="733" t="s">
        <v>1413</v>
      </c>
      <c r="B257" s="890">
        <v>0</v>
      </c>
      <c r="C257" s="890">
        <v>2.4</v>
      </c>
      <c r="E257" s="274" t="str">
        <f>VLOOKUP(A257,'Link Sheet'!A:A,1,0)</f>
        <v>MP Tours and Travels</v>
      </c>
    </row>
    <row r="258" spans="1:5" ht="15" customHeight="1">
      <c r="A258" s="733" t="s">
        <v>603</v>
      </c>
      <c r="B258" s="890">
        <v>0</v>
      </c>
      <c r="C258" s="890">
        <v>520.37400000000002</v>
      </c>
      <c r="E258" s="274" t="str">
        <f>VLOOKUP(A258,'Link Sheet'!A:A,1,0)</f>
        <v>Mr Karthikeyan - Director</v>
      </c>
    </row>
    <row r="259" spans="1:5" ht="15" customHeight="1">
      <c r="A259" s="733" t="s">
        <v>605</v>
      </c>
      <c r="B259" s="890">
        <v>0</v>
      </c>
      <c r="C259" s="890">
        <v>1001.283</v>
      </c>
      <c r="E259" s="274" t="str">
        <f>VLOOKUP(A259,'Link Sheet'!A:A,1,0)</f>
        <v>Mr Kothandam R Rent Payable</v>
      </c>
    </row>
    <row r="260" spans="1:5" ht="15" customHeight="1">
      <c r="A260" s="733" t="s">
        <v>1123</v>
      </c>
      <c r="B260" s="890">
        <v>0</v>
      </c>
      <c r="C260" s="890">
        <v>57.1</v>
      </c>
      <c r="E260" s="274" t="str">
        <f>VLOOKUP(A260,'Link Sheet'!A:A,1,0)</f>
        <v>MRM Transport</v>
      </c>
    </row>
    <row r="261" spans="1:5" ht="15" customHeight="1">
      <c r="A261" s="733" t="s">
        <v>606</v>
      </c>
      <c r="B261" s="890">
        <v>0</v>
      </c>
      <c r="C261" s="890">
        <v>612.32000000000005</v>
      </c>
      <c r="E261" s="274" t="str">
        <f>VLOOKUP(A261,'Link Sheet'!A:A,1,0)</f>
        <v>Mrs Girija K - Director</v>
      </c>
    </row>
    <row r="262" spans="1:5" ht="15" customHeight="1">
      <c r="A262" s="733" t="s">
        <v>608</v>
      </c>
      <c r="B262" s="890">
        <v>1.7000000000000001E-2</v>
      </c>
      <c r="C262" s="890">
        <v>0</v>
      </c>
      <c r="E262" s="274" t="str">
        <f>VLOOKUP(A262,'Link Sheet'!A:A,1,0)</f>
        <v>MSK Air Duct Industries</v>
      </c>
    </row>
    <row r="263" spans="1:5" ht="15" customHeight="1">
      <c r="A263" s="733" t="s">
        <v>276</v>
      </c>
      <c r="B263" s="890">
        <v>0</v>
      </c>
      <c r="C263" s="890">
        <v>471.69</v>
      </c>
      <c r="E263" s="274" t="str">
        <f>VLOOKUP(A263,'Link Sheet'!A:A,1,0)</f>
        <v>Murali Engineering Works</v>
      </c>
    </row>
    <row r="264" spans="1:5" ht="15" customHeight="1">
      <c r="A264" s="733" t="s">
        <v>609</v>
      </c>
      <c r="B264" s="890">
        <v>0</v>
      </c>
      <c r="C264" s="890">
        <v>1500.6220000000001</v>
      </c>
      <c r="E264" s="274" t="str">
        <f>VLOOKUP(A264,'Link Sheet'!A:A,1,0)</f>
        <v>Naga Welders</v>
      </c>
    </row>
    <row r="265" spans="1:5" ht="15" customHeight="1">
      <c r="A265" s="733" t="s">
        <v>1321</v>
      </c>
      <c r="B265" s="890">
        <v>153.23599999999999</v>
      </c>
      <c r="C265" s="890">
        <v>0</v>
      </c>
      <c r="E265" s="274" t="str">
        <f>VLOOKUP(A265,'Link Sheet'!A:A,1,0)</f>
        <v>Nagman Instruments and Electronics Pvt Ltd</v>
      </c>
    </row>
    <row r="266" spans="1:5" ht="15" customHeight="1">
      <c r="A266" s="733" t="s">
        <v>1322</v>
      </c>
      <c r="B266" s="890">
        <v>0</v>
      </c>
      <c r="C266" s="890">
        <v>0.02</v>
      </c>
      <c r="E266" s="274" t="str">
        <f>VLOOKUP(A266,'Link Sheet'!A:A,1,0)</f>
        <v>Naksathra Engineering Works</v>
      </c>
    </row>
    <row r="267" spans="1:5" ht="15" customHeight="1">
      <c r="A267" s="733" t="s">
        <v>1447</v>
      </c>
      <c r="B267" s="890">
        <v>0</v>
      </c>
      <c r="C267" s="890">
        <v>21.52</v>
      </c>
      <c r="E267" s="274" t="str">
        <f>VLOOKUP(A267,'Link Sheet'!A:A,1,0)</f>
        <v>Nandhakishore.M</v>
      </c>
    </row>
    <row r="268" spans="1:5" ht="15" customHeight="1">
      <c r="A268" s="733" t="s">
        <v>1061</v>
      </c>
      <c r="B268" s="890">
        <v>0</v>
      </c>
      <c r="C268" s="890">
        <v>2398.8780000000002</v>
      </c>
      <c r="E268" s="274" t="str">
        <f>VLOOKUP(A268,'Link Sheet'!A:A,1,0)</f>
        <v>National Aluminium- Madhavaram</v>
      </c>
    </row>
    <row r="269" spans="1:5" ht="15" customHeight="1">
      <c r="A269" s="733" t="s">
        <v>1414</v>
      </c>
      <c r="B269" s="890">
        <v>0</v>
      </c>
      <c r="C269" s="890">
        <v>1.0620000000000001</v>
      </c>
      <c r="E269" s="274" t="str">
        <f>VLOOKUP(A269,'Link Sheet'!A:A,1,0)</f>
        <v>National Gas Agency</v>
      </c>
    </row>
    <row r="270" spans="1:5" ht="15" customHeight="1">
      <c r="A270" s="733" t="s">
        <v>1415</v>
      </c>
      <c r="B270" s="890">
        <v>0</v>
      </c>
      <c r="C270" s="890">
        <v>5.23</v>
      </c>
      <c r="E270" s="274" t="str">
        <f>VLOOKUP(A270,'Link Sheet'!A:A,1,0)</f>
        <v>Navratan Metal Industries</v>
      </c>
    </row>
    <row r="271" spans="1:5" ht="15" customHeight="1">
      <c r="A271" s="733" t="s">
        <v>610</v>
      </c>
      <c r="B271" s="890">
        <v>12.596</v>
      </c>
      <c r="C271" s="890">
        <v>0</v>
      </c>
      <c r="E271" s="274" t="str">
        <f>VLOOKUP(A271,'Link Sheet'!A:A,1,0)</f>
        <v>New Elite Aircons</v>
      </c>
    </row>
    <row r="272" spans="1:5" ht="15" customHeight="1">
      <c r="A272" s="733" t="s">
        <v>1323</v>
      </c>
      <c r="B272" s="890">
        <v>108.377</v>
      </c>
      <c r="C272" s="890">
        <v>0</v>
      </c>
      <c r="E272" s="274" t="str">
        <f>VLOOKUP(A272,'Link Sheet'!A:A,1,0)</f>
        <v>New Freezing Point</v>
      </c>
    </row>
    <row r="273" spans="1:5" ht="15" customHeight="1">
      <c r="A273" s="733" t="s">
        <v>1062</v>
      </c>
      <c r="B273" s="890">
        <v>15.571</v>
      </c>
      <c r="C273" s="890">
        <v>0</v>
      </c>
      <c r="E273" s="274" t="str">
        <f>VLOOKUP(A273,'Link Sheet'!A:A,1,0)</f>
        <v>NMH Aircon</v>
      </c>
    </row>
    <row r="274" spans="1:5" ht="15" customHeight="1">
      <c r="A274" s="733" t="s">
        <v>1324</v>
      </c>
      <c r="B274" s="890">
        <v>164.25399999999999</v>
      </c>
      <c r="C274" s="890">
        <v>0</v>
      </c>
      <c r="E274" s="274" t="str">
        <f>VLOOKUP(A274,'Link Sheet'!A:A,1,0)</f>
        <v>N N Aircon Systems Pvt Ltd</v>
      </c>
    </row>
    <row r="275" spans="1:5" ht="15" customHeight="1">
      <c r="A275" s="733" t="s">
        <v>1095</v>
      </c>
      <c r="B275" s="890">
        <v>200.57599999999999</v>
      </c>
      <c r="C275" s="890">
        <v>0</v>
      </c>
      <c r="E275" s="274" t="str">
        <f>VLOOKUP(A275,'Link Sheet'!A:A,1,0)</f>
        <v>Northern Railway</v>
      </c>
    </row>
    <row r="276" spans="1:5" ht="15" customHeight="1">
      <c r="A276" s="733" t="s">
        <v>779</v>
      </c>
      <c r="B276" s="890">
        <v>0</v>
      </c>
      <c r="C276" s="890">
        <v>29505.834500000001</v>
      </c>
      <c r="E276" s="274" t="str">
        <f>VLOOKUP(A276,'Link Sheet'!A:A,1,0)</f>
        <v>NSIC -  Bill Discounting Account</v>
      </c>
    </row>
    <row r="277" spans="1:5" ht="15" customHeight="1">
      <c r="A277" s="733" t="s">
        <v>1124</v>
      </c>
      <c r="B277" s="890">
        <v>345.15</v>
      </c>
      <c r="C277" s="890">
        <v>0</v>
      </c>
      <c r="E277" s="274" t="str">
        <f>VLOOKUP(A277,'Link Sheet'!A:A,1,0)</f>
        <v>NSIC Renewal Charges</v>
      </c>
    </row>
    <row r="278" spans="1:5" ht="15" customHeight="1">
      <c r="A278" s="733" t="s">
        <v>173</v>
      </c>
      <c r="B278" s="890">
        <v>851.42965000000004</v>
      </c>
      <c r="C278" s="890">
        <v>0</v>
      </c>
      <c r="E278" s="274" t="str">
        <f>VLOOKUP(A278,'Link Sheet'!A:A,1,0)</f>
        <v>Office Equipments</v>
      </c>
    </row>
    <row r="279" spans="1:5" ht="15" customHeight="1">
      <c r="A279" s="733" t="s">
        <v>612</v>
      </c>
      <c r="B279" s="890">
        <v>328.81225000000001</v>
      </c>
      <c r="C279" s="890">
        <v>0</v>
      </c>
      <c r="E279" s="274" t="str">
        <f>VLOOKUP(A279,'Link Sheet'!A:A,1,0)</f>
        <v>Office Maintenance</v>
      </c>
    </row>
    <row r="280" spans="1:5" ht="15" customHeight="1">
      <c r="A280" s="733" t="s">
        <v>1325</v>
      </c>
      <c r="B280" s="890">
        <v>0</v>
      </c>
      <c r="C280" s="890">
        <v>155.047</v>
      </c>
      <c r="E280" s="274" t="str">
        <f>VLOOKUP(A280,'Link Sheet'!A:A,1,0)</f>
        <v>OMPS Engineering Industries</v>
      </c>
    </row>
    <row r="281" spans="1:5" ht="15" customHeight="1">
      <c r="A281" s="733" t="s">
        <v>1448</v>
      </c>
      <c r="B281" s="890">
        <v>0</v>
      </c>
      <c r="C281" s="890">
        <v>249.256</v>
      </c>
      <c r="E281" s="274" t="str">
        <f>VLOOKUP(A281,'Link Sheet'!A:A,1,0)</f>
        <v>OM Sakthi Crane Services</v>
      </c>
    </row>
    <row r="282" spans="1:5" ht="15" customHeight="1">
      <c r="A282" s="733" t="s">
        <v>1527</v>
      </c>
      <c r="B282" s="890">
        <v>100</v>
      </c>
      <c r="C282" s="890">
        <v>0</v>
      </c>
      <c r="E282" s="274" t="str">
        <f>VLOOKUP(A282,'Link Sheet'!A:A,1,0)</f>
        <v>Other Advances</v>
      </c>
    </row>
    <row r="283" spans="1:5" ht="15" customHeight="1">
      <c r="A283" s="733" t="s">
        <v>781</v>
      </c>
      <c r="B283" s="890">
        <v>0</v>
      </c>
      <c r="C283" s="890">
        <v>200</v>
      </c>
      <c r="E283" s="274" t="str">
        <f>VLOOKUP(A283,'Link Sheet'!A:A,1,0)</f>
        <v>Other Income</v>
      </c>
    </row>
    <row r="284" spans="1:5" ht="15" customHeight="1">
      <c r="A284" s="733" t="s">
        <v>782</v>
      </c>
      <c r="B284" s="890">
        <v>1887.2550000000001</v>
      </c>
      <c r="C284" s="890">
        <v>0</v>
      </c>
      <c r="E284" s="274" t="str">
        <f>VLOOKUP(A284,'Link Sheet'!A:A,1,0)</f>
        <v>Overtime Wages</v>
      </c>
    </row>
    <row r="285" spans="1:5" ht="15" customHeight="1">
      <c r="A285" s="733" t="s">
        <v>1331</v>
      </c>
      <c r="B285" s="890">
        <v>48.543999999999997</v>
      </c>
      <c r="C285" s="890">
        <v>0</v>
      </c>
      <c r="E285" s="274" t="str">
        <f>VLOOKUP(A285,'Link Sheet'!A:A,1,0)</f>
        <v>Ozone Engineers</v>
      </c>
    </row>
    <row r="286" spans="1:5" ht="15" customHeight="1">
      <c r="A286" s="733" t="s">
        <v>783</v>
      </c>
      <c r="B286" s="890">
        <v>0</v>
      </c>
      <c r="C286" s="890">
        <v>4.8140000000000001</v>
      </c>
      <c r="E286" s="274" t="str">
        <f>VLOOKUP(A286,'Link Sheet'!A:A,1,0)</f>
        <v>Pacific Weld Systems Pvt Ltd</v>
      </c>
    </row>
    <row r="287" spans="1:5" ht="15" customHeight="1">
      <c r="A287" s="733" t="s">
        <v>271</v>
      </c>
      <c r="B287" s="890">
        <v>0</v>
      </c>
      <c r="C287" s="890">
        <v>26.014060000000001</v>
      </c>
      <c r="E287" s="274" t="str">
        <f>VLOOKUP(A287,'Link Sheet'!A:A,1,0)</f>
        <v>Packing Charges</v>
      </c>
    </row>
    <row r="288" spans="1:5" ht="15" customHeight="1">
      <c r="A288" s="733" t="s">
        <v>1125</v>
      </c>
      <c r="B288" s="890">
        <v>0</v>
      </c>
      <c r="C288" s="890">
        <v>14.55335</v>
      </c>
      <c r="E288" s="274" t="str">
        <f>VLOOKUP(A288,'Link Sheet'!A:A,1,0)</f>
        <v>Packing Charges - IGST</v>
      </c>
    </row>
    <row r="289" spans="1:5" ht="15" customHeight="1">
      <c r="A289" s="733" t="s">
        <v>784</v>
      </c>
      <c r="B289" s="890">
        <v>19.288</v>
      </c>
      <c r="C289" s="890">
        <v>0</v>
      </c>
      <c r="E289" s="274" t="str">
        <f>VLOOKUP(A289,'Link Sheet'!A:A,1,0)</f>
        <v>Packing Expenses</v>
      </c>
    </row>
    <row r="290" spans="1:5" ht="15" customHeight="1">
      <c r="A290" s="733" t="s">
        <v>1332</v>
      </c>
      <c r="B290" s="890">
        <v>0.34200000000000003</v>
      </c>
      <c r="C290" s="890">
        <v>0</v>
      </c>
      <c r="E290" s="274" t="str">
        <f>VLOOKUP(A290,'Link Sheet'!A:A,1,0)</f>
        <v>Parshv Industries</v>
      </c>
    </row>
    <row r="291" spans="1:5" ht="15" customHeight="1">
      <c r="A291" s="733" t="s">
        <v>287</v>
      </c>
      <c r="B291" s="890">
        <v>42.929000000000002</v>
      </c>
      <c r="C291" s="890">
        <v>0</v>
      </c>
      <c r="E291" s="274" t="str">
        <f>VLOOKUP(A291,'Link Sheet'!A:A,1,0)</f>
        <v>P-CAF Systems</v>
      </c>
    </row>
    <row r="292" spans="1:5" ht="15" customHeight="1">
      <c r="A292" s="733" t="s">
        <v>1168</v>
      </c>
      <c r="B292" s="890">
        <v>0</v>
      </c>
      <c r="C292" s="890">
        <v>801.36199999999997</v>
      </c>
      <c r="E292" s="274" t="str">
        <f>VLOOKUP(A292,'Link Sheet'!A:A,1,0)</f>
        <v>Pennar Industires Limited(P)</v>
      </c>
    </row>
    <row r="293" spans="1:5" ht="15" customHeight="1">
      <c r="A293" s="733" t="s">
        <v>1333</v>
      </c>
      <c r="B293" s="890">
        <v>12.76</v>
      </c>
      <c r="C293" s="890">
        <v>0</v>
      </c>
      <c r="E293" s="274" t="str">
        <f>VLOOKUP(A293,'Link Sheet'!A:A,1,0)</f>
        <v>Pennar Industries Limited</v>
      </c>
    </row>
    <row r="294" spans="1:5" ht="15" customHeight="1">
      <c r="A294" s="733" t="s">
        <v>408</v>
      </c>
      <c r="B294" s="890">
        <v>1478.1669999999999</v>
      </c>
      <c r="C294" s="890">
        <v>0</v>
      </c>
      <c r="E294" s="274" t="str">
        <f>VLOOKUP(A294,'Link Sheet'!A:A,1,0)</f>
        <v>Petrol and Diesel Expenses</v>
      </c>
    </row>
    <row r="295" spans="1:5" ht="15" customHeight="1">
      <c r="A295" s="733" t="s">
        <v>785</v>
      </c>
      <c r="B295" s="890">
        <v>11.698</v>
      </c>
      <c r="C295" s="890">
        <v>0</v>
      </c>
      <c r="E295" s="274" t="str">
        <f>VLOOKUP(A295,'Link Sheet'!A:A,1,0)</f>
        <v>PF Admin Charges</v>
      </c>
    </row>
    <row r="296" spans="1:5" ht="15" customHeight="1">
      <c r="A296" s="733" t="s">
        <v>613</v>
      </c>
      <c r="B296" s="890">
        <v>0</v>
      </c>
      <c r="C296" s="890">
        <v>12.148</v>
      </c>
      <c r="E296" s="274" t="str">
        <f>VLOOKUP(A296,'Link Sheet'!A:A,1,0)</f>
        <v>PF Employee Cont. Payable</v>
      </c>
    </row>
    <row r="297" spans="1:5" ht="15" customHeight="1">
      <c r="A297" s="733" t="s">
        <v>614</v>
      </c>
      <c r="B297" s="890">
        <v>0</v>
      </c>
      <c r="C297" s="890">
        <v>13.16</v>
      </c>
      <c r="E297" s="274" t="str">
        <f>VLOOKUP(A297,'Link Sheet'!A:A,1,0)</f>
        <v>PF Employer Cont. Payable</v>
      </c>
    </row>
    <row r="298" spans="1:5" ht="15" customHeight="1">
      <c r="A298" s="733" t="s">
        <v>615</v>
      </c>
      <c r="B298" s="890">
        <v>134.02699999999999</v>
      </c>
      <c r="C298" s="890">
        <v>0</v>
      </c>
      <c r="E298" s="274" t="str">
        <f>VLOOKUP(A298,'Link Sheet'!A:A,1,0)</f>
        <v>PF Employer Contribution</v>
      </c>
    </row>
    <row r="299" spans="1:5" ht="15" customHeight="1">
      <c r="A299" s="733" t="s">
        <v>1169</v>
      </c>
      <c r="B299" s="890">
        <v>0</v>
      </c>
      <c r="C299" s="890">
        <v>246.39500000000001</v>
      </c>
      <c r="E299" s="274" t="str">
        <f>VLOOKUP(A299,'Link Sheet'!A:A,1,0)</f>
        <v>Pinky Enterprises</v>
      </c>
    </row>
    <row r="300" spans="1:5" ht="15" customHeight="1">
      <c r="A300" s="733" t="s">
        <v>1334</v>
      </c>
      <c r="B300" s="890">
        <v>0</v>
      </c>
      <c r="C300" s="890">
        <v>57</v>
      </c>
      <c r="E300" s="274" t="str">
        <f>VLOOKUP(A300,'Link Sheet'!A:A,1,0)</f>
        <v>Pixel Studios Private Limited</v>
      </c>
    </row>
    <row r="301" spans="1:5" ht="15" customHeight="1">
      <c r="A301" s="733" t="s">
        <v>300</v>
      </c>
      <c r="B301" s="890">
        <v>212012.56641999999</v>
      </c>
      <c r="C301" s="890">
        <v>0</v>
      </c>
      <c r="E301" s="274" t="str">
        <f>VLOOKUP(A301,'Link Sheet'!A:A,1,0)</f>
        <v>Plant and Machineries</v>
      </c>
    </row>
    <row r="302" spans="1:5" ht="15" customHeight="1">
      <c r="A302" s="733" t="s">
        <v>1335</v>
      </c>
      <c r="B302" s="890">
        <v>0</v>
      </c>
      <c r="C302" s="890">
        <v>18.939</v>
      </c>
      <c r="E302" s="274" t="str">
        <f>VLOOKUP(A302,'Link Sheet'!A:A,1,0)</f>
        <v>Pon Engineers Private Limited</v>
      </c>
    </row>
    <row r="303" spans="1:5" ht="15" customHeight="1">
      <c r="A303" s="733" t="s">
        <v>1336</v>
      </c>
      <c r="B303" s="890">
        <v>39.329000000000001</v>
      </c>
      <c r="C303" s="890">
        <v>0</v>
      </c>
      <c r="E303" s="274" t="str">
        <f>VLOOKUP(A303,'Link Sheet'!A:A,1,0)</f>
        <v>Pooja Aircons LLP</v>
      </c>
    </row>
    <row r="304" spans="1:5" ht="15" customHeight="1">
      <c r="A304" s="733" t="s">
        <v>1170</v>
      </c>
      <c r="B304" s="890">
        <v>0</v>
      </c>
      <c r="C304" s="890">
        <v>823.15300000000002</v>
      </c>
      <c r="E304" s="274" t="str">
        <f>VLOOKUP(A304,'Link Sheet'!A:A,1,0)</f>
        <v>Praxair India Private Limited</v>
      </c>
    </row>
    <row r="305" spans="1:5" ht="15" customHeight="1">
      <c r="A305" s="733" t="s">
        <v>1337</v>
      </c>
      <c r="B305" s="890">
        <v>0</v>
      </c>
      <c r="C305" s="890">
        <v>627.16999999999996</v>
      </c>
      <c r="E305" s="274" t="str">
        <f>VLOOKUP(A305,'Link Sheet'!A:A,1,0)</f>
        <v>Premier Glass Works</v>
      </c>
    </row>
    <row r="306" spans="1:5" ht="15" customHeight="1">
      <c r="A306" s="733" t="s">
        <v>1103</v>
      </c>
      <c r="B306" s="890">
        <v>54.815199999999997</v>
      </c>
      <c r="C306" s="890">
        <v>0</v>
      </c>
      <c r="E306" s="274" t="str">
        <f>VLOOKUP(A306,'Link Sheet'!A:A,1,0)</f>
        <v>Price Difference (PVC ICF)</v>
      </c>
    </row>
    <row r="307" spans="1:5" ht="15" customHeight="1">
      <c r="A307" s="733" t="s">
        <v>409</v>
      </c>
      <c r="B307" s="890">
        <v>181.23027999999999</v>
      </c>
      <c r="C307" s="890">
        <v>0</v>
      </c>
      <c r="E307" s="274" t="str">
        <f>VLOOKUP(A307,'Link Sheet'!A:A,1,0)</f>
        <v>Printing &amp; Stationary</v>
      </c>
    </row>
    <row r="308" spans="1:5" ht="15" customHeight="1">
      <c r="A308" s="733" t="s">
        <v>1338</v>
      </c>
      <c r="B308" s="890">
        <v>0</v>
      </c>
      <c r="C308" s="890">
        <v>8.6379999999999999</v>
      </c>
      <c r="E308" s="274" t="str">
        <f>VLOOKUP(A308,'Link Sheet'!A:A,1,0)</f>
        <v>Productivity Solutions Pvt Ltd</v>
      </c>
    </row>
    <row r="309" spans="1:5" ht="15" customHeight="1">
      <c r="A309" s="733" t="s">
        <v>616</v>
      </c>
      <c r="B309" s="890">
        <v>700.87800000000004</v>
      </c>
      <c r="C309" s="890">
        <v>0</v>
      </c>
      <c r="E309" s="274" t="str">
        <f>VLOOKUP(A309,'Link Sheet'!A:A,1,0)</f>
        <v>Professional &amp; Consult Charges (TDS)</v>
      </c>
    </row>
    <row r="310" spans="1:5" ht="15" customHeight="1">
      <c r="A310" s="733" t="s">
        <v>617</v>
      </c>
      <c r="B310" s="890">
        <v>111</v>
      </c>
      <c r="C310" s="890">
        <v>0</v>
      </c>
      <c r="E310" s="274" t="str">
        <f>VLOOKUP(A310,'Link Sheet'!A:A,1,0)</f>
        <v>Professional &amp; Consult Charges (W/o TDS)</v>
      </c>
    </row>
    <row r="311" spans="1:5" ht="15" customHeight="1">
      <c r="A311" s="733" t="s">
        <v>1339</v>
      </c>
      <c r="B311" s="890">
        <v>2.5</v>
      </c>
      <c r="C311" s="890">
        <v>0</v>
      </c>
      <c r="E311" s="274" t="str">
        <f>VLOOKUP(A311,'Link Sheet'!A:A,1,0)</f>
        <v>Profession Tax</v>
      </c>
    </row>
    <row r="312" spans="1:5" ht="15" customHeight="1">
      <c r="A312" s="733" t="s">
        <v>1022</v>
      </c>
      <c r="B312" s="890">
        <v>0</v>
      </c>
      <c r="C312" s="890">
        <v>742.96199999999999</v>
      </c>
      <c r="E312" s="274" t="str">
        <f>VLOOKUP(A312,'Link Sheet'!A:A,1,0)</f>
        <v>Provision for Gratuity</v>
      </c>
    </row>
    <row r="313" spans="1:5" ht="15" customHeight="1">
      <c r="A313" s="733" t="s">
        <v>1063</v>
      </c>
      <c r="B313" s="890">
        <v>3.07</v>
      </c>
      <c r="C313" s="890">
        <v>0</v>
      </c>
      <c r="E313" s="274" t="str">
        <f>VLOOKUP(A313,'Link Sheet'!A:A,1,0)</f>
        <v>Provision for Taxation</v>
      </c>
    </row>
    <row r="314" spans="1:5" ht="15" customHeight="1">
      <c r="A314" s="733" t="s">
        <v>788</v>
      </c>
      <c r="B314" s="890">
        <v>12254.653619999999</v>
      </c>
      <c r="C314" s="890">
        <v>0</v>
      </c>
      <c r="E314" s="274" t="str">
        <f>VLOOKUP(A314,'Link Sheet'!A:A,1,0)</f>
        <v>Purchase Consumables - SGST</v>
      </c>
    </row>
    <row r="315" spans="1:5" ht="15" customHeight="1">
      <c r="A315" s="733" t="s">
        <v>618</v>
      </c>
      <c r="B315" s="890">
        <v>76232.44902</v>
      </c>
      <c r="C315" s="890">
        <v>0</v>
      </c>
      <c r="E315" s="274" t="str">
        <f>VLOOKUP(A315,'Link Sheet'!A:A,1,0)</f>
        <v>Purchase IGST</v>
      </c>
    </row>
    <row r="316" spans="1:5" ht="15" customHeight="1">
      <c r="A316" s="733" t="s">
        <v>789</v>
      </c>
      <c r="B316" s="890">
        <v>236733.85926</v>
      </c>
      <c r="C316" s="890">
        <v>0</v>
      </c>
      <c r="E316" s="274" t="str">
        <f>VLOOKUP(A316,'Link Sheet'!A:A,1,0)</f>
        <v>Purchase Raw Material SGST</v>
      </c>
    </row>
    <row r="317" spans="1:5" ht="15" customHeight="1">
      <c r="A317" s="733" t="s">
        <v>1340</v>
      </c>
      <c r="B317" s="890">
        <v>0</v>
      </c>
      <c r="C317" s="890">
        <v>348.661</v>
      </c>
      <c r="E317" s="274" t="str">
        <f>VLOOKUP(A317,'Link Sheet'!A:A,1,0)</f>
        <v>Pushpanjali Industrial Equipments</v>
      </c>
    </row>
    <row r="318" spans="1:5" ht="15" customHeight="1">
      <c r="A318" s="733" t="s">
        <v>1064</v>
      </c>
      <c r="B318" s="890">
        <v>575.80899999999997</v>
      </c>
      <c r="C318" s="890">
        <v>0</v>
      </c>
      <c r="E318" s="274" t="str">
        <f>VLOOKUP(A318,'Link Sheet'!A:A,1,0)</f>
        <v>Rail Coach Factory</v>
      </c>
    </row>
    <row r="319" spans="1:5" ht="15" customHeight="1">
      <c r="A319" s="733" t="s">
        <v>1449</v>
      </c>
      <c r="B319" s="890">
        <v>0</v>
      </c>
      <c r="C319" s="890">
        <v>69.894000000000005</v>
      </c>
      <c r="E319" s="274" t="str">
        <f>VLOOKUP(A319,'Link Sheet'!A:A,1,0)</f>
        <v>Raja</v>
      </c>
    </row>
    <row r="320" spans="1:5" ht="15" customHeight="1">
      <c r="A320" s="733" t="s">
        <v>1450</v>
      </c>
      <c r="B320" s="890">
        <v>20</v>
      </c>
      <c r="C320" s="890">
        <v>0</v>
      </c>
      <c r="E320" s="274" t="str">
        <f>VLOOKUP(A320,'Link Sheet'!A:A,1,0)</f>
        <v>Rajadurai / Karnan</v>
      </c>
    </row>
    <row r="321" spans="1:5" ht="15" customHeight="1">
      <c r="A321" s="733" t="s">
        <v>1451</v>
      </c>
      <c r="B321" s="890">
        <v>0</v>
      </c>
      <c r="C321" s="890">
        <v>10.8</v>
      </c>
      <c r="E321" s="274" t="str">
        <f>VLOOKUP(A321,'Link Sheet'!A:A,1,0)</f>
        <v>Rajan Kumar M</v>
      </c>
    </row>
    <row r="322" spans="1:5" ht="15" customHeight="1">
      <c r="A322" s="733" t="s">
        <v>1065</v>
      </c>
      <c r="B322" s="890">
        <v>0</v>
      </c>
      <c r="C322" s="890">
        <v>42.834000000000003</v>
      </c>
      <c r="E322" s="274" t="str">
        <f>VLOOKUP(A322,'Link Sheet'!A:A,1,0)</f>
        <v>Ravi Metal Finishers</v>
      </c>
    </row>
    <row r="323" spans="1:5" ht="15" customHeight="1">
      <c r="A323" s="733" t="s">
        <v>1341</v>
      </c>
      <c r="B323" s="890">
        <v>16</v>
      </c>
      <c r="C323" s="890">
        <v>0</v>
      </c>
      <c r="E323" s="274" t="str">
        <f>VLOOKUP(A323,'Link Sheet'!A:A,1,0)</f>
        <v>Rental Deposit - Ilayaraja (Unit 2 Staff Accom.)</v>
      </c>
    </row>
    <row r="324" spans="1:5" ht="15" customHeight="1">
      <c r="A324" s="733" t="s">
        <v>1342</v>
      </c>
      <c r="B324" s="890">
        <v>150</v>
      </c>
      <c r="C324" s="890">
        <v>0</v>
      </c>
      <c r="E324" s="274" t="str">
        <f>VLOOKUP(A324,'Link Sheet'!A:A,1,0)</f>
        <v>Rental Deposit - V.Subramanian</v>
      </c>
    </row>
    <row r="325" spans="1:5" ht="15" customHeight="1">
      <c r="A325" s="733" t="s">
        <v>177</v>
      </c>
      <c r="B325" s="890">
        <v>1080</v>
      </c>
      <c r="C325" s="890">
        <v>0</v>
      </c>
      <c r="E325" s="274" t="str">
        <f>VLOOKUP(A325,'Link Sheet'!A:A,1,0)</f>
        <v>Rent - Factory</v>
      </c>
    </row>
    <row r="326" spans="1:5" ht="15" customHeight="1">
      <c r="A326" s="733" t="s">
        <v>619</v>
      </c>
      <c r="B326" s="890">
        <v>418.5</v>
      </c>
      <c r="C326" s="890">
        <v>0</v>
      </c>
      <c r="E326" s="274" t="str">
        <f>VLOOKUP(A326,'Link Sheet'!A:A,1,0)</f>
        <v>Rent Paid</v>
      </c>
    </row>
    <row r="327" spans="1:5" ht="15" customHeight="1">
      <c r="A327" s="733" t="s">
        <v>410</v>
      </c>
      <c r="B327" s="890">
        <v>43.35</v>
      </c>
      <c r="C327" s="890">
        <v>0</v>
      </c>
      <c r="E327" s="274" t="str">
        <f>VLOOKUP(A327,'Link Sheet'!A:A,1,0)</f>
        <v>Repair &amp; Maintainance Charges</v>
      </c>
    </row>
    <row r="328" spans="1:5" ht="15" customHeight="1">
      <c r="A328" s="733" t="s">
        <v>396</v>
      </c>
      <c r="B328" s="890">
        <v>0</v>
      </c>
      <c r="C328" s="890">
        <v>39257.514569999999</v>
      </c>
      <c r="E328" s="274" t="str">
        <f>VLOOKUP(A328,'Link Sheet'!A:A,1,0)</f>
        <v>Reserve &amp; Surplus</v>
      </c>
    </row>
    <row r="329" spans="1:5" ht="15" customHeight="1">
      <c r="A329" s="733" t="s">
        <v>286</v>
      </c>
      <c r="B329" s="890">
        <v>20.105</v>
      </c>
      <c r="C329" s="890">
        <v>0</v>
      </c>
      <c r="E329" s="274" t="str">
        <f>VLOOKUP(A329,'Link Sheet'!A:A,1,0)</f>
        <v>Rites Limited</v>
      </c>
    </row>
    <row r="330" spans="1:5" ht="15" customHeight="1">
      <c r="A330" s="733" t="s">
        <v>1090</v>
      </c>
      <c r="B330" s="890">
        <v>0</v>
      </c>
      <c r="C330" s="890">
        <v>95.436000000000007</v>
      </c>
      <c r="E330" s="274" t="str">
        <f>VLOOKUP(A330,'Link Sheet'!A:A,1,0)</f>
        <v>R.Loganathan</v>
      </c>
    </row>
    <row r="331" spans="1:5" ht="15" customHeight="1">
      <c r="A331" s="733" t="s">
        <v>1134</v>
      </c>
      <c r="B331" s="890">
        <v>636.65017</v>
      </c>
      <c r="C331" s="890">
        <v>0</v>
      </c>
      <c r="E331" s="274" t="str">
        <f>VLOOKUP(A331,'Link Sheet'!A:A,1,0)</f>
        <v>R &amp; M - Building</v>
      </c>
    </row>
    <row r="332" spans="1:5" ht="15" customHeight="1">
      <c r="A332" s="733" t="s">
        <v>792</v>
      </c>
      <c r="B332" s="890">
        <v>149.38160999999999</v>
      </c>
      <c r="C332" s="890">
        <v>0</v>
      </c>
      <c r="E332" s="274" t="str">
        <f>VLOOKUP(A332,'Link Sheet'!A:A,1,0)</f>
        <v>R &amp; M - Computers Expense</v>
      </c>
    </row>
    <row r="333" spans="1:5" ht="15" customHeight="1">
      <c r="A333" s="733" t="s">
        <v>620</v>
      </c>
      <c r="B333" s="890">
        <v>35.543279999999996</v>
      </c>
      <c r="C333" s="890">
        <v>0</v>
      </c>
      <c r="E333" s="274" t="str">
        <f>VLOOKUP(A333,'Link Sheet'!A:A,1,0)</f>
        <v>R &amp; M - Electrical &amp; Hardware</v>
      </c>
    </row>
    <row r="334" spans="1:5" ht="15" customHeight="1">
      <c r="A334" s="733" t="s">
        <v>621</v>
      </c>
      <c r="B334" s="890">
        <v>1547.5659099999998</v>
      </c>
      <c r="C334" s="890">
        <v>0</v>
      </c>
      <c r="E334" s="274" t="str">
        <f>VLOOKUP(A334,'Link Sheet'!A:A,1,0)</f>
        <v>R &amp; M - Machineries</v>
      </c>
    </row>
    <row r="335" spans="1:5" ht="15" customHeight="1">
      <c r="A335" s="733" t="s">
        <v>622</v>
      </c>
      <c r="B335" s="890">
        <v>180.12807999999998</v>
      </c>
      <c r="C335" s="890">
        <v>0</v>
      </c>
      <c r="E335" s="274" t="str">
        <f>VLOOKUP(A335,'Link Sheet'!A:A,1,0)</f>
        <v>ROC, Efiling &amp; Reg Expenses</v>
      </c>
    </row>
    <row r="336" spans="1:5" ht="15" customHeight="1">
      <c r="A336" s="733" t="s">
        <v>195</v>
      </c>
      <c r="B336" s="890">
        <v>0.95611999999999997</v>
      </c>
      <c r="C336" s="890">
        <v>0</v>
      </c>
      <c r="E336" s="274" t="str">
        <f>VLOOKUP(A336,'Link Sheet'!A:A,1,0)</f>
        <v>Rounded Off</v>
      </c>
    </row>
    <row r="337" spans="1:5" ht="15" customHeight="1">
      <c r="A337" s="733" t="s">
        <v>1343</v>
      </c>
      <c r="B337" s="890">
        <v>17.3</v>
      </c>
      <c r="C337" s="890">
        <v>0</v>
      </c>
      <c r="E337" s="274" t="str">
        <f>VLOOKUP(A337,'Link Sheet'!A:A,1,0)</f>
        <v>R R Fibre</v>
      </c>
    </row>
    <row r="338" spans="1:5" ht="15" customHeight="1">
      <c r="A338" s="733" t="s">
        <v>1126</v>
      </c>
      <c r="B338" s="890">
        <v>0</v>
      </c>
      <c r="C338" s="890">
        <v>144.61500000000001</v>
      </c>
      <c r="E338" s="274" t="str">
        <f>VLOOKUP(A338,'Link Sheet'!A:A,1,0)</f>
        <v>R.S.Rajan Stores</v>
      </c>
    </row>
    <row r="339" spans="1:5" ht="15" customHeight="1">
      <c r="A339" s="733" t="s">
        <v>1344</v>
      </c>
      <c r="B339" s="890">
        <v>0</v>
      </c>
      <c r="C339" s="890">
        <v>1423.6869999999999</v>
      </c>
      <c r="E339" s="274" t="str">
        <f>VLOOKUP(A339,'Link Sheet'!A:A,1,0)</f>
        <v>Saifee Industrial Corporation</v>
      </c>
    </row>
    <row r="340" spans="1:5" ht="15" customHeight="1">
      <c r="A340" s="733" t="s">
        <v>1416</v>
      </c>
      <c r="B340" s="890">
        <v>56</v>
      </c>
      <c r="C340" s="890">
        <v>0</v>
      </c>
      <c r="E340" s="274" t="str">
        <f>VLOOKUP(A340,'Link Sheet'!A:A,1,0)</f>
        <v>Sai Vignesha Power</v>
      </c>
    </row>
    <row r="341" spans="1:5" ht="15" customHeight="1">
      <c r="A341" s="733" t="s">
        <v>1345</v>
      </c>
      <c r="B341" s="890">
        <v>32.36</v>
      </c>
      <c r="C341" s="890">
        <v>0</v>
      </c>
      <c r="E341" s="274" t="str">
        <f>VLOOKUP(A341,'Link Sheet'!A:A,1,0)</f>
        <v>Sakthi Cool Point</v>
      </c>
    </row>
    <row r="342" spans="1:5" ht="15" customHeight="1">
      <c r="A342" s="733" t="s">
        <v>194</v>
      </c>
      <c r="B342" s="890">
        <v>1120.827</v>
      </c>
      <c r="C342" s="890">
        <v>0</v>
      </c>
      <c r="E342" s="274" t="str">
        <f>VLOOKUP(A342,'Link Sheet'!A:A,1,0)</f>
        <v>Salary</v>
      </c>
    </row>
    <row r="343" spans="1:5" ht="15" customHeight="1">
      <c r="A343" s="733" t="s">
        <v>624</v>
      </c>
      <c r="B343" s="890">
        <v>16.5</v>
      </c>
      <c r="C343" s="890">
        <v>0</v>
      </c>
      <c r="E343" s="274" t="str">
        <f>VLOOKUP(A343,'Link Sheet'!A:A,1,0)</f>
        <v>Salary Advance</v>
      </c>
    </row>
    <row r="344" spans="1:5" ht="15" customHeight="1">
      <c r="A344" s="733" t="s">
        <v>269</v>
      </c>
      <c r="B344" s="890">
        <v>0</v>
      </c>
      <c r="C344" s="890">
        <v>151.49</v>
      </c>
      <c r="E344" s="274" t="str">
        <f>VLOOKUP(A344,'Link Sheet'!A:A,1,0)</f>
        <v>Salary Payable</v>
      </c>
    </row>
    <row r="345" spans="1:5" ht="15" customHeight="1">
      <c r="A345" s="733" t="s">
        <v>399</v>
      </c>
      <c r="B345" s="890">
        <v>0</v>
      </c>
      <c r="C345" s="890">
        <v>32378.527999999998</v>
      </c>
      <c r="E345" s="274" t="str">
        <f>VLOOKUP(A345,'Link Sheet'!A:A,1,0)</f>
        <v>Salem Stainless Steel Suppliers Private Limited</v>
      </c>
    </row>
    <row r="346" spans="1:5" ht="15" customHeight="1">
      <c r="A346" s="733" t="s">
        <v>1452</v>
      </c>
      <c r="B346" s="890">
        <v>1.125</v>
      </c>
      <c r="C346" s="890">
        <v>0</v>
      </c>
      <c r="E346" s="274" t="str">
        <f>VLOOKUP(A346,'Link Sheet'!A:A,1,0)</f>
        <v>Salem Steel Industries</v>
      </c>
    </row>
    <row r="347" spans="1:5" ht="15" customHeight="1">
      <c r="A347" s="733" t="s">
        <v>1346</v>
      </c>
      <c r="B347" s="890">
        <v>0</v>
      </c>
      <c r="C347" s="890">
        <v>41.66019</v>
      </c>
      <c r="E347" s="274" t="str">
        <f>VLOOKUP(A347,'Link Sheet'!A:A,1,0)</f>
        <v>Sales Exports</v>
      </c>
    </row>
    <row r="348" spans="1:5" ht="15" customHeight="1">
      <c r="A348" s="733" t="s">
        <v>1127</v>
      </c>
      <c r="B348" s="890">
        <v>0</v>
      </c>
      <c r="C348" s="890">
        <v>4050.71468</v>
      </c>
      <c r="E348" s="274" t="str">
        <f>VLOOKUP(A348,'Link Sheet'!A:A,1,0)</f>
        <v>Sales  - IGST</v>
      </c>
    </row>
    <row r="349" spans="1:5" ht="15" customHeight="1">
      <c r="A349" s="733" t="s">
        <v>1347</v>
      </c>
      <c r="B349" s="890">
        <v>0</v>
      </c>
      <c r="C349" s="890">
        <v>5604.1839300000001</v>
      </c>
      <c r="E349" s="274" t="str">
        <f>VLOOKUP(A349,'Link Sheet'!A:A,1,0)</f>
        <v>Sales SEZ</v>
      </c>
    </row>
    <row r="350" spans="1:5" ht="15" customHeight="1">
      <c r="A350" s="733" t="s">
        <v>1128</v>
      </c>
      <c r="B350" s="890">
        <v>0</v>
      </c>
      <c r="C350" s="890">
        <v>442835.22237999999</v>
      </c>
      <c r="E350" s="274" t="str">
        <f>VLOOKUP(A350,'Link Sheet'!A:A,1,0)</f>
        <v>Sales - SGST</v>
      </c>
    </row>
    <row r="351" spans="1:5" ht="15" customHeight="1">
      <c r="A351" s="733" t="s">
        <v>1171</v>
      </c>
      <c r="B351" s="890">
        <v>0</v>
      </c>
      <c r="C351" s="890">
        <v>398.95800000000003</v>
      </c>
      <c r="E351" s="274" t="str">
        <f>VLOOKUP(A351,'Link Sheet'!A:A,1,0)</f>
        <v>Sanco Enterprises</v>
      </c>
    </row>
    <row r="352" spans="1:5" ht="15" customHeight="1">
      <c r="A352" s="733" t="s">
        <v>1348</v>
      </c>
      <c r="B352" s="890">
        <v>0</v>
      </c>
      <c r="C352" s="890">
        <v>0.88900000000000001</v>
      </c>
      <c r="E352" s="274" t="str">
        <f>VLOOKUP(A352,'Link Sheet'!A:A,1,0)</f>
        <v>Sapphire Metal Solutions LLP</v>
      </c>
    </row>
    <row r="353" spans="1:5" ht="15" customHeight="1">
      <c r="A353" s="733" t="s">
        <v>1172</v>
      </c>
      <c r="B353" s="890">
        <v>392.26655999999997</v>
      </c>
      <c r="C353" s="890">
        <v>0</v>
      </c>
      <c r="E353" s="274" t="str">
        <f>VLOOKUP(A353,'Link Sheet'!A:A,1,0)</f>
        <v>Schwing Stetter India Pvt Ltd</v>
      </c>
    </row>
    <row r="354" spans="1:5" ht="15" customHeight="1">
      <c r="A354" s="733" t="s">
        <v>1417</v>
      </c>
      <c r="B354" s="890">
        <v>0</v>
      </c>
      <c r="C354" s="890">
        <v>2.4860000000000002</v>
      </c>
      <c r="E354" s="274" t="str">
        <f>VLOOKUP(A354,'Link Sheet'!A:A,1,0)</f>
        <v>SD Anodising</v>
      </c>
    </row>
    <row r="355" spans="1:5" ht="15" customHeight="1">
      <c r="A355" s="733" t="s">
        <v>1173</v>
      </c>
      <c r="B355" s="890">
        <v>30</v>
      </c>
      <c r="C355" s="890">
        <v>0</v>
      </c>
      <c r="E355" s="274" t="str">
        <f>VLOOKUP(A355,'Link Sheet'!A:A,1,0)</f>
        <v>Security Deposit  - Prax Air</v>
      </c>
    </row>
    <row r="356" spans="1:5" ht="15" customHeight="1">
      <c r="A356" s="733" t="s">
        <v>721</v>
      </c>
      <c r="B356" s="890">
        <v>479.834</v>
      </c>
      <c r="C356" s="890">
        <v>0</v>
      </c>
      <c r="E356" s="274" t="str">
        <f>VLOOKUP(A356,'Link Sheet'!A:A,1,0)</f>
        <v>Security Service Charges</v>
      </c>
    </row>
    <row r="357" spans="1:5" ht="15" customHeight="1">
      <c r="A357" s="733" t="s">
        <v>1104</v>
      </c>
      <c r="B357" s="890">
        <v>2881.4540000000002</v>
      </c>
      <c r="C357" s="890">
        <v>0</v>
      </c>
      <c r="E357" s="274" t="str">
        <f>VLOOKUP(A357,'Link Sheet'!A:A,1,0)</f>
        <v>SGST Cash Ledger</v>
      </c>
    </row>
    <row r="358" spans="1:5" ht="15" customHeight="1">
      <c r="A358" s="733" t="s">
        <v>88</v>
      </c>
      <c r="B358" s="890">
        <v>0</v>
      </c>
      <c r="C358" s="890">
        <v>28500</v>
      </c>
      <c r="E358" s="274" t="str">
        <f>VLOOKUP(A358,'Link Sheet'!A:A,1,0)</f>
        <v>Share Capital</v>
      </c>
    </row>
    <row r="359" spans="1:5" ht="15" customHeight="1">
      <c r="A359" s="733" t="s">
        <v>369</v>
      </c>
      <c r="B359" s="890">
        <v>0</v>
      </c>
      <c r="C359" s="890">
        <v>16200</v>
      </c>
      <c r="E359" s="274" t="str">
        <f>VLOOKUP(A359,'Link Sheet'!A:A,1,0)</f>
        <v>Share Premium</v>
      </c>
    </row>
    <row r="360" spans="1:5" ht="15" customHeight="1">
      <c r="A360" s="733" t="s">
        <v>400</v>
      </c>
      <c r="B360" s="890">
        <v>0</v>
      </c>
      <c r="C360" s="890">
        <v>61.779000000000003</v>
      </c>
      <c r="E360" s="274" t="str">
        <f>VLOOKUP(A360,'Link Sheet'!A:A,1,0)</f>
        <v>Shree Maruthi Enterprises</v>
      </c>
    </row>
    <row r="361" spans="1:5" ht="15" customHeight="1">
      <c r="A361" s="733" t="s">
        <v>204</v>
      </c>
      <c r="B361" s="890">
        <v>0</v>
      </c>
      <c r="C361" s="890">
        <v>152.93</v>
      </c>
      <c r="E361" s="274" t="str">
        <f>VLOOKUP(A361,'Link Sheet'!A:A,1,0)</f>
        <v>Shree Murali Packs</v>
      </c>
    </row>
    <row r="362" spans="1:5" ht="15" customHeight="1">
      <c r="A362" s="733" t="s">
        <v>404</v>
      </c>
      <c r="B362" s="890">
        <v>10</v>
      </c>
      <c r="C362" s="890">
        <v>0</v>
      </c>
      <c r="E362" s="274" t="str">
        <f>VLOOKUP(A362,'Link Sheet'!A:A,1,0)</f>
        <v>Soft Air Engineering</v>
      </c>
    </row>
    <row r="363" spans="1:5" ht="15" customHeight="1">
      <c r="A363" s="733" t="s">
        <v>1066</v>
      </c>
      <c r="B363" s="890">
        <v>275</v>
      </c>
      <c r="C363" s="890">
        <v>0</v>
      </c>
      <c r="E363" s="274" t="str">
        <f>VLOOKUP(A363,'Link Sheet'!A:A,1,0)</f>
        <v>Software &amp; Applications</v>
      </c>
    </row>
    <row r="364" spans="1:5" ht="15" customHeight="1">
      <c r="A364" s="733" t="s">
        <v>1349</v>
      </c>
      <c r="B364" s="890">
        <v>231.66200000000001</v>
      </c>
      <c r="C364" s="890">
        <v>0</v>
      </c>
      <c r="E364" s="274" t="str">
        <f>VLOOKUP(A364,'Link Sheet'!A:A,1,0)</f>
        <v>Southco India Pvt Ltd</v>
      </c>
    </row>
    <row r="365" spans="1:5" ht="15" customHeight="1">
      <c r="A365" s="733" t="s">
        <v>1067</v>
      </c>
      <c r="B365" s="890">
        <v>45.148000000000003</v>
      </c>
      <c r="C365" s="890">
        <v>0</v>
      </c>
      <c r="E365" s="274" t="str">
        <f>VLOOKUP(A365,'Link Sheet'!A:A,1,0)</f>
        <v>Southern Railway</v>
      </c>
    </row>
    <row r="366" spans="1:5" ht="15" customHeight="1">
      <c r="A366" s="733" t="s">
        <v>1350</v>
      </c>
      <c r="B366" s="890">
        <v>75.048000000000002</v>
      </c>
      <c r="C366" s="890">
        <v>0</v>
      </c>
      <c r="E366" s="274" t="str">
        <f>VLOOKUP(A366,'Link Sheet'!A:A,1,0)</f>
        <v>South Western Railway</v>
      </c>
    </row>
    <row r="367" spans="1:5" ht="15" customHeight="1">
      <c r="A367" s="733" t="s">
        <v>1351</v>
      </c>
      <c r="B367" s="890">
        <v>0.20799999999999999</v>
      </c>
      <c r="C367" s="890">
        <v>0</v>
      </c>
      <c r="E367" s="274" t="str">
        <f>VLOOKUP(A367,'Link Sheet'!A:A,1,0)</f>
        <v>S.P.Balasubramaniam</v>
      </c>
    </row>
    <row r="368" spans="1:5" ht="15" customHeight="1">
      <c r="A368" s="733" t="s">
        <v>794</v>
      </c>
      <c r="B368" s="890">
        <v>26.439</v>
      </c>
      <c r="C368" s="890">
        <v>0</v>
      </c>
      <c r="E368" s="274" t="str">
        <f>VLOOKUP(A368,'Link Sheet'!A:A,1,0)</f>
        <v>Spin Air System Coimbatore Pvt Ltd</v>
      </c>
    </row>
    <row r="369" spans="1:5" ht="15" customHeight="1">
      <c r="A369" s="733" t="s">
        <v>1096</v>
      </c>
      <c r="B369" s="890">
        <v>0</v>
      </c>
      <c r="C369" s="890">
        <v>319.36</v>
      </c>
      <c r="E369" s="274" t="str">
        <f>VLOOKUP(A369,'Link Sheet'!A:A,1,0)</f>
        <v>S.Ravi &amp; Associates</v>
      </c>
    </row>
    <row r="370" spans="1:5" ht="15" customHeight="1">
      <c r="A370" s="733" t="s">
        <v>1352</v>
      </c>
      <c r="B370" s="890">
        <v>2.4449999999999998</v>
      </c>
      <c r="C370" s="890">
        <v>0</v>
      </c>
      <c r="E370" s="274" t="str">
        <f>VLOOKUP(A370,'Link Sheet'!A:A,1,0)</f>
        <v>Sree Arumuga Steel Traders</v>
      </c>
    </row>
    <row r="371" spans="1:5" ht="15" customHeight="1">
      <c r="A371" s="733" t="s">
        <v>1419</v>
      </c>
      <c r="B371" s="890">
        <v>0</v>
      </c>
      <c r="C371" s="890">
        <v>24.31</v>
      </c>
      <c r="E371" s="274" t="str">
        <f>VLOOKUP(A371,'Link Sheet'!A:A,1,0)</f>
        <v>Sri Guru Engineering Services</v>
      </c>
    </row>
    <row r="372" spans="1:5" ht="15" customHeight="1">
      <c r="A372" s="733" t="s">
        <v>1353</v>
      </c>
      <c r="B372" s="890">
        <v>43.427</v>
      </c>
      <c r="C372" s="890">
        <v>0</v>
      </c>
      <c r="E372" s="274" t="str">
        <f>VLOOKUP(A372,'Link Sheet'!A:A,1,0)</f>
        <v>Sri Hari Airconditioners</v>
      </c>
    </row>
    <row r="373" spans="1:5" ht="15" customHeight="1">
      <c r="A373" s="733" t="s">
        <v>1129</v>
      </c>
      <c r="B373" s="890">
        <v>0</v>
      </c>
      <c r="C373" s="890">
        <v>46.226999999999997</v>
      </c>
      <c r="E373" s="274" t="str">
        <f>VLOOKUP(A373,'Link Sheet'!A:A,1,0)</f>
        <v>Sri Lakshmi Electricals &amp; Hardwares</v>
      </c>
    </row>
    <row r="374" spans="1:5" ht="15" customHeight="1">
      <c r="A374" s="733" t="s">
        <v>1068</v>
      </c>
      <c r="B374" s="890">
        <v>0</v>
      </c>
      <c r="C374" s="890">
        <v>1123.2739999999999</v>
      </c>
      <c r="E374" s="274" t="str">
        <f>VLOOKUP(A374,'Link Sheet'!A:A,1,0)</f>
        <v>Sri Lakshmi Industries</v>
      </c>
    </row>
    <row r="375" spans="1:5" ht="15" customHeight="1">
      <c r="A375" s="733" t="s">
        <v>1354</v>
      </c>
      <c r="B375" s="890">
        <v>0</v>
      </c>
      <c r="C375" s="890">
        <v>252.09200000000001</v>
      </c>
      <c r="E375" s="274" t="str">
        <f>VLOOKUP(A375,'Link Sheet'!A:A,1,0)</f>
        <v>Sri Nallith Industries</v>
      </c>
    </row>
    <row r="376" spans="1:5" ht="15" customHeight="1">
      <c r="A376" s="733" t="s">
        <v>796</v>
      </c>
      <c r="B376" s="890">
        <v>0</v>
      </c>
      <c r="C376" s="890">
        <v>2.0188800000000002</v>
      </c>
      <c r="E376" s="274" t="str">
        <f>VLOOKUP(A376,'Link Sheet'!A:A,1,0)</f>
        <v>Srinivasa Enterprises</v>
      </c>
    </row>
    <row r="377" spans="1:5" ht="15" customHeight="1">
      <c r="A377" s="733" t="s">
        <v>1420</v>
      </c>
      <c r="B377" s="890">
        <v>0</v>
      </c>
      <c r="C377" s="890">
        <v>1.331</v>
      </c>
      <c r="E377" s="274" t="str">
        <f>VLOOKUP(A377,'Link Sheet'!A:A,1,0)</f>
        <v>Srinivasa Steel Products LLP</v>
      </c>
    </row>
    <row r="378" spans="1:5" ht="15" customHeight="1">
      <c r="A378" s="733" t="s">
        <v>1453</v>
      </c>
      <c r="B378" s="890">
        <v>0</v>
      </c>
      <c r="C378" s="890">
        <v>35.909999999999997</v>
      </c>
      <c r="E378" s="274" t="str">
        <f>VLOOKUP(A378,'Link Sheet'!A:A,1,0)</f>
        <v>Sri Sairam CNC Cutting and Folding</v>
      </c>
    </row>
    <row r="379" spans="1:5" ht="15" customHeight="1">
      <c r="A379" s="733" t="s">
        <v>1355</v>
      </c>
      <c r="B379" s="890">
        <v>0.318</v>
      </c>
      <c r="C379" s="890">
        <v>0</v>
      </c>
      <c r="E379" s="274" t="str">
        <f>VLOOKUP(A379,'Link Sheet'!A:A,1,0)</f>
        <v>Sri Velan Traders</v>
      </c>
    </row>
    <row r="380" spans="1:5" ht="15" customHeight="1">
      <c r="A380" s="733" t="s">
        <v>1356</v>
      </c>
      <c r="B380" s="890">
        <v>47.354999999999997</v>
      </c>
      <c r="C380" s="890">
        <v>0</v>
      </c>
      <c r="E380" s="274" t="str">
        <f>VLOOKUP(A380,'Link Sheet'!A:A,1,0)</f>
        <v>Sri Venkateswaraa Engineering</v>
      </c>
    </row>
    <row r="381" spans="1:5" ht="15" customHeight="1">
      <c r="A381" s="733" t="s">
        <v>1130</v>
      </c>
      <c r="B381" s="890">
        <v>44.334000000000003</v>
      </c>
      <c r="C381" s="890">
        <v>0</v>
      </c>
      <c r="E381" s="274" t="str">
        <f>VLOOKUP(A381,'Link Sheet'!A:A,1,0)</f>
        <v>S S Associates</v>
      </c>
    </row>
    <row r="382" spans="1:5" ht="15" customHeight="1">
      <c r="A382" s="733" t="s">
        <v>1175</v>
      </c>
      <c r="B382" s="890">
        <v>0</v>
      </c>
      <c r="C382" s="890">
        <v>161.19300000000001</v>
      </c>
      <c r="E382" s="274" t="str">
        <f>VLOOKUP(A382,'Link Sheet'!A:A,1,0)</f>
        <v>SS Fasteners Pvt Ltd</v>
      </c>
    </row>
    <row r="383" spans="1:5" ht="15" customHeight="1">
      <c r="A383" s="733" t="s">
        <v>1357</v>
      </c>
      <c r="B383" s="890">
        <v>38.316000000000003</v>
      </c>
      <c r="C383" s="890">
        <v>0</v>
      </c>
      <c r="E383" s="274" t="str">
        <f>VLOOKUP(A383,'Link Sheet'!A:A,1,0)</f>
        <v>SSK Engineers</v>
      </c>
    </row>
    <row r="384" spans="1:5" ht="15" customHeight="1">
      <c r="A384" s="733" t="s">
        <v>1421</v>
      </c>
      <c r="B384" s="890">
        <v>0</v>
      </c>
      <c r="C384" s="890">
        <v>3.7759999999999998</v>
      </c>
      <c r="E384" s="274" t="str">
        <f>VLOOKUP(A384,'Link Sheet'!A:A,1,0)</f>
        <v>SS Punching And Folding</v>
      </c>
    </row>
    <row r="385" spans="1:5" ht="15" customHeight="1">
      <c r="A385" s="733" t="s">
        <v>193</v>
      </c>
      <c r="B385" s="890">
        <v>724.7876</v>
      </c>
      <c r="C385" s="890">
        <v>0</v>
      </c>
      <c r="E385" s="274" t="str">
        <f>VLOOKUP(A385,'Link Sheet'!A:A,1,0)</f>
        <v>Staff Welfare</v>
      </c>
    </row>
    <row r="386" spans="1:5" ht="15" customHeight="1">
      <c r="A386" s="733" t="s">
        <v>1176</v>
      </c>
      <c r="B386" s="890">
        <v>0</v>
      </c>
      <c r="C386" s="890">
        <v>1118.2049999999999</v>
      </c>
      <c r="E386" s="274" t="str">
        <f>VLOOKUP(A386,'Link Sheet'!A:A,1,0)</f>
        <v>Steel Yard Junction</v>
      </c>
    </row>
    <row r="387" spans="1:5" ht="15" customHeight="1">
      <c r="A387" s="733" t="s">
        <v>1422</v>
      </c>
      <c r="B387" s="890">
        <v>0</v>
      </c>
      <c r="C387" s="890">
        <v>27</v>
      </c>
      <c r="E387" s="274" t="str">
        <f>VLOOKUP(A387,'Link Sheet'!A:A,1,0)</f>
        <v>Subramanian V - Rent Payable Ramaniyam Flats</v>
      </c>
    </row>
    <row r="388" spans="1:5" ht="15" customHeight="1">
      <c r="A388" s="733" t="s">
        <v>799</v>
      </c>
      <c r="B388" s="890">
        <v>0</v>
      </c>
      <c r="C388" s="890">
        <v>259.23</v>
      </c>
      <c r="E388" s="274" t="str">
        <f>VLOOKUP(A388,'Link Sheet'!A:A,1,0)</f>
        <v>Sundar Engineering Works</v>
      </c>
    </row>
    <row r="389" spans="1:5" ht="15" customHeight="1">
      <c r="A389" s="733" t="s">
        <v>1423</v>
      </c>
      <c r="B389" s="890">
        <v>0</v>
      </c>
      <c r="C389" s="890">
        <v>14.249000000000001</v>
      </c>
      <c r="E389" s="274" t="str">
        <f>VLOOKUP(A389,'Link Sheet'!A:A,1,0)</f>
        <v>Sun Phospho Chem</v>
      </c>
    </row>
    <row r="390" spans="1:5" ht="15" customHeight="1">
      <c r="A390" s="733" t="s">
        <v>1358</v>
      </c>
      <c r="B390" s="890">
        <v>0</v>
      </c>
      <c r="C390" s="890">
        <v>68.352000000000004</v>
      </c>
      <c r="E390" s="274" t="str">
        <f>VLOOKUP(A390,'Link Sheet'!A:A,1,0)</f>
        <v>Sunshine Hardwares</v>
      </c>
    </row>
    <row r="391" spans="1:5" ht="15" customHeight="1">
      <c r="A391" s="733" t="s">
        <v>1424</v>
      </c>
      <c r="B391" s="890">
        <v>0</v>
      </c>
      <c r="C391" s="890">
        <v>93.456000000000003</v>
      </c>
      <c r="E391" s="274" t="str">
        <f>VLOOKUP(A391,'Link Sheet'!A:A,1,0)</f>
        <v>Tamilnad Aluminium Company(F)</v>
      </c>
    </row>
    <row r="392" spans="1:5" ht="15" customHeight="1">
      <c r="A392" s="733" t="s">
        <v>1177</v>
      </c>
      <c r="B392" s="890">
        <v>72.050160000000005</v>
      </c>
      <c r="C392" s="890">
        <v>0</v>
      </c>
      <c r="E392" s="274" t="str">
        <f>VLOOKUP(A392,'Link Sheet'!A:A,1,0)</f>
        <v>TCS Receivable</v>
      </c>
    </row>
    <row r="393" spans="1:5" ht="15" customHeight="1">
      <c r="A393" s="733" t="s">
        <v>801</v>
      </c>
      <c r="B393" s="890">
        <v>352.32781</v>
      </c>
      <c r="C393" s="890">
        <v>0</v>
      </c>
      <c r="E393" s="274" t="str">
        <f>VLOOKUP(A393,'Link Sheet'!A:A,1,0)</f>
        <v>TDS - CGST</v>
      </c>
    </row>
    <row r="394" spans="1:5" ht="15" customHeight="1">
      <c r="A394" s="733" t="s">
        <v>1359</v>
      </c>
      <c r="B394" s="890">
        <v>0</v>
      </c>
      <c r="C394" s="890">
        <v>133.875</v>
      </c>
      <c r="E394" s="274" t="str">
        <f>VLOOKUP(A394,'Link Sheet'!A:A,1,0)</f>
        <v>TDS on Contract 21-22</v>
      </c>
    </row>
    <row r="395" spans="1:5" ht="15" customHeight="1">
      <c r="A395" s="733" t="s">
        <v>1425</v>
      </c>
      <c r="B395" s="890">
        <v>0</v>
      </c>
      <c r="C395" s="890">
        <v>349</v>
      </c>
      <c r="E395" s="274" t="str">
        <f>VLOOKUP(A395,'Link Sheet'!A:A,1,0)</f>
        <v>TDS on Interest 21-22</v>
      </c>
    </row>
    <row r="396" spans="1:5" ht="15" customHeight="1">
      <c r="A396" s="733" t="s">
        <v>1360</v>
      </c>
      <c r="B396" s="890">
        <v>0</v>
      </c>
      <c r="C396" s="890">
        <v>35.450000000000003</v>
      </c>
      <c r="E396" s="274" t="str">
        <f>VLOOKUP(A396,'Link Sheet'!A:A,1,0)</f>
        <v>TDS on Professional Sevice 21-22</v>
      </c>
    </row>
    <row r="397" spans="1:5" ht="15" customHeight="1">
      <c r="A397" s="733" t="s">
        <v>1454</v>
      </c>
      <c r="B397" s="890">
        <v>0</v>
      </c>
      <c r="C397" s="890">
        <v>94.066000000000003</v>
      </c>
      <c r="E397" s="274" t="str">
        <f>VLOOKUP(A397,'Link Sheet'!A:A,1,0)</f>
        <v>TDS on Purchase of Goods 21-22</v>
      </c>
    </row>
    <row r="398" spans="1:5" ht="15" customHeight="1">
      <c r="A398" s="733" t="s">
        <v>1361</v>
      </c>
      <c r="B398" s="890">
        <v>0</v>
      </c>
      <c r="C398" s="890">
        <v>27</v>
      </c>
      <c r="E398" s="274" t="str">
        <f>VLOOKUP(A398,'Link Sheet'!A:A,1,0)</f>
        <v>TDS on Rent 21-22</v>
      </c>
    </row>
    <row r="399" spans="1:5" ht="15" customHeight="1">
      <c r="A399" s="733" t="s">
        <v>1362</v>
      </c>
      <c r="B399" s="890">
        <v>0</v>
      </c>
      <c r="C399" s="890">
        <v>4826.9799999999996</v>
      </c>
      <c r="E399" s="274" t="str">
        <f>VLOOKUP(A399,'Link Sheet'!A:A,1,0)</f>
        <v>TDS on Salary 21-22</v>
      </c>
    </row>
    <row r="400" spans="1:5" ht="15" customHeight="1">
      <c r="A400" s="733" t="s">
        <v>1363</v>
      </c>
      <c r="B400" s="890">
        <v>0</v>
      </c>
      <c r="C400" s="890">
        <v>16.402000000000001</v>
      </c>
      <c r="E400" s="274" t="str">
        <f>VLOOKUP(A400,'Link Sheet'!A:A,1,0)</f>
        <v>TDS on Technical Service 21-22</v>
      </c>
    </row>
    <row r="401" spans="1:5" ht="15" customHeight="1">
      <c r="A401" s="733" t="s">
        <v>1364</v>
      </c>
      <c r="B401" s="890">
        <v>4.8712700000000009</v>
      </c>
      <c r="C401" s="890">
        <v>0</v>
      </c>
      <c r="E401" s="274" t="str">
        <f>VLOOKUP(A401,'Link Sheet'!A:A,1,0)</f>
        <v>TDS Receivable 20-21</v>
      </c>
    </row>
    <row r="402" spans="1:5" ht="15" customHeight="1">
      <c r="A402" s="733" t="s">
        <v>1365</v>
      </c>
      <c r="B402" s="890">
        <v>558.83276000000001</v>
      </c>
      <c r="C402" s="890">
        <v>0</v>
      </c>
      <c r="E402" s="274" t="str">
        <f>VLOOKUP(A402,'Link Sheet'!A:A,1,0)</f>
        <v>TDS Receivable 21-22</v>
      </c>
    </row>
    <row r="403" spans="1:5" ht="15" customHeight="1">
      <c r="A403" s="733" t="s">
        <v>802</v>
      </c>
      <c r="B403" s="890">
        <v>352.32781</v>
      </c>
      <c r="C403" s="890">
        <v>0</v>
      </c>
      <c r="E403" s="274" t="str">
        <f>VLOOKUP(A403,'Link Sheet'!A:A,1,0)</f>
        <v>TDS - SGST</v>
      </c>
    </row>
    <row r="404" spans="1:5" ht="15" customHeight="1">
      <c r="A404" s="733" t="s">
        <v>1131</v>
      </c>
      <c r="B404" s="890">
        <v>64.899000000000001</v>
      </c>
      <c r="C404" s="890">
        <v>0</v>
      </c>
      <c r="E404" s="274" t="str">
        <f>VLOOKUP(A404,'Link Sheet'!A:A,1,0)</f>
        <v>Team Air Conditioner</v>
      </c>
    </row>
    <row r="405" spans="1:5" ht="15" customHeight="1">
      <c r="A405" s="733" t="s">
        <v>192</v>
      </c>
      <c r="B405" s="890">
        <v>7.1950000000000003</v>
      </c>
      <c r="C405" s="890">
        <v>0</v>
      </c>
      <c r="E405" s="274" t="str">
        <f>VLOOKUP(A405,'Link Sheet'!A:A,1,0)</f>
        <v>Telephone Charges</v>
      </c>
    </row>
    <row r="406" spans="1:5" ht="15" customHeight="1">
      <c r="A406" s="733" t="s">
        <v>198</v>
      </c>
      <c r="B406" s="890">
        <v>2</v>
      </c>
      <c r="C406" s="890">
        <v>0</v>
      </c>
      <c r="E406" s="274" t="str">
        <f>VLOOKUP(A406,'Link Sheet'!A:A,1,0)</f>
        <v>Telephone Deposit</v>
      </c>
    </row>
    <row r="407" spans="1:5" ht="15" customHeight="1">
      <c r="A407" s="733" t="s">
        <v>171</v>
      </c>
      <c r="B407" s="890">
        <v>20.948</v>
      </c>
      <c r="C407" s="890">
        <v>0</v>
      </c>
      <c r="E407" s="274" t="str">
        <f>VLOOKUP(A407,'Link Sheet'!A:A,1,0)</f>
        <v>Telephone Instruments</v>
      </c>
    </row>
    <row r="408" spans="1:5" ht="15" customHeight="1">
      <c r="A408" s="733" t="s">
        <v>1366</v>
      </c>
      <c r="B408" s="890">
        <v>75.703000000000003</v>
      </c>
      <c r="C408" s="890">
        <v>0</v>
      </c>
      <c r="E408" s="274" t="str">
        <f>VLOOKUP(A408,'Link Sheet'!A:A,1,0)</f>
        <v>The Madurai Air Systems</v>
      </c>
    </row>
    <row r="409" spans="1:5" ht="15" customHeight="1">
      <c r="A409" s="733" t="s">
        <v>1367</v>
      </c>
      <c r="B409" s="890">
        <v>0</v>
      </c>
      <c r="C409" s="890">
        <v>65.656999999999996</v>
      </c>
      <c r="E409" s="274" t="str">
        <f>VLOOKUP(A409,'Link Sheet'!A:A,1,0)</f>
        <v>Thermal Scientific Works</v>
      </c>
    </row>
    <row r="410" spans="1:5" ht="15" customHeight="1">
      <c r="A410" s="733" t="s">
        <v>1368</v>
      </c>
      <c r="B410" s="890">
        <v>0</v>
      </c>
      <c r="C410" s="890">
        <v>305.63099999999997</v>
      </c>
      <c r="E410" s="274" t="str">
        <f>VLOOKUP(A410,'Link Sheet'!A:A,1,0)</f>
        <v>Thulasi Enterprises</v>
      </c>
    </row>
    <row r="411" spans="1:5" ht="15" customHeight="1">
      <c r="A411" s="733" t="s">
        <v>424</v>
      </c>
      <c r="B411" s="890">
        <v>0</v>
      </c>
      <c r="C411" s="890">
        <v>273.64100000000002</v>
      </c>
      <c r="E411" s="274" t="str">
        <f>VLOOKUP(A411,'Link Sheet'!A:A,1,0)</f>
        <v>TPRS  Enterprises Pvt Ltd</v>
      </c>
    </row>
    <row r="412" spans="1:5" ht="15" customHeight="1">
      <c r="A412" s="733" t="s">
        <v>411</v>
      </c>
      <c r="B412" s="890">
        <v>15</v>
      </c>
      <c r="C412" s="890">
        <v>0</v>
      </c>
      <c r="E412" s="274" t="str">
        <f>VLOOKUP(A412,'Link Sheet'!A:A,1,0)</f>
        <v>Travelling Expenses</v>
      </c>
    </row>
    <row r="413" spans="1:5" ht="15" customHeight="1">
      <c r="A413" s="733" t="s">
        <v>1091</v>
      </c>
      <c r="B413" s="890">
        <v>0</v>
      </c>
      <c r="C413" s="890">
        <v>30.513000000000002</v>
      </c>
      <c r="E413" s="274" t="str">
        <f>VLOOKUP(A413,'Link Sheet'!A:A,1,0)</f>
        <v>Trinity International</v>
      </c>
    </row>
    <row r="414" spans="1:5" ht="15" customHeight="1">
      <c r="A414" s="733" t="s">
        <v>1426</v>
      </c>
      <c r="B414" s="890">
        <v>0</v>
      </c>
      <c r="C414" s="890">
        <v>14.125999999999999</v>
      </c>
      <c r="E414" s="274" t="str">
        <f>VLOOKUP(A414,'Link Sheet'!A:A,1,0)</f>
        <v>Trumpf (India) Pvt Ltd - Pune</v>
      </c>
    </row>
    <row r="415" spans="1:5" ht="15" customHeight="1">
      <c r="A415" s="733" t="s">
        <v>803</v>
      </c>
      <c r="B415" s="890">
        <v>0</v>
      </c>
      <c r="C415" s="890">
        <v>857.21100000000001</v>
      </c>
      <c r="E415" s="274" t="str">
        <f>VLOOKUP(A415,'Link Sheet'!A:A,1,0)</f>
        <v>T.T Millwala &amp; Sons</v>
      </c>
    </row>
    <row r="416" spans="1:5" ht="15" customHeight="1">
      <c r="A416" s="733" t="s">
        <v>1369</v>
      </c>
      <c r="B416" s="890">
        <v>0</v>
      </c>
      <c r="C416" s="890">
        <v>36.18</v>
      </c>
      <c r="E416" s="274" t="str">
        <f>VLOOKUP(A416,'Link Sheet'!A:A,1,0)</f>
        <v>TUV SUD South Asia Pvt Ltd</v>
      </c>
    </row>
    <row r="417" spans="1:5" ht="15" customHeight="1">
      <c r="A417" s="733" t="s">
        <v>1178</v>
      </c>
      <c r="B417" s="890">
        <v>9</v>
      </c>
      <c r="C417" s="890">
        <v>0</v>
      </c>
      <c r="E417" s="274" t="str">
        <f>VLOOKUP(A417,'Link Sheet'!A:A,1,0)</f>
        <v>Udaypratap - Contract Welder</v>
      </c>
    </row>
    <row r="418" spans="1:5" ht="15" customHeight="1">
      <c r="A418" s="733" t="s">
        <v>1370</v>
      </c>
      <c r="B418" s="890">
        <v>27.798999999999999</v>
      </c>
      <c r="C418" s="890">
        <v>0</v>
      </c>
      <c r="E418" s="274" t="str">
        <f>VLOOKUP(A418,'Link Sheet'!A:A,1,0)</f>
        <v>Ultracool Engineers</v>
      </c>
    </row>
    <row r="419" spans="1:5" ht="15" customHeight="1">
      <c r="A419" s="733" t="s">
        <v>1179</v>
      </c>
      <c r="B419" s="890">
        <v>0</v>
      </c>
      <c r="C419" s="890">
        <v>220.83699999999999</v>
      </c>
      <c r="E419" s="274" t="str">
        <f>VLOOKUP(A419,'Link Sheet'!A:A,1,0)</f>
        <v>Ultratech Paints and Allied Products</v>
      </c>
    </row>
    <row r="420" spans="1:5" ht="15" customHeight="1">
      <c r="A420" s="733" t="s">
        <v>1092</v>
      </c>
      <c r="B420" s="890">
        <v>0</v>
      </c>
      <c r="C420" s="890">
        <v>1118.24</v>
      </c>
      <c r="E420" s="274" t="str">
        <f>VLOOKUP(A420,'Link Sheet'!A:A,1,0)</f>
        <v>Unikorp Inc</v>
      </c>
    </row>
    <row r="421" spans="1:5" ht="15" customHeight="1">
      <c r="A421" s="733" t="s">
        <v>1371</v>
      </c>
      <c r="B421" s="890">
        <v>12.147</v>
      </c>
      <c r="C421" s="890">
        <v>0</v>
      </c>
      <c r="E421" s="274" t="str">
        <f>VLOOKUP(A421,'Link Sheet'!A:A,1,0)</f>
        <v>Unimech Systems (India) Pvt Ltd</v>
      </c>
    </row>
    <row r="422" spans="1:5" ht="15" customHeight="1">
      <c r="A422" s="733" t="s">
        <v>629</v>
      </c>
      <c r="B422" s="890">
        <v>43.948999999999998</v>
      </c>
      <c r="C422" s="890">
        <v>0</v>
      </c>
      <c r="E422" s="274" t="str">
        <f>VLOOKUP(A422,'Link Sheet'!A:A,1,0)</f>
        <v>United Aircon</v>
      </c>
    </row>
    <row r="423" spans="1:5" ht="15" customHeight="1">
      <c r="A423" s="733" t="s">
        <v>1372</v>
      </c>
      <c r="B423" s="890">
        <v>0</v>
      </c>
      <c r="C423" s="890">
        <v>2.8319999999999999</v>
      </c>
      <c r="E423" s="274" t="str">
        <f>VLOOKUP(A423,'Link Sheet'!A:A,1,0)</f>
        <v>Universal Engineers Chennai Pvt.Ltd.</v>
      </c>
    </row>
    <row r="424" spans="1:5" ht="15" customHeight="1">
      <c r="A424" s="733" t="s">
        <v>630</v>
      </c>
      <c r="B424" s="890">
        <v>0</v>
      </c>
      <c r="C424" s="890">
        <v>274.64600000000002</v>
      </c>
      <c r="E424" s="274" t="str">
        <f>VLOOKUP(A424,'Link Sheet'!A:A,1,0)</f>
        <v>Universal Engineers Chennai Pvt Ltd-S</v>
      </c>
    </row>
    <row r="425" spans="1:5" ht="15" customHeight="1">
      <c r="A425" s="733" t="s">
        <v>1427</v>
      </c>
      <c r="B425" s="890">
        <v>60.710999999999999</v>
      </c>
      <c r="C425" s="890">
        <v>0</v>
      </c>
      <c r="E425" s="274" t="str">
        <f>VLOOKUP(A425,'Link Sheet'!A:A,1,0)</f>
        <v>Vanes Engineering India Pvt. Ltd</v>
      </c>
    </row>
    <row r="426" spans="1:5" ht="15" customHeight="1">
      <c r="A426" s="733" t="s">
        <v>1373</v>
      </c>
      <c r="B426" s="890">
        <v>0</v>
      </c>
      <c r="C426" s="890">
        <v>24.19</v>
      </c>
      <c r="E426" s="274" t="str">
        <f>VLOOKUP(A426,'Link Sheet'!A:A,1,0)</f>
        <v>Vedham &amp; Co</v>
      </c>
    </row>
    <row r="427" spans="1:5" ht="15" customHeight="1">
      <c r="A427" s="733" t="s">
        <v>1070</v>
      </c>
      <c r="B427" s="890">
        <v>0</v>
      </c>
      <c r="C427" s="890">
        <v>147.82499999999999</v>
      </c>
      <c r="E427" s="274" t="str">
        <f>VLOOKUP(A427,'Link Sheet'!A:A,1,0)</f>
        <v>Veepees India</v>
      </c>
    </row>
    <row r="428" spans="1:5" ht="15" customHeight="1">
      <c r="A428" s="733" t="s">
        <v>805</v>
      </c>
      <c r="B428" s="890">
        <v>1299</v>
      </c>
      <c r="C428" s="890">
        <v>0</v>
      </c>
      <c r="E428" s="274" t="str">
        <f>VLOOKUP(A428,'Link Sheet'!A:A,1,0)</f>
        <v>Vehicle Eicher PRO 1080</v>
      </c>
    </row>
    <row r="429" spans="1:5" ht="15" customHeight="1">
      <c r="A429" s="733" t="s">
        <v>1071</v>
      </c>
      <c r="B429" s="890">
        <v>914.95299999999997</v>
      </c>
      <c r="C429" s="890">
        <v>0</v>
      </c>
      <c r="E429" s="274" t="str">
        <f>VLOOKUP(A429,'Link Sheet'!A:A,1,0)</f>
        <v>Vehicle Eicher Pro 2049</v>
      </c>
    </row>
    <row r="430" spans="1:5" ht="15" customHeight="1">
      <c r="A430" s="733" t="s">
        <v>412</v>
      </c>
      <c r="B430" s="890">
        <v>139.036</v>
      </c>
      <c r="C430" s="890">
        <v>0</v>
      </c>
      <c r="E430" s="274" t="str">
        <f>VLOOKUP(A430,'Link Sheet'!A:A,1,0)</f>
        <v>Vehicle Insurance</v>
      </c>
    </row>
    <row r="431" spans="1:5" ht="15" customHeight="1">
      <c r="A431" s="733" t="s">
        <v>430</v>
      </c>
      <c r="B431" s="890">
        <v>646.68995999999993</v>
      </c>
      <c r="C431" s="890">
        <v>0</v>
      </c>
      <c r="E431" s="274" t="str">
        <f>VLOOKUP(A431,'Link Sheet'!A:A,1,0)</f>
        <v>Vehicle Maintenance Expenses</v>
      </c>
    </row>
    <row r="432" spans="1:5" ht="15" customHeight="1">
      <c r="A432" s="733" t="s">
        <v>1374</v>
      </c>
      <c r="B432" s="890">
        <v>785.21</v>
      </c>
      <c r="C432" s="890">
        <v>0</v>
      </c>
      <c r="E432" s="274" t="str">
        <f>VLOOKUP(A432,'Link Sheet'!A:A,1,0)</f>
        <v>Vehicle - Maruti Dzire</v>
      </c>
    </row>
    <row r="433" spans="1:5" ht="15" customHeight="1">
      <c r="A433" s="733" t="s">
        <v>1072</v>
      </c>
      <c r="B433" s="890">
        <v>510.62266999999997</v>
      </c>
      <c r="C433" s="890">
        <v>0</v>
      </c>
      <c r="E433" s="274" t="str">
        <f>VLOOKUP(A433,'Link Sheet'!A:A,1,0)</f>
        <v>Vehicle  - Others</v>
      </c>
    </row>
    <row r="434" spans="1:5" ht="15" customHeight="1">
      <c r="A434" s="733" t="s">
        <v>631</v>
      </c>
      <c r="B434" s="890">
        <v>422.346</v>
      </c>
      <c r="C434" s="890">
        <v>0</v>
      </c>
      <c r="E434" s="274" t="str">
        <f>VLOOKUP(A434,'Link Sheet'!A:A,1,0)</f>
        <v>Vehicles - Two Wheelers</v>
      </c>
    </row>
    <row r="435" spans="1:5" ht="15" customHeight="1">
      <c r="A435" s="733" t="s">
        <v>1375</v>
      </c>
      <c r="B435" s="890">
        <v>625</v>
      </c>
      <c r="C435" s="890">
        <v>0</v>
      </c>
      <c r="E435" s="274" t="str">
        <f>VLOOKUP(A435,'Link Sheet'!A:A,1,0)</f>
        <v>Vehicle Trailer - 75 Feet</v>
      </c>
    </row>
    <row r="436" spans="1:5" ht="15" customHeight="1">
      <c r="A436" s="733" t="s">
        <v>1376</v>
      </c>
      <c r="B436" s="890">
        <v>725</v>
      </c>
      <c r="C436" s="890">
        <v>0</v>
      </c>
      <c r="E436" s="274" t="str">
        <f>VLOOKUP(A436,'Link Sheet'!A:A,1,0)</f>
        <v>Vehicle Trailer Jeep - Leyland</v>
      </c>
    </row>
    <row r="437" spans="1:5" ht="15" customHeight="1">
      <c r="A437" s="733" t="s">
        <v>1428</v>
      </c>
      <c r="B437" s="890">
        <v>182.251</v>
      </c>
      <c r="C437" s="890">
        <v>0</v>
      </c>
      <c r="E437" s="274" t="str">
        <f>VLOOKUP(A437,'Link Sheet'!A:A,1,0)</f>
        <v>Venkateshwara Fibre Glass (Chennai) Pvt Ltd</v>
      </c>
    </row>
    <row r="438" spans="1:5" ht="15" customHeight="1">
      <c r="A438" s="733" t="s">
        <v>1377</v>
      </c>
      <c r="B438" s="890">
        <v>0</v>
      </c>
      <c r="C438" s="890">
        <v>78.623000000000005</v>
      </c>
      <c r="E438" s="274" t="str">
        <f>VLOOKUP(A438,'Link Sheet'!A:A,1,0)</f>
        <v>Venus Industries</v>
      </c>
    </row>
    <row r="439" spans="1:5" ht="15" customHeight="1">
      <c r="A439" s="733" t="s">
        <v>1180</v>
      </c>
      <c r="B439" s="890">
        <v>0</v>
      </c>
      <c r="C439" s="890">
        <v>1.8169999999999999</v>
      </c>
      <c r="E439" s="274" t="str">
        <f>VLOOKUP(A439,'Link Sheet'!A:A,1,0)</f>
        <v>Vetrivel Enterprises</v>
      </c>
    </row>
    <row r="440" spans="1:5" ht="15" customHeight="1">
      <c r="A440" s="733" t="s">
        <v>1429</v>
      </c>
      <c r="B440" s="890">
        <v>0</v>
      </c>
      <c r="C440" s="890">
        <v>27.646999999999998</v>
      </c>
      <c r="E440" s="274" t="str">
        <f>VLOOKUP(A440,'Link Sheet'!A:A,1,0)</f>
        <v>Vibgyor Paints &amp; Chemicals Pondicherry</v>
      </c>
    </row>
    <row r="441" spans="1:5" ht="15" customHeight="1">
      <c r="A441" s="733" t="s">
        <v>1181</v>
      </c>
      <c r="B441" s="890">
        <v>0</v>
      </c>
      <c r="C441" s="890">
        <v>21.8</v>
      </c>
      <c r="E441" s="274" t="str">
        <f>VLOOKUP(A441,'Link Sheet'!A:A,1,0)</f>
        <v>Vignesh Fasteners</v>
      </c>
    </row>
    <row r="442" spans="1:5" ht="15" customHeight="1">
      <c r="A442" s="733" t="s">
        <v>1430</v>
      </c>
      <c r="B442" s="890">
        <v>0</v>
      </c>
      <c r="C442" s="890">
        <v>2.9689999999999999</v>
      </c>
      <c r="E442" s="274" t="str">
        <f>VLOOKUP(A442,'Link Sheet'!A:A,1,0)</f>
        <v>Virwadia Metal and Alloys</v>
      </c>
    </row>
    <row r="443" spans="1:5" ht="15" customHeight="1">
      <c r="A443" s="733" t="s">
        <v>1073</v>
      </c>
      <c r="B443" s="890">
        <v>1.073</v>
      </c>
      <c r="C443" s="890">
        <v>0</v>
      </c>
      <c r="E443" s="274" t="str">
        <f>VLOOKUP(A443,'Link Sheet'!A:A,1,0)</f>
        <v>Virwadia Steels</v>
      </c>
    </row>
    <row r="444" spans="1:5" ht="15" customHeight="1">
      <c r="A444" s="733" t="s">
        <v>1097</v>
      </c>
      <c r="B444" s="890">
        <v>0</v>
      </c>
      <c r="C444" s="890">
        <v>9.5039999999999996</v>
      </c>
      <c r="E444" s="274" t="str">
        <f>VLOOKUP(A444,'Link Sheet'!A:A,1,0)</f>
        <v>Viswaas Enterprises</v>
      </c>
    </row>
    <row r="445" spans="1:5" ht="15" customHeight="1">
      <c r="A445" s="733" t="s">
        <v>1378</v>
      </c>
      <c r="B445" s="890">
        <v>80</v>
      </c>
      <c r="C445" s="890">
        <v>0</v>
      </c>
      <c r="E445" s="274" t="str">
        <f>VLOOKUP(A445,'Link Sheet'!A:A,1,0)</f>
        <v>VITh Vulcan India</v>
      </c>
    </row>
    <row r="446" spans="1:5" ht="15" customHeight="1">
      <c r="A446" s="733" t="s">
        <v>1182</v>
      </c>
      <c r="B446" s="890">
        <v>0</v>
      </c>
      <c r="C446" s="890">
        <v>14</v>
      </c>
      <c r="E446" s="274" t="str">
        <f>VLOOKUP(A446,'Link Sheet'!A:A,1,0)</f>
        <v>V.J.R. &amp; Techno Associates</v>
      </c>
    </row>
    <row r="447" spans="1:5" ht="15" customHeight="1">
      <c r="A447" s="733" t="s">
        <v>1455</v>
      </c>
      <c r="B447" s="890">
        <v>0</v>
      </c>
      <c r="C447" s="890">
        <v>134.376</v>
      </c>
      <c r="E447" s="274" t="str">
        <f>VLOOKUP(A447,'Link Sheet'!A:A,1,0)</f>
        <v>VKN Industries</v>
      </c>
    </row>
    <row r="448" spans="1:5" ht="15" customHeight="1">
      <c r="A448" s="733" t="s">
        <v>1183</v>
      </c>
      <c r="B448" s="890">
        <v>120</v>
      </c>
      <c r="C448" s="890">
        <v>0</v>
      </c>
      <c r="E448" s="274" t="str">
        <f>VLOOKUP(A448,'Link Sheet'!A:A,1,0)</f>
        <v>V. Rajesh (Nose Cone Contractor)</v>
      </c>
    </row>
    <row r="449" spans="1:5" ht="15" customHeight="1">
      <c r="A449" s="733" t="s">
        <v>258</v>
      </c>
      <c r="B449" s="890">
        <v>16403.989000000001</v>
      </c>
      <c r="C449" s="890">
        <v>0</v>
      </c>
      <c r="E449" s="274" t="str">
        <f>VLOOKUP(A449,'Link Sheet'!A:A,1,0)</f>
        <v>Wages</v>
      </c>
    </row>
    <row r="450" spans="1:5" ht="15" customHeight="1">
      <c r="A450" s="733" t="s">
        <v>270</v>
      </c>
      <c r="B450" s="890">
        <v>0</v>
      </c>
      <c r="C450" s="890">
        <v>1700.9829999999999</v>
      </c>
      <c r="E450" s="274" t="str">
        <f>VLOOKUP(A450,'Link Sheet'!A:A,1,0)</f>
        <v>Wages Payable</v>
      </c>
    </row>
    <row r="451" spans="1:5" ht="15" customHeight="1">
      <c r="A451" s="733" t="s">
        <v>632</v>
      </c>
      <c r="B451" s="890">
        <v>15.09</v>
      </c>
      <c r="C451" s="890">
        <v>0</v>
      </c>
      <c r="E451" s="274" t="str">
        <f>VLOOKUP(A451,'Link Sheet'!A:A,1,0)</f>
        <v>Weighing Expenses</v>
      </c>
    </row>
    <row r="452" spans="1:5" ht="15" customHeight="1">
      <c r="A452" s="733" t="s">
        <v>807</v>
      </c>
      <c r="B452" s="890">
        <v>809.87900000000002</v>
      </c>
      <c r="C452" s="890">
        <v>0</v>
      </c>
      <c r="E452" s="274" t="str">
        <f>VLOOKUP(A452,'Link Sheet'!A:A,1,0)</f>
        <v>Wewin Finishing Equipments Pvt Ltd</v>
      </c>
    </row>
    <row r="453" spans="1:5" ht="15" customHeight="1">
      <c r="A453" s="733" t="s">
        <v>1379</v>
      </c>
      <c r="B453" s="890">
        <v>0</v>
      </c>
      <c r="C453" s="890">
        <v>56.91</v>
      </c>
      <c r="E453" s="274" t="str">
        <f>VLOOKUP(A453,'Link Sheet'!A:A,1,0)</f>
        <v>WMS Consultancy</v>
      </c>
    </row>
    <row r="454" spans="1:5" ht="15" customHeight="1">
      <c r="A454" s="733" t="s">
        <v>1184</v>
      </c>
      <c r="B454" s="890">
        <v>0</v>
      </c>
      <c r="C454" s="890">
        <v>15</v>
      </c>
      <c r="E454" s="274" t="str">
        <f>VLOOKUP(A454,'Link Sheet'!A:A,1,0)</f>
        <v>Zita &amp; Company</v>
      </c>
    </row>
    <row r="455" spans="1:5" ht="15" customHeight="1">
      <c r="A455" s="734" t="s">
        <v>814</v>
      </c>
      <c r="B455" s="891">
        <f>SUM(B10:B454)</f>
        <v>1040082.0538400001</v>
      </c>
      <c r="C455" s="891">
        <f>SUM(C10:C454)</f>
        <v>1040082.0538399997</v>
      </c>
    </row>
  </sheetData>
  <autoFilter ref="A8:E455" xr:uid="{00000000-0009-0000-0000-000000000000}"/>
  <mergeCells count="5">
    <mergeCell ref="A1:C1"/>
    <mergeCell ref="A2:C2"/>
    <mergeCell ref="A3:C3"/>
    <mergeCell ref="A4:C4"/>
    <mergeCell ref="B6:C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639"/>
  <sheetViews>
    <sheetView tabSelected="1" topLeftCell="A516" zoomScaleNormal="100" workbookViewId="0">
      <selection activeCell="B538" sqref="B538:B539"/>
    </sheetView>
  </sheetViews>
  <sheetFormatPr defaultColWidth="9.140625" defaultRowHeight="15" customHeight="1"/>
  <cols>
    <col min="1" max="1" width="63.7109375" style="273" bestFit="1" customWidth="1"/>
    <col min="2" max="3" width="16.7109375" style="767" customWidth="1"/>
    <col min="4" max="4" width="16.28515625" style="767" bestFit="1" customWidth="1"/>
    <col min="5" max="5" width="9.140625" style="764"/>
    <col min="6" max="6" width="24.5703125" style="764" customWidth="1"/>
    <col min="7" max="7" width="15.5703125" style="764" bestFit="1" customWidth="1"/>
    <col min="8" max="8" width="14" style="764" bestFit="1" customWidth="1"/>
    <col min="9" max="12" width="9.140625" style="764"/>
    <col min="13" max="16384" width="9.140625" style="273"/>
  </cols>
  <sheetData>
    <row r="2" spans="1:12" s="763" customFormat="1" ht="15" customHeight="1">
      <c r="A2" s="760" t="s">
        <v>442</v>
      </c>
      <c r="B2" s="761" t="s">
        <v>1478</v>
      </c>
      <c r="C2" s="761" t="s">
        <v>1479</v>
      </c>
      <c r="D2" s="761" t="s">
        <v>1480</v>
      </c>
      <c r="E2" s="762"/>
      <c r="F2" s="762"/>
      <c r="G2" s="762"/>
      <c r="H2" s="762"/>
      <c r="I2" s="762"/>
      <c r="J2" s="762"/>
      <c r="K2" s="762"/>
      <c r="L2" s="762"/>
    </row>
    <row r="4" spans="1:12" ht="15" customHeight="1">
      <c r="A4" s="760" t="s">
        <v>1477</v>
      </c>
      <c r="B4" s="761"/>
      <c r="C4" s="761"/>
      <c r="D4" s="761">
        <f>+B4-C4</f>
        <v>0</v>
      </c>
    </row>
    <row r="5" spans="1:12" ht="15" customHeight="1">
      <c r="A5" s="765" t="s">
        <v>88</v>
      </c>
      <c r="B5" s="766">
        <f>IF(ISNA(VLOOKUP(A5,'TB-22'!A:C,2,0)),0,VLOOKUP(A5,'TB-22'!A:C,2,0))</f>
        <v>0</v>
      </c>
      <c r="C5" s="767">
        <f>IF(ISNA(VLOOKUP(A5,'TB-22'!A:C,3,0)),0,VLOOKUP(A5,'TB-22'!A:C,3,0))</f>
        <v>28500</v>
      </c>
      <c r="D5" s="767">
        <f>+B5-C5</f>
        <v>-28500</v>
      </c>
      <c r="F5" s="764">
        <f>D5</f>
        <v>-28500</v>
      </c>
    </row>
    <row r="6" spans="1:12" ht="15" customHeight="1">
      <c r="A6" s="768"/>
      <c r="B6" s="766"/>
      <c r="D6" s="767">
        <f t="shared" ref="D6:D40" si="0">+B6-C6</f>
        <v>0</v>
      </c>
    </row>
    <row r="7" spans="1:12" ht="15" customHeight="1">
      <c r="A7" s="760" t="s">
        <v>1476</v>
      </c>
      <c r="B7" s="761"/>
      <c r="C7" s="761"/>
      <c r="D7" s="761">
        <f t="shared" si="0"/>
        <v>0</v>
      </c>
    </row>
    <row r="8" spans="1:12" ht="15" customHeight="1">
      <c r="A8" s="769" t="s">
        <v>369</v>
      </c>
      <c r="B8" s="766">
        <f>IF(ISNA(VLOOKUP(A8,'TB-22'!A:C,2,0)),0,VLOOKUP(A8,'TB-22'!A:C,2,0))</f>
        <v>0</v>
      </c>
      <c r="C8" s="767">
        <f>IF(ISNA(VLOOKUP(A8,'TB-22'!A:C,3,0)),0,VLOOKUP(A8,'TB-22'!A:C,3,0))</f>
        <v>16200</v>
      </c>
      <c r="D8" s="767">
        <f t="shared" si="0"/>
        <v>-16200</v>
      </c>
    </row>
    <row r="9" spans="1:12" ht="15" customHeight="1">
      <c r="A9" s="769"/>
      <c r="B9" s="766"/>
      <c r="D9" s="767">
        <f t="shared" si="0"/>
        <v>0</v>
      </c>
    </row>
    <row r="10" spans="1:12" ht="15" customHeight="1">
      <c r="A10" s="274" t="s">
        <v>396</v>
      </c>
      <c r="B10" s="766">
        <f>IF(ISNA(VLOOKUP(A10,'TB-22'!A:C,2,0)),0,VLOOKUP(A10,'TB-22'!A:C,2,0))</f>
        <v>0</v>
      </c>
      <c r="C10" s="767">
        <f>IF(ISNA(VLOOKUP(A10,'TB-22'!A:C,3,0)),0,VLOOKUP(A10,'TB-22'!A:C,3,0))</f>
        <v>39257.514569999999</v>
      </c>
      <c r="D10" s="767">
        <f t="shared" si="0"/>
        <v>-39257.514569999999</v>
      </c>
      <c r="F10" s="764">
        <f>SUM(D8:D10)</f>
        <v>-55457.514569999999</v>
      </c>
    </row>
    <row r="11" spans="1:12" ht="15" customHeight="1">
      <c r="B11" s="766"/>
      <c r="D11" s="767">
        <f t="shared" si="0"/>
        <v>0</v>
      </c>
    </row>
    <row r="12" spans="1:12" ht="15" customHeight="1">
      <c r="A12" s="760" t="s">
        <v>1475</v>
      </c>
      <c r="B12" s="761"/>
      <c r="C12" s="761"/>
      <c r="D12" s="761">
        <f t="shared" si="0"/>
        <v>0</v>
      </c>
    </row>
    <row r="13" spans="1:12" ht="15" customHeight="1">
      <c r="A13" s="275" t="s">
        <v>941</v>
      </c>
      <c r="B13" s="766"/>
      <c r="D13" s="767">
        <f t="shared" si="0"/>
        <v>0</v>
      </c>
    </row>
    <row r="14" spans="1:12" ht="15" customHeight="1">
      <c r="A14" s="770" t="s">
        <v>770</v>
      </c>
      <c r="B14" s="766">
        <f>IF(ISNA(VLOOKUP(A14,'TB-22'!A:C,2,0)),0,VLOOKUP(A14,'TB-22'!A:C,2,0))</f>
        <v>0</v>
      </c>
      <c r="C14" s="767">
        <f>IF(ISNA(VLOOKUP(A14,'TB-22'!A:C,3,0)),0,VLOOKUP(A14,'TB-22'!A:C,3,0))</f>
        <v>209.6</v>
      </c>
      <c r="D14" s="767">
        <f t="shared" si="0"/>
        <v>-209.6</v>
      </c>
    </row>
    <row r="15" spans="1:12" ht="15" customHeight="1">
      <c r="A15" s="771" t="s">
        <v>1303</v>
      </c>
      <c r="B15" s="766">
        <f>IF(ISNA(VLOOKUP(A15,'TB-22'!A:C,2,0)),0,VLOOKUP(A15,'TB-22'!A:C,2,0))</f>
        <v>0</v>
      </c>
      <c r="C15" s="767">
        <f>IF(ISNA(VLOOKUP(A15,'TB-22'!A:C,3,0)),0,VLOOKUP(A15,'TB-22'!A:C,3,0))</f>
        <v>683.06299999999999</v>
      </c>
      <c r="D15" s="767">
        <f t="shared" si="0"/>
        <v>-683.06299999999999</v>
      </c>
    </row>
    <row r="16" spans="1:12" ht="15" customHeight="1">
      <c r="A16" s="274"/>
      <c r="B16" s="766"/>
      <c r="D16" s="767">
        <f t="shared" si="0"/>
        <v>0</v>
      </c>
    </row>
    <row r="17" spans="1:8" ht="15" customHeight="1">
      <c r="A17" s="275" t="s">
        <v>1532</v>
      </c>
      <c r="B17" s="766"/>
      <c r="D17" s="767">
        <f t="shared" si="0"/>
        <v>0</v>
      </c>
    </row>
    <row r="18" spans="1:8" ht="15" customHeight="1">
      <c r="A18" s="274" t="s">
        <v>585</v>
      </c>
      <c r="B18" s="766">
        <f>IF(ISNA(VLOOKUP(A18,'TB-22'!A:C,2,0)),0,VLOOKUP(A18,'TB-22'!A:C,2,0))</f>
        <v>0</v>
      </c>
      <c r="C18" s="767">
        <f>IF(ISNA(VLOOKUP(A18,'TB-22'!A:C,3,0)),0,VLOOKUP(A18,'TB-22'!A:C,3,0))</f>
        <v>27194.129000000001</v>
      </c>
      <c r="D18" s="767">
        <f t="shared" si="0"/>
        <v>-27194.129000000001</v>
      </c>
    </row>
    <row r="19" spans="1:8" ht="15" customHeight="1">
      <c r="A19" s="274" t="s">
        <v>586</v>
      </c>
      <c r="B19" s="766">
        <f>IF(ISNA(VLOOKUP(A19,'TB-22'!A:C,2,0)),0,VLOOKUP(A19,'TB-22'!A:C,2,0))</f>
        <v>0</v>
      </c>
      <c r="C19" s="767">
        <f>IF(ISNA(VLOOKUP(A19,'TB-22'!A:C,3,0)),0,VLOOKUP(A19,'TB-22'!A:C,3,0))</f>
        <v>97806.491379999992</v>
      </c>
      <c r="D19" s="767">
        <f t="shared" si="0"/>
        <v>-97806.491379999992</v>
      </c>
    </row>
    <row r="20" spans="1:8" ht="15" customHeight="1">
      <c r="A20" s="274" t="s">
        <v>1160</v>
      </c>
      <c r="B20" s="766">
        <f>IF(ISNA(VLOOKUP(A20,'TB-22'!A:C,2,0)),0,VLOOKUP(A20,'TB-22'!A:C,2,0))</f>
        <v>0</v>
      </c>
      <c r="C20" s="767">
        <f>IF(ISNA(VLOOKUP(A20,'TB-22'!A:C,3,0)),0,VLOOKUP(A20,'TB-22'!A:C,3,0))</f>
        <v>32498.902999999998</v>
      </c>
      <c r="D20" s="767">
        <f t="shared" si="0"/>
        <v>-32498.902999999998</v>
      </c>
    </row>
    <row r="21" spans="1:8" ht="15" customHeight="1">
      <c r="A21" s="274" t="s">
        <v>1305</v>
      </c>
      <c r="B21" s="766">
        <f>IF(ISNA(VLOOKUP(A21,'TB-22'!A:C,2,0)),0,VLOOKUP(A21,'TB-22'!A:C,2,0))</f>
        <v>0</v>
      </c>
      <c r="C21" s="767">
        <f>IF(ISNA(VLOOKUP(A21,'TB-22'!A:C,3,0)),0,VLOOKUP(A21,'TB-22'!A:C,3,0))</f>
        <v>18516.842000000001</v>
      </c>
      <c r="D21" s="767">
        <f t="shared" si="0"/>
        <v>-18516.842000000001</v>
      </c>
    </row>
    <row r="22" spans="1:8" ht="15" customHeight="1">
      <c r="B22" s="766"/>
      <c r="D22" s="767">
        <f t="shared" si="0"/>
        <v>0</v>
      </c>
    </row>
    <row r="23" spans="1:8" ht="15" customHeight="1">
      <c r="A23" s="540" t="s">
        <v>397</v>
      </c>
      <c r="B23" s="766"/>
      <c r="D23" s="767">
        <f t="shared" si="0"/>
        <v>0</v>
      </c>
    </row>
    <row r="24" spans="1:8" ht="15" customHeight="1">
      <c r="A24" s="274"/>
      <c r="B24" s="766">
        <f>IF(ISNA(VLOOKUP(A24,'TB-22'!A:C,2,0)),0,VLOOKUP(A24,'TB-22'!A:C,2,0))</f>
        <v>0</v>
      </c>
      <c r="C24" s="767">
        <f>IF(ISNA(VLOOKUP(A24,'TB-22'!A:C,3,0)),0,VLOOKUP(A24,'TB-22'!A:C,3,0))</f>
        <v>0</v>
      </c>
      <c r="D24" s="767">
        <f t="shared" si="0"/>
        <v>0</v>
      </c>
    </row>
    <row r="25" spans="1:8" ht="15" customHeight="1">
      <c r="A25" s="274"/>
      <c r="B25" s="766"/>
      <c r="D25" s="767">
        <f t="shared" si="0"/>
        <v>0</v>
      </c>
      <c r="F25" s="772">
        <f>SUM(D14:D25)</f>
        <v>-176909.02838</v>
      </c>
    </row>
    <row r="26" spans="1:8" ht="15" customHeight="1">
      <c r="A26" s="760" t="s">
        <v>1474</v>
      </c>
      <c r="B26" s="761"/>
      <c r="C26" s="761"/>
      <c r="D26" s="761">
        <f t="shared" si="0"/>
        <v>0</v>
      </c>
    </row>
    <row r="27" spans="1:8" ht="15" customHeight="1">
      <c r="A27" s="274" t="s">
        <v>403</v>
      </c>
      <c r="B27" s="766">
        <f>IF(ISNA(VLOOKUP(A27,'TB-22'!A:C,2,0)),0,VLOOKUP(A27,'TB-22'!A:C,2,0))</f>
        <v>0</v>
      </c>
      <c r="C27" s="767">
        <f>IF(ISNA(VLOOKUP(A27,'TB-22'!A:C,3,0)),0,VLOOKUP(A27,'TB-22'!A:C,3,0))</f>
        <v>4666.3068499999999</v>
      </c>
      <c r="D27" s="767">
        <f t="shared" si="0"/>
        <v>-4666.3068499999999</v>
      </c>
      <c r="F27" s="764">
        <f>D27</f>
        <v>-4666.3068499999999</v>
      </c>
    </row>
    <row r="28" spans="1:8" ht="15" customHeight="1">
      <c r="A28" s="274"/>
      <c r="B28" s="766"/>
      <c r="D28" s="767">
        <f t="shared" si="0"/>
        <v>0</v>
      </c>
    </row>
    <row r="29" spans="1:8" ht="15" customHeight="1">
      <c r="A29" s="760" t="s">
        <v>1473</v>
      </c>
      <c r="B29" s="761"/>
      <c r="C29" s="761"/>
      <c r="D29" s="761">
        <f t="shared" si="0"/>
        <v>0</v>
      </c>
    </row>
    <row r="30" spans="1:8" ht="15" customHeight="1">
      <c r="A30" s="274" t="s">
        <v>1022</v>
      </c>
      <c r="B30" s="766">
        <f>IF(ISNA(VLOOKUP(A30,'TB-22'!A:C,2,0)),0,VLOOKUP(A30,'TB-22'!A:C,2,0))</f>
        <v>0</v>
      </c>
      <c r="C30" s="767">
        <f>IF(ISNA(VLOOKUP(A30,'TB-22'!A:C,3,0)),0,VLOOKUP(A30,'TB-22'!A:C,3,0))</f>
        <v>742.96199999999999</v>
      </c>
      <c r="D30" s="767">
        <f t="shared" si="0"/>
        <v>-742.96199999999999</v>
      </c>
      <c r="F30" s="764">
        <f>D30</f>
        <v>-742.96199999999999</v>
      </c>
    </row>
    <row r="31" spans="1:8" ht="15" customHeight="1">
      <c r="B31" s="766"/>
      <c r="D31" s="767">
        <f t="shared" si="0"/>
        <v>0</v>
      </c>
    </row>
    <row r="32" spans="1:8" ht="15" customHeight="1">
      <c r="A32" s="760" t="s">
        <v>1472</v>
      </c>
      <c r="B32" s="761"/>
      <c r="C32" s="761"/>
      <c r="D32" s="761">
        <f t="shared" si="0"/>
        <v>0</v>
      </c>
      <c r="H32" s="773"/>
    </row>
    <row r="33" spans="1:7" ht="15" customHeight="1">
      <c r="A33" s="274" t="s">
        <v>584</v>
      </c>
      <c r="B33" s="766">
        <f>IF(ISNA(VLOOKUP(A33,'TB-22'!A:C,2,0)),0,VLOOKUP(A33,'TB-22'!A:C,2,0))</f>
        <v>0</v>
      </c>
      <c r="C33" s="767">
        <f>IF(ISNA(VLOOKUP(A33,'TB-22'!A:C,3,0)),0,VLOOKUP(A33,'TB-22'!A:C,3,0))</f>
        <v>37687.911659999998</v>
      </c>
      <c r="D33" s="767">
        <f t="shared" si="0"/>
        <v>-37687.911659999998</v>
      </c>
      <c r="F33" s="764">
        <f>D33</f>
        <v>-37687.911659999998</v>
      </c>
    </row>
    <row r="34" spans="1:7" ht="15" customHeight="1">
      <c r="A34" s="774" t="s">
        <v>779</v>
      </c>
      <c r="B34" s="766">
        <f>IF(ISNA(VLOOKUP(A34,'TB-22'!A:C,2,0)),0,VLOOKUP(A34,'TB-22'!A:C,2,0))</f>
        <v>0</v>
      </c>
      <c r="C34" s="767">
        <f>IF(ISNA(VLOOKUP(A34,'TB-22'!A:C,3,0)),0,VLOOKUP(A34,'TB-22'!A:C,3,0))</f>
        <v>29505.834500000001</v>
      </c>
      <c r="D34" s="767">
        <f>+B34-C34</f>
        <v>-29505.834500000001</v>
      </c>
    </row>
    <row r="35" spans="1:7" ht="15" customHeight="1">
      <c r="A35" s="274"/>
      <c r="B35" s="766"/>
      <c r="D35" s="767">
        <f t="shared" si="0"/>
        <v>0</v>
      </c>
    </row>
    <row r="36" spans="1:7" ht="15" customHeight="1">
      <c r="A36" s="760" t="s">
        <v>1471</v>
      </c>
      <c r="B36" s="761"/>
      <c r="C36" s="761"/>
      <c r="D36" s="761">
        <f t="shared" si="0"/>
        <v>0</v>
      </c>
    </row>
    <row r="37" spans="1:7" ht="15" customHeight="1">
      <c r="A37" s="275" t="s">
        <v>149</v>
      </c>
      <c r="B37" s="766"/>
      <c r="D37" s="767">
        <f t="shared" si="0"/>
        <v>0</v>
      </c>
    </row>
    <row r="38" spans="1:7" ht="15" customHeight="1">
      <c r="A38" s="775" t="s">
        <v>202</v>
      </c>
      <c r="B38" s="766">
        <f>IF(ISNA(VLOOKUP(A38,'TB-22'!A:C,2,0)),0,VLOOKUP(A38,'TB-22'!A:C,2,0))</f>
        <v>0</v>
      </c>
      <c r="C38" s="767">
        <f>IF(ISNA(VLOOKUP(A38,'TB-22'!A:C,3,0)),0,VLOOKUP(A38,'TB-22'!A:C,3,0))</f>
        <v>7419.6565599999994</v>
      </c>
      <c r="D38" s="767">
        <f t="shared" si="0"/>
        <v>-7419.6565599999994</v>
      </c>
    </row>
    <row r="39" spans="1:7" ht="15" customHeight="1">
      <c r="A39" s="275" t="s">
        <v>1140</v>
      </c>
      <c r="B39" s="766"/>
      <c r="D39" s="767">
        <f t="shared" si="0"/>
        <v>0</v>
      </c>
    </row>
    <row r="40" spans="1:7" ht="15" customHeight="1">
      <c r="A40" s="775" t="s">
        <v>609</v>
      </c>
      <c r="B40" s="766">
        <f>IF(ISNA(VLOOKUP(A40,'TB-22'!A:C,2,0)),0,VLOOKUP(A40,'TB-22'!A:C,2,0))</f>
        <v>0</v>
      </c>
      <c r="C40" s="767">
        <f>IF(ISNA(VLOOKUP(A40,'TB-22'!A:C,3,0)),0,VLOOKUP(A40,'TB-22'!A:C,3,0))</f>
        <v>1500.6220000000001</v>
      </c>
      <c r="D40" s="767">
        <f t="shared" si="0"/>
        <v>-1500.6220000000001</v>
      </c>
    </row>
    <row r="41" spans="1:7" ht="15" customHeight="1">
      <c r="A41" s="776" t="s">
        <v>1088</v>
      </c>
      <c r="B41" s="766">
        <f>IF(ISNA(VLOOKUP(A41,'TB-22'!A:C,2,0)),0,VLOOKUP(A41,'TB-22'!A:C,2,0))</f>
        <v>0</v>
      </c>
      <c r="C41" s="767">
        <f>IF(ISNA(VLOOKUP(A41,'TB-22'!A:C,3,0)),0,VLOOKUP(A41,'TB-22'!A:C,3,0))</f>
        <v>220.524</v>
      </c>
      <c r="D41" s="767">
        <f>+B41-C41</f>
        <v>-220.524</v>
      </c>
    </row>
    <row r="42" spans="1:7" ht="15" customHeight="1">
      <c r="A42" s="771" t="s">
        <v>783</v>
      </c>
      <c r="B42" s="766">
        <f>IF(ISNA(VLOOKUP(A42,'TB-22'!A:C,2,0)),0,VLOOKUP(A42,'TB-22'!A:C,2,0))</f>
        <v>0</v>
      </c>
      <c r="C42" s="767">
        <f>IF(ISNA(VLOOKUP(A42,'TB-22'!A:C,3,0)),0,VLOOKUP(A42,'TB-22'!A:C,3,0))</f>
        <v>4.8140000000000001</v>
      </c>
      <c r="D42" s="767">
        <f>+B42-C42</f>
        <v>-4.8140000000000001</v>
      </c>
      <c r="F42" s="771"/>
      <c r="G42" s="776"/>
    </row>
    <row r="43" spans="1:7" ht="15" customHeight="1">
      <c r="A43" s="275" t="s">
        <v>1534</v>
      </c>
      <c r="B43" s="766"/>
    </row>
    <row r="44" spans="1:7" ht="15" customHeight="1">
      <c r="A44" s="777" t="s">
        <v>1082</v>
      </c>
      <c r="B44" s="766">
        <f>IF(ISNA(VLOOKUP(A44,'TB-22'!A:C,2,0)),0,VLOOKUP(A44,'TB-22'!A:C,2,0))</f>
        <v>0</v>
      </c>
      <c r="C44" s="767">
        <f>IF(ISNA(VLOOKUP(A44,'TB-22'!A:C,3,0)),0,VLOOKUP(A44,'TB-22'!A:C,3,0))</f>
        <v>77.88</v>
      </c>
      <c r="D44" s="767">
        <f t="shared" ref="D44:D92" si="1">+B44-C44</f>
        <v>-77.88</v>
      </c>
    </row>
    <row r="45" spans="1:7" ht="15" customHeight="1">
      <c r="A45" s="774" t="s">
        <v>1083</v>
      </c>
      <c r="B45" s="766">
        <f>IF(ISNA(VLOOKUP(A45,'TB-22'!A:C,2,0)),0,VLOOKUP(A45,'TB-22'!A:C,2,0))</f>
        <v>0</v>
      </c>
      <c r="C45" s="767">
        <f>IF(ISNA(VLOOKUP(A45,'TB-22'!A:C,3,0)),0,VLOOKUP(A45,'TB-22'!A:C,3,0))</f>
        <v>27.73</v>
      </c>
      <c r="D45" s="767">
        <f t="shared" si="1"/>
        <v>-27.73</v>
      </c>
    </row>
    <row r="46" spans="1:7" ht="15" customHeight="1">
      <c r="A46" s="774" t="s">
        <v>1267</v>
      </c>
      <c r="B46" s="766">
        <f>IF(ISNA(VLOOKUP(A46,'TB-22'!A:C,2,0)),0,VLOOKUP(A46,'TB-22'!A:C,2,0))</f>
        <v>0</v>
      </c>
      <c r="C46" s="767">
        <f>IF(ISNA(VLOOKUP(A46,'TB-22'!A:C,3,0)),0,VLOOKUP(A46,'TB-22'!A:C,3,0))</f>
        <v>74.316000000000003</v>
      </c>
      <c r="D46" s="767">
        <f t="shared" si="1"/>
        <v>-74.316000000000003</v>
      </c>
    </row>
    <row r="47" spans="1:7" ht="15" customHeight="1">
      <c r="A47" s="774" t="s">
        <v>1033</v>
      </c>
      <c r="B47" s="766">
        <f>IF(ISNA(VLOOKUP(A47,'TB-22'!A:C,2,0)),0,VLOOKUP(A47,'TB-22'!A:C,2,0))</f>
        <v>0</v>
      </c>
      <c r="C47" s="767">
        <f>IF(ISNA(VLOOKUP(A47,'TB-22'!A:C,3,0)),0,VLOOKUP(A47,'TB-22'!A:C,3,0))</f>
        <v>3379.6559999999999</v>
      </c>
      <c r="D47" s="767">
        <f t="shared" si="1"/>
        <v>-3379.6559999999999</v>
      </c>
    </row>
    <row r="48" spans="1:7" ht="15" customHeight="1">
      <c r="A48" s="774" t="s">
        <v>422</v>
      </c>
      <c r="B48" s="766">
        <f>IF(ISNA(VLOOKUP(A48,'TB-22'!A:C,2,0)),0,VLOOKUP(A48,'TB-22'!A:C,2,0))</f>
        <v>0</v>
      </c>
      <c r="C48" s="767">
        <f>IF(ISNA(VLOOKUP(A48,'TB-22'!A:C,3,0)),0,VLOOKUP(A48,'TB-22'!A:C,3,0))</f>
        <v>613.52300000000002</v>
      </c>
      <c r="D48" s="767">
        <f t="shared" si="1"/>
        <v>-613.52300000000002</v>
      </c>
    </row>
    <row r="49" spans="1:4" ht="15" customHeight="1">
      <c r="A49" s="774" t="s">
        <v>398</v>
      </c>
      <c r="B49" s="766">
        <f>IF(ISNA(VLOOKUP(A49,'TB-22'!A:C,2,0)),0,VLOOKUP(A49,'TB-22'!A:C,2,0))</f>
        <v>0</v>
      </c>
      <c r="C49" s="767">
        <f>IF(ISNA(VLOOKUP(A49,'TB-22'!A:C,3,0)),0,VLOOKUP(A49,'TB-22'!A:C,3,0))</f>
        <v>16.696999999999999</v>
      </c>
      <c r="D49" s="767">
        <f t="shared" si="1"/>
        <v>-16.696999999999999</v>
      </c>
    </row>
    <row r="50" spans="1:4" ht="15" customHeight="1">
      <c r="A50" s="774" t="s">
        <v>1400</v>
      </c>
      <c r="B50" s="766">
        <f>IF(ISNA(VLOOKUP(A50,'TB-22'!A:C,2,0)),0,VLOOKUP(A50,'TB-22'!A:C,2,0))</f>
        <v>0</v>
      </c>
      <c r="C50" s="767">
        <f>IF(ISNA(VLOOKUP(A50,'TB-22'!A:C,3,0)),0,VLOOKUP(A50,'TB-22'!A:C,3,0))</f>
        <v>43.75</v>
      </c>
      <c r="D50" s="767">
        <f t="shared" si="1"/>
        <v>-43.75</v>
      </c>
    </row>
    <row r="51" spans="1:4" ht="15" customHeight="1">
      <c r="A51" s="774" t="s">
        <v>742</v>
      </c>
      <c r="B51" s="766">
        <f>IF(ISNA(VLOOKUP(A51,'TB-22'!A:C,2,0)),0,VLOOKUP(A51,'TB-22'!A:C,2,0))</f>
        <v>0</v>
      </c>
      <c r="C51" s="767">
        <f>IF(ISNA(VLOOKUP(A51,'TB-22'!A:C,3,0)),0,VLOOKUP(A51,'TB-22'!A:C,3,0))</f>
        <v>165.238</v>
      </c>
      <c r="D51" s="767">
        <f t="shared" si="1"/>
        <v>-165.238</v>
      </c>
    </row>
    <row r="52" spans="1:4" ht="15" customHeight="1">
      <c r="A52" s="774" t="s">
        <v>1271</v>
      </c>
      <c r="B52" s="766">
        <f>IF(ISNA(VLOOKUP(A52,'TB-22'!A:C,2,0)),0,VLOOKUP(A52,'TB-22'!A:C,2,0))</f>
        <v>0</v>
      </c>
      <c r="C52" s="767">
        <f>IF(ISNA(VLOOKUP(A52,'TB-22'!A:C,3,0)),0,VLOOKUP(A52,'TB-22'!A:C,3,0))</f>
        <v>24.155000000000001</v>
      </c>
      <c r="D52" s="767">
        <f t="shared" si="1"/>
        <v>-24.155000000000001</v>
      </c>
    </row>
    <row r="53" spans="1:4" ht="15" customHeight="1">
      <c r="A53" s="774" t="s">
        <v>563</v>
      </c>
      <c r="B53" s="766">
        <f>IF(ISNA(VLOOKUP(A53,'TB-22'!A:C,2,0)),0,VLOOKUP(A53,'TB-22'!A:C,2,0))</f>
        <v>0</v>
      </c>
      <c r="C53" s="767">
        <f>IF(ISNA(VLOOKUP(A53,'TB-22'!A:C,3,0)),0,VLOOKUP(A53,'TB-22'!A:C,3,0))</f>
        <v>943.90800000000002</v>
      </c>
      <c r="D53" s="767">
        <f t="shared" si="1"/>
        <v>-943.90800000000002</v>
      </c>
    </row>
    <row r="54" spans="1:4" ht="15" customHeight="1">
      <c r="A54" s="774" t="s">
        <v>1035</v>
      </c>
      <c r="B54" s="766">
        <f>IF(ISNA(VLOOKUP(A54,'TB-22'!A:C,2,0)),0,VLOOKUP(A54,'TB-22'!A:C,2,0))</f>
        <v>0</v>
      </c>
      <c r="C54" s="767">
        <f>IF(ISNA(VLOOKUP(A54,'TB-22'!A:C,3,0)),0,VLOOKUP(A54,'TB-22'!A:C,3,0))</f>
        <v>62.67</v>
      </c>
      <c r="D54" s="767">
        <f t="shared" si="1"/>
        <v>-62.67</v>
      </c>
    </row>
    <row r="55" spans="1:4" ht="15" customHeight="1">
      <c r="A55" s="774" t="s">
        <v>1404</v>
      </c>
      <c r="B55" s="766">
        <f>IF(ISNA(VLOOKUP(A55,'TB-22'!A:C,2,0)),0,VLOOKUP(A55,'TB-22'!A:C,2,0))</f>
        <v>0</v>
      </c>
      <c r="C55" s="767">
        <f>IF(ISNA(VLOOKUP(A55,'TB-22'!A:C,3,0)),0,VLOOKUP(A55,'TB-22'!A:C,3,0))</f>
        <v>0.68500000000000005</v>
      </c>
      <c r="D55" s="767">
        <f t="shared" si="1"/>
        <v>-0.68500000000000005</v>
      </c>
    </row>
    <row r="56" spans="1:4" ht="15" customHeight="1">
      <c r="A56" s="774" t="s">
        <v>1037</v>
      </c>
      <c r="B56" s="766">
        <f>IF(ISNA(VLOOKUP(A56,'TB-22'!A:C,2,0)),0,VLOOKUP(A56,'TB-22'!A:C,2,0))</f>
        <v>0</v>
      </c>
      <c r="C56" s="767">
        <f>IF(ISNA(VLOOKUP(A56,'TB-22'!A:C,3,0)),0,VLOOKUP(A56,'TB-22'!A:C,3,0))</f>
        <v>47</v>
      </c>
      <c r="D56" s="767">
        <f t="shared" si="1"/>
        <v>-47</v>
      </c>
    </row>
    <row r="57" spans="1:4" ht="15" customHeight="1">
      <c r="A57" s="774" t="s">
        <v>1283</v>
      </c>
      <c r="B57" s="766">
        <f>IF(ISNA(VLOOKUP(A57,'TB-22'!A:C,2,0)),0,VLOOKUP(A57,'TB-22'!A:C,2,0))</f>
        <v>0</v>
      </c>
      <c r="C57" s="767">
        <f>IF(ISNA(VLOOKUP(A57,'TB-22'!A:C,3,0)),0,VLOOKUP(A57,'TB-22'!A:C,3,0))</f>
        <v>2719.2719999999999</v>
      </c>
      <c r="D57" s="767">
        <f t="shared" si="1"/>
        <v>-2719.2719999999999</v>
      </c>
    </row>
    <row r="58" spans="1:4" ht="15" customHeight="1">
      <c r="A58" s="774" t="s">
        <v>1290</v>
      </c>
      <c r="B58" s="766">
        <f>IF(ISNA(VLOOKUP(A58,'TB-22'!A:C,2,0)),0,VLOOKUP(A58,'TB-22'!A:C,2,0))</f>
        <v>0</v>
      </c>
      <c r="C58" s="767">
        <f>IF(ISNA(VLOOKUP(A58,'TB-22'!A:C,3,0)),0,VLOOKUP(A58,'TB-22'!A:C,3,0))</f>
        <v>143.19300000000001</v>
      </c>
      <c r="D58" s="767">
        <f t="shared" si="1"/>
        <v>-143.19300000000001</v>
      </c>
    </row>
    <row r="59" spans="1:4" ht="15" customHeight="1">
      <c r="A59" s="774" t="s">
        <v>579</v>
      </c>
      <c r="B59" s="766">
        <f>IF(ISNA(VLOOKUP(A59,'TB-22'!A:C,2,0)),0,VLOOKUP(A59,'TB-22'!A:C,2,0))</f>
        <v>0</v>
      </c>
      <c r="C59" s="767">
        <f>IF(ISNA(VLOOKUP(A59,'TB-22'!A:C,3,0)),0,VLOOKUP(A59,'TB-22'!A:C,3,0))</f>
        <v>320.34199999999998</v>
      </c>
      <c r="D59" s="767">
        <f t="shared" si="1"/>
        <v>-320.34199999999998</v>
      </c>
    </row>
    <row r="60" spans="1:4" ht="15" customHeight="1">
      <c r="A60" s="774" t="s">
        <v>1053</v>
      </c>
      <c r="B60" s="766">
        <f>IF(ISNA(VLOOKUP(A60,'TB-22'!A:C,2,0)),0,VLOOKUP(A60,'TB-22'!A:C,2,0))</f>
        <v>0</v>
      </c>
      <c r="C60" s="767">
        <f>IF(ISNA(VLOOKUP(A60,'TB-22'!A:C,3,0)),0,VLOOKUP(A60,'TB-22'!A:C,3,0))</f>
        <v>1207.7159999999999</v>
      </c>
      <c r="D60" s="767">
        <f t="shared" si="1"/>
        <v>-1207.7159999999999</v>
      </c>
    </row>
    <row r="61" spans="1:4" ht="15" customHeight="1">
      <c r="A61" s="774" t="s">
        <v>1119</v>
      </c>
      <c r="B61" s="766">
        <f>IF(ISNA(VLOOKUP(A61,'TB-22'!A:C,2,0)),0,VLOOKUP(A61,'TB-22'!A:C,2,0))</f>
        <v>0</v>
      </c>
      <c r="C61" s="767">
        <f>IF(ISNA(VLOOKUP(A61,'TB-22'!A:C,3,0)),0,VLOOKUP(A61,'TB-22'!A:C,3,0))</f>
        <v>430.02300000000002</v>
      </c>
      <c r="D61" s="767">
        <f t="shared" si="1"/>
        <v>-430.02300000000002</v>
      </c>
    </row>
    <row r="62" spans="1:4" ht="15" customHeight="1">
      <c r="A62" s="774" t="s">
        <v>1304</v>
      </c>
      <c r="B62" s="766">
        <f>IF(ISNA(VLOOKUP(A62,'TB-22'!A:C,2,0)),0,VLOOKUP(A62,'TB-22'!A:C,2,0))</f>
        <v>0</v>
      </c>
      <c r="C62" s="767">
        <f>IF(ISNA(VLOOKUP(A62,'TB-22'!A:C,3,0)),0,VLOOKUP(A62,'TB-22'!A:C,3,0))</f>
        <v>249.21600000000001</v>
      </c>
      <c r="D62" s="767">
        <f t="shared" si="1"/>
        <v>-249.21600000000001</v>
      </c>
    </row>
    <row r="63" spans="1:4" ht="15" customHeight="1">
      <c r="A63" s="774" t="s">
        <v>275</v>
      </c>
      <c r="B63" s="766">
        <f>IF(ISNA(VLOOKUP(A63,'TB-22'!A:C,2,0)),0,VLOOKUP(A63,'TB-22'!A:C,2,0))</f>
        <v>0</v>
      </c>
      <c r="C63" s="767">
        <f>IF(ISNA(VLOOKUP(A63,'TB-22'!A:C,3,0)),0,VLOOKUP(A63,'TB-22'!A:C,3,0))</f>
        <v>17.7</v>
      </c>
      <c r="D63" s="767">
        <f t="shared" si="1"/>
        <v>-17.7</v>
      </c>
    </row>
    <row r="64" spans="1:4" ht="15" customHeight="1">
      <c r="A64" s="774" t="s">
        <v>758</v>
      </c>
      <c r="B64" s="766">
        <f>IF(ISNA(VLOOKUP(A64,'TB-22'!A:C,2,0)),0,VLOOKUP(A64,'TB-22'!A:C,2,0))</f>
        <v>0</v>
      </c>
      <c r="C64" s="767">
        <f>IF(ISNA(VLOOKUP(A64,'TB-22'!A:C,3,0)),0,VLOOKUP(A64,'TB-22'!A:C,3,0))</f>
        <v>889.17100000000005</v>
      </c>
      <c r="D64" s="767">
        <f t="shared" si="1"/>
        <v>-889.17100000000005</v>
      </c>
    </row>
    <row r="65" spans="1:4" ht="15" customHeight="1">
      <c r="A65" s="774" t="s">
        <v>423</v>
      </c>
      <c r="B65" s="766">
        <f>IF(ISNA(VLOOKUP(A65,'TB-22'!A:C,2,0)),0,VLOOKUP(A65,'TB-22'!A:C,2,0))</f>
        <v>0</v>
      </c>
      <c r="C65" s="767">
        <f>IF(ISNA(VLOOKUP(A65,'TB-22'!A:C,3,0)),0,VLOOKUP(A65,'TB-22'!A:C,3,0))</f>
        <v>345.99700000000001</v>
      </c>
      <c r="D65" s="767">
        <f t="shared" si="1"/>
        <v>-345.99700000000001</v>
      </c>
    </row>
    <row r="66" spans="1:4" ht="15" customHeight="1">
      <c r="A66" s="774" t="s">
        <v>601</v>
      </c>
      <c r="B66" s="766">
        <f>IF(ISNA(VLOOKUP(A66,'TB-22'!A:C,2,0)),0,VLOOKUP(A66,'TB-22'!A:C,2,0))</f>
        <v>0</v>
      </c>
      <c r="C66" s="767">
        <f>IF(ISNA(VLOOKUP(A66,'TB-22'!A:C,3,0)),0,VLOOKUP(A66,'TB-22'!A:C,3,0))</f>
        <v>11683.66</v>
      </c>
      <c r="D66" s="767">
        <f t="shared" si="1"/>
        <v>-11683.66</v>
      </c>
    </row>
    <row r="67" spans="1:4" ht="15" customHeight="1">
      <c r="A67" s="774" t="s">
        <v>203</v>
      </c>
      <c r="B67" s="766">
        <f>IF(ISNA(VLOOKUP(A67,'TB-22'!A:C,2,0)),0,VLOOKUP(A67,'TB-22'!A:C,2,0))</f>
        <v>0</v>
      </c>
      <c r="C67" s="767">
        <f>IF(ISNA(VLOOKUP(A67,'TB-22'!A:C,3,0)),0,VLOOKUP(A67,'TB-22'!A:C,3,0))</f>
        <v>167.131</v>
      </c>
      <c r="D67" s="767">
        <f t="shared" si="1"/>
        <v>-167.131</v>
      </c>
    </row>
    <row r="68" spans="1:4" ht="15" customHeight="1">
      <c r="A68" s="774" t="s">
        <v>776</v>
      </c>
      <c r="B68" s="766">
        <f>IF(ISNA(VLOOKUP(A68,'TB-22'!A:C,2,0)),0,VLOOKUP(A68,'TB-22'!A:C,2,0))</f>
        <v>0</v>
      </c>
      <c r="C68" s="767">
        <f>IF(ISNA(VLOOKUP(A68,'TB-22'!A:C,3,0)),0,VLOOKUP(A68,'TB-22'!A:C,3,0))</f>
        <v>0.54300000000000004</v>
      </c>
      <c r="D68" s="767">
        <f t="shared" si="1"/>
        <v>-0.54300000000000004</v>
      </c>
    </row>
    <row r="69" spans="1:4" ht="15" customHeight="1">
      <c r="A69" s="774" t="s">
        <v>1061</v>
      </c>
      <c r="B69" s="766">
        <f>IF(ISNA(VLOOKUP(A69,'TB-22'!A:C,2,0)),0,VLOOKUP(A69,'TB-22'!A:C,2,0))</f>
        <v>0</v>
      </c>
      <c r="C69" s="767">
        <f>IF(ISNA(VLOOKUP(A69,'TB-22'!A:C,3,0)),0,VLOOKUP(A69,'TB-22'!A:C,3,0))</f>
        <v>2398.8780000000002</v>
      </c>
      <c r="D69" s="767">
        <f t="shared" si="1"/>
        <v>-2398.8780000000002</v>
      </c>
    </row>
    <row r="70" spans="1:4" ht="15" customHeight="1">
      <c r="A70" s="774" t="s">
        <v>1415</v>
      </c>
      <c r="B70" s="766">
        <f>IF(ISNA(VLOOKUP(A70,'TB-22'!A:C,2,0)),0,VLOOKUP(A70,'TB-22'!A:C,2,0))</f>
        <v>0</v>
      </c>
      <c r="C70" s="767">
        <f>IF(ISNA(VLOOKUP(A70,'TB-22'!A:C,3,0)),0,VLOOKUP(A70,'TB-22'!A:C,3,0))</f>
        <v>5.23</v>
      </c>
      <c r="D70" s="767">
        <f t="shared" si="1"/>
        <v>-5.23</v>
      </c>
    </row>
    <row r="71" spans="1:4" ht="15" customHeight="1">
      <c r="A71" s="774" t="s">
        <v>1168</v>
      </c>
      <c r="B71" s="766">
        <f>IF(ISNA(VLOOKUP(A71,'TB-22'!A:C,2,0)),0,VLOOKUP(A71,'TB-22'!A:C,2,0))</f>
        <v>0</v>
      </c>
      <c r="C71" s="767">
        <f>IF(ISNA(VLOOKUP(A71,'TB-22'!A:C,3,0)),0,VLOOKUP(A71,'TB-22'!A:C,3,0))</f>
        <v>801.36199999999997</v>
      </c>
      <c r="D71" s="767">
        <f t="shared" si="1"/>
        <v>-801.36199999999997</v>
      </c>
    </row>
    <row r="72" spans="1:4" ht="15" customHeight="1">
      <c r="A72" s="774" t="s">
        <v>1170</v>
      </c>
      <c r="B72" s="766">
        <f>IF(ISNA(VLOOKUP(A72,'TB-22'!A:C,2,0)),0,VLOOKUP(A72,'TB-22'!A:C,2,0))</f>
        <v>0</v>
      </c>
      <c r="C72" s="767">
        <f>IF(ISNA(VLOOKUP(A72,'TB-22'!A:C,3,0)),0,VLOOKUP(A72,'TB-22'!A:C,3,0))</f>
        <v>823.15300000000002</v>
      </c>
      <c r="D72" s="767">
        <f t="shared" si="1"/>
        <v>-823.15300000000002</v>
      </c>
    </row>
    <row r="73" spans="1:4" ht="15" customHeight="1">
      <c r="A73" s="774" t="s">
        <v>1337</v>
      </c>
      <c r="B73" s="766">
        <f>IF(ISNA(VLOOKUP(A73,'TB-22'!A:C,2,0)),0,VLOOKUP(A73,'TB-22'!A:C,2,0))</f>
        <v>0</v>
      </c>
      <c r="C73" s="767">
        <f>IF(ISNA(VLOOKUP(A73,'TB-22'!A:C,3,0)),0,VLOOKUP(A73,'TB-22'!A:C,3,0))</f>
        <v>627.16999999999996</v>
      </c>
      <c r="D73" s="767">
        <f t="shared" si="1"/>
        <v>-627.16999999999996</v>
      </c>
    </row>
    <row r="74" spans="1:4" ht="15" customHeight="1">
      <c r="A74" s="774" t="s">
        <v>1340</v>
      </c>
      <c r="B74" s="766">
        <f>IF(ISNA(VLOOKUP(A74,'TB-22'!A:C,2,0)),0,VLOOKUP(A74,'TB-22'!A:C,2,0))</f>
        <v>0</v>
      </c>
      <c r="C74" s="767">
        <f>IF(ISNA(VLOOKUP(A74,'TB-22'!A:C,3,0)),0,VLOOKUP(A74,'TB-22'!A:C,3,0))</f>
        <v>348.661</v>
      </c>
      <c r="D74" s="767">
        <f t="shared" si="1"/>
        <v>-348.661</v>
      </c>
    </row>
    <row r="75" spans="1:4" ht="15" customHeight="1">
      <c r="A75" s="774" t="s">
        <v>1344</v>
      </c>
      <c r="B75" s="766">
        <f>IF(ISNA(VLOOKUP(A75,'TB-22'!A:C,2,0)),0,VLOOKUP(A75,'TB-22'!A:C,2,0))</f>
        <v>0</v>
      </c>
      <c r="C75" s="767">
        <f>IF(ISNA(VLOOKUP(A75,'TB-22'!A:C,3,0)),0,VLOOKUP(A75,'TB-22'!A:C,3,0))</f>
        <v>1423.6869999999999</v>
      </c>
      <c r="D75" s="767">
        <f t="shared" si="1"/>
        <v>-1423.6869999999999</v>
      </c>
    </row>
    <row r="76" spans="1:4" ht="15" customHeight="1">
      <c r="A76" s="774" t="s">
        <v>399</v>
      </c>
      <c r="B76" s="766">
        <f>IF(ISNA(VLOOKUP(A76,'TB-22'!A:C,2,0)),0,VLOOKUP(A76,'TB-22'!A:C,2,0))</f>
        <v>0</v>
      </c>
      <c r="C76" s="767">
        <f>IF(ISNA(VLOOKUP(A76,'TB-22'!A:C,3,0)),0,VLOOKUP(A76,'TB-22'!A:C,3,0))</f>
        <v>32378.527999999998</v>
      </c>
      <c r="D76" s="767">
        <f t="shared" si="1"/>
        <v>-32378.527999999998</v>
      </c>
    </row>
    <row r="77" spans="1:4" ht="15" customHeight="1">
      <c r="A77" s="774" t="s">
        <v>1171</v>
      </c>
      <c r="B77" s="766">
        <f>IF(ISNA(VLOOKUP(A77,'TB-22'!A:C,2,0)),0,VLOOKUP(A77,'TB-22'!A:C,2,0))</f>
        <v>0</v>
      </c>
      <c r="C77" s="767">
        <f>IF(ISNA(VLOOKUP(A77,'TB-22'!A:C,3,0)),0,VLOOKUP(A77,'TB-22'!A:C,3,0))</f>
        <v>398.95800000000003</v>
      </c>
      <c r="D77" s="767">
        <f t="shared" si="1"/>
        <v>-398.95800000000003</v>
      </c>
    </row>
    <row r="78" spans="1:4" ht="15" customHeight="1">
      <c r="A78" s="774" t="s">
        <v>1348</v>
      </c>
      <c r="B78" s="766">
        <f>IF(ISNA(VLOOKUP(A78,'TB-22'!A:C,2,0)),0,VLOOKUP(A78,'TB-22'!A:C,2,0))</f>
        <v>0</v>
      </c>
      <c r="C78" s="767">
        <f>IF(ISNA(VLOOKUP(A78,'TB-22'!A:C,3,0)),0,VLOOKUP(A78,'TB-22'!A:C,3,0))</f>
        <v>0.88900000000000001</v>
      </c>
      <c r="D78" s="767">
        <f t="shared" si="1"/>
        <v>-0.88900000000000001</v>
      </c>
    </row>
    <row r="79" spans="1:4" ht="15" customHeight="1">
      <c r="A79" s="774" t="s">
        <v>400</v>
      </c>
      <c r="B79" s="766">
        <f>IF(ISNA(VLOOKUP(A79,'TB-22'!A:C,2,0)),0,VLOOKUP(A79,'TB-22'!A:C,2,0))</f>
        <v>0</v>
      </c>
      <c r="C79" s="767">
        <f>IF(ISNA(VLOOKUP(A79,'TB-22'!A:C,3,0)),0,VLOOKUP(A79,'TB-22'!A:C,3,0))</f>
        <v>61.779000000000003</v>
      </c>
      <c r="D79" s="767">
        <f t="shared" si="1"/>
        <v>-61.779000000000003</v>
      </c>
    </row>
    <row r="80" spans="1:4" ht="15" customHeight="1">
      <c r="A80" s="774" t="s">
        <v>204</v>
      </c>
      <c r="B80" s="766">
        <f>IF(ISNA(VLOOKUP(A80,'TB-22'!A:C,2,0)),0,VLOOKUP(A80,'TB-22'!A:C,2,0))</f>
        <v>0</v>
      </c>
      <c r="C80" s="767">
        <f>IF(ISNA(VLOOKUP(A80,'TB-22'!A:C,3,0)),0,VLOOKUP(A80,'TB-22'!A:C,3,0))</f>
        <v>152.93</v>
      </c>
      <c r="D80" s="767">
        <f t="shared" si="1"/>
        <v>-152.93</v>
      </c>
    </row>
    <row r="81" spans="1:4" ht="15" customHeight="1">
      <c r="A81" s="774" t="s">
        <v>1068</v>
      </c>
      <c r="B81" s="766">
        <f>IF(ISNA(VLOOKUP(A81,'TB-22'!A:C,2,0)),0,VLOOKUP(A81,'TB-22'!A:C,2,0))</f>
        <v>0</v>
      </c>
      <c r="C81" s="767">
        <f>IF(ISNA(VLOOKUP(A81,'TB-22'!A:C,3,0)),0,VLOOKUP(A81,'TB-22'!A:C,3,0))</f>
        <v>1123.2739999999999</v>
      </c>
      <c r="D81" s="767">
        <f t="shared" si="1"/>
        <v>-1123.2739999999999</v>
      </c>
    </row>
    <row r="82" spans="1:4" ht="15" customHeight="1">
      <c r="A82" s="774" t="s">
        <v>1420</v>
      </c>
      <c r="B82" s="766">
        <f>IF(ISNA(VLOOKUP(A82,'TB-22'!A:C,2,0)),0,VLOOKUP(A82,'TB-22'!A:C,2,0))</f>
        <v>0</v>
      </c>
      <c r="C82" s="767">
        <f>IF(ISNA(VLOOKUP(A82,'TB-22'!A:C,3,0)),0,VLOOKUP(A82,'TB-22'!A:C,3,0))</f>
        <v>1.331</v>
      </c>
      <c r="D82" s="767">
        <f t="shared" si="1"/>
        <v>-1.331</v>
      </c>
    </row>
    <row r="83" spans="1:4" ht="15" customHeight="1">
      <c r="A83" s="774" t="s">
        <v>1175</v>
      </c>
      <c r="B83" s="766">
        <f>IF(ISNA(VLOOKUP(A83,'TB-22'!A:C,2,0)),0,VLOOKUP(A83,'TB-22'!A:C,2,0))</f>
        <v>0</v>
      </c>
      <c r="C83" s="767">
        <f>IF(ISNA(VLOOKUP(A83,'TB-22'!A:C,3,0)),0,VLOOKUP(A83,'TB-22'!A:C,3,0))</f>
        <v>161.19300000000001</v>
      </c>
      <c r="D83" s="767">
        <f t="shared" si="1"/>
        <v>-161.19300000000001</v>
      </c>
    </row>
    <row r="84" spans="1:4" ht="15" customHeight="1">
      <c r="A84" s="774" t="s">
        <v>1421</v>
      </c>
      <c r="B84" s="766">
        <f>IF(ISNA(VLOOKUP(A84,'TB-22'!A:C,2,0)),0,VLOOKUP(A84,'TB-22'!A:C,2,0))</f>
        <v>0</v>
      </c>
      <c r="C84" s="767">
        <f>IF(ISNA(VLOOKUP(A84,'TB-22'!A:C,3,0)),0,VLOOKUP(A84,'TB-22'!A:C,3,0))</f>
        <v>3.7759999999999998</v>
      </c>
      <c r="D84" s="767">
        <f t="shared" si="1"/>
        <v>-3.7759999999999998</v>
      </c>
    </row>
    <row r="85" spans="1:4" ht="15" customHeight="1">
      <c r="A85" s="774" t="s">
        <v>1176</v>
      </c>
      <c r="B85" s="766">
        <f>IF(ISNA(VLOOKUP(A85,'TB-22'!A:C,2,0)),0,VLOOKUP(A85,'TB-22'!A:C,2,0))</f>
        <v>0</v>
      </c>
      <c r="C85" s="767">
        <f>IF(ISNA(VLOOKUP(A85,'TB-22'!A:C,3,0)),0,VLOOKUP(A85,'TB-22'!A:C,3,0))</f>
        <v>1118.2049999999999</v>
      </c>
      <c r="D85" s="767">
        <f t="shared" si="1"/>
        <v>-1118.2049999999999</v>
      </c>
    </row>
    <row r="86" spans="1:4" ht="15" customHeight="1">
      <c r="A86" s="774" t="s">
        <v>1423</v>
      </c>
      <c r="B86" s="766">
        <f>IF(ISNA(VLOOKUP(A86,'TB-22'!A:C,2,0)),0,VLOOKUP(A86,'TB-22'!A:C,2,0))</f>
        <v>0</v>
      </c>
      <c r="C86" s="767">
        <f>IF(ISNA(VLOOKUP(A86,'TB-22'!A:C,3,0)),0,VLOOKUP(A86,'TB-22'!A:C,3,0))</f>
        <v>14.249000000000001</v>
      </c>
      <c r="D86" s="767">
        <f t="shared" si="1"/>
        <v>-14.249000000000001</v>
      </c>
    </row>
    <row r="87" spans="1:4" ht="15" customHeight="1">
      <c r="A87" s="774" t="s">
        <v>1358</v>
      </c>
      <c r="B87" s="766">
        <f>IF(ISNA(VLOOKUP(A87,'TB-22'!A:C,2,0)),0,VLOOKUP(A87,'TB-22'!A:C,2,0))</f>
        <v>0</v>
      </c>
      <c r="C87" s="767">
        <f>IF(ISNA(VLOOKUP(A87,'TB-22'!A:C,3,0)),0,VLOOKUP(A87,'TB-22'!A:C,3,0))</f>
        <v>68.352000000000004</v>
      </c>
      <c r="D87" s="767">
        <f t="shared" si="1"/>
        <v>-68.352000000000004</v>
      </c>
    </row>
    <row r="88" spans="1:4" ht="15" customHeight="1">
      <c r="A88" s="774" t="s">
        <v>1424</v>
      </c>
      <c r="B88" s="766">
        <f>IF(ISNA(VLOOKUP(A88,'TB-22'!A:C,2,0)),0,VLOOKUP(A88,'TB-22'!A:C,2,0))</f>
        <v>0</v>
      </c>
      <c r="C88" s="767">
        <f>IF(ISNA(VLOOKUP(A88,'TB-22'!A:C,3,0)),0,VLOOKUP(A88,'TB-22'!A:C,3,0))</f>
        <v>93.456000000000003</v>
      </c>
      <c r="D88" s="767">
        <f t="shared" si="1"/>
        <v>-93.456000000000003</v>
      </c>
    </row>
    <row r="89" spans="1:4" ht="15" customHeight="1">
      <c r="A89" s="774" t="s">
        <v>1367</v>
      </c>
      <c r="B89" s="766">
        <f>IF(ISNA(VLOOKUP(A89,'TB-22'!A:C,2,0)),0,VLOOKUP(A89,'TB-22'!A:C,2,0))</f>
        <v>0</v>
      </c>
      <c r="C89" s="767">
        <f>IF(ISNA(VLOOKUP(A89,'TB-22'!A:C,3,0)),0,VLOOKUP(A89,'TB-22'!A:C,3,0))</f>
        <v>65.656999999999996</v>
      </c>
      <c r="D89" s="767">
        <f t="shared" si="1"/>
        <v>-65.656999999999996</v>
      </c>
    </row>
    <row r="90" spans="1:4" ht="15" customHeight="1">
      <c r="A90" s="774" t="s">
        <v>1368</v>
      </c>
      <c r="B90" s="766">
        <f>IF(ISNA(VLOOKUP(A90,'TB-22'!A:C,2,0)),0,VLOOKUP(A90,'TB-22'!A:C,2,0))</f>
        <v>0</v>
      </c>
      <c r="C90" s="767">
        <f>IF(ISNA(VLOOKUP(A90,'TB-22'!A:C,3,0)),0,VLOOKUP(A90,'TB-22'!A:C,3,0))</f>
        <v>305.63099999999997</v>
      </c>
      <c r="D90" s="767">
        <f t="shared" si="1"/>
        <v>-305.63099999999997</v>
      </c>
    </row>
    <row r="91" spans="1:4" ht="15" customHeight="1">
      <c r="A91" s="774" t="s">
        <v>424</v>
      </c>
      <c r="B91" s="766">
        <f>IF(ISNA(VLOOKUP(A91,'TB-22'!A:C,2,0)),0,VLOOKUP(A91,'TB-22'!A:C,2,0))</f>
        <v>0</v>
      </c>
      <c r="C91" s="767">
        <f>IF(ISNA(VLOOKUP(A91,'TB-22'!A:C,3,0)),0,VLOOKUP(A91,'TB-22'!A:C,3,0))</f>
        <v>273.64100000000002</v>
      </c>
      <c r="D91" s="767">
        <f t="shared" si="1"/>
        <v>-273.64100000000002</v>
      </c>
    </row>
    <row r="92" spans="1:4" ht="15" customHeight="1">
      <c r="A92" s="774" t="s">
        <v>1091</v>
      </c>
      <c r="B92" s="766">
        <f>IF(ISNA(VLOOKUP(A92,'TB-22'!A:C,2,0)),0,VLOOKUP(A92,'TB-22'!A:C,2,0))</f>
        <v>0</v>
      </c>
      <c r="C92" s="767">
        <f>IF(ISNA(VLOOKUP(A92,'TB-22'!A:C,3,0)),0,VLOOKUP(A92,'TB-22'!A:C,3,0))</f>
        <v>30.513000000000002</v>
      </c>
      <c r="D92" s="767">
        <f t="shared" si="1"/>
        <v>-30.513000000000002</v>
      </c>
    </row>
    <row r="93" spans="1:4" ht="15" customHeight="1">
      <c r="A93" s="774" t="s">
        <v>803</v>
      </c>
      <c r="B93" s="766">
        <f>IF(ISNA(VLOOKUP(A93,'TB-22'!A:C,2,0)),0,VLOOKUP(A93,'TB-22'!A:C,2,0))</f>
        <v>0</v>
      </c>
      <c r="C93" s="767">
        <f>IF(ISNA(VLOOKUP(A93,'TB-22'!A:C,3,0)),0,VLOOKUP(A93,'TB-22'!A:C,3,0))</f>
        <v>857.21100000000001</v>
      </c>
      <c r="D93" s="767">
        <f t="shared" ref="D93:D101" si="2">+B93-C93</f>
        <v>-857.21100000000001</v>
      </c>
    </row>
    <row r="94" spans="1:4" ht="15" customHeight="1">
      <c r="A94" s="774" t="s">
        <v>1179</v>
      </c>
      <c r="B94" s="766">
        <f>IF(ISNA(VLOOKUP(A94,'TB-22'!A:C,2,0)),0,VLOOKUP(A94,'TB-22'!A:C,2,0))</f>
        <v>0</v>
      </c>
      <c r="C94" s="767">
        <f>IF(ISNA(VLOOKUP(A94,'TB-22'!A:C,3,0)),0,VLOOKUP(A94,'TB-22'!A:C,3,0))</f>
        <v>220.83699999999999</v>
      </c>
      <c r="D94" s="767">
        <f t="shared" si="2"/>
        <v>-220.83699999999999</v>
      </c>
    </row>
    <row r="95" spans="1:4" ht="15" customHeight="1">
      <c r="A95" s="774" t="s">
        <v>1372</v>
      </c>
      <c r="B95" s="766">
        <f>IF(ISNA(VLOOKUP(A95,'TB-22'!A:C,2,0)),0,VLOOKUP(A95,'TB-22'!A:C,2,0))</f>
        <v>0</v>
      </c>
      <c r="C95" s="767">
        <f>IF(ISNA(VLOOKUP(A95,'TB-22'!A:C,3,0)),0,VLOOKUP(A95,'TB-22'!A:C,3,0))</f>
        <v>2.8319999999999999</v>
      </c>
      <c r="D95" s="767">
        <f t="shared" si="2"/>
        <v>-2.8319999999999999</v>
      </c>
    </row>
    <row r="96" spans="1:4" ht="15" customHeight="1">
      <c r="A96" s="774" t="s">
        <v>1373</v>
      </c>
      <c r="B96" s="766">
        <f>IF(ISNA(VLOOKUP(A96,'TB-22'!A:C,2,0)),0,VLOOKUP(A96,'TB-22'!A:C,2,0))</f>
        <v>0</v>
      </c>
      <c r="C96" s="767">
        <f>IF(ISNA(VLOOKUP(A96,'TB-22'!A:C,3,0)),0,VLOOKUP(A96,'TB-22'!A:C,3,0))</f>
        <v>24.19</v>
      </c>
      <c r="D96" s="767">
        <f t="shared" si="2"/>
        <v>-24.19</v>
      </c>
    </row>
    <row r="97" spans="1:7" ht="15" customHeight="1">
      <c r="A97" s="774" t="s">
        <v>1070</v>
      </c>
      <c r="B97" s="766">
        <f>IF(ISNA(VLOOKUP(A97,'TB-22'!A:C,2,0)),0,VLOOKUP(A97,'TB-22'!A:C,2,0))</f>
        <v>0</v>
      </c>
      <c r="C97" s="767">
        <f>IF(ISNA(VLOOKUP(A97,'TB-22'!A:C,3,0)),0,VLOOKUP(A97,'TB-22'!A:C,3,0))</f>
        <v>147.82499999999999</v>
      </c>
      <c r="D97" s="767">
        <f t="shared" si="2"/>
        <v>-147.82499999999999</v>
      </c>
    </row>
    <row r="98" spans="1:7" ht="15" customHeight="1">
      <c r="A98" s="774" t="s">
        <v>1377</v>
      </c>
      <c r="B98" s="766">
        <f>IF(ISNA(VLOOKUP(A98,'TB-22'!A:C,2,0)),0,VLOOKUP(A98,'TB-22'!A:C,2,0))</f>
        <v>0</v>
      </c>
      <c r="C98" s="767">
        <f>IF(ISNA(VLOOKUP(A98,'TB-22'!A:C,3,0)),0,VLOOKUP(A98,'TB-22'!A:C,3,0))</f>
        <v>78.623000000000005</v>
      </c>
      <c r="D98" s="767">
        <f t="shared" si="2"/>
        <v>-78.623000000000005</v>
      </c>
    </row>
    <row r="99" spans="1:7" ht="15" customHeight="1">
      <c r="A99" s="774" t="s">
        <v>1429</v>
      </c>
      <c r="B99" s="766">
        <f>IF(ISNA(VLOOKUP(A99,'TB-22'!A:C,2,0)),0,VLOOKUP(A99,'TB-22'!A:C,2,0))</f>
        <v>0</v>
      </c>
      <c r="C99" s="767">
        <f>IF(ISNA(VLOOKUP(A99,'TB-22'!A:C,3,0)),0,VLOOKUP(A99,'TB-22'!A:C,3,0))</f>
        <v>27.646999999999998</v>
      </c>
      <c r="D99" s="767">
        <f t="shared" si="2"/>
        <v>-27.646999999999998</v>
      </c>
    </row>
    <row r="100" spans="1:7" ht="15" customHeight="1">
      <c r="A100" s="774" t="s">
        <v>1181</v>
      </c>
      <c r="B100" s="766">
        <f>IF(ISNA(VLOOKUP(A100,'TB-22'!A:C,2,0)),0,VLOOKUP(A100,'TB-22'!A:C,2,0))</f>
        <v>0</v>
      </c>
      <c r="C100" s="767">
        <f>IF(ISNA(VLOOKUP(A100,'TB-22'!A:C,3,0)),0,VLOOKUP(A100,'TB-22'!A:C,3,0))</f>
        <v>21.8</v>
      </c>
      <c r="D100" s="767">
        <f t="shared" si="2"/>
        <v>-21.8</v>
      </c>
    </row>
    <row r="101" spans="1:7" ht="15" customHeight="1">
      <c r="A101" s="774" t="s">
        <v>1430</v>
      </c>
      <c r="B101" s="766">
        <f>IF(ISNA(VLOOKUP(A101,'TB-22'!A:C,2,0)),0,VLOOKUP(A101,'TB-22'!A:C,2,0))</f>
        <v>0</v>
      </c>
      <c r="C101" s="767">
        <f>IF(ISNA(VLOOKUP(A101,'TB-22'!A:C,3,0)),0,VLOOKUP(A101,'TB-22'!A:C,3,0))</f>
        <v>2.9689999999999999</v>
      </c>
      <c r="D101" s="767">
        <f t="shared" si="2"/>
        <v>-2.9689999999999999</v>
      </c>
    </row>
    <row r="102" spans="1:7" ht="15" customHeight="1">
      <c r="A102" s="778" t="s">
        <v>1535</v>
      </c>
      <c r="B102" s="766"/>
      <c r="D102" s="767">
        <f t="shared" ref="D102:D133" si="3">+B102-C102</f>
        <v>0</v>
      </c>
      <c r="G102" s="776"/>
    </row>
    <row r="103" spans="1:7" ht="15" customHeight="1">
      <c r="A103" s="771" t="s">
        <v>1399</v>
      </c>
      <c r="B103" s="766">
        <f>IF(ISNA(VLOOKUP(A103,'TB-22'!A:C,2,0)),0,VLOOKUP(A103,'TB-22'!A:C,2,0))</f>
        <v>0</v>
      </c>
      <c r="C103" s="767">
        <f>IF(ISNA(VLOOKUP(A103,'TB-22'!A:C,3,0)),0,VLOOKUP(A103,'TB-22'!A:C,3,0))</f>
        <v>75.513999999999996</v>
      </c>
      <c r="D103" s="767">
        <f t="shared" si="3"/>
        <v>-75.513999999999996</v>
      </c>
      <c r="F103" s="273"/>
    </row>
    <row r="104" spans="1:7" ht="15" customHeight="1">
      <c r="A104" s="771" t="s">
        <v>1265</v>
      </c>
      <c r="B104" s="766">
        <f>IF(ISNA(VLOOKUP(A104,'TB-22'!A:C,2,0)),0,VLOOKUP(A104,'TB-22'!A:C,2,0))</f>
        <v>0</v>
      </c>
      <c r="C104" s="767">
        <f>IF(ISNA(VLOOKUP(A104,'TB-22'!A:C,3,0)),0,VLOOKUP(A104,'TB-22'!A:C,3,0))</f>
        <v>4.524</v>
      </c>
      <c r="D104" s="767">
        <f t="shared" si="3"/>
        <v>-4.524</v>
      </c>
      <c r="F104" s="273"/>
      <c r="G104" s="776"/>
    </row>
    <row r="105" spans="1:7" ht="15" customHeight="1">
      <c r="A105" s="771" t="s">
        <v>1398</v>
      </c>
      <c r="B105" s="766">
        <f>IF(ISNA(VLOOKUP(A105,'TB-22'!A:C,2,0)),0,VLOOKUP(A105,'TB-22'!A:C,2,0))</f>
        <v>0</v>
      </c>
      <c r="C105" s="767">
        <f>IF(ISNA(VLOOKUP(A105,'TB-22'!A:C,3,0)),0,VLOOKUP(A105,'TB-22'!A:C,3,0))</f>
        <v>5</v>
      </c>
      <c r="D105" s="767">
        <f t="shared" si="3"/>
        <v>-5</v>
      </c>
      <c r="F105" s="273"/>
    </row>
    <row r="106" spans="1:7" ht="15" customHeight="1">
      <c r="A106" s="771" t="s">
        <v>561</v>
      </c>
      <c r="B106" s="766">
        <f>IF(ISNA(VLOOKUP(A106,'TB-22'!A:C,2,0)),0,VLOOKUP(A106,'TB-22'!A:C,2,0))</f>
        <v>0</v>
      </c>
      <c r="C106" s="767">
        <f>IF(ISNA(VLOOKUP(A106,'TB-22'!A:C,3,0)),0,VLOOKUP(A106,'TB-22'!A:C,3,0))</f>
        <v>44.570999999999998</v>
      </c>
      <c r="D106" s="767">
        <f t="shared" si="3"/>
        <v>-44.570999999999998</v>
      </c>
      <c r="F106" s="273"/>
      <c r="G106" s="776"/>
    </row>
    <row r="107" spans="1:7" ht="15" customHeight="1">
      <c r="A107" s="771" t="s">
        <v>1086</v>
      </c>
      <c r="B107" s="766">
        <f>IF(ISNA(VLOOKUP(A107,'TB-22'!A:C,2,0)),0,VLOOKUP(A107,'TB-22'!A:C,2,0))</f>
        <v>0</v>
      </c>
      <c r="C107" s="767">
        <f>IF(ISNA(VLOOKUP(A107,'TB-22'!A:C,3,0)),0,VLOOKUP(A107,'TB-22'!A:C,3,0))</f>
        <v>3.1</v>
      </c>
      <c r="D107" s="767">
        <f t="shared" si="3"/>
        <v>-3.1</v>
      </c>
      <c r="F107" s="771"/>
      <c r="G107" s="776"/>
    </row>
    <row r="108" spans="1:7" ht="15" customHeight="1">
      <c r="A108" s="771" t="s">
        <v>1084</v>
      </c>
      <c r="B108" s="766">
        <f>IF(ISNA(VLOOKUP(A108,'TB-22'!A:C,2,0)),0,VLOOKUP(A108,'TB-22'!A:C,2,0))</f>
        <v>0</v>
      </c>
      <c r="C108" s="767">
        <f>IF(ISNA(VLOOKUP(A108,'TB-22'!A:C,3,0)),0,VLOOKUP(A108,'TB-22'!A:C,3,0))</f>
        <v>30.658999999999999</v>
      </c>
      <c r="D108" s="767">
        <f t="shared" si="3"/>
        <v>-30.658999999999999</v>
      </c>
      <c r="F108" s="273"/>
      <c r="G108" s="776"/>
    </row>
    <row r="109" spans="1:7" ht="15" customHeight="1">
      <c r="A109" s="771" t="s">
        <v>1099</v>
      </c>
      <c r="B109" s="766">
        <f>IF(ISNA(VLOOKUP(A109,'TB-22'!A:C,2,0)),0,VLOOKUP(A109,'TB-22'!A:C,2,0))</f>
        <v>0</v>
      </c>
      <c r="C109" s="767">
        <f>IF(ISNA(VLOOKUP(A109,'TB-22'!A:C,3,0)),0,VLOOKUP(A109,'TB-22'!A:C,3,0))</f>
        <v>0.69099999999999995</v>
      </c>
      <c r="D109" s="767">
        <f t="shared" si="3"/>
        <v>-0.69099999999999995</v>
      </c>
      <c r="F109" s="273"/>
      <c r="G109" s="776"/>
    </row>
    <row r="110" spans="1:7" ht="15" customHeight="1">
      <c r="A110" s="771" t="s">
        <v>1403</v>
      </c>
      <c r="B110" s="766">
        <f>IF(ISNA(VLOOKUP(A110,'TB-22'!A:C,2,0)),0,VLOOKUP(A110,'TB-22'!A:C,2,0))</f>
        <v>0</v>
      </c>
      <c r="C110" s="767">
        <f>IF(ISNA(VLOOKUP(A110,'TB-22'!A:C,3,0)),0,VLOOKUP(A110,'TB-22'!A:C,3,0))</f>
        <v>16.204999999999998</v>
      </c>
      <c r="D110" s="767">
        <f t="shared" si="3"/>
        <v>-16.204999999999998</v>
      </c>
      <c r="F110" s="273"/>
    </row>
    <row r="111" spans="1:7" ht="15" customHeight="1">
      <c r="A111" s="771" t="s">
        <v>274</v>
      </c>
      <c r="B111" s="766">
        <f>IF(ISNA(VLOOKUP(A111,'TB-22'!A:C,2,0)),0,VLOOKUP(A111,'TB-22'!A:C,2,0))</f>
        <v>0</v>
      </c>
      <c r="C111" s="767">
        <f>IF(ISNA(VLOOKUP(A111,'TB-22'!A:C,3,0)),0,VLOOKUP(A111,'TB-22'!A:C,3,0))</f>
        <v>14.718</v>
      </c>
      <c r="D111" s="767">
        <f t="shared" si="3"/>
        <v>-14.718</v>
      </c>
      <c r="F111" s="273"/>
      <c r="G111" s="776"/>
    </row>
    <row r="112" spans="1:7" ht="15" customHeight="1">
      <c r="A112" s="771" t="s">
        <v>1157</v>
      </c>
      <c r="B112" s="766">
        <f>IF(ISNA(VLOOKUP(A112,'TB-22'!A:C,2,0)),0,VLOOKUP(A112,'TB-22'!A:C,2,0))</f>
        <v>0</v>
      </c>
      <c r="C112" s="767">
        <f>IF(ISNA(VLOOKUP(A112,'TB-22'!A:C,3,0)),0,VLOOKUP(A112,'TB-22'!A:C,3,0))</f>
        <v>14.75</v>
      </c>
      <c r="D112" s="767">
        <f t="shared" si="3"/>
        <v>-14.75</v>
      </c>
      <c r="F112" s="273"/>
      <c r="G112" s="776"/>
    </row>
    <row r="113" spans="1:7" ht="15" customHeight="1">
      <c r="A113" s="771" t="s">
        <v>572</v>
      </c>
      <c r="B113" s="766">
        <f>IF(ISNA(VLOOKUP(A113,'TB-22'!A:C,2,0)),0,VLOOKUP(A113,'TB-22'!A:C,2,0))</f>
        <v>0</v>
      </c>
      <c r="C113" s="767">
        <f>IF(ISNA(VLOOKUP(A113,'TB-22'!A:C,3,0)),0,VLOOKUP(A113,'TB-22'!A:C,3,0))</f>
        <v>108.379</v>
      </c>
      <c r="D113" s="767">
        <f t="shared" si="3"/>
        <v>-108.379</v>
      </c>
      <c r="F113" s="273"/>
      <c r="G113" s="776"/>
    </row>
    <row r="114" spans="1:7" ht="15" customHeight="1">
      <c r="A114" s="771" t="s">
        <v>1094</v>
      </c>
      <c r="B114" s="766">
        <f>IF(ISNA(VLOOKUP(A114,'TB-22'!A:C,2,0)),0,VLOOKUP(A114,'TB-22'!A:C,2,0))</f>
        <v>0</v>
      </c>
      <c r="C114" s="767">
        <f>IF(ISNA(VLOOKUP(A114,'TB-22'!A:C,3,0)),0,VLOOKUP(A114,'TB-22'!A:C,3,0))</f>
        <v>7.9359999999999999</v>
      </c>
      <c r="D114" s="767">
        <f t="shared" si="3"/>
        <v>-7.9359999999999999</v>
      </c>
      <c r="F114" s="273"/>
      <c r="G114" s="776"/>
    </row>
    <row r="115" spans="1:7" ht="15" customHeight="1">
      <c r="A115" s="771" t="s">
        <v>1287</v>
      </c>
      <c r="B115" s="766">
        <f>IF(ISNA(VLOOKUP(A115,'TB-22'!A:C,2,0)),0,VLOOKUP(A115,'TB-22'!A:C,2,0))</f>
        <v>0</v>
      </c>
      <c r="C115" s="767">
        <f>IF(ISNA(VLOOKUP(A115,'TB-22'!A:C,3,0)),0,VLOOKUP(A115,'TB-22'!A:C,3,0))</f>
        <v>0.55000000000000004</v>
      </c>
      <c r="D115" s="767">
        <f t="shared" si="3"/>
        <v>-0.55000000000000004</v>
      </c>
      <c r="F115" s="273"/>
      <c r="G115" s="776"/>
    </row>
    <row r="116" spans="1:7" ht="15" customHeight="1">
      <c r="A116" s="771" t="s">
        <v>1291</v>
      </c>
      <c r="B116" s="766">
        <f>IF(ISNA(VLOOKUP(A116,'TB-22'!A:C,2,0)),0,VLOOKUP(A116,'TB-22'!A:C,2,0))</f>
        <v>0</v>
      </c>
      <c r="C116" s="767">
        <f>IF(ISNA(VLOOKUP(A116,'TB-22'!A:C,3,0)),0,VLOOKUP(A116,'TB-22'!A:C,3,0))</f>
        <v>2.8</v>
      </c>
      <c r="D116" s="767">
        <f t="shared" si="3"/>
        <v>-2.8</v>
      </c>
      <c r="F116" s="273"/>
      <c r="G116" s="776"/>
    </row>
    <row r="117" spans="1:7" ht="15" customHeight="1">
      <c r="A117" s="779" t="s">
        <v>1442</v>
      </c>
      <c r="B117" s="766">
        <f>IF(ISNA(VLOOKUP(A117,'TB-22'!A:C,2,0)),0,VLOOKUP(A117,'TB-22'!A:C,2,0))</f>
        <v>0</v>
      </c>
      <c r="C117" s="767">
        <f>IF(ISNA(VLOOKUP(A117,'TB-22'!A:C,3,0)),0,VLOOKUP(A117,'TB-22'!A:C,3,0))</f>
        <v>39.6</v>
      </c>
      <c r="D117" s="767">
        <f t="shared" si="3"/>
        <v>-39.6</v>
      </c>
    </row>
    <row r="118" spans="1:7" ht="15" customHeight="1">
      <c r="A118" s="771" t="s">
        <v>1159</v>
      </c>
      <c r="B118" s="766">
        <f>IF(ISNA(VLOOKUP(A118,'TB-22'!A:C,2,0)),0,VLOOKUP(A118,'TB-22'!A:C,2,0))</f>
        <v>0</v>
      </c>
      <c r="C118" s="767">
        <f>IF(ISNA(VLOOKUP(A118,'TB-22'!A:C,3,0)),0,VLOOKUP(A118,'TB-22'!A:C,3,0))</f>
        <v>55.5</v>
      </c>
      <c r="D118" s="767">
        <f t="shared" si="3"/>
        <v>-55.5</v>
      </c>
      <c r="F118" s="273"/>
      <c r="G118" s="776"/>
    </row>
    <row r="119" spans="1:7" ht="15" customHeight="1">
      <c r="A119" s="771" t="s">
        <v>1295</v>
      </c>
      <c r="B119" s="766">
        <f>IF(ISNA(VLOOKUP(A119,'TB-22'!A:C,2,0)),0,VLOOKUP(A119,'TB-22'!A:C,2,0))</f>
        <v>0</v>
      </c>
      <c r="C119" s="767">
        <f>IF(ISNA(VLOOKUP(A119,'TB-22'!A:C,3,0)),0,VLOOKUP(A119,'TB-22'!A:C,3,0))</f>
        <v>1.77</v>
      </c>
      <c r="D119" s="767">
        <f t="shared" si="3"/>
        <v>-1.77</v>
      </c>
      <c r="F119" s="273"/>
      <c r="G119" s="776"/>
    </row>
    <row r="120" spans="1:7" ht="15" customHeight="1">
      <c r="A120" s="771" t="s">
        <v>1054</v>
      </c>
      <c r="B120" s="766">
        <f>IF(ISNA(VLOOKUP(A120,'TB-22'!A:C,2,0)),0,VLOOKUP(A120,'TB-22'!A:C,2,0))</f>
        <v>0</v>
      </c>
      <c r="C120" s="767">
        <f>IF(ISNA(VLOOKUP(A120,'TB-22'!A:C,3,0)),0,VLOOKUP(A120,'TB-22'!A:C,3,0))</f>
        <v>1.786</v>
      </c>
      <c r="D120" s="767">
        <f t="shared" si="3"/>
        <v>-1.786</v>
      </c>
      <c r="F120" s="273"/>
      <c r="G120" s="776"/>
    </row>
    <row r="121" spans="1:7" ht="15" customHeight="1">
      <c r="A121" s="771" t="s">
        <v>1297</v>
      </c>
      <c r="B121" s="766">
        <f>IF(ISNA(VLOOKUP(A121,'TB-22'!A:C,2,0)),0,VLOOKUP(A121,'TB-22'!A:C,2,0))</f>
        <v>0</v>
      </c>
      <c r="C121" s="767">
        <f>IF(ISNA(VLOOKUP(A121,'TB-22'!A:C,3,0)),0,VLOOKUP(A121,'TB-22'!A:C,3,0))</f>
        <v>43.542000000000002</v>
      </c>
      <c r="D121" s="767">
        <f t="shared" si="3"/>
        <v>-43.542000000000002</v>
      </c>
      <c r="F121" s="273"/>
      <c r="G121" s="776"/>
    </row>
    <row r="122" spans="1:7" ht="15" customHeight="1">
      <c r="A122" s="771" t="s">
        <v>1299</v>
      </c>
      <c r="B122" s="766">
        <f>IF(ISNA(VLOOKUP(A122,'TB-22'!A:C,2,0)),0,VLOOKUP(A122,'TB-22'!A:C,2,0))</f>
        <v>0</v>
      </c>
      <c r="C122" s="767">
        <f>IF(ISNA(VLOOKUP(A122,'TB-22'!A:C,3,0)),0,VLOOKUP(A122,'TB-22'!A:C,3,0))</f>
        <v>9.7650000000000006</v>
      </c>
      <c r="D122" s="767">
        <f t="shared" si="3"/>
        <v>-9.7650000000000006</v>
      </c>
      <c r="F122" s="273"/>
    </row>
    <row r="123" spans="1:7" ht="15" customHeight="1">
      <c r="A123" s="771" t="s">
        <v>1310</v>
      </c>
      <c r="B123" s="766">
        <f>IF(ISNA(VLOOKUP(A123,'TB-22'!A:C,2,0)),0,VLOOKUP(A123,'TB-22'!A:C,2,0))</f>
        <v>0</v>
      </c>
      <c r="C123" s="767">
        <f>IF(ISNA(VLOOKUP(A123,'TB-22'!A:C,3,0)),0,VLOOKUP(A123,'TB-22'!A:C,3,0))</f>
        <v>90.409000000000006</v>
      </c>
      <c r="D123" s="767">
        <f t="shared" si="3"/>
        <v>-90.409000000000006</v>
      </c>
      <c r="F123" s="273"/>
      <c r="G123" s="776"/>
    </row>
    <row r="124" spans="1:7" ht="15" customHeight="1">
      <c r="A124" s="771" t="s">
        <v>1085</v>
      </c>
      <c r="B124" s="766">
        <f>IF(ISNA(VLOOKUP(A124,'TB-22'!A:C,2,0)),0,VLOOKUP(A124,'TB-22'!A:C,2,0))</f>
        <v>0</v>
      </c>
      <c r="C124" s="767">
        <f>IF(ISNA(VLOOKUP(A124,'TB-22'!A:C,3,0)),0,VLOOKUP(A124,'TB-22'!A:C,3,0))</f>
        <v>68.718999999999994</v>
      </c>
      <c r="D124" s="767">
        <f t="shared" si="3"/>
        <v>-68.718999999999994</v>
      </c>
      <c r="F124" s="273"/>
    </row>
    <row r="125" spans="1:7" ht="15" customHeight="1">
      <c r="A125" s="779" t="s">
        <v>1445</v>
      </c>
      <c r="B125" s="766">
        <f>IF(ISNA(VLOOKUP(A125,'TB-22'!A:C,2,0)),0,VLOOKUP(A125,'TB-22'!A:C,2,0))</f>
        <v>0</v>
      </c>
      <c r="C125" s="767">
        <f>IF(ISNA(VLOOKUP(A125,'TB-22'!A:C,3,0)),0,VLOOKUP(A125,'TB-22'!A:C,3,0))</f>
        <v>70.201999999999998</v>
      </c>
      <c r="D125" s="767">
        <f t="shared" si="3"/>
        <v>-70.201999999999998</v>
      </c>
    </row>
    <row r="126" spans="1:7" ht="15" customHeight="1">
      <c r="A126" s="771" t="s">
        <v>1087</v>
      </c>
      <c r="B126" s="766">
        <f>IF(ISNA(VLOOKUP(A126,'TB-22'!A:C,2,0)),0,VLOOKUP(A126,'TB-22'!A:C,2,0))</f>
        <v>0</v>
      </c>
      <c r="C126" s="767">
        <f>IF(ISNA(VLOOKUP(A126,'TB-22'!A:C,3,0)),0,VLOOKUP(A126,'TB-22'!A:C,3,0))</f>
        <v>105.72799999999999</v>
      </c>
      <c r="D126" s="767">
        <f t="shared" si="3"/>
        <v>-105.72799999999999</v>
      </c>
      <c r="F126" s="273"/>
      <c r="G126" s="776"/>
    </row>
    <row r="127" spans="1:7" ht="15" customHeight="1">
      <c r="A127" s="771" t="s">
        <v>1120</v>
      </c>
      <c r="B127" s="766">
        <f>IF(ISNA(VLOOKUP(A127,'TB-22'!A:C,2,0)),0,VLOOKUP(A127,'TB-22'!A:C,2,0))</f>
        <v>0</v>
      </c>
      <c r="C127" s="767">
        <f>IF(ISNA(VLOOKUP(A127,'TB-22'!A:C,3,0)),0,VLOOKUP(A127,'TB-22'!A:C,3,0))</f>
        <v>25.08</v>
      </c>
      <c r="D127" s="767">
        <f t="shared" si="3"/>
        <v>-25.08</v>
      </c>
      <c r="F127" s="273"/>
      <c r="G127" s="776"/>
    </row>
    <row r="128" spans="1:7" ht="15" customHeight="1">
      <c r="A128" s="771" t="s">
        <v>1089</v>
      </c>
      <c r="B128" s="766">
        <f>IF(ISNA(VLOOKUP(A128,'TB-22'!A:C,2,0)),0,VLOOKUP(A128,'TB-22'!A:C,2,0))</f>
        <v>0</v>
      </c>
      <c r="C128" s="767">
        <f>IF(ISNA(VLOOKUP(A128,'TB-22'!A:C,3,0)),0,VLOOKUP(A128,'TB-22'!A:C,3,0))</f>
        <v>15.246</v>
      </c>
      <c r="D128" s="767">
        <f t="shared" si="3"/>
        <v>-15.246</v>
      </c>
      <c r="F128" s="273"/>
    </row>
    <row r="129" spans="1:7" ht="15" customHeight="1">
      <c r="A129" s="771" t="s">
        <v>1313</v>
      </c>
      <c r="B129" s="766">
        <f>IF(ISNA(VLOOKUP(A129,'TB-22'!A:C,2,0)),0,VLOOKUP(A129,'TB-22'!A:C,2,0))</f>
        <v>0</v>
      </c>
      <c r="C129" s="767">
        <f>IF(ISNA(VLOOKUP(A129,'TB-22'!A:C,3,0)),0,VLOOKUP(A129,'TB-22'!A:C,3,0))</f>
        <v>2.681</v>
      </c>
      <c r="D129" s="767">
        <f t="shared" si="3"/>
        <v>-2.681</v>
      </c>
      <c r="F129" s="273"/>
      <c r="G129" s="776"/>
    </row>
    <row r="130" spans="1:7" ht="15" customHeight="1">
      <c r="A130" s="771" t="s">
        <v>1408</v>
      </c>
      <c r="B130" s="766">
        <f>IF(ISNA(VLOOKUP(A130,'TB-22'!A:C,2,0)),0,VLOOKUP(A130,'TB-22'!A:C,2,0))</f>
        <v>0</v>
      </c>
      <c r="C130" s="767">
        <f>IF(ISNA(VLOOKUP(A130,'TB-22'!A:C,3,0)),0,VLOOKUP(A130,'TB-22'!A:C,3,0))</f>
        <v>4.38</v>
      </c>
      <c r="D130" s="767">
        <f t="shared" si="3"/>
        <v>-4.38</v>
      </c>
      <c r="F130" s="273"/>
    </row>
    <row r="131" spans="1:7" ht="15" customHeight="1">
      <c r="A131" s="771" t="s">
        <v>1317</v>
      </c>
      <c r="B131" s="766">
        <f>IF(ISNA(VLOOKUP(A131,'TB-22'!A:C,2,0)),0,VLOOKUP(A131,'TB-22'!A:C,2,0))</f>
        <v>0</v>
      </c>
      <c r="C131" s="767">
        <f>IF(ISNA(VLOOKUP(A131,'TB-22'!A:C,3,0)),0,VLOOKUP(A131,'TB-22'!A:C,3,0))</f>
        <v>0.59</v>
      </c>
      <c r="D131" s="767">
        <f t="shared" si="3"/>
        <v>-0.59</v>
      </c>
      <c r="F131" s="273"/>
      <c r="G131" s="776"/>
    </row>
    <row r="132" spans="1:7" ht="15" customHeight="1">
      <c r="A132" s="771" t="s">
        <v>1318</v>
      </c>
      <c r="B132" s="766">
        <f>IF(ISNA(VLOOKUP(A132,'TB-22'!A:C,2,0)),0,VLOOKUP(A132,'TB-22'!A:C,2,0))</f>
        <v>0</v>
      </c>
      <c r="C132" s="767">
        <f>IF(ISNA(VLOOKUP(A132,'TB-22'!A:C,3,0)),0,VLOOKUP(A132,'TB-22'!A:C,3,0))</f>
        <v>10.62</v>
      </c>
      <c r="D132" s="767">
        <f t="shared" si="3"/>
        <v>-10.62</v>
      </c>
      <c r="F132" s="273"/>
      <c r="G132" s="776"/>
    </row>
    <row r="133" spans="1:7" ht="15" customHeight="1">
      <c r="A133" s="779" t="s">
        <v>1446</v>
      </c>
      <c r="B133" s="766">
        <f>IF(ISNA(VLOOKUP(A133,'TB-22'!A:C,2,0)),0,VLOOKUP(A133,'TB-22'!A:C,2,0))</f>
        <v>0</v>
      </c>
      <c r="C133" s="767">
        <f>IF(ISNA(VLOOKUP(A133,'TB-22'!A:C,3,0)),0,VLOOKUP(A133,'TB-22'!A:C,3,0))</f>
        <v>0.9</v>
      </c>
      <c r="D133" s="767">
        <f t="shared" si="3"/>
        <v>-0.9</v>
      </c>
    </row>
    <row r="134" spans="1:7" ht="15" customHeight="1">
      <c r="A134" s="771" t="s">
        <v>1411</v>
      </c>
      <c r="B134" s="766">
        <f>IF(ISNA(VLOOKUP(A134,'TB-22'!A:C,2,0)),0,VLOOKUP(A134,'TB-22'!A:C,2,0))</f>
        <v>0</v>
      </c>
      <c r="C134" s="767">
        <f>IF(ISNA(VLOOKUP(A134,'TB-22'!A:C,3,0)),0,VLOOKUP(A134,'TB-22'!A:C,3,0))</f>
        <v>37.584000000000003</v>
      </c>
      <c r="D134" s="767">
        <f t="shared" ref="D134:D165" si="4">+B134-C134</f>
        <v>-37.584000000000003</v>
      </c>
      <c r="F134" s="273"/>
    </row>
    <row r="135" spans="1:7" ht="15" customHeight="1">
      <c r="A135" s="771" t="s">
        <v>1412</v>
      </c>
      <c r="B135" s="766">
        <f>IF(ISNA(VLOOKUP(A135,'TB-22'!A:C,2,0)),0,VLOOKUP(A135,'TB-22'!A:C,2,0))</f>
        <v>0</v>
      </c>
      <c r="C135" s="767">
        <f>IF(ISNA(VLOOKUP(A135,'TB-22'!A:C,3,0)),0,VLOOKUP(A135,'TB-22'!A:C,3,0))</f>
        <v>3.9289999999999998</v>
      </c>
      <c r="D135" s="767">
        <f t="shared" si="4"/>
        <v>-3.9289999999999998</v>
      </c>
      <c r="F135" s="273"/>
    </row>
    <row r="136" spans="1:7" ht="15" customHeight="1">
      <c r="A136" s="771" t="s">
        <v>1413</v>
      </c>
      <c r="B136" s="766">
        <f>IF(ISNA(VLOOKUP(A136,'TB-22'!A:C,2,0)),0,VLOOKUP(A136,'TB-22'!A:C,2,0))</f>
        <v>0</v>
      </c>
      <c r="C136" s="767">
        <f>IF(ISNA(VLOOKUP(A136,'TB-22'!A:C,3,0)),0,VLOOKUP(A136,'TB-22'!A:C,3,0))</f>
        <v>2.4</v>
      </c>
      <c r="D136" s="767">
        <f t="shared" si="4"/>
        <v>-2.4</v>
      </c>
      <c r="F136" s="273"/>
    </row>
    <row r="137" spans="1:7" ht="15" customHeight="1">
      <c r="A137" s="771" t="s">
        <v>1123</v>
      </c>
      <c r="B137" s="766">
        <f>IF(ISNA(VLOOKUP(A137,'TB-22'!A:C,2,0)),0,VLOOKUP(A137,'TB-22'!A:C,2,0))</f>
        <v>0</v>
      </c>
      <c r="C137" s="767">
        <f>IF(ISNA(VLOOKUP(A137,'TB-22'!A:C,3,0)),0,VLOOKUP(A137,'TB-22'!A:C,3,0))</f>
        <v>57.1</v>
      </c>
      <c r="D137" s="767">
        <f t="shared" si="4"/>
        <v>-57.1</v>
      </c>
      <c r="F137" s="273"/>
      <c r="G137" s="776"/>
    </row>
    <row r="138" spans="1:7" ht="15" customHeight="1">
      <c r="A138" s="771" t="s">
        <v>276</v>
      </c>
      <c r="B138" s="766">
        <f>IF(ISNA(VLOOKUP(A138,'TB-22'!A:C,2,0)),0,VLOOKUP(A138,'TB-22'!A:C,2,0))</f>
        <v>0</v>
      </c>
      <c r="C138" s="767">
        <f>IF(ISNA(VLOOKUP(A138,'TB-22'!A:C,3,0)),0,VLOOKUP(A138,'TB-22'!A:C,3,0))</f>
        <v>471.69</v>
      </c>
      <c r="D138" s="767">
        <f t="shared" si="4"/>
        <v>-471.69</v>
      </c>
      <c r="F138" s="273"/>
      <c r="G138" s="776"/>
    </row>
    <row r="139" spans="1:7" ht="15" customHeight="1">
      <c r="A139" s="771" t="s">
        <v>1322</v>
      </c>
      <c r="B139" s="766">
        <f>IF(ISNA(VLOOKUP(A139,'TB-22'!A:C,2,0)),0,VLOOKUP(A139,'TB-22'!A:C,2,0))</f>
        <v>0</v>
      </c>
      <c r="C139" s="767">
        <f>IF(ISNA(VLOOKUP(A139,'TB-22'!A:C,3,0)),0,VLOOKUP(A139,'TB-22'!A:C,3,0))</f>
        <v>0.02</v>
      </c>
      <c r="D139" s="767">
        <f t="shared" si="4"/>
        <v>-0.02</v>
      </c>
      <c r="F139" s="771"/>
      <c r="G139" s="776"/>
    </row>
    <row r="140" spans="1:7" ht="15" customHeight="1">
      <c r="A140" s="779" t="s">
        <v>1447</v>
      </c>
      <c r="B140" s="766">
        <f>IF(ISNA(VLOOKUP(A140,'TB-22'!A:C,2,0)),0,VLOOKUP(A140,'TB-22'!A:C,2,0))</f>
        <v>0</v>
      </c>
      <c r="C140" s="767">
        <f>IF(ISNA(VLOOKUP(A140,'TB-22'!A:C,3,0)),0,VLOOKUP(A140,'TB-22'!A:C,3,0))</f>
        <v>21.52</v>
      </c>
      <c r="D140" s="767">
        <f t="shared" si="4"/>
        <v>-21.52</v>
      </c>
    </row>
    <row r="141" spans="1:7" ht="15" customHeight="1">
      <c r="A141" s="771" t="s">
        <v>1414</v>
      </c>
      <c r="B141" s="766">
        <f>IF(ISNA(VLOOKUP(A141,'TB-22'!A:C,2,0)),0,VLOOKUP(A141,'TB-22'!A:C,2,0))</f>
        <v>0</v>
      </c>
      <c r="C141" s="767">
        <f>IF(ISNA(VLOOKUP(A141,'TB-22'!A:C,3,0)),0,VLOOKUP(A141,'TB-22'!A:C,3,0))</f>
        <v>1.0620000000000001</v>
      </c>
      <c r="D141" s="767">
        <f t="shared" si="4"/>
        <v>-1.0620000000000001</v>
      </c>
      <c r="F141" s="273"/>
    </row>
    <row r="142" spans="1:7" ht="15" customHeight="1">
      <c r="A142" s="779" t="s">
        <v>1448</v>
      </c>
      <c r="B142" s="766">
        <f>IF(ISNA(VLOOKUP(A142,'TB-22'!A:C,2,0)),0,VLOOKUP(A142,'TB-22'!A:C,2,0))</f>
        <v>0</v>
      </c>
      <c r="C142" s="767">
        <f>IF(ISNA(VLOOKUP(A142,'TB-22'!A:C,3,0)),0,VLOOKUP(A142,'TB-22'!A:C,3,0))</f>
        <v>249.256</v>
      </c>
      <c r="D142" s="767">
        <f t="shared" si="4"/>
        <v>-249.256</v>
      </c>
    </row>
    <row r="143" spans="1:7" ht="15" customHeight="1">
      <c r="A143" s="771" t="s">
        <v>1325</v>
      </c>
      <c r="B143" s="766">
        <f>IF(ISNA(VLOOKUP(A143,'TB-22'!A:C,2,0)),0,VLOOKUP(A143,'TB-22'!A:C,2,0))</f>
        <v>0</v>
      </c>
      <c r="C143" s="767">
        <f>IF(ISNA(VLOOKUP(A143,'TB-22'!A:C,3,0)),0,VLOOKUP(A143,'TB-22'!A:C,3,0))</f>
        <v>155.047</v>
      </c>
      <c r="D143" s="767">
        <f t="shared" si="4"/>
        <v>-155.047</v>
      </c>
      <c r="F143" s="273"/>
      <c r="G143" s="776"/>
    </row>
    <row r="144" spans="1:7" ht="15" customHeight="1">
      <c r="A144" s="771" t="s">
        <v>1169</v>
      </c>
      <c r="B144" s="766">
        <f>IF(ISNA(VLOOKUP(A144,'TB-22'!A:C,2,0)),0,VLOOKUP(A144,'TB-22'!A:C,2,0))</f>
        <v>0</v>
      </c>
      <c r="C144" s="767">
        <f>IF(ISNA(VLOOKUP(A144,'TB-22'!A:C,3,0)),0,VLOOKUP(A144,'TB-22'!A:C,3,0))</f>
        <v>246.39500000000001</v>
      </c>
      <c r="D144" s="767">
        <f t="shared" si="4"/>
        <v>-246.39500000000001</v>
      </c>
      <c r="F144" s="273"/>
    </row>
    <row r="145" spans="1:7" ht="15" customHeight="1">
      <c r="A145" s="771" t="s">
        <v>1334</v>
      </c>
      <c r="B145" s="766">
        <f>IF(ISNA(VLOOKUP(A145,'TB-22'!A:C,2,0)),0,VLOOKUP(A145,'TB-22'!A:C,2,0))</f>
        <v>0</v>
      </c>
      <c r="C145" s="767">
        <f>IF(ISNA(VLOOKUP(A145,'TB-22'!A:C,3,0)),0,VLOOKUP(A145,'TB-22'!A:C,3,0))</f>
        <v>57</v>
      </c>
      <c r="D145" s="767">
        <f t="shared" si="4"/>
        <v>-57</v>
      </c>
      <c r="F145" s="771"/>
      <c r="G145" s="776"/>
    </row>
    <row r="146" spans="1:7" ht="15" customHeight="1">
      <c r="A146" s="771" t="s">
        <v>1335</v>
      </c>
      <c r="B146" s="766">
        <f>IF(ISNA(VLOOKUP(A146,'TB-22'!A:C,2,0)),0,VLOOKUP(A146,'TB-22'!A:C,2,0))</f>
        <v>0</v>
      </c>
      <c r="C146" s="767">
        <f>IF(ISNA(VLOOKUP(A146,'TB-22'!A:C,3,0)),0,VLOOKUP(A146,'TB-22'!A:C,3,0))</f>
        <v>18.939</v>
      </c>
      <c r="D146" s="767">
        <f t="shared" si="4"/>
        <v>-18.939</v>
      </c>
      <c r="F146" s="273"/>
      <c r="G146" s="776"/>
    </row>
    <row r="147" spans="1:7" ht="15" customHeight="1">
      <c r="A147" s="771" t="s">
        <v>1338</v>
      </c>
      <c r="B147" s="766">
        <f>IF(ISNA(VLOOKUP(A147,'TB-22'!A:C,2,0)),0,VLOOKUP(A147,'TB-22'!A:C,2,0))</f>
        <v>0</v>
      </c>
      <c r="C147" s="767">
        <f>IF(ISNA(VLOOKUP(A147,'TB-22'!A:C,3,0)),0,VLOOKUP(A147,'TB-22'!A:C,3,0))</f>
        <v>8.6379999999999999</v>
      </c>
      <c r="D147" s="767">
        <f t="shared" si="4"/>
        <v>-8.6379999999999999</v>
      </c>
      <c r="F147" s="273"/>
    </row>
    <row r="148" spans="1:7" ht="15" customHeight="1">
      <c r="A148" s="771" t="s">
        <v>1090</v>
      </c>
      <c r="B148" s="766">
        <f>IF(ISNA(VLOOKUP(A148,'TB-22'!A:C,2,0)),0,VLOOKUP(A148,'TB-22'!A:C,2,0))</f>
        <v>0</v>
      </c>
      <c r="C148" s="767">
        <f>IF(ISNA(VLOOKUP(A148,'TB-22'!A:C,3,0)),0,VLOOKUP(A148,'TB-22'!A:C,3,0))</f>
        <v>95.436000000000007</v>
      </c>
      <c r="D148" s="767">
        <f t="shared" si="4"/>
        <v>-95.436000000000007</v>
      </c>
      <c r="F148" s="771"/>
    </row>
    <row r="149" spans="1:7" ht="15" customHeight="1">
      <c r="A149" s="771" t="s">
        <v>1126</v>
      </c>
      <c r="B149" s="766">
        <f>IF(ISNA(VLOOKUP(A149,'TB-22'!A:C,2,0)),0,VLOOKUP(A149,'TB-22'!A:C,2,0))</f>
        <v>0</v>
      </c>
      <c r="C149" s="767">
        <f>IF(ISNA(VLOOKUP(A149,'TB-22'!A:C,3,0)),0,VLOOKUP(A149,'TB-22'!A:C,3,0))</f>
        <v>144.61500000000001</v>
      </c>
      <c r="D149" s="767">
        <f t="shared" si="4"/>
        <v>-144.61500000000001</v>
      </c>
      <c r="F149" s="771"/>
      <c r="G149" s="776"/>
    </row>
    <row r="150" spans="1:7" ht="15" customHeight="1">
      <c r="A150" s="779" t="s">
        <v>1449</v>
      </c>
      <c r="B150" s="766">
        <f>IF(ISNA(VLOOKUP(A150,'TB-22'!A:C,2,0)),0,VLOOKUP(A150,'TB-22'!A:C,2,0))</f>
        <v>0</v>
      </c>
      <c r="C150" s="767">
        <f>IF(ISNA(VLOOKUP(A150,'TB-22'!A:C,3,0)),0,VLOOKUP(A150,'TB-22'!A:C,3,0))</f>
        <v>69.894000000000005</v>
      </c>
      <c r="D150" s="767">
        <f t="shared" si="4"/>
        <v>-69.894000000000005</v>
      </c>
    </row>
    <row r="151" spans="1:7" ht="15" customHeight="1">
      <c r="A151" s="779" t="s">
        <v>1451</v>
      </c>
      <c r="B151" s="766">
        <f>IF(ISNA(VLOOKUP(A151,'TB-22'!A:C,2,0)),0,VLOOKUP(A151,'TB-22'!A:C,2,0))</f>
        <v>0</v>
      </c>
      <c r="C151" s="767">
        <f>IF(ISNA(VLOOKUP(A151,'TB-22'!A:C,3,0)),0,VLOOKUP(A151,'TB-22'!A:C,3,0))</f>
        <v>10.8</v>
      </c>
      <c r="D151" s="767">
        <f t="shared" si="4"/>
        <v>-10.8</v>
      </c>
    </row>
    <row r="152" spans="1:7" ht="15" customHeight="1">
      <c r="A152" s="771" t="s">
        <v>1065</v>
      </c>
      <c r="B152" s="766">
        <f>IF(ISNA(VLOOKUP(A152,'TB-22'!A:C,2,0)),0,VLOOKUP(A152,'TB-22'!A:C,2,0))</f>
        <v>0</v>
      </c>
      <c r="C152" s="767">
        <f>IF(ISNA(VLOOKUP(A152,'TB-22'!A:C,3,0)),0,VLOOKUP(A152,'TB-22'!A:C,3,0))</f>
        <v>42.834000000000003</v>
      </c>
      <c r="D152" s="767">
        <f t="shared" si="4"/>
        <v>-42.834000000000003</v>
      </c>
      <c r="F152" s="771"/>
      <c r="G152" s="776"/>
    </row>
    <row r="153" spans="1:7" ht="15" customHeight="1">
      <c r="A153" s="771" t="s">
        <v>1096</v>
      </c>
      <c r="B153" s="766">
        <f>IF(ISNA(VLOOKUP(A153,'TB-22'!A:C,2,0)),0,VLOOKUP(A153,'TB-22'!A:C,2,0))</f>
        <v>0</v>
      </c>
      <c r="C153" s="767">
        <f>IF(ISNA(VLOOKUP(A153,'TB-22'!A:C,3,0)),0,VLOOKUP(A153,'TB-22'!A:C,3,0))</f>
        <v>319.36</v>
      </c>
      <c r="D153" s="767">
        <f t="shared" si="4"/>
        <v>-319.36</v>
      </c>
      <c r="F153" s="771"/>
      <c r="G153" s="776"/>
    </row>
    <row r="154" spans="1:7" ht="15" customHeight="1">
      <c r="A154" s="771" t="s">
        <v>1417</v>
      </c>
      <c r="B154" s="766">
        <f>IF(ISNA(VLOOKUP(A154,'TB-22'!A:C,2,0)),0,VLOOKUP(A154,'TB-22'!A:C,2,0))</f>
        <v>0</v>
      </c>
      <c r="C154" s="767">
        <f>IF(ISNA(VLOOKUP(A154,'TB-22'!A:C,3,0)),0,VLOOKUP(A154,'TB-22'!A:C,3,0))</f>
        <v>2.4860000000000002</v>
      </c>
      <c r="D154" s="767">
        <f t="shared" si="4"/>
        <v>-2.4860000000000002</v>
      </c>
      <c r="F154" s="273"/>
    </row>
    <row r="155" spans="1:7" ht="15" customHeight="1">
      <c r="A155" s="771" t="s">
        <v>1419</v>
      </c>
      <c r="B155" s="766">
        <f>IF(ISNA(VLOOKUP(A155,'TB-22'!A:C,2,0)),0,VLOOKUP(A155,'TB-22'!A:C,2,0))</f>
        <v>0</v>
      </c>
      <c r="C155" s="767">
        <f>IF(ISNA(VLOOKUP(A155,'TB-22'!A:C,3,0)),0,VLOOKUP(A155,'TB-22'!A:C,3,0))</f>
        <v>24.31</v>
      </c>
      <c r="D155" s="767">
        <f t="shared" si="4"/>
        <v>-24.31</v>
      </c>
      <c r="F155" s="273"/>
    </row>
    <row r="156" spans="1:7" ht="15" customHeight="1">
      <c r="A156" s="771" t="s">
        <v>1129</v>
      </c>
      <c r="B156" s="766">
        <f>IF(ISNA(VLOOKUP(A156,'TB-22'!A:C,2,0)),0,VLOOKUP(A156,'TB-22'!A:C,2,0))</f>
        <v>0</v>
      </c>
      <c r="C156" s="767">
        <f>IF(ISNA(VLOOKUP(A156,'TB-22'!A:C,3,0)),0,VLOOKUP(A156,'TB-22'!A:C,3,0))</f>
        <v>46.226999999999997</v>
      </c>
      <c r="D156" s="767">
        <f t="shared" si="4"/>
        <v>-46.226999999999997</v>
      </c>
      <c r="F156" s="771"/>
      <c r="G156" s="776"/>
    </row>
    <row r="157" spans="1:7" ht="15" customHeight="1">
      <c r="A157" s="771" t="s">
        <v>1354</v>
      </c>
      <c r="B157" s="766">
        <f>IF(ISNA(VLOOKUP(A157,'TB-22'!A:C,2,0)),0,VLOOKUP(A157,'TB-22'!A:C,2,0))</f>
        <v>0</v>
      </c>
      <c r="C157" s="767">
        <f>IF(ISNA(VLOOKUP(A157,'TB-22'!A:C,3,0)),0,VLOOKUP(A157,'TB-22'!A:C,3,0))</f>
        <v>252.09200000000001</v>
      </c>
      <c r="D157" s="767">
        <f t="shared" si="4"/>
        <v>-252.09200000000001</v>
      </c>
      <c r="F157" s="771"/>
      <c r="G157" s="776"/>
    </row>
    <row r="158" spans="1:7" ht="15" customHeight="1">
      <c r="A158" s="779" t="s">
        <v>1453</v>
      </c>
      <c r="B158" s="766">
        <f>IF(ISNA(VLOOKUP(A158,'TB-22'!A:C,2,0)),0,VLOOKUP(A158,'TB-22'!A:C,2,0))</f>
        <v>0</v>
      </c>
      <c r="C158" s="767">
        <f>IF(ISNA(VLOOKUP(A158,'TB-22'!A:C,3,0)),0,VLOOKUP(A158,'TB-22'!A:C,3,0))</f>
        <v>35.909999999999997</v>
      </c>
      <c r="D158" s="767">
        <f t="shared" si="4"/>
        <v>-35.909999999999997</v>
      </c>
    </row>
    <row r="159" spans="1:7" ht="15" customHeight="1">
      <c r="A159" s="771" t="s">
        <v>799</v>
      </c>
      <c r="B159" s="766">
        <f>IF(ISNA(VLOOKUP(A159,'TB-22'!A:C,2,0)),0,VLOOKUP(A159,'TB-22'!A:C,2,0))</f>
        <v>0</v>
      </c>
      <c r="C159" s="767">
        <f>IF(ISNA(VLOOKUP(A159,'TB-22'!A:C,3,0)),0,VLOOKUP(A159,'TB-22'!A:C,3,0))</f>
        <v>259.23</v>
      </c>
      <c r="D159" s="767">
        <f t="shared" si="4"/>
        <v>-259.23</v>
      </c>
    </row>
    <row r="160" spans="1:7" ht="15" customHeight="1">
      <c r="A160" s="771" t="s">
        <v>1426</v>
      </c>
      <c r="B160" s="766">
        <f>IF(ISNA(VLOOKUP(A160,'TB-22'!A:C,2,0)),0,VLOOKUP(A160,'TB-22'!A:C,2,0))</f>
        <v>0</v>
      </c>
      <c r="C160" s="767">
        <f>IF(ISNA(VLOOKUP(A160,'TB-22'!A:C,3,0)),0,VLOOKUP(A160,'TB-22'!A:C,3,0))</f>
        <v>14.125999999999999</v>
      </c>
      <c r="D160" s="767">
        <f t="shared" si="4"/>
        <v>-14.125999999999999</v>
      </c>
      <c r="F160" s="273"/>
    </row>
    <row r="161" spans="1:7" ht="15" customHeight="1">
      <c r="A161" s="771" t="s">
        <v>1369</v>
      </c>
      <c r="B161" s="766">
        <f>IF(ISNA(VLOOKUP(A161,'TB-22'!A:C,2,0)),0,VLOOKUP(A161,'TB-22'!A:C,2,0))</f>
        <v>0</v>
      </c>
      <c r="C161" s="767">
        <f>IF(ISNA(VLOOKUP(A161,'TB-22'!A:C,3,0)),0,VLOOKUP(A161,'TB-22'!A:C,3,0))</f>
        <v>36.18</v>
      </c>
      <c r="D161" s="767">
        <f t="shared" si="4"/>
        <v>-36.18</v>
      </c>
      <c r="F161" s="771"/>
      <c r="G161" s="776"/>
    </row>
    <row r="162" spans="1:7" ht="15" customHeight="1">
      <c r="A162" s="771" t="s">
        <v>1092</v>
      </c>
      <c r="B162" s="766">
        <f>IF(ISNA(VLOOKUP(A162,'TB-22'!A:C,2,0)),0,VLOOKUP(A162,'TB-22'!A:C,2,0))</f>
        <v>0</v>
      </c>
      <c r="C162" s="767">
        <f>IF(ISNA(VLOOKUP(A162,'TB-22'!A:C,3,0)),0,VLOOKUP(A162,'TB-22'!A:C,3,0))</f>
        <v>1118.24</v>
      </c>
      <c r="D162" s="767">
        <f t="shared" si="4"/>
        <v>-1118.24</v>
      </c>
      <c r="F162" s="771"/>
      <c r="G162" s="776"/>
    </row>
    <row r="163" spans="1:7" ht="15" customHeight="1">
      <c r="A163" s="771" t="s">
        <v>1182</v>
      </c>
      <c r="B163" s="766">
        <f>IF(ISNA(VLOOKUP(A163,'TB-22'!A:C,2,0)),0,VLOOKUP(A163,'TB-22'!A:C,2,0))</f>
        <v>0</v>
      </c>
      <c r="C163" s="767">
        <f>IF(ISNA(VLOOKUP(A163,'TB-22'!A:C,3,0)),0,VLOOKUP(A163,'TB-22'!A:C,3,0))</f>
        <v>14</v>
      </c>
      <c r="D163" s="767">
        <f t="shared" si="4"/>
        <v>-14</v>
      </c>
      <c r="G163" s="776"/>
    </row>
    <row r="164" spans="1:7" ht="15" customHeight="1">
      <c r="A164" s="771" t="s">
        <v>1180</v>
      </c>
      <c r="B164" s="766">
        <f>IF(ISNA(VLOOKUP(A164,'TB-22'!A:C,2,0)),0,VLOOKUP(A164,'TB-22'!A:C,2,0))</f>
        <v>0</v>
      </c>
      <c r="C164" s="767">
        <f>IF(ISNA(VLOOKUP(A164,'TB-22'!A:C,3,0)),0,VLOOKUP(A164,'TB-22'!A:C,3,0))</f>
        <v>1.8169999999999999</v>
      </c>
      <c r="D164" s="767">
        <f t="shared" si="4"/>
        <v>-1.8169999999999999</v>
      </c>
      <c r="G164" s="776"/>
    </row>
    <row r="165" spans="1:7" ht="15" customHeight="1">
      <c r="A165" s="771" t="s">
        <v>1097</v>
      </c>
      <c r="B165" s="766">
        <f>IF(ISNA(VLOOKUP(A165,'TB-22'!A:C,2,0)),0,VLOOKUP(A165,'TB-22'!A:C,2,0))</f>
        <v>0</v>
      </c>
      <c r="C165" s="767">
        <f>IF(ISNA(VLOOKUP(A165,'TB-22'!A:C,3,0)),0,VLOOKUP(A165,'TB-22'!A:C,3,0))</f>
        <v>9.5039999999999996</v>
      </c>
      <c r="D165" s="767">
        <f t="shared" si="4"/>
        <v>-9.5039999999999996</v>
      </c>
      <c r="G165" s="776"/>
    </row>
    <row r="166" spans="1:7" ht="15" customHeight="1">
      <c r="A166" s="779" t="s">
        <v>1455</v>
      </c>
      <c r="B166" s="766">
        <f>IF(ISNA(VLOOKUP(A166,'TB-22'!A:C,2,0)),0,VLOOKUP(A166,'TB-22'!A:C,2,0))</f>
        <v>0</v>
      </c>
      <c r="C166" s="767">
        <f>IF(ISNA(VLOOKUP(A166,'TB-22'!A:C,3,0)),0,VLOOKUP(A166,'TB-22'!A:C,3,0))</f>
        <v>134.376</v>
      </c>
      <c r="D166" s="767">
        <f>+B166-C166</f>
        <v>-134.376</v>
      </c>
    </row>
    <row r="167" spans="1:7" ht="15" customHeight="1">
      <c r="A167" s="771" t="s">
        <v>1379</v>
      </c>
      <c r="B167" s="766">
        <f>IF(ISNA(VLOOKUP(A167,'TB-22'!A:C,2,0)),0,VLOOKUP(A167,'TB-22'!A:C,2,0))</f>
        <v>0</v>
      </c>
      <c r="C167" s="767">
        <f>IF(ISNA(VLOOKUP(A167,'TB-22'!A:C,3,0)),0,VLOOKUP(A167,'TB-22'!A:C,3,0))</f>
        <v>56.91</v>
      </c>
      <c r="D167" s="767">
        <f>+B167-C167</f>
        <v>-56.91</v>
      </c>
      <c r="F167" s="767">
        <f>SUM(D37:D167)</f>
        <v>-81756.06756000004</v>
      </c>
      <c r="G167" s="776"/>
    </row>
    <row r="169" spans="1:7" ht="15" customHeight="1">
      <c r="A169" s="760" t="s">
        <v>1470</v>
      </c>
      <c r="B169" s="761"/>
      <c r="C169" s="761"/>
      <c r="D169" s="761">
        <f t="shared" ref="D169:D192" si="5">+B169-C169</f>
        <v>0</v>
      </c>
    </row>
    <row r="170" spans="1:7" ht="15" customHeight="1">
      <c r="A170" s="275" t="s">
        <v>292</v>
      </c>
      <c r="B170" s="766"/>
      <c r="D170" s="767">
        <f t="shared" si="5"/>
        <v>0</v>
      </c>
    </row>
    <row r="171" spans="1:7" ht="15" customHeight="1">
      <c r="A171" s="274" t="s">
        <v>269</v>
      </c>
      <c r="B171" s="766">
        <f>IF(ISNA(VLOOKUP(A171,'TB-22'!A:C,2,0)),0,VLOOKUP(A171,'TB-22'!A:C,2,0))</f>
        <v>0</v>
      </c>
      <c r="C171" s="767">
        <f>IF(ISNA(VLOOKUP(A171,'TB-22'!A:C,3,0)),0,VLOOKUP(A171,'TB-22'!A:C,3,0))</f>
        <v>151.49</v>
      </c>
      <c r="D171" s="767">
        <f t="shared" si="5"/>
        <v>-151.49</v>
      </c>
    </row>
    <row r="172" spans="1:7" ht="15" customHeight="1">
      <c r="A172" s="274" t="s">
        <v>270</v>
      </c>
      <c r="B172" s="766">
        <f>IF(ISNA(VLOOKUP(A172,'TB-22'!A:C,2,0)),0,VLOOKUP(A172,'TB-22'!A:C,2,0))</f>
        <v>0</v>
      </c>
      <c r="C172" s="767">
        <f>IF(ISNA(VLOOKUP(A172,'TB-22'!A:C,3,0)),0,VLOOKUP(A172,'TB-22'!A:C,3,0))</f>
        <v>1700.9829999999999</v>
      </c>
      <c r="D172" s="767">
        <f t="shared" si="5"/>
        <v>-1700.9829999999999</v>
      </c>
    </row>
    <row r="173" spans="1:7" ht="15" customHeight="1">
      <c r="A173" s="275" t="s">
        <v>1554</v>
      </c>
      <c r="B173" s="766"/>
      <c r="D173" s="767">
        <f t="shared" si="5"/>
        <v>0</v>
      </c>
    </row>
    <row r="174" spans="1:7" ht="15" customHeight="1">
      <c r="A174" s="274" t="s">
        <v>604</v>
      </c>
      <c r="B174" s="766">
        <f>IF(ISNA(VLOOKUP(A174,'TB-22'!A:C,2,0)),0,VLOOKUP(A174,'TB-22'!A:C,2,0))</f>
        <v>0</v>
      </c>
      <c r="C174" s="767">
        <f>IF(ISNA(VLOOKUP(A174,'TB-22'!A:C,3,0)),0,VLOOKUP(A174,'TB-22'!A:C,3,0))</f>
        <v>0</v>
      </c>
      <c r="D174" s="767">
        <f t="shared" si="5"/>
        <v>0</v>
      </c>
    </row>
    <row r="175" spans="1:7" ht="15" customHeight="1">
      <c r="A175" s="782" t="s">
        <v>603</v>
      </c>
      <c r="B175" s="766">
        <f>IF(ISNA(VLOOKUP(A175,'TB-22'!A:C,2,0)),0,VLOOKUP(A175,'TB-22'!A:C,2,0))</f>
        <v>0</v>
      </c>
      <c r="C175" s="767">
        <f>IF(ISNA(VLOOKUP(A175,'TB-22'!A:C,3,0)),0,VLOOKUP(A175,'TB-22'!A:C,3,0))</f>
        <v>520.37400000000002</v>
      </c>
      <c r="D175" s="767">
        <f>+B175-C175</f>
        <v>-520.37400000000002</v>
      </c>
    </row>
    <row r="176" spans="1:7" ht="15" customHeight="1">
      <c r="A176" s="274" t="s">
        <v>606</v>
      </c>
      <c r="B176" s="766">
        <f>IF(ISNA(VLOOKUP(A176,'TB-22'!A:C,2,0)),0,VLOOKUP(A176,'TB-22'!A:C,2,0))</f>
        <v>0</v>
      </c>
      <c r="C176" s="767">
        <f>IF(ISNA(VLOOKUP(A176,'TB-22'!A:C,3,0)),0,VLOOKUP(A176,'TB-22'!A:C,3,0))</f>
        <v>612.32000000000005</v>
      </c>
      <c r="D176" s="767">
        <f>+B176-C176</f>
        <v>-612.32000000000005</v>
      </c>
      <c r="G176" s="776"/>
    </row>
    <row r="177" spans="1:7" ht="15" customHeight="1">
      <c r="A177" s="274" t="s">
        <v>607</v>
      </c>
      <c r="B177" s="766">
        <f>IF(ISNA(VLOOKUP(A177,'TB-22'!A:C,2,0)),0,VLOOKUP(A177,'TB-22'!A:C,2,0))</f>
        <v>0</v>
      </c>
      <c r="C177" s="767">
        <f>IF(ISNA(VLOOKUP(A177,'TB-22'!A:C,3,0)),0,VLOOKUP(A177,'TB-22'!A:C,3,0))</f>
        <v>0</v>
      </c>
      <c r="D177" s="767">
        <f t="shared" si="5"/>
        <v>0</v>
      </c>
    </row>
    <row r="178" spans="1:7" ht="15" customHeight="1">
      <c r="A178" s="275" t="s">
        <v>1074</v>
      </c>
      <c r="B178" s="766"/>
      <c r="D178" s="767">
        <f t="shared" si="5"/>
        <v>0</v>
      </c>
    </row>
    <row r="179" spans="1:7" ht="15" customHeight="1">
      <c r="A179" s="780" t="s">
        <v>575</v>
      </c>
      <c r="B179" s="766">
        <f>IF(ISNA(VLOOKUP(A179,'TB-22'!A:C,2,0)),0,VLOOKUP(A179,'TB-22'!A:C,2,0))</f>
        <v>0</v>
      </c>
      <c r="C179" s="767">
        <f>IF(ISNA(VLOOKUP(A179,'TB-22'!A:C,3,0)),0,VLOOKUP(A179,'TB-22'!A:C,3,0))</f>
        <v>530.79999999999995</v>
      </c>
      <c r="D179" s="767">
        <f t="shared" si="5"/>
        <v>-530.79999999999995</v>
      </c>
      <c r="G179" s="776"/>
    </row>
    <row r="180" spans="1:7" ht="15" customHeight="1">
      <c r="A180" s="771" t="s">
        <v>1407</v>
      </c>
      <c r="B180" s="766">
        <f>IF(ISNA(VLOOKUP(A180,'TB-22'!A:C,2,0)),0,VLOOKUP(A180,'TB-22'!A:C,2,0))</f>
        <v>0</v>
      </c>
      <c r="C180" s="767">
        <f>IF(ISNA(VLOOKUP(A180,'TB-22'!A:C,3,0)),0,VLOOKUP(A180,'TB-22'!A:C,3,0))</f>
        <v>8</v>
      </c>
      <c r="D180" s="767">
        <f t="shared" si="5"/>
        <v>-8</v>
      </c>
    </row>
    <row r="181" spans="1:7" ht="15" customHeight="1">
      <c r="A181" s="771" t="s">
        <v>1422</v>
      </c>
      <c r="B181" s="766">
        <f>IF(ISNA(VLOOKUP(A181,'TB-22'!A:C,2,0)),0,VLOOKUP(A181,'TB-22'!A:C,2,0))</f>
        <v>0</v>
      </c>
      <c r="C181" s="767">
        <f>IF(ISNA(VLOOKUP(A181,'TB-22'!A:C,3,0)),0,VLOOKUP(A181,'TB-22'!A:C,3,0))</f>
        <v>27</v>
      </c>
      <c r="D181" s="767">
        <f t="shared" si="5"/>
        <v>-27</v>
      </c>
    </row>
    <row r="182" spans="1:7" ht="15" customHeight="1">
      <c r="A182" s="780" t="s">
        <v>605</v>
      </c>
      <c r="B182" s="766">
        <f>IF(ISNA(VLOOKUP(A182,'TB-22'!A:C,2,0)),0,VLOOKUP(A182,'TB-22'!A:C,2,0))</f>
        <v>0</v>
      </c>
      <c r="C182" s="767">
        <f>IF(ISNA(VLOOKUP(A182,'TB-22'!A:C,3,0)),0,VLOOKUP(A182,'TB-22'!A:C,3,0))</f>
        <v>1001.283</v>
      </c>
      <c r="D182" s="767">
        <f t="shared" si="5"/>
        <v>-1001.283</v>
      </c>
      <c r="G182" s="776"/>
    </row>
    <row r="183" spans="1:7" ht="15" customHeight="1">
      <c r="A183" s="776" t="s">
        <v>1098</v>
      </c>
      <c r="B183" s="766">
        <f>IF(ISNA(VLOOKUP(A183,'TB-22'!A:C,2,0)),0,VLOOKUP(A183,'TB-22'!A:C,2,0))</f>
        <v>0</v>
      </c>
      <c r="C183" s="767">
        <f>IF(ISNA(VLOOKUP(A183,'TB-22'!A:C,3,0)),0,VLOOKUP(A183,'TB-22'!A:C,3,0))</f>
        <v>8.5868599999999997</v>
      </c>
      <c r="D183" s="767">
        <f t="shared" si="5"/>
        <v>-8.5868599999999997</v>
      </c>
      <c r="G183" s="776"/>
    </row>
    <row r="184" spans="1:7" ht="15" customHeight="1">
      <c r="A184" s="275"/>
      <c r="B184" s="766"/>
      <c r="D184" s="767">
        <f t="shared" si="5"/>
        <v>0</v>
      </c>
    </row>
    <row r="185" spans="1:7" ht="15" customHeight="1">
      <c r="A185" s="275" t="s">
        <v>927</v>
      </c>
      <c r="B185" s="766"/>
      <c r="D185" s="767">
        <f t="shared" si="5"/>
        <v>0</v>
      </c>
    </row>
    <row r="186" spans="1:7" ht="15" customHeight="1">
      <c r="A186" s="771" t="s">
        <v>1359</v>
      </c>
      <c r="B186" s="766">
        <f>IF(ISNA(VLOOKUP(A186,'TB-22'!A:C,2,0)),0,VLOOKUP(A186,'TB-22'!A:C,2,0))</f>
        <v>0</v>
      </c>
      <c r="C186" s="767">
        <f>IF(ISNA(VLOOKUP(A186,'TB-22'!A:C,3,0)),0,VLOOKUP(A186,'TB-22'!A:C,3,0))</f>
        <v>133.875</v>
      </c>
      <c r="D186" s="767">
        <f t="shared" si="5"/>
        <v>-133.875</v>
      </c>
    </row>
    <row r="187" spans="1:7" ht="15" customHeight="1">
      <c r="A187" s="771" t="s">
        <v>1360</v>
      </c>
      <c r="B187" s="766">
        <f>IF(ISNA(VLOOKUP(A187,'TB-22'!A:C,2,0)),0,VLOOKUP(A187,'TB-22'!A:C,2,0))</f>
        <v>0</v>
      </c>
      <c r="C187" s="767">
        <f>IF(ISNA(VLOOKUP(A187,'TB-22'!A:C,3,0)),0,VLOOKUP(A187,'TB-22'!A:C,3,0))</f>
        <v>35.450000000000003</v>
      </c>
      <c r="D187" s="767">
        <f t="shared" si="5"/>
        <v>-35.450000000000003</v>
      </c>
    </row>
    <row r="188" spans="1:7" ht="15" customHeight="1">
      <c r="A188" s="779" t="s">
        <v>1454</v>
      </c>
      <c r="B188" s="766">
        <f>IF(ISNA(VLOOKUP(A188,'TB-22'!A:C,2,0)),0,VLOOKUP(A188,'TB-22'!A:C,2,0))</f>
        <v>0</v>
      </c>
      <c r="C188" s="767">
        <f>IF(ISNA(VLOOKUP(A188,'TB-22'!A:C,3,0)),0,VLOOKUP(A188,'TB-22'!A:C,3,0))</f>
        <v>94.066000000000003</v>
      </c>
      <c r="D188" s="767">
        <f>+B188-C188</f>
        <v>-94.066000000000003</v>
      </c>
    </row>
    <row r="189" spans="1:7" ht="15" customHeight="1">
      <c r="A189" s="771" t="s">
        <v>1361</v>
      </c>
      <c r="B189" s="766">
        <f>IF(ISNA(VLOOKUP(A189,'TB-22'!A:C,2,0)),0,VLOOKUP(A189,'TB-22'!A:C,2,0))</f>
        <v>0</v>
      </c>
      <c r="C189" s="767">
        <f>IF(ISNA(VLOOKUP(A189,'TB-22'!A:C,3,0)),0,VLOOKUP(A189,'TB-22'!A:C,3,0))</f>
        <v>27</v>
      </c>
      <c r="D189" s="767">
        <f t="shared" si="5"/>
        <v>-27</v>
      </c>
    </row>
    <row r="190" spans="1:7" ht="15" customHeight="1">
      <c r="A190" s="771" t="s">
        <v>1362</v>
      </c>
      <c r="B190" s="766">
        <f>IF(ISNA(VLOOKUP(A190,'TB-22'!A:C,2,0)),0,VLOOKUP(A190,'TB-22'!A:C,2,0))</f>
        <v>0</v>
      </c>
      <c r="C190" s="767">
        <f>IF(ISNA(VLOOKUP(A190,'TB-22'!A:C,3,0)),0,VLOOKUP(A190,'TB-22'!A:C,3,0))</f>
        <v>4826.9799999999996</v>
      </c>
      <c r="D190" s="767">
        <f t="shared" si="5"/>
        <v>-4826.9799999999996</v>
      </c>
    </row>
    <row r="191" spans="1:7" ht="15" customHeight="1">
      <c r="A191" s="771" t="s">
        <v>1425</v>
      </c>
      <c r="B191" s="766">
        <f>IF(ISNA(VLOOKUP(A191,'TB-22'!A:C,2,0)),0,VLOOKUP(A191,'TB-22'!A:C,2,0))</f>
        <v>0</v>
      </c>
      <c r="C191" s="767">
        <f>IF(ISNA(VLOOKUP(A191,'TB-22'!A:C,3,0)),0,VLOOKUP(A191,'TB-22'!A:C,3,0))</f>
        <v>349</v>
      </c>
      <c r="D191" s="767">
        <f t="shared" si="5"/>
        <v>-349</v>
      </c>
    </row>
    <row r="192" spans="1:7" ht="15" customHeight="1">
      <c r="A192" s="771" t="s">
        <v>1363</v>
      </c>
      <c r="B192" s="766">
        <f>IF(ISNA(VLOOKUP(A192,'TB-22'!A:C,2,0)),0,VLOOKUP(A192,'TB-22'!A:C,2,0))</f>
        <v>0</v>
      </c>
      <c r="C192" s="767">
        <f>IF(ISNA(VLOOKUP(A192,'TB-22'!A:C,3,0)),0,VLOOKUP(A192,'TB-22'!A:C,3,0))</f>
        <v>16.402000000000001</v>
      </c>
      <c r="D192" s="767">
        <f t="shared" si="5"/>
        <v>-16.402000000000001</v>
      </c>
    </row>
    <row r="193" spans="1:7" ht="15" customHeight="1">
      <c r="A193" s="771"/>
      <c r="B193" s="766"/>
      <c r="D193" s="767">
        <f t="shared" ref="D193:D253" si="6">+B193-C193</f>
        <v>0</v>
      </c>
    </row>
    <row r="194" spans="1:7" ht="15" customHeight="1">
      <c r="A194" s="540" t="s">
        <v>1078</v>
      </c>
      <c r="B194" s="766"/>
      <c r="D194" s="767">
        <f t="shared" si="6"/>
        <v>0</v>
      </c>
      <c r="G194" s="776"/>
    </row>
    <row r="195" spans="1:7" ht="15" customHeight="1">
      <c r="A195" s="771" t="s">
        <v>1326</v>
      </c>
      <c r="B195" s="766">
        <f>IF(ISNA(VLOOKUP(A195,'TB-22'!A:C,2,0)),0,VLOOKUP(A195,'TB-22'!A:C,2,0))</f>
        <v>0</v>
      </c>
      <c r="C195" s="767">
        <f>IF(ISNA(VLOOKUP(A195,'TB-22'!A:C,3,0)),0,VLOOKUP(A195,'TB-22'!A:C,3,0))</f>
        <v>0</v>
      </c>
      <c r="D195" s="767">
        <f t="shared" si="6"/>
        <v>0</v>
      </c>
    </row>
    <row r="196" spans="1:7" ht="15" customHeight="1">
      <c r="A196" s="771" t="s">
        <v>1327</v>
      </c>
      <c r="B196" s="766">
        <f>IF(ISNA(VLOOKUP(A196,'TB-22'!A:C,2,0)),0,VLOOKUP(A196,'TB-22'!A:C,2,0))</f>
        <v>0</v>
      </c>
      <c r="C196" s="767">
        <f>IF(ISNA(VLOOKUP(A196,'TB-22'!A:C,3,0)),0,VLOOKUP(A196,'TB-22'!A:C,3,0))</f>
        <v>0</v>
      </c>
      <c r="D196" s="767">
        <f t="shared" si="6"/>
        <v>0</v>
      </c>
    </row>
    <row r="197" spans="1:7" ht="15" customHeight="1">
      <c r="A197" s="771" t="s">
        <v>1328</v>
      </c>
      <c r="B197" s="766">
        <f>IF(ISNA(VLOOKUP(A197,'TB-22'!A:C,2,0)),0,VLOOKUP(A197,'TB-22'!A:C,2,0))</f>
        <v>0</v>
      </c>
      <c r="C197" s="767">
        <f>IF(ISNA(VLOOKUP(A197,'TB-22'!A:C,3,0)),0,VLOOKUP(A197,'TB-22'!A:C,3,0))</f>
        <v>0</v>
      </c>
      <c r="D197" s="767">
        <f t="shared" si="6"/>
        <v>0</v>
      </c>
    </row>
    <row r="198" spans="1:7" ht="15" customHeight="1">
      <c r="A198" s="771" t="s">
        <v>1329</v>
      </c>
      <c r="B198" s="766">
        <f>IF(ISNA(VLOOKUP(A198,'TB-22'!A:C,2,0)),0,VLOOKUP(A198,'TB-22'!A:C,2,0))</f>
        <v>0</v>
      </c>
      <c r="C198" s="767">
        <f>IF(ISNA(VLOOKUP(A198,'TB-22'!A:C,3,0)),0,VLOOKUP(A198,'TB-22'!A:C,3,0))</f>
        <v>0</v>
      </c>
      <c r="D198" s="767">
        <f t="shared" si="6"/>
        <v>0</v>
      </c>
    </row>
    <row r="199" spans="1:7" ht="15" customHeight="1">
      <c r="A199" s="771" t="s">
        <v>1330</v>
      </c>
      <c r="B199" s="766">
        <f>IF(ISNA(VLOOKUP(A199,'TB-22'!A:C,2,0)),0,VLOOKUP(A199,'TB-22'!A:C,2,0))</f>
        <v>0</v>
      </c>
      <c r="C199" s="767">
        <f>IF(ISNA(VLOOKUP(A199,'TB-22'!A:C,3,0)),0,VLOOKUP(A199,'TB-22'!A:C,3,0))</f>
        <v>0</v>
      </c>
      <c r="D199" s="767">
        <f t="shared" si="6"/>
        <v>0</v>
      </c>
    </row>
    <row r="200" spans="1:7" ht="15" customHeight="1">
      <c r="A200" s="770"/>
      <c r="B200" s="766"/>
      <c r="D200" s="767">
        <f t="shared" si="6"/>
        <v>0</v>
      </c>
      <c r="G200" s="776"/>
    </row>
    <row r="201" spans="1:7" ht="15" customHeight="1">
      <c r="A201" s="275" t="s">
        <v>1079</v>
      </c>
      <c r="B201" s="766"/>
      <c r="D201" s="767">
        <f t="shared" si="6"/>
        <v>0</v>
      </c>
      <c r="G201" s="776"/>
    </row>
    <row r="202" spans="1:7" ht="15" customHeight="1">
      <c r="A202" s="274" t="s">
        <v>576</v>
      </c>
      <c r="B202" s="766">
        <f>IF(ISNA(VLOOKUP(A202,'TB-22'!A:C,2,0)),0,VLOOKUP(A202,'TB-22'!A:C,2,0))</f>
        <v>0</v>
      </c>
      <c r="C202" s="767">
        <f>IF(ISNA(VLOOKUP(A202,'TB-22'!A:C,3,0)),0,VLOOKUP(A202,'TB-22'!A:C,3,0))</f>
        <v>0.84199999999999997</v>
      </c>
      <c r="D202" s="767">
        <f t="shared" si="6"/>
        <v>-0.84199999999999997</v>
      </c>
      <c r="G202" s="776"/>
    </row>
    <row r="203" spans="1:7" ht="15" customHeight="1">
      <c r="A203" s="274" t="s">
        <v>577</v>
      </c>
      <c r="B203" s="766">
        <f>IF(ISNA(VLOOKUP(A203,'TB-22'!A:C,2,0)),0,VLOOKUP(A203,'TB-22'!A:C,2,0))</f>
        <v>0</v>
      </c>
      <c r="C203" s="767">
        <f>IF(ISNA(VLOOKUP(A203,'TB-22'!A:C,3,0)),0,VLOOKUP(A203,'TB-22'!A:C,3,0))</f>
        <v>3.6240000000000001</v>
      </c>
      <c r="D203" s="767">
        <f t="shared" si="6"/>
        <v>-3.6240000000000001</v>
      </c>
      <c r="G203" s="776"/>
    </row>
    <row r="204" spans="1:7" ht="15" customHeight="1">
      <c r="A204" s="274" t="s">
        <v>613</v>
      </c>
      <c r="B204" s="766">
        <f>IF(ISNA(VLOOKUP(A204,'TB-22'!A:C,2,0)),0,VLOOKUP(A204,'TB-22'!A:C,2,0))</f>
        <v>0</v>
      </c>
      <c r="C204" s="767">
        <f>IF(ISNA(VLOOKUP(A204,'TB-22'!A:C,3,0)),0,VLOOKUP(A204,'TB-22'!A:C,3,0))</f>
        <v>12.148</v>
      </c>
      <c r="D204" s="767">
        <f t="shared" si="6"/>
        <v>-12.148</v>
      </c>
      <c r="G204" s="776"/>
    </row>
    <row r="205" spans="1:7" ht="15" customHeight="1">
      <c r="A205" s="274" t="s">
        <v>614</v>
      </c>
      <c r="B205" s="766">
        <f>IF(ISNA(VLOOKUP(A205,'TB-22'!A:C,2,0)),0,VLOOKUP(A205,'TB-22'!A:C,2,0))</f>
        <v>0</v>
      </c>
      <c r="C205" s="767">
        <f>IF(ISNA(VLOOKUP(A205,'TB-22'!A:C,3,0)),0,VLOOKUP(A205,'TB-22'!A:C,3,0))</f>
        <v>13.16</v>
      </c>
      <c r="D205" s="767">
        <f t="shared" si="6"/>
        <v>-13.16</v>
      </c>
      <c r="G205" s="776"/>
    </row>
    <row r="207" spans="1:7" ht="15" customHeight="1">
      <c r="A207" s="275" t="s">
        <v>1555</v>
      </c>
      <c r="B207" s="766"/>
      <c r="D207" s="767">
        <f t="shared" ref="D207:D212" si="7">+B207-C207</f>
        <v>0</v>
      </c>
      <c r="G207" s="781"/>
    </row>
    <row r="208" spans="1:7" ht="15" customHeight="1">
      <c r="A208" s="771" t="s">
        <v>1034</v>
      </c>
      <c r="B208" s="766">
        <f>IF(ISNA(VLOOKUP(A208,'TB-22'!A:C,2,0)),0,VLOOKUP(A208,'TB-22'!A:C,2,0))</f>
        <v>0</v>
      </c>
      <c r="C208" s="767">
        <f>IF(ISNA(VLOOKUP(A208,'TB-22'!A:C,3,0)),0,VLOOKUP(A208,'TB-22'!A:C,3,0))</f>
        <v>30</v>
      </c>
      <c r="D208" s="767">
        <f t="shared" si="7"/>
        <v>-30</v>
      </c>
      <c r="F208" s="771"/>
    </row>
    <row r="209" spans="1:12" ht="15" customHeight="1">
      <c r="A209" s="783" t="s">
        <v>777</v>
      </c>
      <c r="B209" s="766">
        <f>IF(ISNA(VLOOKUP(A209,'TB-22'!A:C,2,0)),0,VLOOKUP(A209,'TB-22'!A:C,2,0))</f>
        <v>0</v>
      </c>
      <c r="C209" s="767">
        <f>IF(ISNA(VLOOKUP(A209,'TB-22'!A:C,3,0)),0,VLOOKUP(A209,'TB-22'!A:C,3,0))</f>
        <v>3.1712699999999998</v>
      </c>
      <c r="D209" s="767">
        <f t="shared" si="7"/>
        <v>-3.1712699999999998</v>
      </c>
      <c r="F209" s="771"/>
    </row>
    <row r="210" spans="1:12" ht="15" customHeight="1">
      <c r="A210" s="771" t="s">
        <v>796</v>
      </c>
      <c r="B210" s="766">
        <f>IF(ISNA(VLOOKUP(A210,'TB-22'!A:C,2,0)),0,VLOOKUP(A210,'TB-22'!A:C,2,0))</f>
        <v>0</v>
      </c>
      <c r="C210" s="767">
        <f>IF(ISNA(VLOOKUP(A210,'TB-22'!A:C,3,0)),0,VLOOKUP(A210,'TB-22'!A:C,3,0))</f>
        <v>2.0188800000000002</v>
      </c>
      <c r="D210" s="767">
        <f t="shared" si="7"/>
        <v>-2.0188800000000002</v>
      </c>
      <c r="F210" s="771"/>
    </row>
    <row r="211" spans="1:12" ht="15" customHeight="1">
      <c r="A211" s="771" t="s">
        <v>630</v>
      </c>
      <c r="B211" s="766">
        <f>IF(ISNA(VLOOKUP(A211,'TB-22'!A:C,2,0)),0,VLOOKUP(A211,'TB-22'!A:C,2,0))</f>
        <v>0</v>
      </c>
      <c r="C211" s="767">
        <f>IF(ISNA(VLOOKUP(A211,'TB-22'!A:C,3,0)),0,VLOOKUP(A211,'TB-22'!A:C,3,0))</f>
        <v>274.64600000000002</v>
      </c>
      <c r="D211" s="767">
        <f t="shared" si="7"/>
        <v>-274.64600000000002</v>
      </c>
      <c r="F211" s="767"/>
    </row>
    <row r="212" spans="1:12" ht="15" customHeight="1">
      <c r="A212" s="771" t="s">
        <v>1184</v>
      </c>
      <c r="B212" s="766">
        <f>IF(ISNA(VLOOKUP(A212,'TB-22'!A:C,2,0)),0,VLOOKUP(A212,'TB-22'!A:C,2,0))</f>
        <v>0</v>
      </c>
      <c r="C212" s="767">
        <f>IF(ISNA(VLOOKUP(A212,'TB-22'!A:C,3,0)),0,VLOOKUP(A212,'TB-22'!A:C,3,0))</f>
        <v>15</v>
      </c>
      <c r="D212" s="767">
        <f t="shared" si="7"/>
        <v>-15</v>
      </c>
      <c r="F212" s="771"/>
      <c r="G212" s="767"/>
      <c r="H212" s="767"/>
      <c r="I212" s="767"/>
      <c r="J212" s="767"/>
      <c r="K212" s="767"/>
      <c r="L212" s="767"/>
    </row>
    <row r="213" spans="1:12" ht="15" customHeight="1">
      <c r="A213" s="770" t="s">
        <v>1135</v>
      </c>
      <c r="B213" s="766">
        <f>IF(ISNA(VLOOKUP(A213,'TB-22'!A:C,2,0)),0,VLOOKUP(A213,'TB-22'!A:C,2,0))</f>
        <v>0</v>
      </c>
      <c r="C213" s="767">
        <f>IF(ISNA(VLOOKUP(A213,'TB-22'!A:C,3,0)),0,VLOOKUP(A213,'TB-22'!A:C,3,0))</f>
        <v>0</v>
      </c>
      <c r="D213" s="767">
        <f t="shared" si="6"/>
        <v>0</v>
      </c>
      <c r="F213" s="764">
        <f>SUM(D171:D213)</f>
        <v>-10398.220009999999</v>
      </c>
      <c r="G213" s="776"/>
    </row>
    <row r="214" spans="1:12" ht="15" customHeight="1">
      <c r="A214" s="770"/>
      <c r="B214" s="766"/>
      <c r="G214" s="776"/>
    </row>
    <row r="215" spans="1:12" ht="15" customHeight="1">
      <c r="A215" s="760" t="s">
        <v>1469</v>
      </c>
      <c r="B215" s="761"/>
      <c r="C215" s="761"/>
      <c r="D215" s="761"/>
    </row>
    <row r="216" spans="1:12" ht="15" customHeight="1">
      <c r="A216" s="769" t="s">
        <v>1063</v>
      </c>
      <c r="B216" s="766">
        <f>IF(ISNA(VLOOKUP(A216,'TB-22'!A:C,2,0)),0,VLOOKUP(A216,'TB-22'!A:C,2,0))</f>
        <v>3.07</v>
      </c>
      <c r="C216" s="767">
        <f>IF(ISNA(VLOOKUP(A216,'TB-22'!A:C,3,0)),0,VLOOKUP(A216,'TB-22'!A:C,3,0))</f>
        <v>0</v>
      </c>
      <c r="D216" s="767">
        <f t="shared" si="6"/>
        <v>3.07</v>
      </c>
      <c r="F216" s="764">
        <f>D216</f>
        <v>3.07</v>
      </c>
      <c r="G216" s="776"/>
    </row>
    <row r="217" spans="1:12" ht="15" customHeight="1">
      <c r="B217" s="766"/>
      <c r="D217" s="767">
        <f t="shared" si="6"/>
        <v>0</v>
      </c>
      <c r="G217" s="776"/>
    </row>
    <row r="218" spans="1:12" ht="15" customHeight="1">
      <c r="A218" s="760" t="s">
        <v>1468</v>
      </c>
      <c r="B218" s="761"/>
      <c r="C218" s="761"/>
      <c r="D218" s="761">
        <f t="shared" si="6"/>
        <v>0</v>
      </c>
    </row>
    <row r="219" spans="1:12" ht="15" customHeight="1">
      <c r="A219" s="784"/>
      <c r="B219" s="785"/>
      <c r="C219" s="785"/>
      <c r="D219" s="785">
        <f t="shared" si="6"/>
        <v>0</v>
      </c>
      <c r="E219" s="767"/>
      <c r="F219" s="767"/>
      <c r="G219" s="776"/>
      <c r="H219" s="767"/>
      <c r="I219" s="767"/>
      <c r="J219" s="767"/>
      <c r="K219" s="767"/>
      <c r="L219" s="767"/>
    </row>
    <row r="220" spans="1:12" ht="15" customHeight="1">
      <c r="A220" s="786" t="s">
        <v>209</v>
      </c>
      <c r="B220" s="766">
        <f>IF(ISNA(VLOOKUP(A220,'TB-22'!A:C,2,0)),0,VLOOKUP(A220,'TB-22'!A:C,2,0))</f>
        <v>199.78399999999999</v>
      </c>
      <c r="C220" s="767">
        <f>IF(ISNA(VLOOKUP(A220,'TB-22'!A:C,3,0)),0,VLOOKUP(A220,'TB-22'!A:C,3,0))</f>
        <v>0</v>
      </c>
      <c r="D220" s="767">
        <f t="shared" si="6"/>
        <v>199.78399999999999</v>
      </c>
      <c r="G220" s="776"/>
    </row>
    <row r="221" spans="1:12" ht="15" customHeight="1">
      <c r="A221" s="770" t="s">
        <v>743</v>
      </c>
      <c r="B221" s="766">
        <f>IF(ISNA(VLOOKUP(A221,'TB-22'!A:C,2,0)),0,VLOOKUP(A221,'TB-22'!A:C,2,0))</f>
        <v>79001.33587000001</v>
      </c>
      <c r="C221" s="767">
        <f>IF(ISNA(VLOOKUP(A221,'TB-22'!A:C,3,0)),0,VLOOKUP(A221,'TB-22'!A:C,3,0))</f>
        <v>0</v>
      </c>
      <c r="D221" s="767">
        <f t="shared" si="6"/>
        <v>79001.33587000001</v>
      </c>
      <c r="G221" s="776"/>
    </row>
    <row r="222" spans="1:12" ht="15" customHeight="1">
      <c r="A222" s="786" t="s">
        <v>291</v>
      </c>
      <c r="B222" s="766">
        <f>IF(ISNA(VLOOKUP(A222,'TB-22'!A:C,2,0)),0,VLOOKUP(A222,'TB-22'!A:C,2,0))</f>
        <v>3583.4769999999999</v>
      </c>
      <c r="C222" s="767">
        <f>IF(ISNA(VLOOKUP(A222,'TB-22'!A:C,3,0)),0,VLOOKUP(A222,'TB-22'!A:C,3,0))</f>
        <v>0</v>
      </c>
      <c r="D222" s="767">
        <f t="shared" si="6"/>
        <v>3583.4769999999999</v>
      </c>
      <c r="G222" s="776"/>
    </row>
    <row r="223" spans="1:12" ht="15" customHeight="1">
      <c r="A223" s="786" t="s">
        <v>163</v>
      </c>
      <c r="B223" s="766">
        <f>IF(ISNA(VLOOKUP(A223,'TB-22'!A:C,2,0)),0,VLOOKUP(A223,'TB-22'!A:C,2,0))</f>
        <v>1878.1845800000001</v>
      </c>
      <c r="C223" s="767">
        <f>IF(ISNA(VLOOKUP(A223,'TB-22'!A:C,3,0)),0,VLOOKUP(A223,'TB-22'!A:C,3,0))</f>
        <v>0</v>
      </c>
      <c r="D223" s="767">
        <f t="shared" si="6"/>
        <v>1878.1845800000001</v>
      </c>
      <c r="G223" s="776"/>
    </row>
    <row r="224" spans="1:12" ht="15" customHeight="1">
      <c r="A224" s="786" t="s">
        <v>517</v>
      </c>
      <c r="B224" s="766">
        <f>IF(ISNA(VLOOKUP(A224,'TB-22'!A:C,2,0)),0,VLOOKUP(A224,'TB-22'!A:C,2,0))</f>
        <v>567.91600000000005</v>
      </c>
      <c r="C224" s="767">
        <f>IF(ISNA(VLOOKUP(A224,'TB-22'!A:C,3,0)),0,VLOOKUP(A224,'TB-22'!A:C,3,0))</f>
        <v>0</v>
      </c>
      <c r="D224" s="767">
        <f t="shared" si="6"/>
        <v>567.91600000000005</v>
      </c>
      <c r="G224" s="776"/>
    </row>
    <row r="225" spans="1:7" ht="15" customHeight="1">
      <c r="A225" s="770" t="s">
        <v>753</v>
      </c>
      <c r="B225" s="766">
        <f>IF(ISNA(VLOOKUP(A225,'TB-22'!A:C,2,0)),0,VLOOKUP(A225,'TB-22'!A:C,2,0))</f>
        <v>19682.886989999999</v>
      </c>
      <c r="C225" s="767">
        <f>IF(ISNA(VLOOKUP(A225,'TB-22'!A:C,3,0)),0,VLOOKUP(A225,'TB-22'!A:C,3,0))</f>
        <v>0</v>
      </c>
      <c r="D225" s="767">
        <f t="shared" si="6"/>
        <v>19682.886989999999</v>
      </c>
      <c r="G225" s="776"/>
    </row>
    <row r="226" spans="1:7" ht="15" customHeight="1">
      <c r="A226" s="786" t="s">
        <v>161</v>
      </c>
      <c r="B226" s="766">
        <f>IF(ISNA(VLOOKUP(A226,'TB-22'!A:C,2,0)),0,VLOOKUP(A226,'TB-22'!A:C,2,0))</f>
        <v>3772.2714799999999</v>
      </c>
      <c r="C226" s="767">
        <f>IF(ISNA(VLOOKUP(A226,'TB-22'!A:C,3,0)),0,VLOOKUP(A226,'TB-22'!A:C,3,0))</f>
        <v>0</v>
      </c>
      <c r="D226" s="767">
        <f t="shared" si="6"/>
        <v>3772.2714799999999</v>
      </c>
      <c r="G226" s="776"/>
    </row>
    <row r="227" spans="1:7" ht="15" customHeight="1">
      <c r="A227" s="786" t="s">
        <v>581</v>
      </c>
      <c r="B227" s="766">
        <f>IF(ISNA(VLOOKUP(A227,'TB-22'!A:C,2,0)),0,VLOOKUP(A227,'TB-22'!A:C,2,0))</f>
        <v>1718.80647</v>
      </c>
      <c r="C227" s="767">
        <f>IF(ISNA(VLOOKUP(A227,'TB-22'!A:C,3,0)),0,VLOOKUP(A227,'TB-22'!A:C,3,0))</f>
        <v>0</v>
      </c>
      <c r="D227" s="767">
        <f t="shared" si="6"/>
        <v>1718.80647</v>
      </c>
      <c r="G227" s="776"/>
    </row>
    <row r="228" spans="1:7" ht="15" customHeight="1">
      <c r="A228" s="786" t="s">
        <v>169</v>
      </c>
      <c r="B228" s="766">
        <f>IF(ISNA(VLOOKUP(A228,'TB-22'!A:C,2,0)),0,VLOOKUP(A228,'TB-22'!A:C,2,0))</f>
        <v>25.5</v>
      </c>
      <c r="C228" s="767">
        <f>IF(ISNA(VLOOKUP(A228,'TB-22'!A:C,3,0)),0,VLOOKUP(A228,'TB-22'!A:C,3,0))</f>
        <v>0</v>
      </c>
      <c r="D228" s="767">
        <f t="shared" si="6"/>
        <v>25.5</v>
      </c>
      <c r="G228" s="776"/>
    </row>
    <row r="229" spans="1:7" ht="15" customHeight="1">
      <c r="A229" s="770" t="s">
        <v>771</v>
      </c>
      <c r="B229" s="766">
        <f>IF(ISNA(VLOOKUP(A229,'TB-22'!A:C,2,0)),0,VLOOKUP(A229,'TB-22'!A:C,2,0))</f>
        <v>14119.739250000001</v>
      </c>
      <c r="C229" s="767">
        <f>IF(ISNA(VLOOKUP(A229,'TB-22'!A:C,3,0)),0,VLOOKUP(A229,'TB-22'!A:C,3,0))</f>
        <v>0</v>
      </c>
      <c r="D229" s="767">
        <f t="shared" si="6"/>
        <v>14119.739250000001</v>
      </c>
      <c r="G229" s="776"/>
    </row>
    <row r="230" spans="1:7" ht="15" customHeight="1">
      <c r="A230" s="787" t="s">
        <v>837</v>
      </c>
      <c r="B230" s="766">
        <f>IF(ISNA(VLOOKUP(A230,'TB-22'!A:C,2,0)),0,VLOOKUP(A230,'TB-22'!A:C,2,0))</f>
        <v>10822.8</v>
      </c>
      <c r="C230" s="767">
        <f>IF(ISNA(VLOOKUP(A230,'TB-22'!A:C,3,0)),0,VLOOKUP(A230,'TB-22'!A:C,3,0))</f>
        <v>0</v>
      </c>
      <c r="D230" s="767">
        <f t="shared" si="6"/>
        <v>10822.8</v>
      </c>
      <c r="G230" s="776"/>
    </row>
    <row r="231" spans="1:7" ht="15" customHeight="1">
      <c r="A231" s="786" t="s">
        <v>173</v>
      </c>
      <c r="B231" s="766">
        <f>IF(ISNA(VLOOKUP(A231,'TB-22'!A:C,2,0)),0,VLOOKUP(A231,'TB-22'!A:C,2,0))</f>
        <v>851.42965000000004</v>
      </c>
      <c r="C231" s="767">
        <f>IF(ISNA(VLOOKUP(A231,'TB-22'!A:C,3,0)),0,VLOOKUP(A231,'TB-22'!A:C,3,0))</f>
        <v>0</v>
      </c>
      <c r="D231" s="767">
        <f t="shared" si="6"/>
        <v>851.42965000000004</v>
      </c>
      <c r="G231" s="776"/>
    </row>
    <row r="232" spans="1:7" ht="15" customHeight="1">
      <c r="A232" s="786" t="s">
        <v>300</v>
      </c>
      <c r="B232" s="766">
        <f>IF(ISNA(VLOOKUP(A232,'TB-22'!A:C,2,0)),0,VLOOKUP(A232,'TB-22'!A:C,2,0))</f>
        <v>212012.56641999999</v>
      </c>
      <c r="C232" s="767">
        <f>IF(ISNA(VLOOKUP(A232,'TB-22'!A:C,3,0)),0,VLOOKUP(A232,'TB-22'!A:C,3,0))</f>
        <v>0</v>
      </c>
      <c r="D232" s="767">
        <f t="shared" si="6"/>
        <v>212012.56641999999</v>
      </c>
      <c r="G232" s="776"/>
    </row>
    <row r="233" spans="1:7" ht="15" customHeight="1">
      <c r="A233" s="770" t="s">
        <v>805</v>
      </c>
      <c r="B233" s="766">
        <f>IF(ISNA(VLOOKUP(A233,'TB-22'!A:C,2,0)),0,VLOOKUP(A233,'TB-22'!A:C,2,0))</f>
        <v>1299</v>
      </c>
      <c r="C233" s="767">
        <f>IF(ISNA(VLOOKUP(A233,'TB-22'!A:C,3,0)),0,VLOOKUP(A233,'TB-22'!A:C,3,0))</f>
        <v>0</v>
      </c>
      <c r="D233" s="767">
        <f t="shared" si="6"/>
        <v>1299</v>
      </c>
      <c r="G233" s="776"/>
    </row>
    <row r="234" spans="1:7" ht="15" customHeight="1">
      <c r="A234" s="769" t="s">
        <v>1071</v>
      </c>
      <c r="B234" s="766">
        <f>IF(ISNA(VLOOKUP(A234,'TB-22'!A:C,2,0)),0,VLOOKUP(A234,'TB-22'!A:C,2,0))</f>
        <v>914.95299999999997</v>
      </c>
      <c r="C234" s="767">
        <f>IF(ISNA(VLOOKUP(A234,'TB-22'!A:C,3,0)),0,VLOOKUP(A234,'TB-22'!A:C,3,0))</f>
        <v>0</v>
      </c>
      <c r="D234" s="767">
        <f t="shared" si="6"/>
        <v>914.95299999999997</v>
      </c>
      <c r="G234" s="776"/>
    </row>
    <row r="235" spans="1:7" ht="15" customHeight="1">
      <c r="A235" s="771" t="s">
        <v>1374</v>
      </c>
      <c r="B235" s="766">
        <f>IF(ISNA(VLOOKUP(A235,'TB-22'!A:C,2,0)),0,VLOOKUP(A235,'TB-22'!A:C,2,0))</f>
        <v>785.21</v>
      </c>
      <c r="C235" s="767">
        <f>IF(ISNA(VLOOKUP(A235,'TB-22'!A:C,3,0)),0,VLOOKUP(A235,'TB-22'!A:C,3,0))</f>
        <v>0</v>
      </c>
      <c r="D235" s="767">
        <f t="shared" si="6"/>
        <v>785.21</v>
      </c>
      <c r="G235" s="776"/>
    </row>
    <row r="236" spans="1:7" ht="15" customHeight="1">
      <c r="A236" s="771" t="s">
        <v>1376</v>
      </c>
      <c r="B236" s="766">
        <f>IF(ISNA(VLOOKUP(A236,'TB-22'!A:C,2,0)),0,VLOOKUP(A236,'TB-22'!A:C,2,0))</f>
        <v>725</v>
      </c>
      <c r="C236" s="767">
        <f>IF(ISNA(VLOOKUP(A236,'TB-22'!A:C,3,0)),0,VLOOKUP(A236,'TB-22'!A:C,3,0))</f>
        <v>0</v>
      </c>
      <c r="D236" s="767">
        <f t="shared" si="6"/>
        <v>725</v>
      </c>
      <c r="G236" s="776"/>
    </row>
    <row r="237" spans="1:7" ht="15" customHeight="1">
      <c r="A237" s="769" t="s">
        <v>1072</v>
      </c>
      <c r="B237" s="766">
        <f>IF(ISNA(VLOOKUP(A237,'TB-22'!A:C,2,0)),0,VLOOKUP(A237,'TB-22'!A:C,2,0))</f>
        <v>510.62266999999997</v>
      </c>
      <c r="C237" s="767">
        <f>IF(ISNA(VLOOKUP(A237,'TB-22'!A:C,3,0)),0,VLOOKUP(A237,'TB-22'!A:C,3,0))</f>
        <v>0</v>
      </c>
      <c r="D237" s="767">
        <f t="shared" si="6"/>
        <v>510.62266999999997</v>
      </c>
      <c r="G237" s="776"/>
    </row>
    <row r="238" spans="1:7" ht="15" customHeight="1">
      <c r="A238" s="786" t="s">
        <v>631</v>
      </c>
      <c r="B238" s="766">
        <f>IF(ISNA(VLOOKUP(A238,'TB-22'!A:C,2,0)),0,VLOOKUP(A238,'TB-22'!A:C,2,0))</f>
        <v>422.346</v>
      </c>
      <c r="C238" s="767">
        <f>IF(ISNA(VLOOKUP(A238,'TB-22'!A:C,3,0)),0,VLOOKUP(A238,'TB-22'!A:C,3,0))</f>
        <v>0</v>
      </c>
      <c r="D238" s="767">
        <f t="shared" si="6"/>
        <v>422.346</v>
      </c>
      <c r="G238" s="776"/>
    </row>
    <row r="239" spans="1:7" ht="15" customHeight="1">
      <c r="A239" s="769" t="s">
        <v>1066</v>
      </c>
      <c r="B239" s="766">
        <f>IF(ISNA(VLOOKUP(A239,'TB-22'!A:C,2,0)),0,VLOOKUP(A239,'TB-22'!A:C,2,0))</f>
        <v>275</v>
      </c>
      <c r="C239" s="767">
        <f>IF(ISNA(VLOOKUP(A239,'TB-22'!A:C,3,0)),0,VLOOKUP(A239,'TB-22'!A:C,3,0))</f>
        <v>0</v>
      </c>
      <c r="D239" s="767">
        <f t="shared" si="6"/>
        <v>275</v>
      </c>
      <c r="G239" s="776"/>
    </row>
    <row r="240" spans="1:7" ht="15" customHeight="1">
      <c r="A240" s="786" t="s">
        <v>171</v>
      </c>
      <c r="B240" s="766">
        <f>IF(ISNA(VLOOKUP(A240,'TB-22'!A:C,2,0)),0,VLOOKUP(A240,'TB-22'!A:C,2,0))</f>
        <v>20.948</v>
      </c>
      <c r="C240" s="767">
        <f>IF(ISNA(VLOOKUP(A240,'TB-22'!A:C,3,0)),0,VLOOKUP(A240,'TB-22'!A:C,3,0))</f>
        <v>0</v>
      </c>
      <c r="D240" s="767">
        <f t="shared" si="6"/>
        <v>20.948</v>
      </c>
      <c r="G240" s="776"/>
    </row>
    <row r="241" spans="1:7" ht="15" customHeight="1">
      <c r="A241" s="771" t="s">
        <v>1375</v>
      </c>
      <c r="B241" s="766">
        <f>IF(ISNA(VLOOKUP(A241,'TB-22'!A:C,2,0)),0,VLOOKUP(A241,'TB-22'!A:C,2,0))</f>
        <v>625</v>
      </c>
      <c r="C241" s="767">
        <f>IF(ISNA(VLOOKUP(A241,'TB-22'!A:C,3,0)),0,VLOOKUP(A241,'TB-22'!A:C,3,0))</f>
        <v>0</v>
      </c>
      <c r="D241" s="767">
        <f t="shared" si="6"/>
        <v>625</v>
      </c>
    </row>
    <row r="242" spans="1:7" ht="15" customHeight="1">
      <c r="A242" s="769" t="s">
        <v>1041</v>
      </c>
      <c r="B242" s="766">
        <f>IF(ISNA(VLOOKUP(A242,'TB-22'!A:C,2,0)),0,VLOOKUP(A242,'TB-22'!A:C,2,0))</f>
        <v>0</v>
      </c>
      <c r="C242" s="767">
        <f>IF(ISNA(VLOOKUP(A242,'TB-22'!A:C,3,0)),0,VLOOKUP(A242,'TB-22'!A:C,3,0))</f>
        <v>184.78567000000001</v>
      </c>
      <c r="D242" s="767">
        <f t="shared" si="6"/>
        <v>-184.78567000000001</v>
      </c>
      <c r="G242" s="776"/>
    </row>
    <row r="243" spans="1:7" ht="15" customHeight="1">
      <c r="A243" s="769" t="s">
        <v>1042</v>
      </c>
      <c r="B243" s="766">
        <f>IF(ISNA(VLOOKUP(A243,'TB-22'!A:C,2,0)),0,VLOOKUP(A243,'TB-22'!A:C,2,0))</f>
        <v>0</v>
      </c>
      <c r="C243" s="767">
        <f>IF(ISNA(VLOOKUP(A243,'TB-22'!A:C,3,0)),0,VLOOKUP(A243,'TB-22'!A:C,3,0))</f>
        <v>1445.11319</v>
      </c>
      <c r="D243" s="767">
        <f t="shared" si="6"/>
        <v>-1445.11319</v>
      </c>
      <c r="G243" s="776"/>
    </row>
    <row r="244" spans="1:7" ht="15" customHeight="1">
      <c r="A244" s="769" t="s">
        <v>1043</v>
      </c>
      <c r="B244" s="766">
        <f>IF(ISNA(VLOOKUP(A244,'TB-22'!A:C,2,0)),0,VLOOKUP(A244,'TB-22'!A:C,2,0))</f>
        <v>0</v>
      </c>
      <c r="C244" s="767">
        <f>IF(ISNA(VLOOKUP(A244,'TB-22'!A:C,3,0)),0,VLOOKUP(A244,'TB-22'!A:C,3,0))</f>
        <v>12701.941999999999</v>
      </c>
      <c r="D244" s="767">
        <f t="shared" si="6"/>
        <v>-12701.941999999999</v>
      </c>
      <c r="G244" s="776"/>
    </row>
    <row r="245" spans="1:7" ht="15" customHeight="1">
      <c r="A245" s="769" t="s">
        <v>1044</v>
      </c>
      <c r="B245" s="766">
        <f>IF(ISNA(VLOOKUP(A245,'TB-22'!A:C,2,0)),0,VLOOKUP(A245,'TB-22'!A:C,2,0))</f>
        <v>0</v>
      </c>
      <c r="C245" s="767">
        <f>IF(ISNA(VLOOKUP(A245,'TB-22'!A:C,3,0)),0,VLOOKUP(A245,'TB-22'!A:C,3,0))</f>
        <v>28012.353480000002</v>
      </c>
      <c r="D245" s="767">
        <f t="shared" si="6"/>
        <v>-28012.353480000002</v>
      </c>
      <c r="G245" s="776"/>
    </row>
    <row r="246" spans="1:7" ht="15" customHeight="1">
      <c r="A246" s="769" t="s">
        <v>1045</v>
      </c>
      <c r="B246" s="766">
        <f>IF(ISNA(VLOOKUP(A246,'TB-22'!A:C,2,0)),0,VLOOKUP(A246,'TB-22'!A:C,2,0))</f>
        <v>0</v>
      </c>
      <c r="C246" s="767">
        <f>IF(ISNA(VLOOKUP(A246,'TB-22'!A:C,3,0)),0,VLOOKUP(A246,'TB-22'!A:C,3,0))</f>
        <v>1098.0076799999999</v>
      </c>
      <c r="D246" s="767">
        <f t="shared" si="6"/>
        <v>-1098.0076799999999</v>
      </c>
      <c r="G246" s="776"/>
    </row>
    <row r="247" spans="1:7" ht="15" customHeight="1">
      <c r="A247" s="769" t="s">
        <v>1046</v>
      </c>
      <c r="B247" s="766">
        <f>IF(ISNA(VLOOKUP(A247,'TB-22'!A:C,2,0)),0,VLOOKUP(A247,'TB-22'!A:C,2,0))</f>
        <v>0</v>
      </c>
      <c r="C247" s="767">
        <f>IF(ISNA(VLOOKUP(A247,'TB-22'!A:C,3,0)),0,VLOOKUP(A247,'TB-22'!A:C,3,0))</f>
        <v>24.224270000000001</v>
      </c>
      <c r="D247" s="767">
        <f t="shared" si="6"/>
        <v>-24.224270000000001</v>
      </c>
      <c r="G247" s="776"/>
    </row>
    <row r="248" spans="1:7" ht="15" customHeight="1">
      <c r="A248" s="769" t="s">
        <v>1047</v>
      </c>
      <c r="B248" s="766">
        <f>IF(ISNA(VLOOKUP(A248,'TB-22'!A:C,2,0)),0,VLOOKUP(A248,'TB-22'!A:C,2,0))</f>
        <v>0</v>
      </c>
      <c r="C248" s="767">
        <f>IF(ISNA(VLOOKUP(A248,'TB-22'!A:C,3,0)),0,VLOOKUP(A248,'TB-22'!A:C,3,0))</f>
        <v>656.01659999999993</v>
      </c>
      <c r="D248" s="767">
        <f t="shared" si="6"/>
        <v>-656.01659999999993</v>
      </c>
    </row>
    <row r="249" spans="1:7" ht="15" customHeight="1">
      <c r="A249" s="769" t="s">
        <v>1048</v>
      </c>
      <c r="B249" s="766">
        <f>IF(ISNA(VLOOKUP(A249,'TB-22'!A:C,2,0)),0,VLOOKUP(A249,'TB-22'!A:C,2,0))</f>
        <v>0</v>
      </c>
      <c r="C249" s="767">
        <f>IF(ISNA(VLOOKUP(A249,'TB-22'!A:C,3,0)),0,VLOOKUP(A249,'TB-22'!A:C,3,0))</f>
        <v>102383.20123000001</v>
      </c>
      <c r="D249" s="767">
        <f t="shared" si="6"/>
        <v>-102383.20123000001</v>
      </c>
    </row>
    <row r="250" spans="1:7" ht="15" customHeight="1">
      <c r="A250" s="769" t="s">
        <v>1049</v>
      </c>
      <c r="B250" s="766">
        <f>IF(ISNA(VLOOKUP(A250,'TB-22'!A:C,2,0)),0,VLOOKUP(A250,'TB-22'!A:C,2,0))</f>
        <v>0</v>
      </c>
      <c r="C250" s="767">
        <f>IF(ISNA(VLOOKUP(A250,'TB-22'!A:C,3,0)),0,VLOOKUP(A250,'TB-22'!A:C,3,0))</f>
        <v>20.546349999999997</v>
      </c>
      <c r="D250" s="767">
        <f t="shared" si="6"/>
        <v>-20.546349999999997</v>
      </c>
    </row>
    <row r="251" spans="1:7" ht="15" customHeight="1">
      <c r="A251" s="769" t="s">
        <v>1050</v>
      </c>
      <c r="B251" s="766">
        <f>IF(ISNA(VLOOKUP(A251,'TB-22'!A:C,2,0)),0,VLOOKUP(A251,'TB-22'!A:C,2,0))</f>
        <v>0</v>
      </c>
      <c r="C251" s="767">
        <f>IF(ISNA(VLOOKUP(A251,'TB-22'!A:C,3,0)),0,VLOOKUP(A251,'TB-22'!A:C,3,0))</f>
        <v>6409.4233600000007</v>
      </c>
      <c r="D251" s="767">
        <f t="shared" si="6"/>
        <v>-6409.4233600000007</v>
      </c>
      <c r="F251" s="764">
        <f>SUM(D220:D251)</f>
        <v>200879.16355000006</v>
      </c>
      <c r="G251" s="776"/>
    </row>
    <row r="252" spans="1:7" ht="15" customHeight="1">
      <c r="A252" s="769"/>
      <c r="B252" s="766"/>
      <c r="D252" s="767">
        <f t="shared" si="6"/>
        <v>0</v>
      </c>
      <c r="G252" s="776"/>
    </row>
    <row r="253" spans="1:7" ht="15" customHeight="1">
      <c r="A253" s="760" t="s">
        <v>1467</v>
      </c>
      <c r="B253" s="761"/>
      <c r="C253" s="761"/>
      <c r="D253" s="761">
        <f t="shared" si="6"/>
        <v>0</v>
      </c>
    </row>
    <row r="254" spans="1:7" ht="15" customHeight="1">
      <c r="A254" s="771" t="s">
        <v>1409</v>
      </c>
      <c r="B254" s="766">
        <f>IF(ISNA(VLOOKUP(A254,'TB-22'!A:C,2,0)),0,VLOOKUP(A254,'TB-22'!A:C,2,0))</f>
        <v>4000</v>
      </c>
      <c r="C254" s="767">
        <f>IF(ISNA(VLOOKUP(A254,'TB-22'!A:C,3,0)),0,VLOOKUP(A254,'TB-22'!A:C,3,0))</f>
        <v>0</v>
      </c>
      <c r="D254" s="767">
        <f t="shared" ref="D254:D315" si="8">+B254-C254</f>
        <v>4000</v>
      </c>
    </row>
    <row r="255" spans="1:7" ht="15" customHeight="1">
      <c r="A255" s="771" t="s">
        <v>1410</v>
      </c>
      <c r="B255" s="766">
        <f>IF(ISNA(VLOOKUP(A255,'TB-22'!A:C,2,0)),0,VLOOKUP(A255,'TB-22'!A:C,2,0))</f>
        <v>5000</v>
      </c>
      <c r="C255" s="767">
        <f>IF(ISNA(VLOOKUP(A255,'TB-22'!A:C,3,0)),0,VLOOKUP(A255,'TB-22'!A:C,3,0))</f>
        <v>0</v>
      </c>
      <c r="D255" s="767">
        <f t="shared" si="8"/>
        <v>5000</v>
      </c>
      <c r="F255" s="764">
        <f>SUM(D254:D255)</f>
        <v>9000</v>
      </c>
    </row>
    <row r="256" spans="1:7" ht="15" customHeight="1">
      <c r="A256" s="788"/>
      <c r="B256" s="766"/>
      <c r="D256" s="767">
        <f t="shared" si="8"/>
        <v>0</v>
      </c>
      <c r="G256" s="776"/>
    </row>
    <row r="257" spans="1:7" ht="15" customHeight="1">
      <c r="A257" s="760" t="s">
        <v>1466</v>
      </c>
      <c r="B257" s="761"/>
      <c r="C257" s="761"/>
      <c r="D257" s="761">
        <f t="shared" si="8"/>
        <v>0</v>
      </c>
    </row>
    <row r="258" spans="1:7" ht="15" customHeight="1">
      <c r="A258" s="784"/>
      <c r="B258" s="785"/>
      <c r="C258" s="785"/>
      <c r="D258" s="785">
        <f t="shared" si="8"/>
        <v>0</v>
      </c>
      <c r="G258" s="776"/>
    </row>
    <row r="259" spans="1:7" ht="15" customHeight="1">
      <c r="A259" s="763" t="s">
        <v>724</v>
      </c>
      <c r="B259" s="766"/>
      <c r="D259" s="767">
        <f t="shared" si="8"/>
        <v>0</v>
      </c>
      <c r="G259" s="776"/>
    </row>
    <row r="260" spans="1:7" ht="15" customHeight="1">
      <c r="A260" s="789" t="s">
        <v>1010</v>
      </c>
      <c r="B260" s="766">
        <f>C467</f>
        <v>58174.192999999999</v>
      </c>
      <c r="C260" s="767">
        <f>IF(ISNA(VLOOKUP(A260,'TB-22'!A:C,3,0)),0,VLOOKUP(A260,'TB-22'!A:C,3,0))</f>
        <v>0</v>
      </c>
      <c r="D260" s="767">
        <f t="shared" si="8"/>
        <v>58174.192999999999</v>
      </c>
      <c r="G260" s="790">
        <v>58174193</v>
      </c>
    </row>
    <row r="261" spans="1:7" ht="15" customHeight="1">
      <c r="A261" s="789" t="s">
        <v>1011</v>
      </c>
      <c r="B261" s="766">
        <f>C468</f>
        <v>0</v>
      </c>
      <c r="C261" s="767">
        <f>IF(ISNA(VLOOKUP(A261,'TB-22'!A:C,3,0)),0,VLOOKUP(A261,'TB-22'!A:C,3,0))</f>
        <v>0</v>
      </c>
      <c r="D261" s="767">
        <f t="shared" si="8"/>
        <v>0</v>
      </c>
      <c r="G261" s="776"/>
    </row>
    <row r="262" spans="1:7" ht="15" customHeight="1">
      <c r="A262" s="789" t="s">
        <v>1012</v>
      </c>
      <c r="B262" s="766">
        <f>25014138/1000</f>
        <v>25014.137999999999</v>
      </c>
      <c r="C262" s="767">
        <f>IF(ISNA(VLOOKUP(A262,'TB-22'!A:C,3,0)),0,VLOOKUP(A262,'TB-22'!A:C,3,0))</f>
        <v>0</v>
      </c>
      <c r="D262" s="767">
        <f t="shared" si="8"/>
        <v>25014.137999999999</v>
      </c>
      <c r="G262" s="790">
        <v>25014138</v>
      </c>
    </row>
    <row r="263" spans="1:7" ht="15" customHeight="1">
      <c r="A263" s="789" t="s">
        <v>1013</v>
      </c>
      <c r="B263" s="766">
        <f>11313050/1000</f>
        <v>11313.05</v>
      </c>
      <c r="C263" s="767">
        <f>IF(ISNA(VLOOKUP(A263,'TB-22'!A:C,3,0)),0,VLOOKUP(A263,'TB-22'!A:C,3,0))</f>
        <v>0</v>
      </c>
      <c r="D263" s="767">
        <f t="shared" si="8"/>
        <v>11313.05</v>
      </c>
      <c r="F263" s="764">
        <f>SUM(D259:D263)</f>
        <v>94501.381000000008</v>
      </c>
      <c r="G263" s="790">
        <v>11313050</v>
      </c>
    </row>
    <row r="264" spans="1:7" ht="15" customHeight="1">
      <c r="B264" s="766"/>
      <c r="D264" s="767">
        <f t="shared" si="8"/>
        <v>0</v>
      </c>
      <c r="G264" s="776"/>
    </row>
    <row r="265" spans="1:7" ht="15" customHeight="1">
      <c r="A265" s="760" t="s">
        <v>1465</v>
      </c>
      <c r="B265" s="761"/>
      <c r="C265" s="761"/>
      <c r="D265" s="761">
        <f t="shared" si="8"/>
        <v>0</v>
      </c>
    </row>
    <row r="266" spans="1:7" ht="15" customHeight="1">
      <c r="A266" s="764"/>
      <c r="B266" s="785"/>
      <c r="C266" s="785"/>
      <c r="D266" s="785">
        <f t="shared" si="8"/>
        <v>0</v>
      </c>
      <c r="G266" s="776"/>
    </row>
    <row r="267" spans="1:7" ht="15" customHeight="1">
      <c r="A267" s="771" t="s">
        <v>1257</v>
      </c>
      <c r="B267" s="766">
        <f>IF(ISNA(VLOOKUP(A267,'TB-22'!A:C,2,0)),0,VLOOKUP(A267,'TB-22'!A:C,2,0))</f>
        <v>234.42099999999999</v>
      </c>
      <c r="C267" s="767">
        <f>IF(ISNA(VLOOKUP(A267,'TB-22'!A:C,3,0)),0,VLOOKUP(A267,'TB-22'!A:C,3,0))</f>
        <v>0</v>
      </c>
      <c r="D267" s="767">
        <f t="shared" si="8"/>
        <v>234.42099999999999</v>
      </c>
      <c r="G267" s="776"/>
    </row>
    <row r="268" spans="1:7" ht="15" customHeight="1">
      <c r="A268" s="771" t="s">
        <v>1258</v>
      </c>
      <c r="B268" s="766">
        <f>IF(ISNA(VLOOKUP(A268,'TB-22'!A:C,2,0)),0,VLOOKUP(A268,'TB-22'!A:C,2,0))</f>
        <v>4.5430000000000001</v>
      </c>
      <c r="C268" s="767">
        <f>IF(ISNA(VLOOKUP(A268,'TB-22'!A:C,3,0)),0,VLOOKUP(A268,'TB-22'!A:C,3,0))</f>
        <v>0</v>
      </c>
      <c r="D268" s="767">
        <f t="shared" si="8"/>
        <v>4.5430000000000001</v>
      </c>
      <c r="G268" s="776"/>
    </row>
    <row r="269" spans="1:7" ht="15" customHeight="1">
      <c r="A269" s="771" t="s">
        <v>1260</v>
      </c>
      <c r="B269" s="766">
        <f>IF(ISNA(VLOOKUP(A269,'TB-22'!A:C,2,0)),0,VLOOKUP(A269,'TB-22'!A:C,2,0))</f>
        <v>1.7</v>
      </c>
      <c r="C269" s="767">
        <f>IF(ISNA(VLOOKUP(A269,'TB-22'!A:C,3,0)),0,VLOOKUP(A269,'TB-22'!A:C,3,0))</f>
        <v>0</v>
      </c>
      <c r="D269" s="767">
        <f t="shared" si="8"/>
        <v>1.7</v>
      </c>
      <c r="F269" s="771"/>
    </row>
    <row r="270" spans="1:7" ht="15" customHeight="1">
      <c r="A270" s="771" t="s">
        <v>558</v>
      </c>
      <c r="B270" s="766">
        <f>IF(ISNA(VLOOKUP(A270,'TB-22'!A:C,2,0)),0,VLOOKUP(A270,'TB-22'!A:C,2,0))</f>
        <v>40.201999999999998</v>
      </c>
      <c r="C270" s="767">
        <f>IF(ISNA(VLOOKUP(A270,'TB-22'!A:C,3,0)),0,VLOOKUP(A270,'TB-22'!A:C,3,0))</f>
        <v>0</v>
      </c>
      <c r="D270" s="767">
        <f t="shared" si="8"/>
        <v>40.201999999999998</v>
      </c>
      <c r="F270" s="771"/>
    </row>
    <row r="271" spans="1:7" ht="15" customHeight="1">
      <c r="A271" s="771" t="s">
        <v>1261</v>
      </c>
      <c r="B271" s="766">
        <f>IF(ISNA(VLOOKUP(A271,'TB-22'!A:C,2,0)),0,VLOOKUP(A271,'TB-22'!A:C,2,0))</f>
        <v>29.058</v>
      </c>
      <c r="C271" s="767">
        <f>IF(ISNA(VLOOKUP(A271,'TB-22'!A:C,3,0)),0,VLOOKUP(A271,'TB-22'!A:C,3,0))</f>
        <v>0</v>
      </c>
      <c r="D271" s="767">
        <f t="shared" si="8"/>
        <v>29.058</v>
      </c>
      <c r="F271" s="771"/>
    </row>
    <row r="272" spans="1:7" ht="15" customHeight="1">
      <c r="A272" s="771" t="s">
        <v>559</v>
      </c>
      <c r="B272" s="766">
        <f>IF(ISNA(VLOOKUP(A272,'TB-22'!A:C,2,0)),0,VLOOKUP(A272,'TB-22'!A:C,2,0))</f>
        <v>1048.9480000000001</v>
      </c>
      <c r="C272" s="767">
        <f>IF(ISNA(VLOOKUP(A272,'TB-22'!A:C,3,0)),0,VLOOKUP(A272,'TB-22'!A:C,3,0))</f>
        <v>0</v>
      </c>
      <c r="D272" s="767">
        <f t="shared" si="8"/>
        <v>1048.9480000000001</v>
      </c>
      <c r="F272" s="771"/>
    </row>
    <row r="273" spans="1:6" ht="15" customHeight="1">
      <c r="A273" s="771" t="s">
        <v>1263</v>
      </c>
      <c r="B273" s="766">
        <f>IF(ISNA(VLOOKUP(A273,'TB-22'!A:C,2,0)),0,VLOOKUP(A273,'TB-22'!A:C,2,0))</f>
        <v>0.40300000000000002</v>
      </c>
      <c r="C273" s="767">
        <f>IF(ISNA(VLOOKUP(A273,'TB-22'!A:C,3,0)),0,VLOOKUP(A273,'TB-22'!A:C,3,0))</f>
        <v>0</v>
      </c>
      <c r="D273" s="767">
        <f t="shared" si="8"/>
        <v>0.40300000000000002</v>
      </c>
      <c r="F273" s="771"/>
    </row>
    <row r="274" spans="1:6" ht="15" customHeight="1">
      <c r="A274" s="771" t="s">
        <v>1264</v>
      </c>
      <c r="B274" s="766">
        <f>IF(ISNA(VLOOKUP(A274,'TB-22'!A:C,2,0)),0,VLOOKUP(A274,'TB-22'!A:C,2,0))</f>
        <v>117.595</v>
      </c>
      <c r="C274" s="767">
        <f>IF(ISNA(VLOOKUP(A274,'TB-22'!A:C,3,0)),0,VLOOKUP(A274,'TB-22'!A:C,3,0))</f>
        <v>0</v>
      </c>
      <c r="D274" s="767">
        <f t="shared" si="8"/>
        <v>117.595</v>
      </c>
      <c r="F274" s="771"/>
    </row>
    <row r="275" spans="1:6" ht="15" customHeight="1">
      <c r="A275" s="771" t="s">
        <v>1266</v>
      </c>
      <c r="B275" s="766">
        <f>IF(ISNA(VLOOKUP(A275,'TB-22'!A:C,2,0)),0,VLOOKUP(A275,'TB-22'!A:C,2,0))</f>
        <v>1.0620000000000001</v>
      </c>
      <c r="C275" s="767">
        <f>IF(ISNA(VLOOKUP(A275,'TB-22'!A:C,3,0)),0,VLOOKUP(A275,'TB-22'!A:C,3,0))</f>
        <v>0</v>
      </c>
      <c r="D275" s="767">
        <f t="shared" si="8"/>
        <v>1.0620000000000001</v>
      </c>
      <c r="F275" s="771"/>
    </row>
    <row r="276" spans="1:6" ht="15" customHeight="1">
      <c r="A276" s="771" t="s">
        <v>1269</v>
      </c>
      <c r="B276" s="766">
        <f>IF(ISNA(VLOOKUP(A276,'TB-22'!A:C,2,0)),0,VLOOKUP(A276,'TB-22'!A:C,2,0))</f>
        <v>18.015000000000001</v>
      </c>
      <c r="C276" s="767">
        <f>IF(ISNA(VLOOKUP(A276,'TB-22'!A:C,3,0)),0,VLOOKUP(A276,'TB-22'!A:C,3,0))</f>
        <v>0</v>
      </c>
      <c r="D276" s="767">
        <f t="shared" si="8"/>
        <v>18.015000000000001</v>
      </c>
      <c r="F276" s="771"/>
    </row>
    <row r="277" spans="1:6" ht="15" customHeight="1">
      <c r="A277" s="771" t="s">
        <v>1273</v>
      </c>
      <c r="B277" s="766">
        <f>IF(ISNA(VLOOKUP(A277,'TB-22'!A:C,2,0)),0,VLOOKUP(A277,'TB-22'!A:C,2,0))</f>
        <v>172.322</v>
      </c>
      <c r="C277" s="767">
        <f>IF(ISNA(VLOOKUP(A277,'TB-22'!A:C,3,0)),0,VLOOKUP(A277,'TB-22'!A:C,3,0))</f>
        <v>0</v>
      </c>
      <c r="D277" s="767">
        <f t="shared" si="8"/>
        <v>172.322</v>
      </c>
      <c r="F277" s="771"/>
    </row>
    <row r="278" spans="1:6" ht="15" customHeight="1">
      <c r="A278" s="771" t="s">
        <v>1275</v>
      </c>
      <c r="B278" s="766">
        <f>IF(ISNA(VLOOKUP(A278,'TB-22'!A:C,2,0)),0,VLOOKUP(A278,'TB-22'!A:C,2,0))</f>
        <v>34.109000000000002</v>
      </c>
      <c r="C278" s="767">
        <f>IF(ISNA(VLOOKUP(A278,'TB-22'!A:C,3,0)),0,VLOOKUP(A278,'TB-22'!A:C,3,0))</f>
        <v>0</v>
      </c>
      <c r="D278" s="767">
        <f t="shared" si="8"/>
        <v>34.109000000000002</v>
      </c>
      <c r="F278" s="771"/>
    </row>
    <row r="279" spans="1:6" ht="15" customHeight="1">
      <c r="A279" s="771" t="s">
        <v>564</v>
      </c>
      <c r="B279" s="766">
        <f>IF(ISNA(VLOOKUP(A279,'TB-22'!A:C,2,0)),0,VLOOKUP(A279,'TB-22'!A:C,2,0))</f>
        <v>8.5589999999999993</v>
      </c>
      <c r="C279" s="767">
        <f>IF(ISNA(VLOOKUP(A279,'TB-22'!A:C,3,0)),0,VLOOKUP(A279,'TB-22'!A:C,3,0))</f>
        <v>0</v>
      </c>
      <c r="D279" s="767">
        <f t="shared" si="8"/>
        <v>8.5589999999999993</v>
      </c>
      <c r="F279" s="771"/>
    </row>
    <row r="280" spans="1:6" ht="15" customHeight="1">
      <c r="A280" s="771" t="s">
        <v>1036</v>
      </c>
      <c r="B280" s="766">
        <f>IF(ISNA(VLOOKUP(A280,'TB-22'!A:C,2,0)),0,VLOOKUP(A280,'TB-22'!A:C,2,0))</f>
        <v>26.88</v>
      </c>
      <c r="C280" s="767">
        <f>IF(ISNA(VLOOKUP(A280,'TB-22'!A:C,3,0)),0,VLOOKUP(A280,'TB-22'!A:C,3,0))</f>
        <v>0</v>
      </c>
      <c r="D280" s="767">
        <f t="shared" si="8"/>
        <v>26.88</v>
      </c>
      <c r="F280" s="771"/>
    </row>
    <row r="281" spans="1:6" ht="15" customHeight="1">
      <c r="A281" s="771" t="s">
        <v>1277</v>
      </c>
      <c r="B281" s="766">
        <f>IF(ISNA(VLOOKUP(A281,'TB-22'!A:C,2,0)),0,VLOOKUP(A281,'TB-22'!A:C,2,0))</f>
        <v>3.9129999999999998</v>
      </c>
      <c r="C281" s="767">
        <f>IF(ISNA(VLOOKUP(A281,'TB-22'!A:C,3,0)),0,VLOOKUP(A281,'TB-22'!A:C,3,0))</f>
        <v>0</v>
      </c>
      <c r="D281" s="767">
        <f t="shared" si="8"/>
        <v>3.9129999999999998</v>
      </c>
      <c r="F281" s="771"/>
    </row>
    <row r="282" spans="1:6" ht="15" customHeight="1">
      <c r="A282" s="771" t="s">
        <v>1278</v>
      </c>
      <c r="B282" s="766">
        <f>IF(ISNA(VLOOKUP(A282,'TB-22'!A:C,2,0)),0,VLOOKUP(A282,'TB-22'!A:C,2,0))</f>
        <v>49.625999999999998</v>
      </c>
      <c r="C282" s="767">
        <f>IF(ISNA(VLOOKUP(A282,'TB-22'!A:C,3,0)),0,VLOOKUP(A282,'TB-22'!A:C,3,0))</f>
        <v>0</v>
      </c>
      <c r="D282" s="767">
        <f t="shared" si="8"/>
        <v>49.625999999999998</v>
      </c>
      <c r="F282" s="771"/>
    </row>
    <row r="283" spans="1:6" ht="15" customHeight="1">
      <c r="A283" s="771" t="s">
        <v>1279</v>
      </c>
      <c r="B283" s="766">
        <f>IF(ISNA(VLOOKUP(A283,'TB-22'!A:C,2,0)),0,VLOOKUP(A283,'TB-22'!A:C,2,0))</f>
        <v>28.628</v>
      </c>
      <c r="C283" s="767">
        <f>IF(ISNA(VLOOKUP(A283,'TB-22'!A:C,3,0)),0,VLOOKUP(A283,'TB-22'!A:C,3,0))</f>
        <v>0</v>
      </c>
      <c r="D283" s="767">
        <f t="shared" si="8"/>
        <v>28.628</v>
      </c>
      <c r="F283" s="771"/>
    </row>
    <row r="284" spans="1:6" ht="15" customHeight="1">
      <c r="A284" s="771" t="s">
        <v>1039</v>
      </c>
      <c r="B284" s="766">
        <f>IF(ISNA(VLOOKUP(A284,'TB-22'!A:C,2,0)),0,VLOOKUP(A284,'TB-22'!A:C,2,0))</f>
        <v>2.8319999999999999</v>
      </c>
      <c r="C284" s="767">
        <f>IF(ISNA(VLOOKUP(A284,'TB-22'!A:C,3,0)),0,VLOOKUP(A284,'TB-22'!A:C,3,0))</f>
        <v>0</v>
      </c>
      <c r="D284" s="767">
        <f t="shared" si="8"/>
        <v>2.8319999999999999</v>
      </c>
      <c r="F284" s="771"/>
    </row>
    <row r="285" spans="1:6" ht="15" customHeight="1">
      <c r="A285" s="771" t="s">
        <v>746</v>
      </c>
      <c r="B285" s="766">
        <f>IF(ISNA(VLOOKUP(A285,'TB-22'!A:C,2,0)),0,VLOOKUP(A285,'TB-22'!A:C,2,0))</f>
        <v>23.983000000000001</v>
      </c>
      <c r="C285" s="767">
        <f>IF(ISNA(VLOOKUP(A285,'TB-22'!A:C,3,0)),0,VLOOKUP(A285,'TB-22'!A:C,3,0))</f>
        <v>0</v>
      </c>
      <c r="D285" s="767">
        <f t="shared" si="8"/>
        <v>23.983000000000001</v>
      </c>
      <c r="F285" s="771"/>
    </row>
    <row r="286" spans="1:6" ht="15" customHeight="1">
      <c r="A286" s="771" t="s">
        <v>1280</v>
      </c>
      <c r="B286" s="766">
        <f>IF(ISNA(VLOOKUP(A286,'TB-22'!A:C,2,0)),0,VLOOKUP(A286,'TB-22'!A:C,2,0))</f>
        <v>5.9790000000000001</v>
      </c>
      <c r="C286" s="767">
        <f>IF(ISNA(VLOOKUP(A286,'TB-22'!A:C,3,0)),0,VLOOKUP(A286,'TB-22'!A:C,3,0))</f>
        <v>0</v>
      </c>
      <c r="D286" s="767">
        <f t="shared" si="8"/>
        <v>5.9790000000000001</v>
      </c>
      <c r="F286" s="771"/>
    </row>
    <row r="287" spans="1:6" ht="15" customHeight="1">
      <c r="A287" s="771" t="s">
        <v>569</v>
      </c>
      <c r="B287" s="766">
        <f>IF(ISNA(VLOOKUP(A287,'TB-22'!A:C,2,0)),0,VLOOKUP(A287,'TB-22'!A:C,2,0))</f>
        <v>158.29</v>
      </c>
      <c r="C287" s="767">
        <f>IF(ISNA(VLOOKUP(A287,'TB-22'!A:C,3,0)),0,VLOOKUP(A287,'TB-22'!A:C,3,0))</f>
        <v>0</v>
      </c>
      <c r="D287" s="767">
        <f t="shared" si="8"/>
        <v>158.29</v>
      </c>
      <c r="F287" s="771"/>
    </row>
    <row r="288" spans="1:6" ht="15" customHeight="1">
      <c r="A288" s="771" t="s">
        <v>751</v>
      </c>
      <c r="B288" s="766">
        <f>IF(ISNA(VLOOKUP(A288,'TB-22'!A:C,2,0)),0,VLOOKUP(A288,'TB-22'!A:C,2,0))</f>
        <v>41.335000000000001</v>
      </c>
      <c r="C288" s="767">
        <f>IF(ISNA(VLOOKUP(A288,'TB-22'!A:C,3,0)),0,VLOOKUP(A288,'TB-22'!A:C,3,0))</f>
        <v>0</v>
      </c>
      <c r="D288" s="767">
        <f t="shared" si="8"/>
        <v>41.335000000000001</v>
      </c>
      <c r="F288" s="771"/>
    </row>
    <row r="289" spans="1:6" ht="15" customHeight="1">
      <c r="A289" s="771" t="s">
        <v>1118</v>
      </c>
      <c r="B289" s="766">
        <f>IF(ISNA(VLOOKUP(A289,'TB-22'!A:C,2,0)),0,VLOOKUP(A289,'TB-22'!A:C,2,0))</f>
        <v>1.8440000000000001</v>
      </c>
      <c r="C289" s="767">
        <f>IF(ISNA(VLOOKUP(A289,'TB-22'!A:C,3,0)),0,VLOOKUP(A289,'TB-22'!A:C,3,0))</f>
        <v>0</v>
      </c>
      <c r="D289" s="767">
        <f t="shared" si="8"/>
        <v>1.8440000000000001</v>
      </c>
      <c r="F289" s="771"/>
    </row>
    <row r="290" spans="1:6" ht="15" customHeight="1">
      <c r="A290" s="771" t="s">
        <v>1284</v>
      </c>
      <c r="B290" s="766">
        <f>IF(ISNA(VLOOKUP(A290,'TB-22'!A:C,2,0)),0,VLOOKUP(A290,'TB-22'!A:C,2,0))</f>
        <v>1.3360000000000001</v>
      </c>
      <c r="C290" s="767">
        <f>IF(ISNA(VLOOKUP(A290,'TB-22'!A:C,3,0)),0,VLOOKUP(A290,'TB-22'!A:C,3,0))</f>
        <v>0</v>
      </c>
      <c r="D290" s="767">
        <f t="shared" si="8"/>
        <v>1.3360000000000001</v>
      </c>
      <c r="F290" s="771"/>
    </row>
    <row r="291" spans="1:6" ht="15" customHeight="1">
      <c r="A291" s="771" t="s">
        <v>1285</v>
      </c>
      <c r="B291" s="766">
        <f>IF(ISNA(VLOOKUP(A291,'TB-22'!A:C,2,0)),0,VLOOKUP(A291,'TB-22'!A:C,2,0))</f>
        <v>44.356999999999999</v>
      </c>
      <c r="C291" s="767">
        <f>IF(ISNA(VLOOKUP(A291,'TB-22'!A:C,3,0)),0,VLOOKUP(A291,'TB-22'!A:C,3,0))</f>
        <v>0</v>
      </c>
      <c r="D291" s="767">
        <f t="shared" si="8"/>
        <v>44.356999999999999</v>
      </c>
      <c r="F291" s="771"/>
    </row>
    <row r="292" spans="1:6" ht="15" customHeight="1">
      <c r="A292" s="771" t="s">
        <v>1286</v>
      </c>
      <c r="B292" s="766">
        <f>IF(ISNA(VLOOKUP(A292,'TB-22'!A:C,2,0)),0,VLOOKUP(A292,'TB-22'!A:C,2,0))</f>
        <v>105.245</v>
      </c>
      <c r="C292" s="767">
        <f>IF(ISNA(VLOOKUP(A292,'TB-22'!A:C,3,0)),0,VLOOKUP(A292,'TB-22'!A:C,3,0))</f>
        <v>0</v>
      </c>
      <c r="D292" s="767">
        <f t="shared" si="8"/>
        <v>105.245</v>
      </c>
      <c r="F292" s="771"/>
    </row>
    <row r="293" spans="1:6" ht="15" customHeight="1">
      <c r="A293" s="771" t="s">
        <v>1288</v>
      </c>
      <c r="B293" s="766">
        <f>IF(ISNA(VLOOKUP(A293,'TB-22'!A:C,2,0)),0,VLOOKUP(A293,'TB-22'!A:C,2,0))</f>
        <v>47.564999999999998</v>
      </c>
      <c r="C293" s="767">
        <f>IF(ISNA(VLOOKUP(A293,'TB-22'!A:C,3,0)),0,VLOOKUP(A293,'TB-22'!A:C,3,0))</f>
        <v>0</v>
      </c>
      <c r="D293" s="767">
        <f t="shared" si="8"/>
        <v>47.564999999999998</v>
      </c>
      <c r="F293" s="771"/>
    </row>
    <row r="294" spans="1:6" ht="15" customHeight="1">
      <c r="A294" s="771" t="s">
        <v>1289</v>
      </c>
      <c r="B294" s="766">
        <f>IF(ISNA(VLOOKUP(A294,'TB-22'!A:C,2,0)),0,VLOOKUP(A294,'TB-22'!A:C,2,0))</f>
        <v>31.55</v>
      </c>
      <c r="C294" s="767">
        <f>IF(ISNA(VLOOKUP(A294,'TB-22'!A:C,3,0)),0,VLOOKUP(A294,'TB-22'!A:C,3,0))</f>
        <v>0</v>
      </c>
      <c r="D294" s="767">
        <f t="shared" si="8"/>
        <v>31.55</v>
      </c>
      <c r="F294" s="771"/>
    </row>
    <row r="295" spans="1:6" ht="15" customHeight="1">
      <c r="A295" s="771" t="s">
        <v>259</v>
      </c>
      <c r="B295" s="766">
        <f>IF(ISNA(VLOOKUP(A295,'TB-22'!A:C,2,0)),0,VLOOKUP(A295,'TB-22'!A:C,2,0))</f>
        <v>44.618000000000002</v>
      </c>
      <c r="C295" s="767">
        <f>IF(ISNA(VLOOKUP(A295,'TB-22'!A:C,3,0)),0,VLOOKUP(A295,'TB-22'!A:C,3,0))</f>
        <v>0</v>
      </c>
      <c r="D295" s="767">
        <f t="shared" si="8"/>
        <v>44.618000000000002</v>
      </c>
      <c r="F295" s="771"/>
    </row>
    <row r="296" spans="1:6" ht="15" customHeight="1">
      <c r="A296" s="771" t="s">
        <v>1294</v>
      </c>
      <c r="B296" s="766">
        <f>IF(ISNA(VLOOKUP(A296,'TB-22'!A:C,2,0)),0,VLOOKUP(A296,'TB-22'!A:C,2,0))</f>
        <v>7.3410000000000002</v>
      </c>
      <c r="C296" s="767">
        <f>IF(ISNA(VLOOKUP(A296,'TB-22'!A:C,3,0)),0,VLOOKUP(A296,'TB-22'!A:C,3,0))</f>
        <v>0</v>
      </c>
      <c r="D296" s="767">
        <f t="shared" si="8"/>
        <v>7.3410000000000002</v>
      </c>
      <c r="F296" s="771"/>
    </row>
    <row r="297" spans="1:6" ht="15" customHeight="1">
      <c r="A297" s="771" t="s">
        <v>277</v>
      </c>
      <c r="B297" s="766">
        <f>IF(ISNA(VLOOKUP(A297,'TB-22'!A:C,2,0)),0,VLOOKUP(A297,'TB-22'!A:C,2,0))</f>
        <v>40.515999999999998</v>
      </c>
      <c r="C297" s="767">
        <f>IF(ISNA(VLOOKUP(A297,'TB-22'!A:C,3,0)),0,VLOOKUP(A297,'TB-22'!A:C,3,0))</f>
        <v>0</v>
      </c>
      <c r="D297" s="767">
        <f t="shared" si="8"/>
        <v>40.515999999999998</v>
      </c>
      <c r="F297" s="771"/>
    </row>
    <row r="298" spans="1:6" ht="15" customHeight="1">
      <c r="A298" s="771" t="s">
        <v>1296</v>
      </c>
      <c r="B298" s="766">
        <f>IF(ISNA(VLOOKUP(A298,'TB-22'!A:C,2,0)),0,VLOOKUP(A298,'TB-22'!A:C,2,0))</f>
        <v>50.771000000000001</v>
      </c>
      <c r="C298" s="767">
        <f>IF(ISNA(VLOOKUP(A298,'TB-22'!A:C,3,0)),0,VLOOKUP(A298,'TB-22'!A:C,3,0))</f>
        <v>0</v>
      </c>
      <c r="D298" s="767">
        <f t="shared" si="8"/>
        <v>50.771000000000001</v>
      </c>
      <c r="F298" s="771"/>
    </row>
    <row r="299" spans="1:6" ht="15" customHeight="1">
      <c r="A299" s="771" t="s">
        <v>756</v>
      </c>
      <c r="B299" s="766">
        <f>IF(ISNA(VLOOKUP(A299,'TB-22'!A:C,2,0)),0,VLOOKUP(A299,'TB-22'!A:C,2,0))</f>
        <v>13.683</v>
      </c>
      <c r="C299" s="767">
        <f>IF(ISNA(VLOOKUP(A299,'TB-22'!A:C,3,0)),0,VLOOKUP(A299,'TB-22'!A:C,3,0))</f>
        <v>0</v>
      </c>
      <c r="D299" s="767">
        <f t="shared" si="8"/>
        <v>13.683</v>
      </c>
      <c r="F299" s="771"/>
    </row>
    <row r="300" spans="1:6" ht="15" customHeight="1">
      <c r="A300" s="771" t="s">
        <v>1055</v>
      </c>
      <c r="B300" s="766">
        <f>IF(ISNA(VLOOKUP(A300,'TB-22'!A:C,2,0)),0,VLOOKUP(A300,'TB-22'!A:C,2,0))</f>
        <v>274.45699999999999</v>
      </c>
      <c r="C300" s="767">
        <f>IF(ISNA(VLOOKUP(A300,'TB-22'!A:C,3,0)),0,VLOOKUP(A300,'TB-22'!A:C,3,0))</f>
        <v>0</v>
      </c>
      <c r="D300" s="767">
        <f t="shared" si="8"/>
        <v>274.45699999999999</v>
      </c>
      <c r="F300" s="771"/>
    </row>
    <row r="301" spans="1:6" ht="15" customHeight="1">
      <c r="A301" s="771" t="s">
        <v>1306</v>
      </c>
      <c r="B301" s="766">
        <f>IF(ISNA(VLOOKUP(A301,'TB-22'!A:C,2,0)),0,VLOOKUP(A301,'TB-22'!A:C,2,0))</f>
        <v>35.098999999999997</v>
      </c>
      <c r="C301" s="767">
        <f>IF(ISNA(VLOOKUP(A301,'TB-22'!A:C,3,0)),0,VLOOKUP(A301,'TB-22'!A:C,3,0))</f>
        <v>0</v>
      </c>
      <c r="D301" s="767">
        <f t="shared" si="8"/>
        <v>35.098999999999997</v>
      </c>
      <c r="F301" s="771"/>
    </row>
    <row r="302" spans="1:6" ht="15" customHeight="1">
      <c r="A302" s="771" t="s">
        <v>205</v>
      </c>
      <c r="B302" s="766">
        <f>IF(ISNA(VLOOKUP(A302,'TB-22'!A:C,2,0)),0,VLOOKUP(A302,'TB-22'!A:C,2,0))</f>
        <v>85579.850539999999</v>
      </c>
      <c r="C302" s="767">
        <f>IF(ISNA(VLOOKUP(A302,'TB-22'!A:C,3,0)),0,VLOOKUP(A302,'TB-22'!A:C,3,0))</f>
        <v>0</v>
      </c>
      <c r="D302" s="767">
        <f t="shared" si="8"/>
        <v>85579.850539999999</v>
      </c>
      <c r="F302" s="771"/>
    </row>
    <row r="303" spans="1:6" ht="15" customHeight="1">
      <c r="A303" s="771" t="s">
        <v>279</v>
      </c>
      <c r="B303" s="766">
        <f>IF(ISNA(VLOOKUP(A303,'TB-22'!A:C,2,0)),0,VLOOKUP(A303,'TB-22'!A:C,2,0))</f>
        <v>5.3561199999999998</v>
      </c>
      <c r="C303" s="767">
        <f>IF(ISNA(VLOOKUP(A303,'TB-22'!A:C,3,0)),0,VLOOKUP(A303,'TB-22'!A:C,3,0))</f>
        <v>0</v>
      </c>
      <c r="D303" s="767">
        <f t="shared" si="8"/>
        <v>5.3561199999999998</v>
      </c>
      <c r="F303" s="771"/>
    </row>
    <row r="304" spans="1:6" ht="15" customHeight="1">
      <c r="A304" s="771" t="s">
        <v>1311</v>
      </c>
      <c r="B304" s="766">
        <f>IF(ISNA(VLOOKUP(A304,'TB-22'!A:C,2,0)),0,VLOOKUP(A304,'TB-22'!A:C,2,0))</f>
        <v>23.1</v>
      </c>
      <c r="C304" s="767">
        <f>IF(ISNA(VLOOKUP(A304,'TB-22'!A:C,3,0)),0,VLOOKUP(A304,'TB-22'!A:C,3,0))</f>
        <v>0</v>
      </c>
      <c r="D304" s="767">
        <f t="shared" si="8"/>
        <v>23.1</v>
      </c>
      <c r="F304" s="771"/>
    </row>
    <row r="305" spans="1:6" ht="15" customHeight="1">
      <c r="A305" s="771" t="s">
        <v>596</v>
      </c>
      <c r="B305" s="766">
        <f>IF(ISNA(VLOOKUP(A305,'TB-22'!A:C,2,0)),0,VLOOKUP(A305,'TB-22'!A:C,2,0))</f>
        <v>3.327</v>
      </c>
      <c r="C305" s="767">
        <f>IF(ISNA(VLOOKUP(A305,'TB-22'!A:C,3,0)),0,VLOOKUP(A305,'TB-22'!A:C,3,0))</f>
        <v>0</v>
      </c>
      <c r="D305" s="767">
        <f t="shared" si="8"/>
        <v>3.327</v>
      </c>
      <c r="F305" s="771"/>
    </row>
    <row r="306" spans="1:6" ht="15" customHeight="1">
      <c r="A306" s="771" t="s">
        <v>1312</v>
      </c>
      <c r="B306" s="766">
        <f>IF(ISNA(VLOOKUP(A306,'TB-22'!A:C,2,0)),0,VLOOKUP(A306,'TB-22'!A:C,2,0))</f>
        <v>79.197999999999993</v>
      </c>
      <c r="C306" s="767">
        <f>IF(ISNA(VLOOKUP(A306,'TB-22'!A:C,3,0)),0,VLOOKUP(A306,'TB-22'!A:C,3,0))</f>
        <v>0</v>
      </c>
      <c r="D306" s="767">
        <f t="shared" si="8"/>
        <v>79.197999999999993</v>
      </c>
      <c r="F306" s="771"/>
    </row>
    <row r="307" spans="1:6" ht="15" customHeight="1">
      <c r="A307" s="771" t="s">
        <v>597</v>
      </c>
      <c r="B307" s="766">
        <f>IF(ISNA(VLOOKUP(A307,'TB-22'!A:C,2,0)),0,VLOOKUP(A307,'TB-22'!A:C,2,0))</f>
        <v>18.53116</v>
      </c>
      <c r="C307" s="767">
        <f>IF(ISNA(VLOOKUP(A307,'TB-22'!A:C,3,0)),0,VLOOKUP(A307,'TB-22'!A:C,3,0))</f>
        <v>0</v>
      </c>
      <c r="D307" s="767">
        <f t="shared" si="8"/>
        <v>18.53116</v>
      </c>
      <c r="F307" s="771"/>
    </row>
    <row r="308" spans="1:6" ht="15" customHeight="1">
      <c r="A308" s="771" t="s">
        <v>1397</v>
      </c>
      <c r="B308" s="766">
        <f>IF(ISNA(VLOOKUP(A308,'TB-22'!A:C,2,0)),0,VLOOKUP(A308,'TB-22'!A:C,2,0))</f>
        <v>37.856000000000002</v>
      </c>
      <c r="C308" s="767">
        <f>IF(ISNA(VLOOKUP(A308,'TB-22'!A:C,3,0)),0,VLOOKUP(A308,'TB-22'!A:C,3,0))</f>
        <v>0</v>
      </c>
      <c r="D308" s="767">
        <f t="shared" si="8"/>
        <v>37.856000000000002</v>
      </c>
    </row>
    <row r="309" spans="1:6" ht="15" customHeight="1">
      <c r="A309" s="771" t="s">
        <v>1401</v>
      </c>
      <c r="B309" s="766">
        <f>IF(ISNA(VLOOKUP(A309,'TB-22'!A:C,2,0)),0,VLOOKUP(A309,'TB-22'!A:C,2,0))</f>
        <v>1957.6365000000001</v>
      </c>
      <c r="C309" s="767">
        <f>IF(ISNA(VLOOKUP(A309,'TB-22'!A:C,3,0)),0,VLOOKUP(A309,'TB-22'!A:C,3,0))</f>
        <v>0</v>
      </c>
      <c r="D309" s="767">
        <f t="shared" si="8"/>
        <v>1957.6365000000001</v>
      </c>
    </row>
    <row r="310" spans="1:6" ht="15" customHeight="1">
      <c r="A310" s="771" t="s">
        <v>1402</v>
      </c>
      <c r="B310" s="766">
        <f>IF(ISNA(VLOOKUP(A310,'TB-22'!A:C,2,0)),0,VLOOKUP(A310,'TB-22'!A:C,2,0))</f>
        <v>637.20000000000005</v>
      </c>
      <c r="C310" s="767">
        <f>IF(ISNA(VLOOKUP(A310,'TB-22'!A:C,3,0)),0,VLOOKUP(A310,'TB-22'!A:C,3,0))</f>
        <v>0</v>
      </c>
      <c r="D310" s="767">
        <f t="shared" si="8"/>
        <v>637.20000000000005</v>
      </c>
    </row>
    <row r="311" spans="1:6" ht="15" customHeight="1">
      <c r="A311" s="771" t="s">
        <v>1406</v>
      </c>
      <c r="B311" s="766">
        <f>IF(ISNA(VLOOKUP(A311,'TB-22'!A:C,2,0)),0,VLOOKUP(A311,'TB-22'!A:C,2,0))</f>
        <v>34.692</v>
      </c>
      <c r="C311" s="767">
        <f>IF(ISNA(VLOOKUP(A311,'TB-22'!A:C,3,0)),0,VLOOKUP(A311,'TB-22'!A:C,3,0))</f>
        <v>0</v>
      </c>
      <c r="D311" s="767">
        <f t="shared" si="8"/>
        <v>34.692</v>
      </c>
    </row>
    <row r="312" spans="1:6" ht="15" customHeight="1">
      <c r="A312" s="771" t="s">
        <v>1428</v>
      </c>
      <c r="B312" s="766">
        <f>IF(ISNA(VLOOKUP(A312,'TB-22'!A:C,2,0)),0,VLOOKUP(A312,'TB-22'!A:C,2,0))</f>
        <v>182.251</v>
      </c>
      <c r="C312" s="767">
        <f>IF(ISNA(VLOOKUP(A312,'TB-22'!A:C,3,0)),0,VLOOKUP(A312,'TB-22'!A:C,3,0))</f>
        <v>0</v>
      </c>
      <c r="D312" s="767">
        <f t="shared" si="8"/>
        <v>182.251</v>
      </c>
    </row>
    <row r="313" spans="1:6" ht="15" customHeight="1">
      <c r="A313" s="771" t="s">
        <v>769</v>
      </c>
      <c r="B313" s="766">
        <f>IF(ISNA(VLOOKUP(A313,'TB-22'!A:C,2,0)),0,VLOOKUP(A313,'TB-22'!A:C,2,0))</f>
        <v>79.995000000000005</v>
      </c>
      <c r="C313" s="767">
        <f>IF(ISNA(VLOOKUP(A313,'TB-22'!A:C,3,0)),0,VLOOKUP(A313,'TB-22'!A:C,3,0))</f>
        <v>0</v>
      </c>
      <c r="D313" s="767">
        <f t="shared" si="8"/>
        <v>79.995000000000005</v>
      </c>
      <c r="F313" s="771"/>
    </row>
    <row r="314" spans="1:6" ht="15" customHeight="1">
      <c r="A314" s="771" t="s">
        <v>1314</v>
      </c>
      <c r="B314" s="766">
        <f>IF(ISNA(VLOOKUP(A314,'TB-22'!A:C,2,0)),0,VLOOKUP(A314,'TB-22'!A:C,2,0))</f>
        <v>4.819</v>
      </c>
      <c r="C314" s="767">
        <f>IF(ISNA(VLOOKUP(A314,'TB-22'!A:C,3,0)),0,VLOOKUP(A314,'TB-22'!A:C,3,0))</f>
        <v>0</v>
      </c>
      <c r="D314" s="767">
        <f t="shared" si="8"/>
        <v>4.819</v>
      </c>
      <c r="F314" s="771"/>
    </row>
    <row r="315" spans="1:6" ht="15" customHeight="1">
      <c r="A315" s="771" t="s">
        <v>1315</v>
      </c>
      <c r="B315" s="766">
        <f>IF(ISNA(VLOOKUP(A315,'TB-22'!A:C,2,0)),0,VLOOKUP(A315,'TB-22'!A:C,2,0))</f>
        <v>13.351000000000001</v>
      </c>
      <c r="C315" s="767">
        <f>IF(ISNA(VLOOKUP(A315,'TB-22'!A:C,3,0)),0,VLOOKUP(A315,'TB-22'!A:C,3,0))</f>
        <v>0</v>
      </c>
      <c r="D315" s="767">
        <f t="shared" si="8"/>
        <v>13.351000000000001</v>
      </c>
      <c r="F315" s="771"/>
    </row>
    <row r="316" spans="1:6" ht="15" customHeight="1">
      <c r="A316" s="771" t="s">
        <v>774</v>
      </c>
      <c r="B316" s="766">
        <f>IF(ISNA(VLOOKUP(A316,'TB-22'!A:C,2,0)),0,VLOOKUP(A316,'TB-22'!A:C,2,0))</f>
        <v>5.5865100000000005</v>
      </c>
      <c r="C316" s="767">
        <f>IF(ISNA(VLOOKUP(A316,'TB-22'!A:C,3,0)),0,VLOOKUP(A316,'TB-22'!A:C,3,0))</f>
        <v>0</v>
      </c>
      <c r="D316" s="767">
        <f t="shared" ref="D316:D375" si="9">+B316-C316</f>
        <v>5.5865100000000005</v>
      </c>
      <c r="F316" s="771"/>
    </row>
    <row r="317" spans="1:6" ht="15" customHeight="1">
      <c r="A317" s="771" t="s">
        <v>1319</v>
      </c>
      <c r="B317" s="766">
        <f>IF(ISNA(VLOOKUP(A317,'TB-22'!A:C,2,0)),0,VLOOKUP(A317,'TB-22'!A:C,2,0))</f>
        <v>119.613</v>
      </c>
      <c r="C317" s="767">
        <f>IF(ISNA(VLOOKUP(A317,'TB-22'!A:C,3,0)),0,VLOOKUP(A317,'TB-22'!A:C,3,0))</f>
        <v>0</v>
      </c>
      <c r="D317" s="767">
        <f t="shared" si="9"/>
        <v>119.613</v>
      </c>
      <c r="F317" s="771"/>
    </row>
    <row r="318" spans="1:6" ht="15" customHeight="1">
      <c r="A318" s="771" t="s">
        <v>608</v>
      </c>
      <c r="B318" s="766">
        <f>IF(ISNA(VLOOKUP(A318,'TB-22'!A:C,2,0)),0,VLOOKUP(A318,'TB-22'!A:C,2,0))</f>
        <v>1.7000000000000001E-2</v>
      </c>
      <c r="C318" s="767">
        <f>IF(ISNA(VLOOKUP(A318,'TB-22'!A:C,3,0)),0,VLOOKUP(A318,'TB-22'!A:C,3,0))</f>
        <v>0</v>
      </c>
      <c r="D318" s="767">
        <f t="shared" si="9"/>
        <v>1.7000000000000001E-2</v>
      </c>
      <c r="F318" s="771"/>
    </row>
    <row r="319" spans="1:6" ht="15" customHeight="1">
      <c r="A319" s="771" t="s">
        <v>1321</v>
      </c>
      <c r="B319" s="766">
        <f>IF(ISNA(VLOOKUP(A319,'TB-22'!A:C,2,0)),0,VLOOKUP(A319,'TB-22'!A:C,2,0))</f>
        <v>153.23599999999999</v>
      </c>
      <c r="C319" s="767">
        <f>IF(ISNA(VLOOKUP(A319,'TB-22'!A:C,3,0)),0,VLOOKUP(A319,'TB-22'!A:C,3,0))</f>
        <v>0</v>
      </c>
      <c r="D319" s="767">
        <f t="shared" si="9"/>
        <v>153.23599999999999</v>
      </c>
      <c r="F319" s="771"/>
    </row>
    <row r="320" spans="1:6" ht="15" customHeight="1">
      <c r="A320" s="771" t="s">
        <v>610</v>
      </c>
      <c r="B320" s="766">
        <f>IF(ISNA(VLOOKUP(A320,'TB-22'!A:C,2,0)),0,VLOOKUP(A320,'TB-22'!A:C,2,0))</f>
        <v>12.596</v>
      </c>
      <c r="C320" s="767">
        <f>IF(ISNA(VLOOKUP(A320,'TB-22'!A:C,3,0)),0,VLOOKUP(A320,'TB-22'!A:C,3,0))</f>
        <v>0</v>
      </c>
      <c r="D320" s="767">
        <f t="shared" si="9"/>
        <v>12.596</v>
      </c>
      <c r="F320" s="771"/>
    </row>
    <row r="321" spans="1:7" ht="15" customHeight="1">
      <c r="A321" s="771" t="s">
        <v>1323</v>
      </c>
      <c r="B321" s="766">
        <f>IF(ISNA(VLOOKUP(A321,'TB-22'!A:C,2,0)),0,VLOOKUP(A321,'TB-22'!A:C,2,0))</f>
        <v>108.377</v>
      </c>
      <c r="C321" s="767">
        <f>IF(ISNA(VLOOKUP(A321,'TB-22'!A:C,3,0)),0,VLOOKUP(A321,'TB-22'!A:C,3,0))</f>
        <v>0</v>
      </c>
      <c r="D321" s="767">
        <f t="shared" si="9"/>
        <v>108.377</v>
      </c>
      <c r="F321" s="771"/>
    </row>
    <row r="322" spans="1:7" ht="15" customHeight="1">
      <c r="A322" s="771" t="s">
        <v>1324</v>
      </c>
      <c r="B322" s="766">
        <f>IF(ISNA(VLOOKUP(A322,'TB-22'!A:C,2,0)),0,VLOOKUP(A322,'TB-22'!A:C,2,0))</f>
        <v>164.25399999999999</v>
      </c>
      <c r="C322" s="767">
        <f>IF(ISNA(VLOOKUP(A322,'TB-22'!A:C,3,0)),0,VLOOKUP(A322,'TB-22'!A:C,3,0))</f>
        <v>0</v>
      </c>
      <c r="D322" s="767">
        <f t="shared" si="9"/>
        <v>164.25399999999999</v>
      </c>
      <c r="F322" s="771"/>
    </row>
    <row r="323" spans="1:7" ht="15" customHeight="1">
      <c r="A323" s="771" t="s">
        <v>1331</v>
      </c>
      <c r="B323" s="766">
        <f>IF(ISNA(VLOOKUP(A323,'TB-22'!A:C,2,0)),0,VLOOKUP(A323,'TB-22'!A:C,2,0))</f>
        <v>48.543999999999997</v>
      </c>
      <c r="C323" s="767">
        <f>IF(ISNA(VLOOKUP(A323,'TB-22'!A:C,3,0)),0,VLOOKUP(A323,'TB-22'!A:C,3,0))</f>
        <v>0</v>
      </c>
      <c r="D323" s="767">
        <f t="shared" si="9"/>
        <v>48.543999999999997</v>
      </c>
      <c r="F323" s="771"/>
    </row>
    <row r="324" spans="1:7" ht="15" customHeight="1">
      <c r="A324" s="771" t="s">
        <v>1333</v>
      </c>
      <c r="B324" s="766">
        <f>IF(ISNA(VLOOKUP(A324,'TB-22'!A:C,2,0)),0,VLOOKUP(A324,'TB-22'!A:C,2,0))</f>
        <v>12.76</v>
      </c>
      <c r="C324" s="767">
        <f>IF(ISNA(VLOOKUP(A324,'TB-22'!A:C,3,0)),0,VLOOKUP(A324,'TB-22'!A:C,3,0))</f>
        <v>0</v>
      </c>
      <c r="D324" s="767">
        <f t="shared" si="9"/>
        <v>12.76</v>
      </c>
      <c r="F324" s="771"/>
    </row>
    <row r="325" spans="1:7" ht="15" customHeight="1">
      <c r="A325" s="771" t="s">
        <v>1336</v>
      </c>
      <c r="B325" s="766">
        <f>IF(ISNA(VLOOKUP(A325,'TB-22'!A:C,2,0)),0,VLOOKUP(A325,'TB-22'!A:C,2,0))</f>
        <v>39.329000000000001</v>
      </c>
      <c r="C325" s="767">
        <f>IF(ISNA(VLOOKUP(A325,'TB-22'!A:C,3,0)),0,VLOOKUP(A325,'TB-22'!A:C,3,0))</f>
        <v>0</v>
      </c>
      <c r="D325" s="767">
        <f t="shared" si="9"/>
        <v>39.329000000000001</v>
      </c>
      <c r="F325" s="771"/>
    </row>
    <row r="326" spans="1:7" ht="15" customHeight="1">
      <c r="A326" s="771" t="s">
        <v>1345</v>
      </c>
      <c r="B326" s="766">
        <f>IF(ISNA(VLOOKUP(A326,'TB-22'!A:C,2,0)),0,VLOOKUP(A326,'TB-22'!A:C,2,0))</f>
        <v>32.36</v>
      </c>
      <c r="C326" s="767">
        <f>IF(ISNA(VLOOKUP(A326,'TB-22'!A:C,3,0)),0,VLOOKUP(A326,'TB-22'!A:C,3,0))</f>
        <v>0</v>
      </c>
      <c r="D326" s="767">
        <f t="shared" si="9"/>
        <v>32.36</v>
      </c>
      <c r="F326" s="771"/>
    </row>
    <row r="327" spans="1:7" ht="15" customHeight="1">
      <c r="A327" s="771" t="s">
        <v>1350</v>
      </c>
      <c r="B327" s="766">
        <f>IF(ISNA(VLOOKUP(A327,'TB-22'!A:C,2,0)),0,VLOOKUP(A327,'TB-22'!A:C,2,0))</f>
        <v>75.048000000000002</v>
      </c>
      <c r="C327" s="767">
        <f>IF(ISNA(VLOOKUP(A327,'TB-22'!A:C,3,0)),0,VLOOKUP(A327,'TB-22'!A:C,3,0))</f>
        <v>0</v>
      </c>
      <c r="D327" s="767">
        <f t="shared" si="9"/>
        <v>75.048000000000002</v>
      </c>
      <c r="F327" s="771"/>
      <c r="G327" s="776"/>
    </row>
    <row r="328" spans="1:7" ht="15" customHeight="1">
      <c r="A328" s="771" t="s">
        <v>1351</v>
      </c>
      <c r="B328" s="766">
        <f>IF(ISNA(VLOOKUP(A328,'TB-22'!A:C,2,0)),0,VLOOKUP(A328,'TB-22'!A:C,2,0))</f>
        <v>0.20799999999999999</v>
      </c>
      <c r="C328" s="767">
        <f>IF(ISNA(VLOOKUP(A328,'TB-22'!A:C,3,0)),0,VLOOKUP(A328,'TB-22'!A:C,3,0))</f>
        <v>0</v>
      </c>
      <c r="D328" s="767">
        <f t="shared" si="9"/>
        <v>0.20799999999999999</v>
      </c>
      <c r="F328" s="771"/>
    </row>
    <row r="329" spans="1:7" ht="15" customHeight="1">
      <c r="A329" s="771" t="s">
        <v>1353</v>
      </c>
      <c r="B329" s="766">
        <f>IF(ISNA(VLOOKUP(A329,'TB-22'!A:C,2,0)),0,VLOOKUP(A329,'TB-22'!A:C,2,0))</f>
        <v>43.427</v>
      </c>
      <c r="C329" s="767">
        <f>IF(ISNA(VLOOKUP(A329,'TB-22'!A:C,3,0)),0,VLOOKUP(A329,'TB-22'!A:C,3,0))</f>
        <v>0</v>
      </c>
      <c r="D329" s="767">
        <f t="shared" si="9"/>
        <v>43.427</v>
      </c>
      <c r="F329" s="771"/>
    </row>
    <row r="330" spans="1:7" ht="15" customHeight="1">
      <c r="A330" s="771" t="s">
        <v>1355</v>
      </c>
      <c r="B330" s="766">
        <f>IF(ISNA(VLOOKUP(A330,'TB-22'!A:C,2,0)),0,VLOOKUP(A330,'TB-22'!A:C,2,0))</f>
        <v>0.318</v>
      </c>
      <c r="C330" s="767">
        <f>IF(ISNA(VLOOKUP(A330,'TB-22'!A:C,3,0)),0,VLOOKUP(A330,'TB-22'!A:C,3,0))</f>
        <v>0</v>
      </c>
      <c r="D330" s="767">
        <f t="shared" si="9"/>
        <v>0.318</v>
      </c>
      <c r="F330" s="771"/>
    </row>
    <row r="331" spans="1:7" ht="15" customHeight="1">
      <c r="A331" s="771" t="s">
        <v>1356</v>
      </c>
      <c r="B331" s="766">
        <f>IF(ISNA(VLOOKUP(A331,'TB-22'!A:C,2,0)),0,VLOOKUP(A331,'TB-22'!A:C,2,0))</f>
        <v>47.354999999999997</v>
      </c>
      <c r="C331" s="767">
        <f>IF(ISNA(VLOOKUP(A331,'TB-22'!A:C,3,0)),0,VLOOKUP(A331,'TB-22'!A:C,3,0))</f>
        <v>0</v>
      </c>
      <c r="D331" s="767">
        <f t="shared" si="9"/>
        <v>47.354999999999997</v>
      </c>
      <c r="F331" s="771"/>
    </row>
    <row r="332" spans="1:7" ht="15" customHeight="1">
      <c r="A332" s="771" t="s">
        <v>1357</v>
      </c>
      <c r="B332" s="766">
        <f>IF(ISNA(VLOOKUP(A332,'TB-22'!A:C,2,0)),0,VLOOKUP(A332,'TB-22'!A:C,2,0))</f>
        <v>38.316000000000003</v>
      </c>
      <c r="C332" s="767">
        <f>IF(ISNA(VLOOKUP(A332,'TB-22'!A:C,3,0)),0,VLOOKUP(A332,'TB-22'!A:C,3,0))</f>
        <v>0</v>
      </c>
      <c r="D332" s="767">
        <f t="shared" si="9"/>
        <v>38.316000000000003</v>
      </c>
      <c r="F332" s="771"/>
    </row>
    <row r="333" spans="1:7" ht="15" customHeight="1">
      <c r="A333" s="771" t="s">
        <v>1366</v>
      </c>
      <c r="B333" s="766">
        <f>IF(ISNA(VLOOKUP(A333,'TB-22'!A:C,2,0)),0,VLOOKUP(A333,'TB-22'!A:C,2,0))</f>
        <v>75.703000000000003</v>
      </c>
      <c r="C333" s="767">
        <f>IF(ISNA(VLOOKUP(A333,'TB-22'!A:C,3,0)),0,VLOOKUP(A333,'TB-22'!A:C,3,0))</f>
        <v>0</v>
      </c>
      <c r="D333" s="767">
        <f t="shared" si="9"/>
        <v>75.703000000000003</v>
      </c>
      <c r="F333" s="771"/>
    </row>
    <row r="334" spans="1:7" ht="15" customHeight="1">
      <c r="A334" s="771" t="s">
        <v>1370</v>
      </c>
      <c r="B334" s="766">
        <f>IF(ISNA(VLOOKUP(A334,'TB-22'!A:C,2,0)),0,VLOOKUP(A334,'TB-22'!A:C,2,0))</f>
        <v>27.798999999999999</v>
      </c>
      <c r="C334" s="767">
        <f>IF(ISNA(VLOOKUP(A334,'TB-22'!A:C,3,0)),0,VLOOKUP(A334,'TB-22'!A:C,3,0))</f>
        <v>0</v>
      </c>
      <c r="D334" s="767">
        <f t="shared" si="9"/>
        <v>27.798999999999999</v>
      </c>
      <c r="F334" s="771"/>
    </row>
    <row r="335" spans="1:7" ht="15" customHeight="1">
      <c r="A335" s="771" t="s">
        <v>1371</v>
      </c>
      <c r="B335" s="766">
        <f>IF(ISNA(VLOOKUP(A335,'TB-22'!A:C,2,0)),0,VLOOKUP(A335,'TB-22'!A:C,2,0))</f>
        <v>12.147</v>
      </c>
      <c r="C335" s="767">
        <f>IF(ISNA(VLOOKUP(A335,'TB-22'!A:C,3,0)),0,VLOOKUP(A335,'TB-22'!A:C,3,0))</f>
        <v>0</v>
      </c>
      <c r="D335" s="767">
        <f t="shared" si="9"/>
        <v>12.147</v>
      </c>
      <c r="F335" s="771"/>
    </row>
    <row r="336" spans="1:7" ht="15" customHeight="1">
      <c r="A336" s="771" t="s">
        <v>1062</v>
      </c>
      <c r="B336" s="766">
        <f>IF(ISNA(VLOOKUP(A336,'TB-22'!A:C,2,0)),0,VLOOKUP(A336,'TB-22'!A:C,2,0))</f>
        <v>15.571</v>
      </c>
      <c r="C336" s="767">
        <f>IF(ISNA(VLOOKUP(A336,'TB-22'!A:C,3,0)),0,VLOOKUP(A336,'TB-22'!A:C,3,0))</f>
        <v>0</v>
      </c>
      <c r="D336" s="767">
        <f t="shared" si="9"/>
        <v>15.571</v>
      </c>
      <c r="F336" s="771"/>
    </row>
    <row r="337" spans="1:12" ht="15" customHeight="1">
      <c r="A337" s="771" t="s">
        <v>1095</v>
      </c>
      <c r="B337" s="766">
        <f>IF(ISNA(VLOOKUP(A337,'TB-22'!A:C,2,0)),0,VLOOKUP(A337,'TB-22'!A:C,2,0))</f>
        <v>200.57599999999999</v>
      </c>
      <c r="C337" s="767">
        <f>IF(ISNA(VLOOKUP(A337,'TB-22'!A:C,3,0)),0,VLOOKUP(A337,'TB-22'!A:C,3,0))</f>
        <v>0</v>
      </c>
      <c r="D337" s="767">
        <f t="shared" si="9"/>
        <v>200.57599999999999</v>
      </c>
      <c r="F337" s="771"/>
    </row>
    <row r="338" spans="1:12" ht="15" customHeight="1">
      <c r="A338" s="771" t="s">
        <v>287</v>
      </c>
      <c r="B338" s="766">
        <f>IF(ISNA(VLOOKUP(A338,'TB-22'!A:C,2,0)),0,VLOOKUP(A338,'TB-22'!A:C,2,0))</f>
        <v>42.929000000000002</v>
      </c>
      <c r="C338" s="767">
        <f>IF(ISNA(VLOOKUP(A338,'TB-22'!A:C,3,0)),0,VLOOKUP(A338,'TB-22'!A:C,3,0))</f>
        <v>0</v>
      </c>
      <c r="D338" s="767">
        <f t="shared" si="9"/>
        <v>42.929000000000002</v>
      </c>
      <c r="F338" s="771"/>
    </row>
    <row r="339" spans="1:12" ht="15" customHeight="1">
      <c r="A339" s="771" t="s">
        <v>1064</v>
      </c>
      <c r="B339" s="766">
        <f>IF(ISNA(VLOOKUP(A339,'TB-22'!A:C,2,0)),0,VLOOKUP(A339,'TB-22'!A:C,2,0))</f>
        <v>575.80899999999997</v>
      </c>
      <c r="C339" s="767">
        <f>IF(ISNA(VLOOKUP(A339,'TB-22'!A:C,3,0)),0,VLOOKUP(A339,'TB-22'!A:C,3,0))</f>
        <v>0</v>
      </c>
      <c r="D339" s="767">
        <f t="shared" si="9"/>
        <v>575.80899999999997</v>
      </c>
      <c r="F339" s="771"/>
    </row>
    <row r="340" spans="1:12" ht="15" customHeight="1">
      <c r="A340" s="771" t="s">
        <v>1172</v>
      </c>
      <c r="B340" s="766">
        <f>IF(ISNA(VLOOKUP(A340,'TB-22'!A:C,2,0)),0,VLOOKUP(A340,'TB-22'!A:C,2,0))</f>
        <v>392.26655999999997</v>
      </c>
      <c r="C340" s="767">
        <f>IF(ISNA(VLOOKUP(A340,'TB-22'!A:C,3,0)),0,VLOOKUP(A340,'TB-22'!A:C,3,0))</f>
        <v>0</v>
      </c>
      <c r="D340" s="767">
        <f t="shared" si="9"/>
        <v>392.26655999999997</v>
      </c>
      <c r="F340" s="771"/>
    </row>
    <row r="341" spans="1:12" ht="15" customHeight="1">
      <c r="A341" s="771" t="s">
        <v>404</v>
      </c>
      <c r="B341" s="766">
        <f>IF(ISNA(VLOOKUP(A341,'TB-22'!A:C,2,0)),0,VLOOKUP(A341,'TB-22'!A:C,2,0))</f>
        <v>10</v>
      </c>
      <c r="C341" s="767">
        <f>IF(ISNA(VLOOKUP(A341,'TB-22'!A:C,3,0)),0,VLOOKUP(A341,'TB-22'!A:C,3,0))</f>
        <v>0</v>
      </c>
      <c r="D341" s="767">
        <f t="shared" si="9"/>
        <v>10</v>
      </c>
      <c r="F341" s="771"/>
    </row>
    <row r="342" spans="1:12" ht="15" customHeight="1">
      <c r="A342" s="771" t="s">
        <v>1067</v>
      </c>
      <c r="B342" s="766">
        <f>IF(ISNA(VLOOKUP(A342,'TB-22'!A:C,2,0)),0,VLOOKUP(A342,'TB-22'!A:C,2,0))</f>
        <v>45.148000000000003</v>
      </c>
      <c r="C342" s="767">
        <f>IF(ISNA(VLOOKUP(A342,'TB-22'!A:C,3,0)),0,VLOOKUP(A342,'TB-22'!A:C,3,0))</f>
        <v>0</v>
      </c>
      <c r="D342" s="767">
        <f t="shared" si="9"/>
        <v>45.148000000000003</v>
      </c>
      <c r="F342" s="771"/>
    </row>
    <row r="343" spans="1:12" ht="15" customHeight="1">
      <c r="A343" s="771" t="s">
        <v>794</v>
      </c>
      <c r="B343" s="766">
        <f>IF(ISNA(VLOOKUP(A343,'TB-22'!A:C,2,0)),0,VLOOKUP(A343,'TB-22'!A:C,2,0))</f>
        <v>26.439</v>
      </c>
      <c r="C343" s="767">
        <f>IF(ISNA(VLOOKUP(A343,'TB-22'!A:C,3,0)),0,VLOOKUP(A343,'TB-22'!A:C,3,0))</f>
        <v>0</v>
      </c>
      <c r="D343" s="767">
        <f t="shared" si="9"/>
        <v>26.439</v>
      </c>
    </row>
    <row r="344" spans="1:12" ht="15" customHeight="1">
      <c r="A344" s="771" t="s">
        <v>1130</v>
      </c>
      <c r="B344" s="766">
        <f>IF(ISNA(VLOOKUP(A344,'TB-22'!A:C,2,0)),0,VLOOKUP(A344,'TB-22'!A:C,2,0))</f>
        <v>44.334000000000003</v>
      </c>
      <c r="C344" s="767">
        <f>IF(ISNA(VLOOKUP(A344,'TB-22'!A:C,3,0)),0,VLOOKUP(A344,'TB-22'!A:C,3,0))</f>
        <v>0</v>
      </c>
      <c r="D344" s="767">
        <f t="shared" si="9"/>
        <v>44.334000000000003</v>
      </c>
      <c r="F344" s="771"/>
    </row>
    <row r="345" spans="1:12" ht="15" customHeight="1">
      <c r="A345" s="771" t="s">
        <v>1131</v>
      </c>
      <c r="B345" s="766">
        <f>IF(ISNA(VLOOKUP(A345,'TB-22'!A:C,2,0)),0,VLOOKUP(A345,'TB-22'!A:C,2,0))</f>
        <v>64.899000000000001</v>
      </c>
      <c r="C345" s="767">
        <f>IF(ISNA(VLOOKUP(A345,'TB-22'!A:C,3,0)),0,VLOOKUP(A345,'TB-22'!A:C,3,0))</f>
        <v>0</v>
      </c>
      <c r="D345" s="767">
        <f t="shared" si="9"/>
        <v>64.899000000000001</v>
      </c>
      <c r="F345" s="771"/>
    </row>
    <row r="346" spans="1:12" ht="15" customHeight="1">
      <c r="A346" s="771" t="s">
        <v>629</v>
      </c>
      <c r="B346" s="766">
        <f>IF(ISNA(VLOOKUP(A346,'TB-22'!A:C,2,0)),0,VLOOKUP(A346,'TB-22'!A:C,2,0))</f>
        <v>43.948999999999998</v>
      </c>
      <c r="C346" s="767">
        <f>IF(ISNA(VLOOKUP(A346,'TB-22'!A:C,3,0)),0,VLOOKUP(A346,'TB-22'!A:C,3,0))</f>
        <v>0</v>
      </c>
      <c r="D346" s="767">
        <f t="shared" si="9"/>
        <v>43.948999999999998</v>
      </c>
      <c r="F346" s="771"/>
      <c r="G346" s="767"/>
      <c r="H346" s="767"/>
      <c r="I346" s="767"/>
      <c r="J346" s="767"/>
      <c r="K346" s="767"/>
      <c r="L346" s="767"/>
    </row>
    <row r="347" spans="1:12" ht="15" customHeight="1">
      <c r="A347" s="771" t="s">
        <v>807</v>
      </c>
      <c r="B347" s="766">
        <f>IF(ISNA(VLOOKUP(A347,'TB-22'!A:C,2,0)),0,VLOOKUP(A347,'TB-22'!A:C,2,0))</f>
        <v>809.87900000000002</v>
      </c>
      <c r="C347" s="767">
        <f>IF(ISNA(VLOOKUP(A347,'TB-22'!A:C,3,0)),0,VLOOKUP(A347,'TB-22'!A:C,3,0))</f>
        <v>0</v>
      </c>
      <c r="D347" s="767">
        <f>+B347-C347</f>
        <v>809.87900000000002</v>
      </c>
      <c r="F347" s="791">
        <f>SUM(D267:D347)</f>
        <v>94696.741389999966</v>
      </c>
    </row>
    <row r="348" spans="1:12" ht="15" customHeight="1">
      <c r="D348" s="767">
        <f t="shared" si="9"/>
        <v>0</v>
      </c>
    </row>
    <row r="349" spans="1:12" ht="15" customHeight="1">
      <c r="A349" s="760" t="s">
        <v>1464</v>
      </c>
      <c r="B349" s="761"/>
      <c r="C349" s="761"/>
      <c r="D349" s="761">
        <f t="shared" si="9"/>
        <v>0</v>
      </c>
    </row>
    <row r="350" spans="1:12" ht="15" customHeight="1">
      <c r="A350" s="763" t="s">
        <v>142</v>
      </c>
      <c r="B350" s="766"/>
      <c r="D350" s="767">
        <f t="shared" si="9"/>
        <v>0</v>
      </c>
    </row>
    <row r="351" spans="1:12" ht="15" customHeight="1">
      <c r="A351" s="763" t="s">
        <v>1136</v>
      </c>
      <c r="B351" s="766"/>
      <c r="D351" s="767">
        <f t="shared" si="9"/>
        <v>0</v>
      </c>
    </row>
    <row r="352" spans="1:12" ht="15" customHeight="1">
      <c r="A352" s="274" t="s">
        <v>268</v>
      </c>
      <c r="B352" s="766">
        <f>IF(ISNA(VLOOKUP(A352,'TB-22'!A:C,2,0)),0,VLOOKUP(A352,'TB-22'!A:C,2,0))</f>
        <v>28.657689999999999</v>
      </c>
      <c r="C352" s="767">
        <f>IF(ISNA(VLOOKUP(A352,'TB-22'!A:C,3,0)),0,VLOOKUP(A352,'TB-22'!A:C,3,0))</f>
        <v>0</v>
      </c>
      <c r="D352" s="767">
        <f t="shared" si="9"/>
        <v>28.657689999999999</v>
      </c>
    </row>
    <row r="353" spans="1:12" ht="15" customHeight="1">
      <c r="A353" s="274" t="s">
        <v>583</v>
      </c>
      <c r="B353" s="766">
        <f>IF(ISNA(VLOOKUP(A353,'TB-22'!A:C,2,0)),0,VLOOKUP(A353,'TB-22'!A:C,2,0))</f>
        <v>480.76165999999995</v>
      </c>
      <c r="C353" s="767">
        <f>IF(ISNA(VLOOKUP(A353,'TB-22'!A:C,3,0)),0,VLOOKUP(A353,'TB-22'!A:C,3,0))</f>
        <v>0</v>
      </c>
      <c r="D353" s="767">
        <f t="shared" si="9"/>
        <v>480.76165999999995</v>
      </c>
    </row>
    <row r="354" spans="1:12" ht="15" customHeight="1">
      <c r="A354" s="275" t="s">
        <v>1137</v>
      </c>
      <c r="B354" s="766"/>
      <c r="D354" s="767">
        <f t="shared" si="9"/>
        <v>0</v>
      </c>
    </row>
    <row r="355" spans="1:12" ht="15" customHeight="1">
      <c r="A355" s="274" t="s">
        <v>1443</v>
      </c>
      <c r="B355" s="766">
        <f>IF(ISNA(VLOOKUP(A355,'TB-22'!A:C,2,0)),0,VLOOKUP(A355,'TB-22'!A:C,2,0))</f>
        <v>7500</v>
      </c>
      <c r="C355" s="767">
        <f>IF(ISNA(VLOOKUP(A355,'TB-22'!A:C,3,0)),0,VLOOKUP(A355,'TB-22'!A:C,3,0))</f>
        <v>0</v>
      </c>
      <c r="D355" s="767">
        <f t="shared" si="9"/>
        <v>7500</v>
      </c>
    </row>
    <row r="356" spans="1:12" ht="15" customHeight="1">
      <c r="A356" s="792" t="s">
        <v>836</v>
      </c>
      <c r="B356" s="766">
        <f>IF(ISNA(VLOOKUP(A356,'TB-22'!A:C,2,0)),0,VLOOKUP(A356,'TB-22'!A:C,2,0))</f>
        <v>644.96500000000003</v>
      </c>
      <c r="C356" s="767">
        <f>IF(ISNA(VLOOKUP(A356,'TB-22'!A:C,3,0)),0,VLOOKUP(A356,'TB-22'!A:C,3,0))</f>
        <v>0</v>
      </c>
      <c r="D356" s="767">
        <f t="shared" si="9"/>
        <v>644.96500000000003</v>
      </c>
    </row>
    <row r="357" spans="1:12" ht="15" customHeight="1">
      <c r="A357" s="782"/>
      <c r="B357" s="766"/>
      <c r="D357" s="767">
        <f t="shared" si="9"/>
        <v>0</v>
      </c>
    </row>
    <row r="358" spans="1:12" ht="15" customHeight="1">
      <c r="A358" s="763" t="s">
        <v>554</v>
      </c>
      <c r="B358" s="766"/>
      <c r="D358" s="767">
        <f t="shared" si="9"/>
        <v>0</v>
      </c>
    </row>
    <row r="359" spans="1:12" ht="15" customHeight="1">
      <c r="A359" s="274" t="s">
        <v>427</v>
      </c>
      <c r="B359" s="766">
        <f>IF(ISNA(VLOOKUP(A359,'TB-22'!A:C,2,0)),0,VLOOKUP(A359,'TB-22'!A:C,2,0))</f>
        <v>14.292999999999999</v>
      </c>
      <c r="C359" s="767">
        <f>IF(ISNA(VLOOKUP(A359,'TB-22'!A:C,3,0)),0,VLOOKUP(A359,'TB-22'!A:C,3,0))</f>
        <v>0</v>
      </c>
      <c r="D359" s="767">
        <f t="shared" si="9"/>
        <v>14.292999999999999</v>
      </c>
    </row>
    <row r="360" spans="1:12" ht="15" customHeight="1">
      <c r="A360" s="770" t="s">
        <v>744</v>
      </c>
      <c r="B360" s="766">
        <f>IF(ISNA(VLOOKUP(A360,'TB-22'!A:C,2,0)),0,VLOOKUP(A360,'TB-22'!A:C,2,0))</f>
        <v>4.9589999999999996</v>
      </c>
      <c r="C360" s="767">
        <f>IF(ISNA(VLOOKUP(A360,'TB-22'!A:C,3,0)),0,VLOOKUP(A360,'TB-22'!A:C,3,0))</f>
        <v>0</v>
      </c>
      <c r="D360" s="767">
        <f t="shared" si="9"/>
        <v>4.9589999999999996</v>
      </c>
      <c r="F360" s="764">
        <f>SUM(D352:D360)</f>
        <v>8673.6363500000007</v>
      </c>
    </row>
    <row r="361" spans="1:12" ht="15" customHeight="1">
      <c r="B361" s="766"/>
      <c r="D361" s="767">
        <f t="shared" si="9"/>
        <v>0</v>
      </c>
    </row>
    <row r="362" spans="1:12" ht="15" customHeight="1">
      <c r="A362" s="760" t="s">
        <v>1529</v>
      </c>
      <c r="B362" s="761"/>
      <c r="C362" s="761"/>
      <c r="D362" s="761">
        <f t="shared" si="9"/>
        <v>0</v>
      </c>
    </row>
    <row r="363" spans="1:12" ht="15" customHeight="1">
      <c r="A363" s="793" t="s">
        <v>1531</v>
      </c>
      <c r="B363" s="766"/>
      <c r="D363" s="767">
        <f t="shared" si="9"/>
        <v>0</v>
      </c>
    </row>
    <row r="364" spans="1:12" ht="15" customHeight="1">
      <c r="A364" s="769" t="s">
        <v>1032</v>
      </c>
      <c r="B364" s="766">
        <f>IF(ISNA(VLOOKUP(A364,'TB-22'!A:C,2,0)),0,VLOOKUP(A364,'TB-22'!A:C,2,0))</f>
        <v>0</v>
      </c>
      <c r="C364" s="767">
        <f>IF(ISNA(VLOOKUP(A364,'TB-22'!A:C,3,0)),0,VLOOKUP(A364,'TB-22'!A:C,3,0))</f>
        <v>0</v>
      </c>
      <c r="D364" s="767">
        <f t="shared" si="9"/>
        <v>0</v>
      </c>
    </row>
    <row r="365" spans="1:12" ht="15" customHeight="1">
      <c r="A365" s="793" t="s">
        <v>942</v>
      </c>
      <c r="B365" s="766"/>
      <c r="D365" s="767">
        <f t="shared" si="9"/>
        <v>0</v>
      </c>
    </row>
    <row r="366" spans="1:12" ht="15" customHeight="1">
      <c r="A366" s="794" t="s">
        <v>943</v>
      </c>
      <c r="B366" s="766"/>
      <c r="D366" s="767">
        <f t="shared" si="9"/>
        <v>0</v>
      </c>
    </row>
    <row r="367" spans="1:12" ht="15" customHeight="1">
      <c r="A367" s="792" t="s">
        <v>198</v>
      </c>
      <c r="B367" s="766">
        <f>IF(ISNA(VLOOKUP(A367,'TB-22'!A:C,2,0)),0,VLOOKUP(A367,'TB-22'!A:C,2,0))</f>
        <v>2</v>
      </c>
      <c r="C367" s="767">
        <f>IF(ISNA(VLOOKUP(A367,'TB-22'!A:C,3,0)),0,VLOOKUP(A367,'TB-22'!A:C,3,0))</f>
        <v>0</v>
      </c>
      <c r="D367" s="767">
        <f t="shared" si="9"/>
        <v>2</v>
      </c>
      <c r="E367" s="767"/>
      <c r="F367" s="767"/>
      <c r="G367" s="767"/>
      <c r="H367" s="767"/>
      <c r="I367" s="767"/>
      <c r="J367" s="767"/>
      <c r="K367" s="767"/>
      <c r="L367" s="767"/>
    </row>
    <row r="368" spans="1:12" ht="15" customHeight="1">
      <c r="A368" s="770" t="s">
        <v>752</v>
      </c>
      <c r="B368" s="766">
        <f>IF(ISNA(VLOOKUP(A368,'TB-22'!A:C,2,0)),0,VLOOKUP(A368,'TB-22'!A:C,2,0))</f>
        <v>629.90899999999999</v>
      </c>
      <c r="C368" s="767">
        <f>IF(ISNA(VLOOKUP(A368,'TB-22'!A:C,3,0)),0,VLOOKUP(A368,'TB-22'!A:C,3,0))</f>
        <v>0</v>
      </c>
      <c r="D368" s="767">
        <f t="shared" si="9"/>
        <v>629.90899999999999</v>
      </c>
      <c r="E368" s="767"/>
      <c r="F368" s="767"/>
      <c r="G368" s="767"/>
      <c r="H368" s="767"/>
      <c r="I368" s="767"/>
      <c r="J368" s="767"/>
      <c r="K368" s="767"/>
      <c r="L368" s="767"/>
    </row>
    <row r="369" spans="1:12" ht="15" customHeight="1">
      <c r="A369" s="770" t="s">
        <v>1122</v>
      </c>
      <c r="B369" s="766">
        <f>IF(ISNA(VLOOKUP(A369,'TB-22'!A:C,2,0)),0,VLOOKUP(A369,'TB-22'!A:C,2,0))</f>
        <v>85.97</v>
      </c>
      <c r="C369" s="767">
        <f>IF(ISNA(VLOOKUP(A369,'TB-22'!A:C,3,0)),0,VLOOKUP(A369,'TB-22'!A:C,3,0))</f>
        <v>0</v>
      </c>
      <c r="D369" s="767">
        <f t="shared" si="9"/>
        <v>85.97</v>
      </c>
      <c r="E369" s="767"/>
      <c r="F369" s="767"/>
      <c r="G369" s="767"/>
      <c r="H369" s="767"/>
      <c r="I369" s="767"/>
      <c r="J369" s="767"/>
      <c r="K369" s="767"/>
      <c r="L369" s="767"/>
    </row>
    <row r="370" spans="1:12" ht="15" customHeight="1">
      <c r="A370" s="794" t="s">
        <v>944</v>
      </c>
      <c r="B370" s="766">
        <f>IF(ISNA(VLOOKUP(A370,'TB-22'!A:C,2,0)),0,VLOOKUP(A370,'TB-22'!A:C,2,0))</f>
        <v>0</v>
      </c>
      <c r="C370" s="767">
        <f>IF(ISNA(VLOOKUP(A370,'TB-22'!A:C,3,0)),0,VLOOKUP(A370,'TB-22'!A:C,3,0))</f>
        <v>0</v>
      </c>
      <c r="D370" s="767">
        <f t="shared" si="9"/>
        <v>0</v>
      </c>
      <c r="E370" s="767"/>
      <c r="F370" s="767"/>
      <c r="G370" s="767"/>
      <c r="H370" s="767"/>
      <c r="I370" s="767"/>
      <c r="J370" s="767"/>
      <c r="K370" s="767"/>
      <c r="L370" s="767"/>
    </row>
    <row r="371" spans="1:12" ht="15" customHeight="1">
      <c r="A371" s="782" t="s">
        <v>582</v>
      </c>
      <c r="B371" s="766">
        <f>IF(ISNA(VLOOKUP(A371,'TB-22'!A:C,2,0)),0,VLOOKUP(A371,'TB-22'!A:C,2,0))</f>
        <v>8961.4850000000006</v>
      </c>
      <c r="C371" s="767">
        <f>IF(ISNA(VLOOKUP(A371,'TB-22'!A:C,3,0)),0,VLOOKUP(A371,'TB-22'!A:C,3,0))</f>
        <v>0</v>
      </c>
      <c r="D371" s="767">
        <f t="shared" si="9"/>
        <v>8961.4850000000006</v>
      </c>
      <c r="E371" s="767"/>
      <c r="F371" s="767"/>
      <c r="G371" s="767"/>
      <c r="H371" s="767"/>
      <c r="I371" s="767"/>
      <c r="J371" s="767"/>
      <c r="K371" s="767"/>
      <c r="L371" s="767"/>
    </row>
    <row r="372" spans="1:12" ht="15" customHeight="1">
      <c r="A372" s="771" t="s">
        <v>1173</v>
      </c>
      <c r="B372" s="766">
        <f>IF(ISNA(VLOOKUP(A372,'TB-22'!A:C,2,0)),0,VLOOKUP(A372,'TB-22'!A:C,2,0))</f>
        <v>30</v>
      </c>
      <c r="C372" s="767">
        <f>IF(ISNA(VLOOKUP(A372,'TB-22'!A:C,3,0)),0,VLOOKUP(A372,'TB-22'!A:C,3,0))</f>
        <v>0</v>
      </c>
      <c r="D372" s="767">
        <f t="shared" si="9"/>
        <v>30</v>
      </c>
      <c r="E372" s="767"/>
      <c r="F372" s="767"/>
      <c r="G372" s="767"/>
      <c r="H372" s="767"/>
      <c r="I372" s="767"/>
      <c r="J372" s="767"/>
      <c r="K372" s="767"/>
      <c r="L372" s="767"/>
    </row>
    <row r="373" spans="1:12" ht="15" customHeight="1">
      <c r="A373" s="793" t="s">
        <v>992</v>
      </c>
      <c r="B373" s="766">
        <f>IF(ISNA(VLOOKUP(A373,'TB-22'!A:C,2,0)),0,VLOOKUP(A373,'TB-22'!A:C,2,0))</f>
        <v>0</v>
      </c>
      <c r="C373" s="767">
        <f>IF(ISNA(VLOOKUP(A373,'TB-22'!A:C,3,0)),0,VLOOKUP(A373,'TB-22'!A:C,3,0))</f>
        <v>0</v>
      </c>
      <c r="D373" s="767">
        <f t="shared" si="9"/>
        <v>0</v>
      </c>
    </row>
    <row r="374" spans="1:12" ht="15" customHeight="1">
      <c r="A374" s="771" t="s">
        <v>1259</v>
      </c>
      <c r="B374" s="766">
        <f>IF(ISNA(VLOOKUP(A374,'TB-22'!A:C,2,0)),0,VLOOKUP(A374,'TB-22'!A:C,2,0))</f>
        <v>3000</v>
      </c>
      <c r="C374" s="767">
        <f>IF(ISNA(VLOOKUP(A374,'TB-22'!A:C,3,0)),0,VLOOKUP(A374,'TB-22'!A:C,3,0))</f>
        <v>0</v>
      </c>
      <c r="D374" s="767">
        <f t="shared" si="9"/>
        <v>3000</v>
      </c>
    </row>
    <row r="375" spans="1:12" ht="15" customHeight="1">
      <c r="A375" s="795" t="s">
        <v>1537</v>
      </c>
      <c r="B375" s="766">
        <f>IF(ISNA(VLOOKUP(A375,'TB-22'!A:C,2,0)),0,VLOOKUP(A375,'TB-22'!A:C,2,0))</f>
        <v>1.6379999999999999</v>
      </c>
      <c r="C375" s="767">
        <f>IF(ISNA(VLOOKUP(A375,'TB-22'!A:C,3,0)),0,VLOOKUP(A375,'TB-22'!A:C,3,0))</f>
        <v>0</v>
      </c>
      <c r="D375" s="767">
        <f t="shared" si="9"/>
        <v>1.6379999999999999</v>
      </c>
    </row>
    <row r="376" spans="1:12" ht="15" customHeight="1">
      <c r="A376" s="795"/>
      <c r="B376" s="766"/>
    </row>
    <row r="377" spans="1:12" ht="15" customHeight="1">
      <c r="A377" s="792" t="s">
        <v>1365</v>
      </c>
      <c r="B377" s="766">
        <f>IF(ISNA(VLOOKUP(A377,'TB-22'!A:C,2,0)),0,VLOOKUP(A377,'TB-22'!A:C,2,0))</f>
        <v>558.83276000000001</v>
      </c>
      <c r="C377" s="767">
        <f>IF(ISNA(VLOOKUP(A377,'TB-22'!A:C,3,0)),0,VLOOKUP(A377,'TB-22'!A:C,3,0))</f>
        <v>0</v>
      </c>
      <c r="D377" s="767">
        <f t="shared" ref="D377:D447" si="10">+B377-C377</f>
        <v>558.83276000000001</v>
      </c>
    </row>
    <row r="378" spans="1:12" ht="15" customHeight="1">
      <c r="A378" s="792" t="s">
        <v>1177</v>
      </c>
      <c r="B378" s="766">
        <f>IF(ISNA(VLOOKUP(A378,'TB-22'!A:C,2,0)),0,VLOOKUP(A378,'TB-22'!A:C,2,0))</f>
        <v>72.050160000000005</v>
      </c>
      <c r="C378" s="767">
        <f>IF(ISNA(VLOOKUP(A378,'TB-22'!A:C,3,0)),0,VLOOKUP(A378,'TB-22'!A:C,3,0))</f>
        <v>0</v>
      </c>
      <c r="D378" s="767">
        <f t="shared" si="10"/>
        <v>72.050160000000005</v>
      </c>
    </row>
    <row r="379" spans="1:12" ht="15" customHeight="1">
      <c r="A379" s="792" t="s">
        <v>1364</v>
      </c>
      <c r="B379" s="766">
        <f>IF(ISNA(VLOOKUP(A379,'TB-22'!A:C,2,0)),0,VLOOKUP(A379,'TB-22'!A:C,2,0))</f>
        <v>4.8712700000000009</v>
      </c>
      <c r="C379" s="767">
        <f>IF(ISNA(VLOOKUP(A379,'TB-22'!A:C,3,0)),0,VLOOKUP(A379,'TB-22'!A:C,3,0))</f>
        <v>0</v>
      </c>
      <c r="D379" s="767">
        <f t="shared" si="10"/>
        <v>4.8712700000000009</v>
      </c>
    </row>
    <row r="380" spans="1:12" ht="15" customHeight="1">
      <c r="A380" s="771"/>
      <c r="B380" s="766"/>
      <c r="D380" s="767">
        <f t="shared" si="10"/>
        <v>0</v>
      </c>
    </row>
    <row r="381" spans="1:12" ht="15" customHeight="1">
      <c r="A381" s="792" t="s">
        <v>755</v>
      </c>
      <c r="B381" s="766">
        <f>IF(ISNA(VLOOKUP(A381,'TB-22'!A:C,2,0)),0,VLOOKUP(A381,'TB-22'!A:C,2,0))</f>
        <v>45.851550000000003</v>
      </c>
      <c r="C381" s="767">
        <f>IF(ISNA(VLOOKUP(A381,'TB-22'!A:C,3,0)),0,VLOOKUP(A381,'TB-22'!A:C,3,0))</f>
        <v>0</v>
      </c>
      <c r="D381" s="767">
        <f t="shared" si="10"/>
        <v>45.851550000000003</v>
      </c>
    </row>
    <row r="382" spans="1:12" ht="15" customHeight="1">
      <c r="A382" s="792" t="s">
        <v>1100</v>
      </c>
      <c r="B382" s="766">
        <f>IF(ISNA(VLOOKUP(A382,'TB-22'!A:C,2,0)),0,VLOOKUP(A382,'TB-22'!A:C,2,0))</f>
        <v>4109.72</v>
      </c>
      <c r="C382" s="767">
        <f>IF(ISNA(VLOOKUP(A382,'TB-22'!A:C,3,0)),0,VLOOKUP(A382,'TB-22'!A:C,3,0))</f>
        <v>0</v>
      </c>
      <c r="D382" s="767">
        <f t="shared" si="10"/>
        <v>4109.72</v>
      </c>
    </row>
    <row r="383" spans="1:12" ht="15" customHeight="1">
      <c r="A383" s="792" t="s">
        <v>1101</v>
      </c>
      <c r="B383" s="766">
        <f>IF(ISNA(VLOOKUP(A383,'TB-22'!A:C,2,0)),0,VLOOKUP(A383,'TB-22'!A:C,2,0))</f>
        <v>172.15899999999999</v>
      </c>
      <c r="C383" s="767">
        <f>IF(ISNA(VLOOKUP(A383,'TB-22'!A:C,3,0)),0,VLOOKUP(A383,'TB-22'!A:C,3,0))</f>
        <v>0</v>
      </c>
      <c r="D383" s="767">
        <f t="shared" si="10"/>
        <v>172.15899999999999</v>
      </c>
    </row>
    <row r="384" spans="1:12" ht="15" customHeight="1">
      <c r="A384" s="792" t="s">
        <v>1104</v>
      </c>
      <c r="B384" s="766">
        <f>IF(ISNA(VLOOKUP(A384,'TB-22'!A:C,2,0)),0,VLOOKUP(A384,'TB-22'!A:C,2,0))</f>
        <v>2881.4540000000002</v>
      </c>
      <c r="C384" s="767">
        <f>IF(ISNA(VLOOKUP(A384,'TB-22'!A:C,3,0)),0,VLOOKUP(A384,'TB-22'!A:C,3,0))</f>
        <v>0</v>
      </c>
      <c r="D384" s="767">
        <f t="shared" si="10"/>
        <v>2881.4540000000002</v>
      </c>
    </row>
    <row r="385" spans="1:7" ht="15" customHeight="1">
      <c r="A385" s="792" t="s">
        <v>1058</v>
      </c>
      <c r="B385" s="766">
        <f>IF(ISNA(VLOOKUP(A385,'TB-22'!A:C,2,0)),0,VLOOKUP(A385,'TB-22'!A:C,2,0))</f>
        <v>2444.0439999999999</v>
      </c>
      <c r="C385" s="767">
        <f>IF(ISNA(VLOOKUP(A385,'TB-22'!A:C,3,0)),0,VLOOKUP(A385,'TB-22'!A:C,3,0))</f>
        <v>0</v>
      </c>
      <c r="D385" s="767">
        <f t="shared" si="10"/>
        <v>2444.0439999999999</v>
      </c>
    </row>
    <row r="386" spans="1:7" ht="15" customHeight="1">
      <c r="A386" s="792" t="s">
        <v>1059</v>
      </c>
      <c r="B386" s="766">
        <f>IF(ISNA(VLOOKUP(A386,'TB-22'!A:C,2,0)),0,VLOOKUP(A386,'TB-22'!A:C,2,0))</f>
        <v>2598.6489999999999</v>
      </c>
      <c r="C386" s="767">
        <f>IF(ISNA(VLOOKUP(A386,'TB-22'!A:C,3,0)),0,VLOOKUP(A386,'TB-22'!A:C,3,0))</f>
        <v>0</v>
      </c>
      <c r="D386" s="767">
        <f t="shared" si="10"/>
        <v>2598.6489999999999</v>
      </c>
    </row>
    <row r="387" spans="1:7" ht="15" customHeight="1">
      <c r="A387" s="769"/>
      <c r="B387" s="766"/>
      <c r="D387" s="767">
        <f t="shared" si="10"/>
        <v>0</v>
      </c>
    </row>
    <row r="388" spans="1:7" ht="15" customHeight="1">
      <c r="A388" s="792" t="s">
        <v>801</v>
      </c>
      <c r="B388" s="766">
        <f>IF(ISNA(VLOOKUP(A388,'TB-22'!A:C,2,0)),0,VLOOKUP(A388,'TB-22'!A:C,2,0))</f>
        <v>352.32781</v>
      </c>
      <c r="C388" s="767">
        <f>IF(ISNA(VLOOKUP(A388,'TB-22'!A:C,3,0)),0,VLOOKUP(A388,'TB-22'!A:C,3,0))</f>
        <v>0</v>
      </c>
      <c r="D388" s="767">
        <f t="shared" si="10"/>
        <v>352.32781</v>
      </c>
    </row>
    <row r="389" spans="1:7" ht="15" customHeight="1">
      <c r="A389" s="792" t="s">
        <v>1069</v>
      </c>
      <c r="B389" s="766">
        <f>IF(ISNA(VLOOKUP(A389,'TB-22'!A:C,2,0)),0,VLOOKUP(A389,'TB-22'!A:C,2,0))</f>
        <v>0</v>
      </c>
      <c r="C389" s="767">
        <f>IF(ISNA(VLOOKUP(A389,'TB-22'!A:C,3,0)),0,VLOOKUP(A389,'TB-22'!A:C,3,0))</f>
        <v>0</v>
      </c>
      <c r="D389" s="767">
        <f t="shared" si="10"/>
        <v>0</v>
      </c>
    </row>
    <row r="390" spans="1:7" ht="15" customHeight="1">
      <c r="A390" s="792" t="s">
        <v>802</v>
      </c>
      <c r="B390" s="766">
        <f>IF(ISNA(VLOOKUP(A390,'TB-22'!A:C,2,0)),0,VLOOKUP(A390,'TB-22'!A:C,2,0))</f>
        <v>352.32781</v>
      </c>
      <c r="C390" s="767">
        <f>IF(ISNA(VLOOKUP(A390,'TB-22'!A:C,3,0)),0,VLOOKUP(A390,'TB-22'!A:C,3,0))</f>
        <v>0</v>
      </c>
      <c r="D390" s="767">
        <f t="shared" si="10"/>
        <v>352.32781</v>
      </c>
    </row>
    <row r="391" spans="1:7" ht="15" customHeight="1">
      <c r="A391" s="770"/>
      <c r="B391" s="766"/>
      <c r="D391" s="767">
        <f t="shared" si="10"/>
        <v>0</v>
      </c>
    </row>
    <row r="392" spans="1:7" ht="15" customHeight="1">
      <c r="A392" s="793" t="s">
        <v>932</v>
      </c>
      <c r="B392" s="766"/>
      <c r="D392" s="767">
        <f t="shared" si="10"/>
        <v>0</v>
      </c>
    </row>
    <row r="393" spans="1:7" ht="15" customHeight="1">
      <c r="A393" s="794" t="s">
        <v>934</v>
      </c>
      <c r="B393" s="766"/>
      <c r="D393" s="767">
        <f t="shared" si="10"/>
        <v>0</v>
      </c>
    </row>
    <row r="394" spans="1:7" ht="15" customHeight="1">
      <c r="A394" s="792" t="s">
        <v>1051</v>
      </c>
      <c r="B394" s="766">
        <f>IF(ISNA(VLOOKUP(A394,'TB-22'!A:C,2,0)),0,VLOOKUP(A394,'TB-22'!A:C,2,0))</f>
        <v>600</v>
      </c>
      <c r="C394" s="767">
        <f>IF(ISNA(VLOOKUP(A394,'TB-22'!A:C,3,0)),0,VLOOKUP(A394,'TB-22'!A:C,3,0))</f>
        <v>0</v>
      </c>
      <c r="D394" s="767">
        <f t="shared" si="10"/>
        <v>600</v>
      </c>
    </row>
    <row r="395" spans="1:7" ht="15" customHeight="1">
      <c r="A395" s="792" t="s">
        <v>1341</v>
      </c>
      <c r="B395" s="766">
        <f>IF(ISNA(VLOOKUP(A395,'TB-22'!A:C,2,0)),0,VLOOKUP(A395,'TB-22'!A:C,2,0))</f>
        <v>16</v>
      </c>
      <c r="C395" s="767">
        <f>IF(ISNA(VLOOKUP(A395,'TB-22'!A:C,3,0)),0,VLOOKUP(A395,'TB-22'!A:C,3,0))</f>
        <v>0</v>
      </c>
      <c r="D395" s="767">
        <f t="shared" si="10"/>
        <v>16</v>
      </c>
    </row>
    <row r="396" spans="1:7" ht="15" customHeight="1">
      <c r="A396" s="792" t="s">
        <v>1342</v>
      </c>
      <c r="B396" s="766">
        <f>IF(ISNA(VLOOKUP(A396,'TB-22'!A:C,2,0)),0,VLOOKUP(A396,'TB-22'!A:C,2,0))</f>
        <v>150</v>
      </c>
      <c r="C396" s="767">
        <f>IF(ISNA(VLOOKUP(A396,'TB-22'!A:C,3,0)),0,VLOOKUP(A396,'TB-22'!A:C,3,0))</f>
        <v>0</v>
      </c>
      <c r="D396" s="767">
        <f t="shared" si="10"/>
        <v>150</v>
      </c>
    </row>
    <row r="397" spans="1:7" ht="15" customHeight="1">
      <c r="A397" s="794" t="s">
        <v>975</v>
      </c>
      <c r="B397" s="766"/>
      <c r="D397" s="767">
        <f t="shared" si="10"/>
        <v>0</v>
      </c>
    </row>
    <row r="398" spans="1:7" ht="15" customHeight="1">
      <c r="A398" s="783" t="s">
        <v>1268</v>
      </c>
      <c r="B398" s="766">
        <f>IF(ISNA(VLOOKUP(A398,'TB-22'!A:C,2,0)),0,VLOOKUP(A398,'TB-22'!A:C,2,0))</f>
        <v>100</v>
      </c>
      <c r="C398" s="767">
        <f>IF(ISNA(VLOOKUP(A398,'TB-22'!A:C,3,0)),0,VLOOKUP(A398,'TB-22'!A:C,3,0))</f>
        <v>0</v>
      </c>
      <c r="D398" s="767">
        <f>+B398-C398</f>
        <v>100</v>
      </c>
      <c r="F398" s="771"/>
      <c r="G398" s="776"/>
    </row>
    <row r="399" spans="1:7" ht="15" customHeight="1">
      <c r="A399" s="771" t="s">
        <v>1272</v>
      </c>
      <c r="B399" s="766">
        <f>IF(ISNA(VLOOKUP(A399,'TB-22'!A:C,2,0)),0,VLOOKUP(A399,'TB-22'!A:C,2,0))</f>
        <v>500</v>
      </c>
      <c r="C399" s="767">
        <f>IF(ISNA(VLOOKUP(A399,'TB-22'!A:C,3,0)),0,VLOOKUP(A399,'TB-22'!A:C,3,0))</f>
        <v>0</v>
      </c>
      <c r="D399" s="767">
        <f>+B399-C399</f>
        <v>500</v>
      </c>
      <c r="F399" s="771"/>
      <c r="G399" s="776"/>
    </row>
    <row r="400" spans="1:7" ht="15" customHeight="1">
      <c r="A400" s="796" t="s">
        <v>1185</v>
      </c>
      <c r="B400" s="766"/>
      <c r="D400" s="767">
        <f t="shared" si="10"/>
        <v>0</v>
      </c>
      <c r="G400" s="776"/>
    </row>
    <row r="401" spans="1:7" ht="15" customHeight="1">
      <c r="A401" s="771" t="s">
        <v>1416</v>
      </c>
      <c r="B401" s="766">
        <f>IF(ISNA(VLOOKUP(A401,'TB-22'!A:C,2,0)),0,VLOOKUP(A401,'TB-22'!A:C,2,0))</f>
        <v>56</v>
      </c>
      <c r="C401" s="767">
        <f>IF(ISNA(VLOOKUP(A401,'TB-22'!A:C,3,0)),0,VLOOKUP(A401,'TB-22'!A:C,3,0))</f>
        <v>0</v>
      </c>
      <c r="D401" s="767">
        <f t="shared" ref="D401:D428" si="11">+B401-C401</f>
        <v>56</v>
      </c>
    </row>
    <row r="402" spans="1:7" ht="15" customHeight="1">
      <c r="A402" s="771" t="s">
        <v>1396</v>
      </c>
      <c r="B402" s="766">
        <f>IF(ISNA(VLOOKUP(A402,'TB-22'!A:C,2,0)),0,VLOOKUP(A402,'TB-22'!A:C,2,0))</f>
        <v>167.54</v>
      </c>
      <c r="C402" s="767">
        <f>IF(ISNA(VLOOKUP(A402,'TB-22'!A:C,3,0)),0,VLOOKUP(A402,'TB-22'!A:C,3,0))</f>
        <v>0</v>
      </c>
      <c r="D402" s="767">
        <f t="shared" si="11"/>
        <v>167.54</v>
      </c>
    </row>
    <row r="403" spans="1:7" ht="15" customHeight="1">
      <c r="A403" s="771" t="s">
        <v>1262</v>
      </c>
      <c r="B403" s="766">
        <f>IF(ISNA(VLOOKUP(A403,'TB-22'!A:C,2,0)),0,VLOOKUP(A403,'TB-22'!A:C,2,0))</f>
        <v>438.02</v>
      </c>
      <c r="C403" s="767">
        <f>IF(ISNA(VLOOKUP(A403,'TB-22'!A:C,3,0)),0,VLOOKUP(A403,'TB-22'!A:C,3,0))</f>
        <v>0</v>
      </c>
      <c r="D403" s="767">
        <f t="shared" si="11"/>
        <v>438.02</v>
      </c>
      <c r="F403" s="771"/>
      <c r="G403" s="776"/>
    </row>
    <row r="404" spans="1:7" ht="15" customHeight="1">
      <c r="A404" s="771" t="s">
        <v>1270</v>
      </c>
      <c r="B404" s="766">
        <f>IF(ISNA(VLOOKUP(A404,'TB-22'!A:C,2,0)),0,VLOOKUP(A404,'TB-22'!A:C,2,0))</f>
        <v>0.72</v>
      </c>
      <c r="C404" s="767">
        <f>IF(ISNA(VLOOKUP(A404,'TB-22'!A:C,3,0)),0,VLOOKUP(A404,'TB-22'!A:C,3,0))</f>
        <v>0</v>
      </c>
      <c r="D404" s="767">
        <f t="shared" si="11"/>
        <v>0.72</v>
      </c>
      <c r="F404" s="771"/>
      <c r="G404" s="776"/>
    </row>
    <row r="405" spans="1:7" ht="15" customHeight="1">
      <c r="A405" s="771" t="s">
        <v>1156</v>
      </c>
      <c r="B405" s="766">
        <f>IF(ISNA(VLOOKUP(A405,'TB-22'!A:C,2,0)),0,VLOOKUP(A405,'TB-22'!A:C,2,0))</f>
        <v>12.2</v>
      </c>
      <c r="C405" s="767">
        <f>IF(ISNA(VLOOKUP(A405,'TB-22'!A:C,3,0)),0,VLOOKUP(A405,'TB-22'!A:C,3,0))</f>
        <v>0</v>
      </c>
      <c r="D405" s="767">
        <f t="shared" si="11"/>
        <v>12.2</v>
      </c>
      <c r="F405" s="771"/>
      <c r="G405" s="776"/>
    </row>
    <row r="406" spans="1:7" ht="15" customHeight="1">
      <c r="A406" s="771" t="s">
        <v>1274</v>
      </c>
      <c r="B406" s="766">
        <f>IF(ISNA(VLOOKUP(A406,'TB-22'!A:C,2,0)),0,VLOOKUP(A406,'TB-22'!A:C,2,0))</f>
        <v>0.33900000000000002</v>
      </c>
      <c r="C406" s="767">
        <f>IF(ISNA(VLOOKUP(A406,'TB-22'!A:C,3,0)),0,VLOOKUP(A406,'TB-22'!A:C,3,0))</f>
        <v>0</v>
      </c>
      <c r="D406" s="767">
        <f t="shared" si="11"/>
        <v>0.33900000000000002</v>
      </c>
      <c r="F406" s="771"/>
      <c r="G406" s="776"/>
    </row>
    <row r="407" spans="1:7" ht="15" customHeight="1">
      <c r="A407" s="782" t="s">
        <v>1038</v>
      </c>
      <c r="B407" s="766">
        <f>IF(ISNA(VLOOKUP(A407,'TB-22'!A:C,2,0)),0,VLOOKUP(A407,'TB-22'!A:C,2,0))</f>
        <v>0</v>
      </c>
      <c r="C407" s="767">
        <f>IF(ISNA(VLOOKUP(A407,'TB-22'!A:C,3,0)),0,VLOOKUP(A407,'TB-22'!A:C,3,0))</f>
        <v>0</v>
      </c>
      <c r="D407" s="767">
        <f t="shared" si="11"/>
        <v>0</v>
      </c>
      <c r="F407" s="764">
        <f>SUM(D343:D407)</f>
        <v>38007.244709999999</v>
      </c>
    </row>
    <row r="408" spans="1:7" ht="15" customHeight="1">
      <c r="A408" s="771" t="s">
        <v>1300</v>
      </c>
      <c r="B408" s="766">
        <f>IF(ISNA(VLOOKUP(A408,'TB-22'!A:C,2,0)),0,VLOOKUP(A408,'TB-22'!A:C,2,0))</f>
        <v>8.1000000000000003E-2</v>
      </c>
      <c r="C408" s="767">
        <f>IF(ISNA(VLOOKUP(A408,'TB-22'!A:C,3,0)),0,VLOOKUP(A408,'TB-22'!A:C,3,0))</f>
        <v>0</v>
      </c>
      <c r="D408" s="767">
        <f t="shared" si="11"/>
        <v>8.1000000000000003E-2</v>
      </c>
      <c r="F408" s="771"/>
    </row>
    <row r="409" spans="1:7" ht="15" customHeight="1">
      <c r="A409" s="782" t="s">
        <v>1302</v>
      </c>
      <c r="B409" s="766">
        <f>IF(ISNA(VLOOKUP(A409,'TB-22'!A:C,2,0)),0,VLOOKUP(A409,'TB-22'!A:C,2,0))</f>
        <v>1.7</v>
      </c>
      <c r="C409" s="767">
        <f>IF(ISNA(VLOOKUP(A409,'TB-22'!A:C,3,0)),0,VLOOKUP(A409,'TB-22'!A:C,3,0))</f>
        <v>0</v>
      </c>
      <c r="D409" s="767">
        <f t="shared" si="11"/>
        <v>1.7</v>
      </c>
    </row>
    <row r="410" spans="1:7" ht="15" customHeight="1">
      <c r="A410" s="782" t="s">
        <v>1102</v>
      </c>
      <c r="B410" s="766">
        <f>IF(ISNA(VLOOKUP(A410,'TB-22'!A:C,2,0)),0,VLOOKUP(A410,'TB-22'!A:C,2,0))</f>
        <v>3.42</v>
      </c>
      <c r="C410" s="767">
        <f>IF(ISNA(VLOOKUP(A410,'TB-22'!A:C,3,0)),0,VLOOKUP(A410,'TB-22'!A:C,3,0))</f>
        <v>0</v>
      </c>
      <c r="D410" s="767">
        <f t="shared" si="11"/>
        <v>3.42</v>
      </c>
    </row>
    <row r="411" spans="1:7" ht="15" customHeight="1">
      <c r="A411" s="771" t="s">
        <v>1309</v>
      </c>
      <c r="B411" s="766">
        <f>IF(ISNA(VLOOKUP(A411,'TB-22'!A:C,2,0)),0,VLOOKUP(A411,'TB-22'!A:C,2,0))</f>
        <v>12.797000000000001</v>
      </c>
      <c r="C411" s="767">
        <f>IF(ISNA(VLOOKUP(A411,'TB-22'!A:C,3,0)),0,VLOOKUP(A411,'TB-22'!A:C,3,0))</f>
        <v>0</v>
      </c>
      <c r="D411" s="767">
        <f t="shared" si="11"/>
        <v>12.797000000000001</v>
      </c>
      <c r="F411" s="771"/>
      <c r="G411" s="776"/>
    </row>
    <row r="412" spans="1:7" ht="15" customHeight="1">
      <c r="A412" s="771" t="s">
        <v>1162</v>
      </c>
      <c r="B412" s="766">
        <f>IF(ISNA(VLOOKUP(A412,'TB-22'!A:C,2,0)),0,VLOOKUP(A412,'TB-22'!A:C,2,0))</f>
        <v>31.785</v>
      </c>
      <c r="C412" s="767">
        <f>IF(ISNA(VLOOKUP(A412,'TB-22'!A:C,3,0)),0,VLOOKUP(A412,'TB-22'!A:C,3,0))</f>
        <v>0</v>
      </c>
      <c r="D412" s="767">
        <f t="shared" si="11"/>
        <v>31.785</v>
      </c>
      <c r="F412" s="771"/>
      <c r="G412" s="776"/>
    </row>
    <row r="413" spans="1:7" ht="15" customHeight="1">
      <c r="A413" s="771" t="s">
        <v>1320</v>
      </c>
      <c r="B413" s="766">
        <f>IF(ISNA(VLOOKUP(A413,'TB-22'!A:C,2,0)),0,VLOOKUP(A413,'TB-22'!A:C,2,0))</f>
        <v>3.5</v>
      </c>
      <c r="C413" s="767">
        <f>IF(ISNA(VLOOKUP(A413,'TB-22'!A:C,3,0)),0,VLOOKUP(A413,'TB-22'!A:C,3,0))</f>
        <v>0</v>
      </c>
      <c r="D413" s="767">
        <f t="shared" si="11"/>
        <v>3.5</v>
      </c>
      <c r="F413" s="771"/>
      <c r="G413" s="776"/>
    </row>
    <row r="414" spans="1:7" ht="15" customHeight="1">
      <c r="A414" s="771" t="s">
        <v>1167</v>
      </c>
      <c r="B414" s="766">
        <f>IF(ISNA(VLOOKUP(A414,'TB-22'!A:C,2,0)),0,VLOOKUP(A414,'TB-22'!A:C,2,0))</f>
        <v>12.677</v>
      </c>
      <c r="C414" s="767">
        <f>IF(ISNA(VLOOKUP(A414,'TB-22'!A:C,3,0)),0,VLOOKUP(A414,'TB-22'!A:C,3,0))</f>
        <v>0</v>
      </c>
      <c r="D414" s="767">
        <f t="shared" si="11"/>
        <v>12.677</v>
      </c>
      <c r="F414" s="771"/>
      <c r="G414" s="776"/>
    </row>
    <row r="415" spans="1:7" ht="15" customHeight="1">
      <c r="A415" s="771" t="s">
        <v>1527</v>
      </c>
      <c r="B415" s="766">
        <f>IF(ISNA(VLOOKUP(A415,'TB-22'!A:C,2,0)),0,VLOOKUP(A415,'TB-22'!A:C,2,0))</f>
        <v>100</v>
      </c>
      <c r="C415" s="767">
        <f>IF(ISNA(VLOOKUP(A415,'TB-22'!A:C,3,0)),0,VLOOKUP(A415,'TB-22'!A:C,3,0))</f>
        <v>0</v>
      </c>
      <c r="D415" s="767">
        <f t="shared" si="11"/>
        <v>100</v>
      </c>
    </row>
    <row r="416" spans="1:7" ht="15" customHeight="1">
      <c r="A416" s="771" t="s">
        <v>1332</v>
      </c>
      <c r="B416" s="766">
        <f>IF(ISNA(VLOOKUP(A416,'TB-22'!A:C,2,0)),0,VLOOKUP(A416,'TB-22'!A:C,2,0))</f>
        <v>0.34200000000000003</v>
      </c>
      <c r="C416" s="767">
        <f>IF(ISNA(VLOOKUP(A416,'TB-22'!A:C,3,0)),0,VLOOKUP(A416,'TB-22'!A:C,3,0))</f>
        <v>0</v>
      </c>
      <c r="D416" s="767">
        <f t="shared" si="11"/>
        <v>0.34200000000000003</v>
      </c>
      <c r="F416" s="771"/>
    </row>
    <row r="417" spans="1:7" ht="15" customHeight="1">
      <c r="A417" s="771" t="s">
        <v>1343</v>
      </c>
      <c r="B417" s="766">
        <f>IF(ISNA(VLOOKUP(A417,'TB-22'!A:C,2,0)),0,VLOOKUP(A417,'TB-22'!A:C,2,0))</f>
        <v>17.3</v>
      </c>
      <c r="C417" s="767">
        <f>IF(ISNA(VLOOKUP(A417,'TB-22'!A:C,3,0)),0,VLOOKUP(A417,'TB-22'!A:C,3,0))</f>
        <v>0</v>
      </c>
      <c r="D417" s="767">
        <f t="shared" si="11"/>
        <v>17.3</v>
      </c>
      <c r="F417" s="771"/>
      <c r="G417" s="776"/>
    </row>
    <row r="418" spans="1:7" ht="15" customHeight="1">
      <c r="A418" s="779" t="s">
        <v>1450</v>
      </c>
      <c r="B418" s="766">
        <f>IF(ISNA(VLOOKUP(A418,'TB-22'!A:C,2,0)),0,VLOOKUP(A418,'TB-22'!A:C,2,0))</f>
        <v>20</v>
      </c>
      <c r="C418" s="767">
        <f>IF(ISNA(VLOOKUP(A418,'TB-22'!A:C,3,0)),0,VLOOKUP(A418,'TB-22'!A:C,3,0))</f>
        <v>0</v>
      </c>
      <c r="D418" s="767">
        <f t="shared" si="11"/>
        <v>20</v>
      </c>
    </row>
    <row r="419" spans="1:7" ht="15" customHeight="1">
      <c r="A419" s="771" t="s">
        <v>286</v>
      </c>
      <c r="B419" s="766">
        <f>IF(ISNA(VLOOKUP(A419,'TB-22'!A:C,2,0)),0,VLOOKUP(A419,'TB-22'!A:C,2,0))</f>
        <v>20.105</v>
      </c>
      <c r="C419" s="767">
        <f>IF(ISNA(VLOOKUP(A419,'TB-22'!A:C,3,0)),0,VLOOKUP(A419,'TB-22'!A:C,3,0))</f>
        <v>0</v>
      </c>
      <c r="D419" s="767">
        <f t="shared" si="11"/>
        <v>20.105</v>
      </c>
      <c r="F419" s="771"/>
    </row>
    <row r="420" spans="1:7" ht="15" customHeight="1">
      <c r="A420" s="782" t="s">
        <v>624</v>
      </c>
      <c r="B420" s="766">
        <f>IF(ISNA(VLOOKUP(A420,'TB-22'!A:C,2,0)),0,VLOOKUP(A420,'TB-22'!A:C,2,0))</f>
        <v>16.5</v>
      </c>
      <c r="C420" s="767">
        <f>IF(ISNA(VLOOKUP(A420,'TB-22'!A:C,3,0)),0,VLOOKUP(A420,'TB-22'!A:C,3,0))</f>
        <v>0</v>
      </c>
      <c r="D420" s="767">
        <f t="shared" si="11"/>
        <v>16.5</v>
      </c>
    </row>
    <row r="421" spans="1:7" ht="15" customHeight="1">
      <c r="A421" s="779" t="s">
        <v>1452</v>
      </c>
      <c r="B421" s="766">
        <f>IF(ISNA(VLOOKUP(A421,'TB-22'!A:C,2,0)),0,VLOOKUP(A421,'TB-22'!A:C,2,0))</f>
        <v>1.125</v>
      </c>
      <c r="C421" s="767">
        <f>IF(ISNA(VLOOKUP(A421,'TB-22'!A:C,3,0)),0,VLOOKUP(A421,'TB-22'!A:C,3,0))</f>
        <v>0</v>
      </c>
      <c r="D421" s="767">
        <f t="shared" si="11"/>
        <v>1.125</v>
      </c>
    </row>
    <row r="422" spans="1:7" ht="15" customHeight="1">
      <c r="A422" s="771" t="s">
        <v>1349</v>
      </c>
      <c r="B422" s="766">
        <f>IF(ISNA(VLOOKUP(A422,'TB-22'!A:C,2,0)),0,VLOOKUP(A422,'TB-22'!A:C,2,0))</f>
        <v>231.66200000000001</v>
      </c>
      <c r="C422" s="767">
        <f>IF(ISNA(VLOOKUP(A422,'TB-22'!A:C,3,0)),0,VLOOKUP(A422,'TB-22'!A:C,3,0))</f>
        <v>0</v>
      </c>
      <c r="D422" s="767">
        <f t="shared" si="11"/>
        <v>231.66200000000001</v>
      </c>
      <c r="F422" s="771"/>
    </row>
    <row r="423" spans="1:7" ht="15" customHeight="1">
      <c r="A423" s="771" t="s">
        <v>1352</v>
      </c>
      <c r="B423" s="766">
        <f>IF(ISNA(VLOOKUP(A423,'TB-22'!A:C,2,0)),0,VLOOKUP(A423,'TB-22'!A:C,2,0))</f>
        <v>2.4449999999999998</v>
      </c>
      <c r="C423" s="767">
        <f>IF(ISNA(VLOOKUP(A423,'TB-22'!A:C,3,0)),0,VLOOKUP(A423,'TB-22'!A:C,3,0))</f>
        <v>0</v>
      </c>
      <c r="D423" s="767">
        <f t="shared" si="11"/>
        <v>2.4449999999999998</v>
      </c>
      <c r="F423" s="771"/>
      <c r="G423" s="776"/>
    </row>
    <row r="424" spans="1:7" ht="15" customHeight="1">
      <c r="A424" s="771" t="s">
        <v>1178</v>
      </c>
      <c r="B424" s="766">
        <f>IF(ISNA(VLOOKUP(A424,'TB-22'!A:C,2,0)),0,VLOOKUP(A424,'TB-22'!A:C,2,0))</f>
        <v>9</v>
      </c>
      <c r="C424" s="767">
        <f>IF(ISNA(VLOOKUP(A424,'TB-22'!A:C,3,0)),0,VLOOKUP(A424,'TB-22'!A:C,3,0))</f>
        <v>0</v>
      </c>
      <c r="D424" s="767">
        <f t="shared" si="11"/>
        <v>9</v>
      </c>
      <c r="F424" s="771"/>
      <c r="G424" s="776"/>
    </row>
    <row r="425" spans="1:7" ht="15" customHeight="1">
      <c r="A425" s="771" t="s">
        <v>1183</v>
      </c>
      <c r="B425" s="766">
        <f>IF(ISNA(VLOOKUP(A425,'TB-22'!A:C,2,0)),0,VLOOKUP(A425,'TB-22'!A:C,2,0))</f>
        <v>120</v>
      </c>
      <c r="C425" s="767">
        <f>IF(ISNA(VLOOKUP(A425,'TB-22'!A:C,3,0)),0,VLOOKUP(A425,'TB-22'!A:C,3,0))</f>
        <v>0</v>
      </c>
      <c r="D425" s="767">
        <f t="shared" si="11"/>
        <v>120</v>
      </c>
      <c r="F425" s="771"/>
      <c r="G425" s="776"/>
    </row>
    <row r="426" spans="1:7" ht="15" customHeight="1">
      <c r="A426" s="783" t="s">
        <v>1427</v>
      </c>
      <c r="B426" s="766">
        <f>IF(ISNA(VLOOKUP(A426,'TB-22'!A:C,2,0)),0,VLOOKUP(A426,'TB-22'!A:C,2,0))</f>
        <v>60.710999999999999</v>
      </c>
      <c r="C426" s="767">
        <f>IF(ISNA(VLOOKUP(A426,'TB-22'!A:C,3,0)),0,VLOOKUP(A426,'TB-22'!A:C,3,0))</f>
        <v>0</v>
      </c>
      <c r="D426" s="767">
        <f t="shared" si="11"/>
        <v>60.710999999999999</v>
      </c>
    </row>
    <row r="427" spans="1:7" ht="15" customHeight="1">
      <c r="A427" s="783" t="s">
        <v>1073</v>
      </c>
      <c r="B427" s="766">
        <f>IF(ISNA(VLOOKUP(A427,'TB-22'!A:C,2,0)),0,VLOOKUP(A427,'TB-22'!A:C,2,0))</f>
        <v>1.073</v>
      </c>
      <c r="C427" s="767">
        <f>IF(ISNA(VLOOKUP(A427,'TB-22'!A:C,3,0)),0,VLOOKUP(A427,'TB-22'!A:C,3,0))</f>
        <v>0</v>
      </c>
      <c r="D427" s="767">
        <f t="shared" si="11"/>
        <v>1.073</v>
      </c>
      <c r="F427" s="771"/>
      <c r="G427" s="776"/>
    </row>
    <row r="428" spans="1:7" ht="15" customHeight="1">
      <c r="A428" s="783" t="s">
        <v>1378</v>
      </c>
      <c r="B428" s="766">
        <f>IF(ISNA(VLOOKUP(A428,'TB-22'!A:C,2,0)),0,VLOOKUP(A428,'TB-22'!A:C,2,0))</f>
        <v>80</v>
      </c>
      <c r="C428" s="767">
        <f>IF(ISNA(VLOOKUP(A428,'TB-22'!A:C,3,0)),0,VLOOKUP(A428,'TB-22'!A:C,3,0))</f>
        <v>0</v>
      </c>
      <c r="D428" s="767">
        <f t="shared" si="11"/>
        <v>80</v>
      </c>
      <c r="F428" s="791">
        <f>SUM(D364:D428)</f>
        <v>29090.331359999996</v>
      </c>
      <c r="G428" s="776"/>
    </row>
    <row r="429" spans="1:7" ht="15" customHeight="1">
      <c r="A429" s="274"/>
      <c r="B429" s="766"/>
      <c r="D429" s="767">
        <f t="shared" si="10"/>
        <v>0</v>
      </c>
    </row>
    <row r="430" spans="1:7" ht="15" customHeight="1">
      <c r="A430" s="760" t="s">
        <v>1463</v>
      </c>
      <c r="B430" s="761"/>
      <c r="C430" s="761"/>
      <c r="D430" s="761">
        <f t="shared" si="10"/>
        <v>0</v>
      </c>
    </row>
    <row r="431" spans="1:7" ht="15" customHeight="1">
      <c r="A431" s="763" t="s">
        <v>152</v>
      </c>
      <c r="B431" s="766"/>
      <c r="D431" s="767">
        <f t="shared" si="10"/>
        <v>0</v>
      </c>
    </row>
    <row r="432" spans="1:7" ht="15" customHeight="1">
      <c r="A432" s="792" t="s">
        <v>1127</v>
      </c>
      <c r="B432" s="766">
        <f>IF(ISNA(VLOOKUP(A432,'TB-22'!A:C,2,0)),0,VLOOKUP(A432,'TB-22'!A:C,2,0))</f>
        <v>0</v>
      </c>
      <c r="C432" s="767">
        <f>IF(ISNA(VLOOKUP(A432,'TB-22'!A:C,3,0)),0,VLOOKUP(A432,'TB-22'!A:C,3,0))</f>
        <v>4050.71468</v>
      </c>
      <c r="D432" s="767">
        <f t="shared" si="10"/>
        <v>-4050.71468</v>
      </c>
    </row>
    <row r="433" spans="1:7" ht="15" customHeight="1">
      <c r="A433" s="792" t="s">
        <v>1346</v>
      </c>
      <c r="B433" s="766">
        <f>IF(ISNA(VLOOKUP(A433,'TB-22'!A:C,2,0)),0,VLOOKUP(A433,'TB-22'!A:C,2,0))</f>
        <v>0</v>
      </c>
      <c r="C433" s="767">
        <f>IF(ISNA(VLOOKUP(A433,'TB-22'!A:C,3,0)),0,VLOOKUP(A433,'TB-22'!A:C,3,0))</f>
        <v>41.66019</v>
      </c>
      <c r="D433" s="767">
        <f t="shared" si="10"/>
        <v>-41.66019</v>
      </c>
    </row>
    <row r="434" spans="1:7" ht="15" customHeight="1">
      <c r="A434" s="792" t="s">
        <v>1347</v>
      </c>
      <c r="B434" s="766">
        <f>IF(ISNA(VLOOKUP(A434,'TB-22'!A:C,2,0)),0,VLOOKUP(A434,'TB-22'!A:C,2,0))</f>
        <v>0</v>
      </c>
      <c r="C434" s="767">
        <f>IF(ISNA(VLOOKUP(A434,'TB-22'!A:C,3,0)),0,VLOOKUP(A434,'TB-22'!A:C,3,0))</f>
        <v>5604.1839300000001</v>
      </c>
      <c r="D434" s="767">
        <f t="shared" si="10"/>
        <v>-5604.1839300000001</v>
      </c>
    </row>
    <row r="435" spans="1:7" ht="15" customHeight="1">
      <c r="A435" s="792" t="s">
        <v>1128</v>
      </c>
      <c r="B435" s="766">
        <f>IF(ISNA(VLOOKUP(A435,'TB-22'!A:C,2,0)),0,VLOOKUP(A435,'TB-22'!A:C,2,0))</f>
        <v>0</v>
      </c>
      <c r="C435" s="767">
        <f>IF(ISNA(VLOOKUP(A435,'TB-22'!A:C,3,0)),0,VLOOKUP(A435,'TB-22'!A:C,3,0))</f>
        <v>442835.22237999999</v>
      </c>
      <c r="D435" s="767">
        <f t="shared" si="10"/>
        <v>-442835.22237999999</v>
      </c>
    </row>
    <row r="436" spans="1:7" ht="15" customHeight="1">
      <c r="A436" s="275"/>
      <c r="B436" s="766"/>
      <c r="D436" s="767">
        <f t="shared" si="10"/>
        <v>0</v>
      </c>
      <c r="G436" s="776"/>
    </row>
    <row r="437" spans="1:7" ht="15" customHeight="1">
      <c r="A437" s="792" t="s">
        <v>272</v>
      </c>
      <c r="B437" s="766">
        <f>IF(ISNA(VLOOKUP(A437,'TB-22'!A:C,2,0)),0,VLOOKUP(A437,'TB-22'!A:C,2,0))</f>
        <v>0</v>
      </c>
      <c r="C437" s="767">
        <f>IF(ISNA(VLOOKUP(A437,'TB-22'!A:C,3,0)),0,VLOOKUP(A437,'TB-22'!A:C,3,0))</f>
        <v>2551.3494999999998</v>
      </c>
      <c r="D437" s="767">
        <f t="shared" si="10"/>
        <v>-2551.3494999999998</v>
      </c>
    </row>
    <row r="438" spans="1:7" ht="15" customHeight="1">
      <c r="A438" s="792" t="s">
        <v>754</v>
      </c>
      <c r="B438" s="766">
        <f>IF(ISNA(VLOOKUP(A438,'TB-22'!A:C,2,0)),0,VLOOKUP(A438,'TB-22'!A:C,2,0))</f>
        <v>0</v>
      </c>
      <c r="C438" s="767">
        <f>IF(ISNA(VLOOKUP(A438,'TB-22'!A:C,3,0)),0,VLOOKUP(A438,'TB-22'!A:C,3,0))</f>
        <v>19.149999999999999</v>
      </c>
      <c r="D438" s="767">
        <f t="shared" si="10"/>
        <v>-19.149999999999999</v>
      </c>
    </row>
    <row r="439" spans="1:7" ht="15" customHeight="1">
      <c r="A439" s="770"/>
      <c r="B439" s="766"/>
      <c r="D439" s="767">
        <f t="shared" si="10"/>
        <v>0</v>
      </c>
    </row>
    <row r="440" spans="1:7" ht="15" customHeight="1">
      <c r="A440" s="792" t="s">
        <v>1125</v>
      </c>
      <c r="B440" s="766">
        <f>IF(ISNA(VLOOKUP(A440,'TB-22'!A:C,2,0)),0,VLOOKUP(A440,'TB-22'!A:C,2,0))</f>
        <v>0</v>
      </c>
      <c r="C440" s="767">
        <f>IF(ISNA(VLOOKUP(A440,'TB-22'!A:C,3,0)),0,VLOOKUP(A440,'TB-22'!A:C,3,0))</f>
        <v>14.55335</v>
      </c>
      <c r="D440" s="767">
        <f t="shared" si="10"/>
        <v>-14.55335</v>
      </c>
    </row>
    <row r="441" spans="1:7" ht="15" customHeight="1">
      <c r="A441" s="792" t="s">
        <v>271</v>
      </c>
      <c r="B441" s="766">
        <f>IF(ISNA(VLOOKUP(A441,'TB-22'!A:C,2,0)),0,VLOOKUP(A441,'TB-22'!A:C,2,0))</f>
        <v>0</v>
      </c>
      <c r="C441" s="767">
        <f>IF(ISNA(VLOOKUP(A441,'TB-22'!A:C,3,0)),0,VLOOKUP(A441,'TB-22'!A:C,3,0))</f>
        <v>26.014060000000001</v>
      </c>
      <c r="D441" s="767">
        <f t="shared" si="10"/>
        <v>-26.014060000000001</v>
      </c>
    </row>
    <row r="442" spans="1:7" ht="15" customHeight="1">
      <c r="A442" s="792"/>
      <c r="B442" s="766"/>
      <c r="D442" s="767">
        <f t="shared" si="10"/>
        <v>0</v>
      </c>
    </row>
    <row r="443" spans="1:7" ht="15" customHeight="1">
      <c r="A443" s="792" t="s">
        <v>766</v>
      </c>
      <c r="B443" s="766">
        <f>IF(ISNA(VLOOKUP(A443,'TB-22'!A:C,2,0)),0,VLOOKUP(A443,'TB-22'!A:C,2,0))</f>
        <v>0</v>
      </c>
      <c r="C443" s="767">
        <f>IF(ISNA(VLOOKUP(A443,'TB-22'!A:C,3,0)),0,VLOOKUP(A443,'TB-22'!A:C,3,0))</f>
        <v>5650.3578799999996</v>
      </c>
      <c r="D443" s="767">
        <f t="shared" si="10"/>
        <v>-5650.3578799999996</v>
      </c>
      <c r="F443" s="764">
        <f>SUM(D432:D443)</f>
        <v>-460793.20597000007</v>
      </c>
    </row>
    <row r="444" spans="1:7" ht="15" customHeight="1">
      <c r="A444" s="770"/>
      <c r="B444" s="766"/>
      <c r="D444" s="767">
        <f t="shared" si="10"/>
        <v>0</v>
      </c>
    </row>
    <row r="445" spans="1:7" ht="15" customHeight="1">
      <c r="A445" s="760" t="s">
        <v>1462</v>
      </c>
      <c r="B445" s="761"/>
      <c r="C445" s="761"/>
      <c r="D445" s="761">
        <f t="shared" si="10"/>
        <v>0</v>
      </c>
    </row>
    <row r="446" spans="1:7" ht="15" customHeight="1">
      <c r="A446" s="763" t="s">
        <v>175</v>
      </c>
      <c r="B446" s="766"/>
      <c r="D446" s="767">
        <f t="shared" si="10"/>
        <v>0</v>
      </c>
    </row>
    <row r="447" spans="1:7" ht="15" customHeight="1">
      <c r="A447" s="770" t="s">
        <v>762</v>
      </c>
      <c r="B447" s="766">
        <f>IF(ISNA(VLOOKUP(A447,'TB-22'!A:C,2,0)),0,VLOOKUP(A447,'TB-22'!A:C,2,0))</f>
        <v>0</v>
      </c>
      <c r="C447" s="767">
        <f>IF(ISNA(VLOOKUP(A447,'TB-22'!A:C,3,0)),0,VLOOKUP(A447,'TB-22'!A:C,3,0))</f>
        <v>365.46</v>
      </c>
      <c r="D447" s="767">
        <f t="shared" si="10"/>
        <v>-365.46</v>
      </c>
    </row>
    <row r="448" spans="1:7" ht="15" customHeight="1">
      <c r="A448" s="770" t="s">
        <v>763</v>
      </c>
      <c r="B448" s="766">
        <f>IF(ISNA(VLOOKUP(A448,'TB-22'!A:C,2,0)),0,VLOOKUP(A448,'TB-22'!A:C,2,0))</f>
        <v>0</v>
      </c>
      <c r="C448" s="767">
        <f>IF(ISNA(VLOOKUP(A448,'TB-22'!A:C,3,0)),0,VLOOKUP(A448,'TB-22'!A:C,3,0))</f>
        <v>25.853999999999999</v>
      </c>
      <c r="D448" s="767">
        <f t="shared" ref="D448:D510" si="12">+B448-C448</f>
        <v>-25.853999999999999</v>
      </c>
    </row>
    <row r="449" spans="1:6" ht="15" customHeight="1">
      <c r="A449" s="797" t="s">
        <v>983</v>
      </c>
      <c r="B449" s="766">
        <f>IF(ISNA(VLOOKUP(A449,'TB-22'!A:C,2,0)),0,VLOOKUP(A449,'TB-22'!A:C,2,0))</f>
        <v>0</v>
      </c>
    </row>
    <row r="450" spans="1:6" ht="15" customHeight="1">
      <c r="A450" s="798" t="s">
        <v>781</v>
      </c>
      <c r="B450" s="766">
        <f>IF(ISNA(VLOOKUP(A450,'TB-22'!A:C,2,0)),0,VLOOKUP(A450,'TB-22'!A:C,2,0))</f>
        <v>0</v>
      </c>
      <c r="C450" s="767">
        <f>IF(ISNA(VLOOKUP(A450,'TB-22'!A:C,3,0)),0,VLOOKUP(A450,'TB-22'!A:C,3,0))</f>
        <v>200</v>
      </c>
      <c r="D450" s="767">
        <f t="shared" si="12"/>
        <v>-200</v>
      </c>
    </row>
    <row r="451" spans="1:6" ht="15" customHeight="1">
      <c r="A451" s="799" t="s">
        <v>720</v>
      </c>
      <c r="B451" s="766">
        <f>IF(ISNA(VLOOKUP(A451,'TB-22'!A:C,2,0)),0,VLOOKUP(A451,'TB-22'!A:C,2,0))</f>
        <v>0</v>
      </c>
      <c r="C451" s="767">
        <f>IF(ISNA(VLOOKUP(A451,'TB-22'!A:C,3,0)),0,VLOOKUP(A451,'TB-22'!A:C,3,0))</f>
        <v>0.21181</v>
      </c>
      <c r="D451" s="767">
        <f>+B451-C451</f>
        <v>-0.21181</v>
      </c>
    </row>
    <row r="452" spans="1:6" ht="15" customHeight="1">
      <c r="A452" s="770" t="s">
        <v>750</v>
      </c>
      <c r="B452" s="766">
        <f>IF(ISNA(VLOOKUP(A452,'TB-22'!A:C,2,0)),0,VLOOKUP(A452,'TB-22'!A:C,2,0))</f>
        <v>0</v>
      </c>
      <c r="C452" s="767">
        <f>IF(ISNA(VLOOKUP(A452,'TB-22'!A:C,3,0)),0,VLOOKUP(A452,'TB-22'!A:C,3,0))</f>
        <v>137.05370000000002</v>
      </c>
      <c r="D452" s="767">
        <f t="shared" si="12"/>
        <v>-137.05370000000002</v>
      </c>
      <c r="F452" s="764">
        <f>SUM(D447:D452)</f>
        <v>-728.57951000000003</v>
      </c>
    </row>
    <row r="453" spans="1:6" ht="15" customHeight="1">
      <c r="B453" s="766"/>
      <c r="D453" s="767">
        <f t="shared" si="12"/>
        <v>0</v>
      </c>
    </row>
    <row r="454" spans="1:6" ht="15" customHeight="1">
      <c r="A454" s="760" t="s">
        <v>1461</v>
      </c>
      <c r="B454" s="761"/>
      <c r="C454" s="761"/>
      <c r="D454" s="761">
        <f t="shared" si="12"/>
        <v>0</v>
      </c>
    </row>
    <row r="455" spans="1:6" ht="15" customHeight="1">
      <c r="A455" s="275" t="s">
        <v>413</v>
      </c>
      <c r="B455" s="766"/>
      <c r="D455" s="767">
        <f t="shared" si="12"/>
        <v>0</v>
      </c>
    </row>
    <row r="456" spans="1:6" ht="15" customHeight="1">
      <c r="A456" s="800" t="s">
        <v>405</v>
      </c>
      <c r="B456" s="766">
        <f>IF(ISNA(VLOOKUP(A456,'TB-22'!A:C,2,0)),0,VLOOKUP(A456,'TB-22'!A:C,2,0))</f>
        <v>362.50099999999998</v>
      </c>
      <c r="C456" s="767">
        <f>IF(ISNA(VLOOKUP(A456,'TB-22'!A:C,3,0)),0,VLOOKUP(A456,'TB-22'!A:C,3,0))</f>
        <v>0</v>
      </c>
      <c r="D456" s="767">
        <f t="shared" si="12"/>
        <v>362.50099999999998</v>
      </c>
    </row>
    <row r="457" spans="1:6" ht="15" customHeight="1">
      <c r="A457" s="770" t="s">
        <v>764</v>
      </c>
      <c r="B457" s="766">
        <f>IF(ISNA(VLOOKUP(A457,'TB-22'!A:C,2,0)),0,VLOOKUP(A457,'TB-22'!A:C,2,0))</f>
        <v>18957.590649999998</v>
      </c>
      <c r="C457" s="767">
        <f>IF(ISNA(VLOOKUP(A457,'TB-22'!A:C,3,0)),0,VLOOKUP(A457,'TB-22'!A:C,3,0))</f>
        <v>0</v>
      </c>
      <c r="D457" s="767">
        <f t="shared" si="12"/>
        <v>18957.590649999998</v>
      </c>
    </row>
    <row r="458" spans="1:6" ht="15" customHeight="1">
      <c r="A458" s="770" t="s">
        <v>765</v>
      </c>
      <c r="B458" s="766">
        <f>IF(ISNA(VLOOKUP(A458,'TB-22'!A:C,2,0)),0,VLOOKUP(A458,'TB-22'!A:C,2,0))</f>
        <v>588.44293000000005</v>
      </c>
      <c r="C458" s="767">
        <f>IF(ISNA(VLOOKUP(A458,'TB-22'!A:C,3,0)),0,VLOOKUP(A458,'TB-22'!A:C,3,0))</f>
        <v>0</v>
      </c>
      <c r="D458" s="767">
        <f t="shared" si="12"/>
        <v>588.44293000000005</v>
      </c>
    </row>
    <row r="459" spans="1:6" ht="15" customHeight="1">
      <c r="A459" s="770" t="s">
        <v>749</v>
      </c>
      <c r="B459" s="766">
        <f>IF(ISNA(VLOOKUP(A459,'TB-22'!A:C,2,0)),0,VLOOKUP(A459,'TB-22'!A:C,2,0))</f>
        <v>234.15</v>
      </c>
      <c r="C459" s="767">
        <f>IF(ISNA(VLOOKUP(A459,'TB-22'!A:C,3,0)),0,VLOOKUP(A459,'TB-22'!A:C,3,0))</f>
        <v>0</v>
      </c>
      <c r="D459" s="767">
        <f t="shared" si="12"/>
        <v>234.15</v>
      </c>
    </row>
    <row r="460" spans="1:6" ht="15" customHeight="1">
      <c r="A460" s="770" t="s">
        <v>784</v>
      </c>
      <c r="B460" s="766">
        <f>IF(ISNA(VLOOKUP(A460,'TB-22'!A:C,2,0)),0,VLOOKUP(A460,'TB-22'!A:C,2,0))</f>
        <v>19.288</v>
      </c>
      <c r="C460" s="767">
        <f>IF(ISNA(VLOOKUP(A460,'TB-22'!A:C,3,0)),0,VLOOKUP(A460,'TB-22'!A:C,3,0))</f>
        <v>0</v>
      </c>
      <c r="D460" s="767">
        <f t="shared" si="12"/>
        <v>19.288</v>
      </c>
    </row>
    <row r="461" spans="1:6" ht="15" customHeight="1">
      <c r="A461" s="770" t="s">
        <v>1158</v>
      </c>
      <c r="B461" s="766">
        <f>IF(ISNA(VLOOKUP(A461,'TB-22'!A:C,2,0)),0,VLOOKUP(A461,'TB-22'!A:C,2,0))</f>
        <v>0</v>
      </c>
      <c r="C461" s="767">
        <f>IF(ISNA(VLOOKUP(A461,'TB-22'!A:C,3,0)),0,VLOOKUP(A461,'TB-22'!A:C,3,0))</f>
        <v>0.80900000000000005</v>
      </c>
      <c r="D461" s="767">
        <f t="shared" si="12"/>
        <v>-0.80900000000000005</v>
      </c>
    </row>
    <row r="462" spans="1:6" ht="15" customHeight="1">
      <c r="A462" s="770" t="s">
        <v>788</v>
      </c>
      <c r="B462" s="766">
        <f>IF(ISNA(VLOOKUP(A462,'TB-22'!A:C,2,0)),0,VLOOKUP(A462,'TB-22'!A:C,2,0))</f>
        <v>12254.653619999999</v>
      </c>
      <c r="C462" s="767">
        <f>IF(ISNA(VLOOKUP(A462,'TB-22'!A:C,3,0)),0,VLOOKUP(A462,'TB-22'!A:C,3,0))</f>
        <v>0</v>
      </c>
      <c r="D462" s="767">
        <f t="shared" si="12"/>
        <v>12254.653619999999</v>
      </c>
    </row>
    <row r="463" spans="1:6" ht="15" customHeight="1">
      <c r="A463" s="800" t="s">
        <v>618</v>
      </c>
      <c r="B463" s="766">
        <f>IF(ISNA(VLOOKUP(A463,'TB-22'!A:C,2,0)),0,VLOOKUP(A463,'TB-22'!A:C,2,0))</f>
        <v>76232.44902</v>
      </c>
      <c r="C463" s="767">
        <f>IF(ISNA(VLOOKUP(A463,'TB-22'!A:C,3,0)),0,VLOOKUP(A463,'TB-22'!A:C,3,0))</f>
        <v>0</v>
      </c>
      <c r="D463" s="767">
        <f t="shared" si="12"/>
        <v>76232.44902</v>
      </c>
    </row>
    <row r="464" spans="1:6" ht="15" customHeight="1">
      <c r="A464" s="770" t="s">
        <v>789</v>
      </c>
      <c r="B464" s="766">
        <f>IF(ISNA(VLOOKUP(A464,'TB-22'!A:C,2,0)),0,VLOOKUP(A464,'TB-22'!A:C,2,0))</f>
        <v>236733.85926</v>
      </c>
      <c r="C464" s="767">
        <f>IF(ISNA(VLOOKUP(A464,'TB-22'!A:C,3,0)),0,VLOOKUP(A464,'TB-22'!A:C,3,0))</f>
        <v>0</v>
      </c>
      <c r="D464" s="767">
        <f t="shared" si="12"/>
        <v>236733.85926</v>
      </c>
    </row>
    <row r="465" spans="1:4" ht="15" customHeight="1">
      <c r="A465" s="789" t="s">
        <v>1226</v>
      </c>
      <c r="B465" s="801">
        <f>'BS Notes'!F195</f>
        <v>11788.946</v>
      </c>
      <c r="C465" s="802">
        <f>IF(ISNA(VLOOKUP(A465,'TB-22'!A:C,3,0)),0,VLOOKUP(A465,'TB-22'!A:C,3,0))</f>
        <v>0</v>
      </c>
      <c r="D465" s="802">
        <f t="shared" si="12"/>
        <v>11788.946</v>
      </c>
    </row>
    <row r="466" spans="1:4" ht="15" customHeight="1">
      <c r="A466" s="789" t="s">
        <v>1227</v>
      </c>
      <c r="B466" s="801">
        <f>IF(ISNA(VLOOKUP(A466,'TB-22'!A:C,2,0)),0,VLOOKUP(A466,'TB-22'!A:C,2,0))</f>
        <v>0</v>
      </c>
      <c r="C466" s="802">
        <f>IF(ISNA(VLOOKUP(A466,'TB-22'!A:C,3,0)),0,VLOOKUP(A466,'TB-22'!A:C,3,0))</f>
        <v>0</v>
      </c>
      <c r="D466" s="802">
        <f t="shared" si="12"/>
        <v>0</v>
      </c>
    </row>
    <row r="467" spans="1:4" ht="15" customHeight="1">
      <c r="A467" s="789" t="s">
        <v>1008</v>
      </c>
      <c r="B467" s="801"/>
      <c r="C467" s="802">
        <f>58174193/1000</f>
        <v>58174.192999999999</v>
      </c>
      <c r="D467" s="802">
        <f t="shared" si="12"/>
        <v>-58174.192999999999</v>
      </c>
    </row>
    <row r="468" spans="1:4" ht="15" customHeight="1">
      <c r="A468" s="789" t="s">
        <v>1009</v>
      </c>
      <c r="B468" s="801"/>
      <c r="C468" s="802">
        <f>IF(ISNA(VLOOKUP(A468,'TB-22'!A:C,3,0)),0,VLOOKUP(A468,'TB-22'!A:C,3,0))</f>
        <v>0</v>
      </c>
      <c r="D468" s="802">
        <f t="shared" si="12"/>
        <v>0</v>
      </c>
    </row>
    <row r="469" spans="1:4" ht="15" customHeight="1">
      <c r="A469" s="770"/>
      <c r="B469" s="766"/>
      <c r="D469" s="767">
        <f t="shared" si="12"/>
        <v>0</v>
      </c>
    </row>
    <row r="470" spans="1:4" ht="15" customHeight="1">
      <c r="A470" s="763" t="s">
        <v>176</v>
      </c>
      <c r="B470" s="766"/>
      <c r="D470" s="767">
        <f t="shared" si="12"/>
        <v>0</v>
      </c>
    </row>
    <row r="471" spans="1:4" ht="15" customHeight="1">
      <c r="A471" s="803" t="s">
        <v>406</v>
      </c>
      <c r="B471" s="766">
        <f>IF(ISNA(VLOOKUP(A471,'TB-22'!A:C,2,0)),0,VLOOKUP(A471,'TB-22'!A:C,2,0))</f>
        <v>1402.32</v>
      </c>
      <c r="C471" s="767">
        <f>IF(ISNA(VLOOKUP(A471,'TB-22'!A:C,3,0)),0,VLOOKUP(A471,'TB-22'!A:C,3,0))</f>
        <v>0</v>
      </c>
      <c r="D471" s="767">
        <f t="shared" si="12"/>
        <v>1402.32</v>
      </c>
    </row>
    <row r="472" spans="1:4" ht="15" customHeight="1">
      <c r="A472" s="803" t="s">
        <v>580</v>
      </c>
      <c r="B472" s="766">
        <f>IF(ISNA(VLOOKUP(A472,'TB-22'!A:C,2,0)),0,VLOOKUP(A472,'TB-22'!A:C,2,0))</f>
        <v>391.51703000000003</v>
      </c>
      <c r="C472" s="767">
        <f>IF(ISNA(VLOOKUP(A472,'TB-22'!A:C,3,0)),0,VLOOKUP(A472,'TB-22'!A:C,3,0))</f>
        <v>0</v>
      </c>
      <c r="D472" s="767">
        <f t="shared" si="12"/>
        <v>391.51703000000003</v>
      </c>
    </row>
    <row r="473" spans="1:4" ht="15" customHeight="1">
      <c r="A473" s="803" t="s">
        <v>632</v>
      </c>
      <c r="B473" s="766">
        <f>IF(ISNA(VLOOKUP(A473,'TB-22'!A:C,2,0)),0,VLOOKUP(A473,'TB-22'!A:C,2,0))</f>
        <v>15.09</v>
      </c>
      <c r="C473" s="767">
        <f>IF(ISNA(VLOOKUP(A473,'TB-22'!A:C,3,0)),0,VLOOKUP(A473,'TB-22'!A:C,3,0))</f>
        <v>0</v>
      </c>
      <c r="D473" s="767">
        <f t="shared" si="12"/>
        <v>15.09</v>
      </c>
    </row>
    <row r="474" spans="1:4" ht="15" customHeight="1">
      <c r="A474" s="274" t="s">
        <v>288</v>
      </c>
      <c r="B474" s="766">
        <f>IF(ISNA(VLOOKUP(A474,'TB-22'!A:C,2,0)),0,VLOOKUP(A474,'TB-22'!A:C,2,0))</f>
        <v>0</v>
      </c>
      <c r="C474" s="767">
        <f>IF(ISNA(VLOOKUP(A474,'TB-22'!A:C,3,0)),0,VLOOKUP(A474,'TB-22'!A:C,3,0))</f>
        <v>0</v>
      </c>
      <c r="D474" s="767">
        <f t="shared" si="12"/>
        <v>0</v>
      </c>
    </row>
    <row r="475" spans="1:4" ht="15" customHeight="1">
      <c r="A475" s="763" t="s">
        <v>635</v>
      </c>
      <c r="B475" s="766"/>
    </row>
    <row r="476" spans="1:4" ht="15" customHeight="1">
      <c r="A476" s="274" t="s">
        <v>177</v>
      </c>
      <c r="B476" s="766">
        <f>IF(ISNA(VLOOKUP(A476,'TB-22'!A:C,2,0)),0,VLOOKUP(A476,'TB-22'!A:C,2,0))</f>
        <v>1080</v>
      </c>
      <c r="C476" s="767">
        <f>IF(ISNA(VLOOKUP(A476,'TB-22'!A:C,3,0)),0,VLOOKUP(A476,'TB-22'!A:C,3,0))</f>
        <v>0</v>
      </c>
      <c r="D476" s="767">
        <f t="shared" si="12"/>
        <v>1080</v>
      </c>
    </row>
    <row r="477" spans="1:4" ht="15" customHeight="1">
      <c r="A477" s="274" t="s">
        <v>619</v>
      </c>
      <c r="B477" s="766">
        <f>IF(ISNA(VLOOKUP(A477,'TB-22'!A:C,2,0)),0,VLOOKUP(A477,'TB-22'!A:C,2,0))</f>
        <v>418.5</v>
      </c>
      <c r="C477" s="767">
        <f>IF(ISNA(VLOOKUP(A477,'TB-22'!A:C,3,0)),0,VLOOKUP(A477,'TB-22'!A:C,3,0))</f>
        <v>0</v>
      </c>
      <c r="D477" s="767">
        <f t="shared" si="12"/>
        <v>418.5</v>
      </c>
    </row>
    <row r="478" spans="1:4" ht="15" customHeight="1">
      <c r="A478" s="763" t="s">
        <v>178</v>
      </c>
      <c r="B478" s="766"/>
    </row>
    <row r="479" spans="1:4" ht="15" customHeight="1">
      <c r="A479" s="769" t="s">
        <v>1052</v>
      </c>
      <c r="B479" s="766">
        <f>IF(ISNA(VLOOKUP(A479,'TB-22'!A:C,2,0)),0,VLOOKUP(A479,'TB-22'!A:C,2,0))</f>
        <v>819.28399999999999</v>
      </c>
      <c r="C479" s="767">
        <f>IF(ISNA(VLOOKUP(A479,'TB-22'!A:C,3,0)),0,VLOOKUP(A479,'TB-22'!A:C,3,0))</f>
        <v>0</v>
      </c>
      <c r="D479" s="767">
        <f t="shared" si="12"/>
        <v>819.28399999999999</v>
      </c>
    </row>
    <row r="480" spans="1:4" ht="15" customHeight="1">
      <c r="A480" s="274" t="s">
        <v>574</v>
      </c>
      <c r="B480" s="766">
        <f>IF(ISNA(VLOOKUP(A480,'TB-22'!A:C,2,0)),0,VLOOKUP(A480,'TB-22'!A:C,2,0))</f>
        <v>5903.482</v>
      </c>
      <c r="C480" s="767">
        <f>IF(ISNA(VLOOKUP(A480,'TB-22'!A:C,3,0)),0,VLOOKUP(A480,'TB-22'!A:C,3,0))</f>
        <v>0</v>
      </c>
      <c r="D480" s="767">
        <f t="shared" si="12"/>
        <v>5903.482</v>
      </c>
    </row>
    <row r="481" spans="1:6" ht="15" customHeight="1">
      <c r="A481" s="763" t="s">
        <v>939</v>
      </c>
      <c r="B481" s="766">
        <f>IF(ISNA(VLOOKUP(A481,'TB-22'!A:C,2,0)),0,VLOOKUP(A481,'TB-22'!A:C,2,0))</f>
        <v>0</v>
      </c>
      <c r="C481" s="767">
        <f>IF(ISNA(VLOOKUP(A481,'TB-22'!A:C,3,0)),0,VLOOKUP(A481,'TB-22'!A:C,3,0))</f>
        <v>0</v>
      </c>
      <c r="D481" s="767">
        <f t="shared" si="12"/>
        <v>0</v>
      </c>
    </row>
    <row r="482" spans="1:6" ht="15" customHeight="1">
      <c r="A482" s="274" t="s">
        <v>197</v>
      </c>
      <c r="B482" s="766">
        <f>IF(ISNA(VLOOKUP(A482,'TB-22'!A:C,2,0)),0,VLOOKUP(A482,'TB-22'!A:C,2,0))</f>
        <v>11931.24</v>
      </c>
      <c r="C482" s="767">
        <f>IF(ISNA(VLOOKUP(A482,'TB-22'!A:C,3,0)),0,VLOOKUP(A482,'TB-22'!A:C,3,0))</f>
        <v>0</v>
      </c>
      <c r="D482" s="767">
        <f t="shared" si="12"/>
        <v>11931.24</v>
      </c>
    </row>
    <row r="483" spans="1:6" ht="15" customHeight="1">
      <c r="A483" s="776" t="s">
        <v>1121</v>
      </c>
      <c r="B483" s="766">
        <f>IF(ISNA(VLOOKUP(A483,'TB-22'!A:C,2,0)),0,VLOOKUP(A483,'TB-22'!A:C,2,0))</f>
        <v>690.149</v>
      </c>
      <c r="C483" s="767">
        <f>IF(ISNA(VLOOKUP(A483,'TB-22'!A:C,3,0)),0,VLOOKUP(A483,'TB-22'!A:C,3,0))</f>
        <v>0</v>
      </c>
      <c r="D483" s="767">
        <f t="shared" si="12"/>
        <v>690.149</v>
      </c>
    </row>
    <row r="484" spans="1:6" ht="15" customHeight="1">
      <c r="A484" s="770" t="s">
        <v>773</v>
      </c>
      <c r="B484" s="766">
        <f>IF(ISNA(VLOOKUP(A484,'TB-22'!A:C,2,0)),0,VLOOKUP(A484,'TB-22'!A:C,2,0))</f>
        <v>538.351</v>
      </c>
      <c r="C484" s="767">
        <f>IF(ISNA(VLOOKUP(A484,'TB-22'!A:C,3,0)),0,VLOOKUP(A484,'TB-22'!A:C,3,0))</f>
        <v>0</v>
      </c>
      <c r="D484" s="767">
        <f t="shared" si="12"/>
        <v>538.351</v>
      </c>
    </row>
    <row r="485" spans="1:6" ht="15" customHeight="1">
      <c r="A485" s="274" t="s">
        <v>258</v>
      </c>
      <c r="B485" s="766">
        <f>IF(ISNA(VLOOKUP(A485,'TB-22'!A:C,2,0)),0,VLOOKUP(A485,'TB-22'!A:C,2,0))</f>
        <v>16403.989000000001</v>
      </c>
      <c r="C485" s="767">
        <f>IF(ISNA(VLOOKUP(A485,'TB-22'!A:C,3,0)),0,VLOOKUP(A485,'TB-22'!A:C,3,0))</f>
        <v>0</v>
      </c>
      <c r="D485" s="767">
        <f t="shared" si="12"/>
        <v>16403.989000000001</v>
      </c>
    </row>
    <row r="486" spans="1:6" ht="15" customHeight="1">
      <c r="A486" s="770" t="s">
        <v>782</v>
      </c>
      <c r="B486" s="766">
        <f>IF(ISNA(VLOOKUP(A486,'TB-22'!A:C,2,0)),0,VLOOKUP(A486,'TB-22'!A:C,2,0))</f>
        <v>1887.2550000000001</v>
      </c>
      <c r="C486" s="767">
        <f>IF(ISNA(VLOOKUP(A486,'TB-22'!A:C,3,0)),0,VLOOKUP(A486,'TB-22'!A:C,3,0))</f>
        <v>0</v>
      </c>
      <c r="D486" s="767">
        <f t="shared" si="12"/>
        <v>1887.2550000000001</v>
      </c>
    </row>
    <row r="487" spans="1:6" ht="15" customHeight="1">
      <c r="A487" s="274" t="s">
        <v>566</v>
      </c>
      <c r="B487" s="766">
        <f>IF(ISNA(VLOOKUP(A487,'TB-22'!A:C,2,0)),0,VLOOKUP(A487,'TB-22'!A:C,2,0))</f>
        <v>1013.998</v>
      </c>
      <c r="C487" s="767">
        <f>IF(ISNA(VLOOKUP(A487,'TB-22'!A:C,3,0)),0,VLOOKUP(A487,'TB-22'!A:C,3,0))</f>
        <v>0</v>
      </c>
      <c r="D487" s="767">
        <f t="shared" si="12"/>
        <v>1013.998</v>
      </c>
    </row>
    <row r="488" spans="1:6" ht="15" customHeight="1">
      <c r="A488" s="274" t="s">
        <v>570</v>
      </c>
      <c r="B488" s="766">
        <f>IF(ISNA(VLOOKUP(A488,'TB-22'!A:C,2,0)),0,VLOOKUP(A488,'TB-22'!A:C,2,0))</f>
        <v>919.1259</v>
      </c>
      <c r="C488" s="767">
        <f>IF(ISNA(VLOOKUP(A488,'TB-22'!A:C,3,0)),0,VLOOKUP(A488,'TB-22'!A:C,3,0))</f>
        <v>0</v>
      </c>
      <c r="D488" s="767">
        <f t="shared" si="12"/>
        <v>919.1259</v>
      </c>
    </row>
    <row r="489" spans="1:6" ht="15" customHeight="1">
      <c r="A489" s="274" t="s">
        <v>1164</v>
      </c>
      <c r="B489" s="766">
        <f>IF(ISNA(VLOOKUP(A489,'TB-22'!A:C,2,0)),0,VLOOKUP(A489,'TB-22'!A:C,2,0))</f>
        <v>48.65</v>
      </c>
      <c r="C489" s="767">
        <f>IF(ISNA(VLOOKUP(A489,'TB-22'!A:C,3,0)),0,VLOOKUP(A489,'TB-22'!A:C,3,0))</f>
        <v>0</v>
      </c>
      <c r="D489" s="767">
        <f t="shared" si="12"/>
        <v>48.65</v>
      </c>
    </row>
    <row r="490" spans="1:6" ht="15" customHeight="1">
      <c r="A490" s="274" t="s">
        <v>598</v>
      </c>
      <c r="B490" s="766">
        <f>IF(ISNA(VLOOKUP(A490,'TB-22'!A:C,2,0)),0,VLOOKUP(A490,'TB-22'!A:C,2,0))</f>
        <v>1086.0908899999999</v>
      </c>
      <c r="C490" s="767">
        <f>IF(ISNA(VLOOKUP(A490,'TB-22'!A:C,3,0)),0,VLOOKUP(A490,'TB-22'!A:C,3,0))</f>
        <v>0</v>
      </c>
      <c r="D490" s="767">
        <f t="shared" si="12"/>
        <v>1086.0908899999999</v>
      </c>
      <c r="F490" s="764">
        <f>SUM(D447:D490)</f>
        <v>342817.34079000005</v>
      </c>
    </row>
    <row r="491" spans="1:6" ht="15" customHeight="1">
      <c r="A491" s="804"/>
      <c r="B491" s="766"/>
      <c r="D491" s="767">
        <f t="shared" si="12"/>
        <v>0</v>
      </c>
    </row>
    <row r="492" spans="1:6" ht="15" customHeight="1">
      <c r="A492" s="760" t="s">
        <v>1460</v>
      </c>
      <c r="B492" s="761"/>
      <c r="C492" s="761"/>
      <c r="D492" s="761">
        <f t="shared" si="12"/>
        <v>0</v>
      </c>
    </row>
    <row r="493" spans="1:6" ht="15" customHeight="1">
      <c r="B493" s="766"/>
      <c r="D493" s="767">
        <f t="shared" si="12"/>
        <v>0</v>
      </c>
    </row>
    <row r="494" spans="1:6" ht="15" customHeight="1">
      <c r="A494" s="763" t="s">
        <v>199</v>
      </c>
      <c r="B494" s="766"/>
      <c r="D494" s="767">
        <f t="shared" si="12"/>
        <v>0</v>
      </c>
    </row>
    <row r="495" spans="1:6" ht="15" customHeight="1">
      <c r="A495" s="789" t="s">
        <v>1228</v>
      </c>
      <c r="B495" s="802">
        <f>'BS Notes'!F196/1000</f>
        <v>9.8820529999999991</v>
      </c>
      <c r="C495" s="802">
        <f>IF(ISNA(VLOOKUP(A495,'TB-22'!A:C,3,0)),0,VLOOKUP(A495,'TB-22'!A:C,3,0))</f>
        <v>0</v>
      </c>
      <c r="D495" s="802">
        <f t="shared" si="12"/>
        <v>9.8820529999999991</v>
      </c>
    </row>
    <row r="496" spans="1:6" ht="15" customHeight="1">
      <c r="A496" s="789" t="s">
        <v>1229</v>
      </c>
      <c r="B496" s="802">
        <f>'BS Notes'!F197/1000</f>
        <v>35.225008000000003</v>
      </c>
      <c r="C496" s="802">
        <f>IF(ISNA(VLOOKUP(A496,'TB-22'!A:C,3,0)),0,VLOOKUP(A496,'TB-22'!A:C,3,0))</f>
        <v>0</v>
      </c>
      <c r="D496" s="802">
        <f t="shared" si="12"/>
        <v>35.225008000000003</v>
      </c>
    </row>
    <row r="497" spans="1:6" ht="15" customHeight="1">
      <c r="A497" s="274"/>
      <c r="B497" s="766"/>
      <c r="D497" s="767">
        <f t="shared" si="12"/>
        <v>0</v>
      </c>
    </row>
    <row r="498" spans="1:6" ht="15" customHeight="1">
      <c r="A498" s="763" t="s">
        <v>120</v>
      </c>
      <c r="B498" s="766"/>
      <c r="D498" s="767">
        <f t="shared" si="12"/>
        <v>0</v>
      </c>
    </row>
    <row r="499" spans="1:6" ht="15" customHeight="1">
      <c r="A499" s="789" t="s">
        <v>1006</v>
      </c>
      <c r="B499" s="805">
        <f>IF(ISNA(VLOOKUP(A499,'TB-22'!A:C,2,0)),0,VLOOKUP(A499,'TB-22'!A:C,2,0))</f>
        <v>0</v>
      </c>
      <c r="C499" s="802">
        <f>25014138/1000</f>
        <v>25014.137999999999</v>
      </c>
      <c r="D499" s="802">
        <f t="shared" si="12"/>
        <v>-25014.137999999999</v>
      </c>
    </row>
    <row r="500" spans="1:6" ht="15" customHeight="1">
      <c r="A500" s="789" t="s">
        <v>1007</v>
      </c>
      <c r="B500" s="805">
        <f>IF(ISNA(VLOOKUP(A500,'TB-22'!A:C,2,0)),0,VLOOKUP(A500,'TB-22'!A:C,2,0))</f>
        <v>0</v>
      </c>
      <c r="C500" s="802">
        <f>11313050/1000</f>
        <v>11313.05</v>
      </c>
      <c r="D500" s="802">
        <f t="shared" si="12"/>
        <v>-11313.05</v>
      </c>
      <c r="F500" s="764">
        <f>SUM(D495:D500)</f>
        <v>-36282.080938999999</v>
      </c>
    </row>
    <row r="501" spans="1:6" ht="15" customHeight="1">
      <c r="B501" s="766"/>
      <c r="C501" s="806"/>
      <c r="D501" s="767">
        <f t="shared" si="12"/>
        <v>0</v>
      </c>
    </row>
    <row r="502" spans="1:6" ht="15" customHeight="1">
      <c r="A502" s="760" t="s">
        <v>1459</v>
      </c>
      <c r="B502" s="761"/>
      <c r="C502" s="761"/>
      <c r="D502" s="761">
        <f t="shared" si="12"/>
        <v>0</v>
      </c>
    </row>
    <row r="503" spans="1:6" ht="15" customHeight="1">
      <c r="A503" s="763" t="s">
        <v>13</v>
      </c>
      <c r="B503" s="766"/>
      <c r="D503" s="767">
        <f t="shared" si="12"/>
        <v>0</v>
      </c>
    </row>
    <row r="504" spans="1:6" ht="15" customHeight="1">
      <c r="A504" s="807" t="s">
        <v>194</v>
      </c>
      <c r="B504" s="766">
        <f>IF(ISNA(VLOOKUP(A504,'TB-22'!A:C,2,0)),0,VLOOKUP(A504,'TB-22'!A:C,2,0))</f>
        <v>1120.827</v>
      </c>
      <c r="C504" s="767">
        <f>IF(ISNA(VLOOKUP(A504,'TB-22'!A:C,3,0)),0,VLOOKUP(A504,'TB-22'!A:C,3,0))</f>
        <v>0</v>
      </c>
      <c r="D504" s="767">
        <f t="shared" si="12"/>
        <v>1120.827</v>
      </c>
    </row>
    <row r="505" spans="1:6" ht="15" customHeight="1">
      <c r="A505" s="808" t="s">
        <v>565</v>
      </c>
      <c r="B505" s="766">
        <f>IF(ISNA(VLOOKUP(A505,'TB-22'!A:C,2,0)),0,VLOOKUP(A505,'TB-22'!A:C,2,0))</f>
        <v>165.55</v>
      </c>
      <c r="C505" s="767">
        <f>IF(ISNA(VLOOKUP(A505,'TB-22'!A:C,3,0)),0,VLOOKUP(A505,'TB-22'!A:C,3,0))</f>
        <v>0</v>
      </c>
      <c r="D505" s="767">
        <f t="shared" si="12"/>
        <v>165.55</v>
      </c>
    </row>
    <row r="506" spans="1:6" ht="15" customHeight="1">
      <c r="A506" s="809" t="s">
        <v>560</v>
      </c>
      <c r="B506" s="766">
        <f>IF(ISNA(VLOOKUP(A506,'TB-22'!A:C,2,0)),0,VLOOKUP(A506,'TB-22'!A:C,2,0))</f>
        <v>603.52</v>
      </c>
      <c r="C506" s="767">
        <f>IF(ISNA(VLOOKUP(A506,'TB-22'!A:C,3,0)),0,VLOOKUP(A506,'TB-22'!A:C,3,0))</f>
        <v>0</v>
      </c>
      <c r="D506" s="767">
        <f t="shared" si="12"/>
        <v>603.52</v>
      </c>
    </row>
    <row r="507" spans="1:6" ht="15" customHeight="1">
      <c r="A507" s="763" t="s">
        <v>261</v>
      </c>
      <c r="B507" s="766"/>
      <c r="D507" s="767">
        <f t="shared" si="12"/>
        <v>0</v>
      </c>
    </row>
    <row r="508" spans="1:6" ht="15" customHeight="1">
      <c r="A508" s="810" t="s">
        <v>193</v>
      </c>
      <c r="B508" s="766">
        <f>IF(ISNA(VLOOKUP(A508,'TB-22'!A:C,2,0)),0,VLOOKUP(A508,'TB-22'!A:C,2,0))</f>
        <v>724.7876</v>
      </c>
      <c r="C508" s="767">
        <f>IF(ISNA(VLOOKUP(A508,'TB-22'!A:C,3,0)),0,VLOOKUP(A508,'TB-22'!A:C,3,0))</f>
        <v>0</v>
      </c>
      <c r="D508" s="767">
        <f t="shared" si="12"/>
        <v>724.7876</v>
      </c>
    </row>
    <row r="509" spans="1:6" ht="15" customHeight="1">
      <c r="A509" s="763" t="s">
        <v>260</v>
      </c>
      <c r="B509" s="766"/>
      <c r="D509" s="767">
        <f t="shared" si="12"/>
        <v>0</v>
      </c>
    </row>
    <row r="510" spans="1:6" ht="15" customHeight="1">
      <c r="A510" s="811" t="s">
        <v>571</v>
      </c>
      <c r="B510" s="766">
        <f>IF(ISNA(VLOOKUP(A510,'TB-22'!A:C,2,0)),0,VLOOKUP(A510,'TB-22'!A:C,2,0))</f>
        <v>18000</v>
      </c>
      <c r="C510" s="767">
        <f>IF(ISNA(VLOOKUP(A510,'TB-22'!A:C,3,0)),0,VLOOKUP(A510,'TB-22'!A:C,3,0))</f>
        <v>0</v>
      </c>
      <c r="D510" s="767">
        <f t="shared" si="12"/>
        <v>18000</v>
      </c>
    </row>
    <row r="511" spans="1:6" ht="15" customHeight="1">
      <c r="A511" s="763" t="s">
        <v>302</v>
      </c>
      <c r="B511" s="766"/>
      <c r="D511" s="767">
        <f t="shared" ref="D511:D574" si="13">+B511-C511</f>
        <v>0</v>
      </c>
    </row>
    <row r="512" spans="1:6" ht="15" customHeight="1">
      <c r="A512" s="812" t="s">
        <v>578</v>
      </c>
      <c r="B512" s="766">
        <f>IF(ISNA(VLOOKUP(A512,'TB-22'!A:C,2,0)),0,VLOOKUP(A512,'TB-22'!A:C,2,0))</f>
        <v>40.332999999999998</v>
      </c>
      <c r="C512" s="767">
        <f>IF(ISNA(VLOOKUP(A512,'TB-22'!A:C,3,0)),0,VLOOKUP(A512,'TB-22'!A:C,3,0))</f>
        <v>0</v>
      </c>
      <c r="D512" s="767">
        <f t="shared" si="13"/>
        <v>40.332999999999998</v>
      </c>
    </row>
    <row r="513" spans="1:6" ht="15" customHeight="1">
      <c r="A513" s="770" t="s">
        <v>785</v>
      </c>
      <c r="B513" s="766">
        <f>IF(ISNA(VLOOKUP(A513,'TB-22'!A:C,2,0)),0,VLOOKUP(A513,'TB-22'!A:C,2,0))</f>
        <v>11.698</v>
      </c>
      <c r="C513" s="767">
        <f>IF(ISNA(VLOOKUP(A513,'TB-22'!A:C,3,0)),0,VLOOKUP(A513,'TB-22'!A:C,3,0))</f>
        <v>0</v>
      </c>
      <c r="D513" s="767">
        <f t="shared" si="13"/>
        <v>11.698</v>
      </c>
    </row>
    <row r="514" spans="1:6" ht="15" customHeight="1">
      <c r="A514" s="813" t="s">
        <v>615</v>
      </c>
      <c r="B514" s="766">
        <f>IF(ISNA(VLOOKUP(A514,'TB-22'!A:C,2,0)),0,VLOOKUP(A514,'TB-22'!A:C,2,0))</f>
        <v>134.02699999999999</v>
      </c>
      <c r="C514" s="767">
        <f>IF(ISNA(VLOOKUP(A514,'TB-22'!A:C,3,0)),0,VLOOKUP(A514,'TB-22'!A:C,3,0))</f>
        <v>0</v>
      </c>
      <c r="D514" s="767">
        <f t="shared" si="13"/>
        <v>134.02699999999999</v>
      </c>
    </row>
    <row r="515" spans="1:6" ht="15" customHeight="1">
      <c r="A515" s="763" t="s">
        <v>1023</v>
      </c>
      <c r="B515" s="766"/>
      <c r="D515" s="767">
        <f t="shared" si="13"/>
        <v>0</v>
      </c>
    </row>
    <row r="516" spans="1:6" ht="15" customHeight="1">
      <c r="A516" s="813" t="s">
        <v>1021</v>
      </c>
      <c r="B516" s="766">
        <f>IF(ISNA(VLOOKUP(A516,'TB-22'!A:C,2,0)),0,VLOOKUP(A516,'TB-22'!A:C,2,0))</f>
        <v>0</v>
      </c>
      <c r="C516" s="767">
        <f>IF(ISNA(VLOOKUP(A516,'TB-22'!A:C,3,0)),0,VLOOKUP(A516,'TB-22'!A:C,3,0))</f>
        <v>0</v>
      </c>
      <c r="D516" s="767">
        <f t="shared" si="13"/>
        <v>0</v>
      </c>
      <c r="F516" s="764">
        <f>SUM(D504:D516)</f>
        <v>20800.742599999998</v>
      </c>
    </row>
    <row r="517" spans="1:6" ht="15" customHeight="1">
      <c r="A517" s="813"/>
      <c r="B517" s="766"/>
      <c r="D517" s="767">
        <f t="shared" si="13"/>
        <v>0</v>
      </c>
    </row>
    <row r="518" spans="1:6" ht="15" customHeight="1">
      <c r="A518" s="760" t="s">
        <v>1458</v>
      </c>
      <c r="B518" s="761"/>
      <c r="C518" s="761"/>
      <c r="D518" s="761">
        <f t="shared" si="13"/>
        <v>0</v>
      </c>
    </row>
    <row r="519" spans="1:6" ht="15" customHeight="1">
      <c r="A519" s="763" t="s">
        <v>419</v>
      </c>
      <c r="B519" s="766"/>
      <c r="D519" s="767">
        <f t="shared" si="13"/>
        <v>0</v>
      </c>
    </row>
    <row r="520" spans="1:6" ht="15" customHeight="1">
      <c r="A520" s="814" t="s">
        <v>600</v>
      </c>
      <c r="B520" s="766">
        <f>IF(ISNA(VLOOKUP(A520,'TB-22'!A:C,2,0)),0,VLOOKUP(A520,'TB-22'!A:C,2,0))</f>
        <v>196.11600000000001</v>
      </c>
      <c r="C520" s="767">
        <f>IF(ISNA(VLOOKUP(A520,'TB-22'!A:C,3,0)),0,VLOOKUP(A520,'TB-22'!A:C,3,0))</f>
        <v>0</v>
      </c>
      <c r="D520" s="1191">
        <f t="shared" si="13"/>
        <v>196.11600000000001</v>
      </c>
    </row>
    <row r="521" spans="1:6" ht="15" customHeight="1">
      <c r="A521" s="770" t="s">
        <v>780</v>
      </c>
      <c r="B521" s="766">
        <f>IF(ISNA(VLOOKUP(A521,'TB-22'!A:C,2,0)),0,VLOOKUP(A521,'TB-22'!A:C,2,0))</f>
        <v>0</v>
      </c>
      <c r="C521" s="767">
        <f>IF(ISNA(VLOOKUP(A521,'TB-22'!A:C,3,0)),0,VLOOKUP(A521,'TB-22'!A:C,3,0))</f>
        <v>0</v>
      </c>
      <c r="D521" s="767">
        <f t="shared" si="13"/>
        <v>0</v>
      </c>
    </row>
    <row r="522" spans="1:6" ht="15" customHeight="1">
      <c r="A522" s="763" t="s">
        <v>245</v>
      </c>
      <c r="B522" s="766"/>
      <c r="D522" s="767">
        <f t="shared" si="13"/>
        <v>0</v>
      </c>
    </row>
    <row r="523" spans="1:6" ht="15" customHeight="1">
      <c r="A523" s="815" t="s">
        <v>594</v>
      </c>
      <c r="B523" s="766">
        <f>IF(ISNA(VLOOKUP(A523,'TB-22'!A:C,2,0)),0,VLOOKUP(A523,'TB-22'!A:C,2,0))</f>
        <v>0</v>
      </c>
      <c r="C523" s="767">
        <f>IF(ISNA(VLOOKUP(A523,'TB-22'!A:C,3,0)),0,VLOOKUP(A523,'TB-22'!A:C,3,0))</f>
        <v>0</v>
      </c>
      <c r="D523" s="767">
        <f t="shared" si="13"/>
        <v>0</v>
      </c>
    </row>
    <row r="524" spans="1:6" ht="15" customHeight="1">
      <c r="A524" s="763" t="s">
        <v>246</v>
      </c>
      <c r="B524" s="766"/>
      <c r="D524" s="767">
        <f t="shared" si="13"/>
        <v>0</v>
      </c>
    </row>
    <row r="525" spans="1:6" ht="15" customHeight="1">
      <c r="A525" s="770" t="s">
        <v>760</v>
      </c>
      <c r="B525" s="766">
        <f>IF(ISNA(VLOOKUP(A525,'TB-22'!A:C,2,0)),0,VLOOKUP(A525,'TB-22'!A:C,2,0))</f>
        <v>2461.5770000000002</v>
      </c>
      <c r="C525" s="767">
        <f>IF(ISNA(VLOOKUP(A525,'TB-22'!A:C,3,0)),0,VLOOKUP(A525,'TB-22'!A:C,3,0))</f>
        <v>0</v>
      </c>
      <c r="D525" s="767">
        <f t="shared" si="13"/>
        <v>2461.5770000000002</v>
      </c>
    </row>
    <row r="526" spans="1:6" ht="15" customHeight="1">
      <c r="A526" s="763" t="s">
        <v>931</v>
      </c>
      <c r="B526" s="766"/>
      <c r="D526" s="767">
        <f t="shared" si="13"/>
        <v>0</v>
      </c>
    </row>
    <row r="527" spans="1:6" ht="15" customHeight="1">
      <c r="A527" s="816" t="s">
        <v>589</v>
      </c>
      <c r="B527" s="766">
        <f>IF(ISNA(VLOOKUP(A527,'TB-22'!A:C,2,0)),0,VLOOKUP(A527,'TB-22'!A:C,2,0))</f>
        <v>34.676000000000002</v>
      </c>
      <c r="C527" s="767">
        <f>IF(ISNA(VLOOKUP(A527,'TB-22'!A:C,3,0)),0,VLOOKUP(A527,'TB-22'!A:C,3,0))</f>
        <v>0</v>
      </c>
      <c r="D527" s="767">
        <f t="shared" si="13"/>
        <v>34.676000000000002</v>
      </c>
    </row>
    <row r="528" spans="1:6" ht="15" customHeight="1">
      <c r="A528" s="817" t="s">
        <v>588</v>
      </c>
      <c r="B528" s="766">
        <f>IF(ISNA(VLOOKUP(A528,'TB-22'!A:C,2,0)),0,VLOOKUP(A528,'TB-22'!A:C,2,0))</f>
        <v>3490</v>
      </c>
      <c r="C528" s="767">
        <f>IF(ISNA(VLOOKUP(A528,'TB-22'!A:C,3,0)),0,VLOOKUP(A528,'TB-22'!A:C,3,0))</f>
        <v>0</v>
      </c>
      <c r="D528" s="767">
        <f t="shared" si="13"/>
        <v>3490</v>
      </c>
    </row>
    <row r="529" spans="1:6" ht="15" customHeight="1">
      <c r="A529" s="815" t="s">
        <v>592</v>
      </c>
      <c r="B529" s="766">
        <f>IF(ISNA(VLOOKUP(A529,'TB-22'!A:C,2,0)),0,VLOOKUP(A529,'TB-22'!A:C,2,0))</f>
        <v>2577.6886099999997</v>
      </c>
      <c r="C529" s="767">
        <f>IF(ISNA(VLOOKUP(A529,'TB-22'!A:C,3,0)),0,VLOOKUP(A529,'TB-22'!A:C,3,0))</f>
        <v>0</v>
      </c>
      <c r="D529" s="767">
        <f t="shared" si="13"/>
        <v>2577.6886099999997</v>
      </c>
    </row>
    <row r="530" spans="1:6" ht="15" customHeight="1">
      <c r="A530" s="815" t="s">
        <v>593</v>
      </c>
      <c r="B530" s="766">
        <f>IF(ISNA(VLOOKUP(A530,'TB-22'!A:C,2,0)),0,VLOOKUP(A530,'TB-22'!A:C,2,0))</f>
        <v>10351.39935</v>
      </c>
      <c r="C530" s="767">
        <f>IF(ISNA(VLOOKUP(A530,'TB-22'!A:C,3,0)),0,VLOOKUP(A530,'TB-22'!A:C,3,0))</f>
        <v>0</v>
      </c>
      <c r="D530" s="767">
        <f t="shared" si="13"/>
        <v>10351.39935</v>
      </c>
    </row>
    <row r="531" spans="1:6" ht="15" customHeight="1">
      <c r="A531" s="815" t="s">
        <v>1161</v>
      </c>
      <c r="B531" s="766">
        <f>IF(ISNA(VLOOKUP(A531,'TB-22'!A:C,2,0)),0,VLOOKUP(A531,'TB-22'!A:C,2,0))</f>
        <v>2742.1379999999999</v>
      </c>
      <c r="C531" s="767">
        <f>IF(ISNA(VLOOKUP(A531,'TB-22'!A:C,3,0)),0,VLOOKUP(A531,'TB-22'!A:C,3,0))</f>
        <v>0</v>
      </c>
      <c r="D531" s="767">
        <f t="shared" si="13"/>
        <v>2742.1379999999999</v>
      </c>
    </row>
    <row r="532" spans="1:6" ht="15" customHeight="1">
      <c r="A532" s="815" t="s">
        <v>1307</v>
      </c>
      <c r="B532" s="766">
        <f>IF(ISNA(VLOOKUP(A532,'TB-22'!A:C,2,0)),0,VLOOKUP(A532,'TB-22'!A:C,2,0))</f>
        <v>447.14499999999998</v>
      </c>
      <c r="C532" s="767">
        <f>IF(ISNA(VLOOKUP(A532,'TB-22'!A:C,3,0)),0,VLOOKUP(A532,'TB-22'!A:C,3,0))</f>
        <v>0</v>
      </c>
      <c r="D532" s="767">
        <f t="shared" si="13"/>
        <v>447.14499999999998</v>
      </c>
    </row>
    <row r="533" spans="1:6" ht="15" customHeight="1">
      <c r="A533" s="815" t="s">
        <v>590</v>
      </c>
      <c r="B533" s="766">
        <f>IF(ISNA(VLOOKUP(A533,'TB-22'!A:C,2,0)),0,VLOOKUP(A533,'TB-22'!A:C,2,0))</f>
        <v>8.7430799999999991</v>
      </c>
      <c r="C533" s="767">
        <f>IF(ISNA(VLOOKUP(A533,'TB-22'!A:C,3,0)),0,VLOOKUP(A533,'TB-22'!A:C,3,0))</f>
        <v>0</v>
      </c>
      <c r="D533" s="767">
        <f t="shared" si="13"/>
        <v>8.7430799999999991</v>
      </c>
    </row>
    <row r="534" spans="1:6" ht="15" customHeight="1">
      <c r="A534" s="771" t="s">
        <v>1418</v>
      </c>
      <c r="B534" s="766">
        <f>IF(ISNA(VLOOKUP(A534,'TB-22'!A:C,2,0)),0,VLOOKUP(A534,'TB-22'!A:C,2,0))</f>
        <v>0</v>
      </c>
      <c r="C534" s="767">
        <f>IF(ISNA(VLOOKUP(A534,'TB-22'!A:C,3,0)),0,VLOOKUP(A534,'TB-22'!A:C,3,0))</f>
        <v>0</v>
      </c>
      <c r="D534" s="767">
        <f t="shared" si="13"/>
        <v>0</v>
      </c>
      <c r="F534" s="764" t="s">
        <v>1481</v>
      </c>
    </row>
    <row r="535" spans="1:6" ht="15" customHeight="1">
      <c r="A535" s="815" t="s">
        <v>591</v>
      </c>
      <c r="B535" s="766">
        <f>IF(ISNA(VLOOKUP(A535,'TB-22'!A:C,2,0)),0,VLOOKUP(A535,'TB-22'!A:C,2,0))</f>
        <v>112.62449000000001</v>
      </c>
      <c r="C535" s="767">
        <f>IF(ISNA(VLOOKUP(A535,'TB-22'!A:C,3,0)),0,VLOOKUP(A535,'TB-22'!A:C,3,0))</f>
        <v>0</v>
      </c>
      <c r="D535" s="767">
        <f t="shared" si="13"/>
        <v>112.62449000000001</v>
      </c>
    </row>
    <row r="536" spans="1:6" ht="15" customHeight="1">
      <c r="A536" s="770" t="s">
        <v>761</v>
      </c>
      <c r="B536" s="766">
        <f>IF(ISNA(VLOOKUP(A536,'TB-22'!A:C,2,0)),0,VLOOKUP(A536,'TB-22'!A:C,2,0))</f>
        <v>2778.5569399999999</v>
      </c>
      <c r="C536" s="767">
        <f>IF(ISNA(VLOOKUP(A536,'TB-22'!A:C,3,0)),0,VLOOKUP(A536,'TB-22'!A:C,3,0))</f>
        <v>0</v>
      </c>
      <c r="D536" s="767">
        <f t="shared" si="13"/>
        <v>2778.5569399999999</v>
      </c>
    </row>
    <row r="537" spans="1:6" ht="15" customHeight="1">
      <c r="A537" s="763" t="s">
        <v>1237</v>
      </c>
      <c r="B537" s="766"/>
      <c r="D537" s="767">
        <f t="shared" si="13"/>
        <v>0</v>
      </c>
    </row>
    <row r="538" spans="1:6" ht="15" customHeight="1">
      <c r="A538" s="770" t="s">
        <v>759</v>
      </c>
      <c r="B538" s="766">
        <f>IF(ISNA(VLOOKUP(A538,'TB-22'!A:C,2,0)),0,VLOOKUP(A538,'TB-22'!A:C,2,0))</f>
        <v>40.421999999999997</v>
      </c>
      <c r="C538" s="767">
        <f>IF(ISNA(VLOOKUP(A538,'TB-22'!A:C,3,0)),0,VLOOKUP(A538,'TB-22'!A:C,3,0))</f>
        <v>0</v>
      </c>
      <c r="D538" s="767">
        <f t="shared" si="13"/>
        <v>40.421999999999997</v>
      </c>
    </row>
    <row r="539" spans="1:6" ht="15" customHeight="1">
      <c r="A539" s="816" t="s">
        <v>1444</v>
      </c>
      <c r="B539" s="766">
        <f>IF(ISNA(VLOOKUP(A539,'TB-22'!A:C,2,0)),0,VLOOKUP(A539,'TB-22'!A:C,2,0))</f>
        <v>10.663</v>
      </c>
      <c r="C539" s="767">
        <f>IF(ISNA(VLOOKUP(A539,'TB-22'!A:C,3,0)),0,VLOOKUP(A539,'TB-22'!A:C,3,0))</f>
        <v>0</v>
      </c>
      <c r="D539" s="767">
        <f t="shared" si="13"/>
        <v>10.663</v>
      </c>
      <c r="F539" s="764">
        <f>SUM(D520:D539)</f>
        <v>25251.749469999995</v>
      </c>
    </row>
    <row r="540" spans="1:6" ht="15" customHeight="1">
      <c r="A540" s="818"/>
      <c r="B540" s="766"/>
      <c r="D540" s="767">
        <f t="shared" si="13"/>
        <v>0</v>
      </c>
    </row>
    <row r="541" spans="1:6" ht="15" customHeight="1">
      <c r="A541" s="760" t="s">
        <v>1457</v>
      </c>
      <c r="B541" s="761"/>
      <c r="C541" s="761"/>
      <c r="D541" s="761">
        <f t="shared" si="13"/>
        <v>0</v>
      </c>
    </row>
    <row r="542" spans="1:6" ht="15" customHeight="1">
      <c r="A542" s="819" t="s">
        <v>717</v>
      </c>
      <c r="B542" s="766">
        <f>IF(ISNA(VLOOKUP(A542,'TB-22'!A:C,2,0)),0,VLOOKUP(A542,'TB-22'!A:C,2,0))</f>
        <v>32221.599999999999</v>
      </c>
      <c r="C542" s="767">
        <f>IF(ISNA(VLOOKUP(A542,'TB-22'!A:C,3,0)),0,VLOOKUP(A542,'TB-22'!A:C,3,0))</f>
        <v>0</v>
      </c>
      <c r="D542" s="767">
        <f t="shared" si="13"/>
        <v>32221.599999999999</v>
      </c>
      <c r="F542" s="764">
        <f>D542</f>
        <v>32221.599999999999</v>
      </c>
    </row>
    <row r="543" spans="1:6" ht="15" customHeight="1">
      <c r="A543" s="820"/>
      <c r="B543" s="766"/>
      <c r="D543" s="767">
        <f t="shared" si="13"/>
        <v>0</v>
      </c>
    </row>
    <row r="544" spans="1:6" ht="15" customHeight="1">
      <c r="A544" s="760" t="s">
        <v>1456</v>
      </c>
      <c r="B544" s="761"/>
      <c r="C544" s="761"/>
      <c r="D544" s="761">
        <f t="shared" si="13"/>
        <v>0</v>
      </c>
    </row>
    <row r="545" spans="1:12" ht="15" customHeight="1">
      <c r="A545" s="784" t="s">
        <v>249</v>
      </c>
      <c r="B545" s="785"/>
      <c r="C545" s="785"/>
      <c r="D545" s="785">
        <f t="shared" si="13"/>
        <v>0</v>
      </c>
      <c r="E545" s="767"/>
      <c r="F545" s="767"/>
      <c r="G545" s="767"/>
      <c r="H545" s="767"/>
      <c r="I545" s="767"/>
      <c r="J545" s="767"/>
      <c r="K545" s="767"/>
      <c r="L545" s="767"/>
    </row>
    <row r="546" spans="1:12" ht="15" customHeight="1">
      <c r="A546" s="784"/>
      <c r="B546" s="785"/>
      <c r="C546" s="785"/>
      <c r="D546" s="785">
        <f t="shared" si="13"/>
        <v>0</v>
      </c>
      <c r="E546" s="767"/>
      <c r="F546" s="767"/>
      <c r="G546" s="767"/>
      <c r="H546" s="767"/>
      <c r="I546" s="767"/>
      <c r="J546" s="767"/>
      <c r="K546" s="767"/>
      <c r="L546" s="767"/>
    </row>
    <row r="547" spans="1:12" ht="15" customHeight="1">
      <c r="A547" s="763" t="s">
        <v>181</v>
      </c>
      <c r="B547" s="766"/>
      <c r="D547" s="767">
        <f t="shared" si="13"/>
        <v>0</v>
      </c>
    </row>
    <row r="548" spans="1:12" ht="15" customHeight="1">
      <c r="A548" s="770" t="s">
        <v>740</v>
      </c>
      <c r="B548" s="766">
        <f>IF(ISNA(VLOOKUP(A548,'TB-22'!A:C,2,0)),0,VLOOKUP(A548,'TB-22'!A:C,2,0))</f>
        <v>23.731999999999999</v>
      </c>
      <c r="C548" s="767">
        <f>IF(ISNA(VLOOKUP(A548,'TB-22'!A:C,3,0)),0,VLOOKUP(A548,'TB-22'!A:C,3,0))</f>
        <v>0</v>
      </c>
      <c r="D548" s="767">
        <f t="shared" si="13"/>
        <v>23.731999999999999</v>
      </c>
    </row>
    <row r="549" spans="1:12" ht="15" customHeight="1">
      <c r="A549" s="763" t="s">
        <v>121</v>
      </c>
      <c r="B549" s="766">
        <f>IF(ISNA(VLOOKUP(A549,'TB-22'!A:C,2,0)),0,VLOOKUP(A549,'TB-22'!A:C,2,0))</f>
        <v>0</v>
      </c>
      <c r="C549" s="767">
        <f>IF(ISNA(VLOOKUP(A549,'TB-22'!A:C,3,0)),0,VLOOKUP(A549,'TB-22'!A:C,3,0))</f>
        <v>0</v>
      </c>
      <c r="D549" s="767">
        <f t="shared" si="13"/>
        <v>0</v>
      </c>
    </row>
    <row r="550" spans="1:12" ht="15" customHeight="1">
      <c r="A550" s="274" t="s">
        <v>409</v>
      </c>
      <c r="B550" s="766">
        <f>IF(ISNA(VLOOKUP(A550,'TB-22'!A:C,2,0)),0,VLOOKUP(A550,'TB-22'!A:C,2,0))</f>
        <v>181.23027999999999</v>
      </c>
      <c r="C550" s="767">
        <f>IF(ISNA(VLOOKUP(A550,'TB-22'!A:C,3,0)),0,VLOOKUP(A550,'TB-22'!A:C,3,0))</f>
        <v>0</v>
      </c>
      <c r="D550" s="767">
        <f t="shared" si="13"/>
        <v>181.23027999999999</v>
      </c>
    </row>
    <row r="551" spans="1:12" ht="15" customHeight="1">
      <c r="A551" s="763" t="s">
        <v>182</v>
      </c>
      <c r="B551" s="766"/>
      <c r="D551" s="767">
        <f t="shared" si="13"/>
        <v>0</v>
      </c>
    </row>
    <row r="552" spans="1:12" ht="15" customHeight="1">
      <c r="A552" s="821" t="s">
        <v>595</v>
      </c>
      <c r="B552" s="766">
        <f>IF(ISNA(VLOOKUP(A552,'TB-22'!A:C,2,0)),0,VLOOKUP(A552,'TB-22'!A:C,2,0))</f>
        <v>76.662999999999997</v>
      </c>
      <c r="C552" s="767">
        <f>IF(ISNA(VLOOKUP(A552,'TB-22'!A:C,3,0)),0,VLOOKUP(A552,'TB-22'!A:C,3,0))</f>
        <v>0</v>
      </c>
      <c r="D552" s="767">
        <f t="shared" si="13"/>
        <v>76.662999999999997</v>
      </c>
    </row>
    <row r="553" spans="1:12" ht="15" customHeight="1">
      <c r="A553" s="822" t="s">
        <v>602</v>
      </c>
      <c r="B553" s="766">
        <f>IF(ISNA(VLOOKUP(A553,'TB-22'!A:C,2,0)),0,VLOOKUP(A553,'TB-22'!A:C,2,0))</f>
        <v>99.697039999999987</v>
      </c>
      <c r="C553" s="767">
        <f>IF(ISNA(VLOOKUP(A553,'TB-22'!A:C,3,0)),0,VLOOKUP(A553,'TB-22'!A:C,3,0))</f>
        <v>0</v>
      </c>
      <c r="D553" s="767">
        <f t="shared" si="13"/>
        <v>99.697039999999987</v>
      </c>
    </row>
    <row r="554" spans="1:12" ht="15" customHeight="1">
      <c r="A554" s="823" t="s">
        <v>192</v>
      </c>
      <c r="B554" s="766">
        <f>IF(ISNA(VLOOKUP(A554,'TB-22'!A:C,2,0)),0,VLOOKUP(A554,'TB-22'!A:C,2,0))</f>
        <v>7.1950000000000003</v>
      </c>
      <c r="C554" s="767">
        <f>IF(ISNA(VLOOKUP(A554,'TB-22'!A:C,3,0)),0,VLOOKUP(A554,'TB-22'!A:C,3,0))</f>
        <v>0</v>
      </c>
      <c r="D554" s="767">
        <f t="shared" si="13"/>
        <v>7.1950000000000003</v>
      </c>
    </row>
    <row r="555" spans="1:12" ht="15" customHeight="1">
      <c r="A555" s="763" t="s">
        <v>636</v>
      </c>
      <c r="B555" s="766"/>
      <c r="D555" s="767">
        <f t="shared" si="13"/>
        <v>0</v>
      </c>
    </row>
    <row r="556" spans="1:12" ht="15" customHeight="1">
      <c r="A556" s="824" t="s">
        <v>568</v>
      </c>
      <c r="B556" s="766">
        <f>IF(ISNA(VLOOKUP(A556,'TB-22'!A:C,2,0)),0,VLOOKUP(A556,'TB-22'!A:C,2,0))</f>
        <v>334.99400000000003</v>
      </c>
      <c r="C556" s="767">
        <f>IF(ISNA(VLOOKUP(A556,'TB-22'!A:C,3,0)),0,VLOOKUP(A556,'TB-22'!A:C,3,0))</f>
        <v>0</v>
      </c>
      <c r="D556" s="767">
        <f t="shared" si="13"/>
        <v>334.99400000000003</v>
      </c>
    </row>
    <row r="557" spans="1:12" ht="15" customHeight="1">
      <c r="A557" s="825" t="s">
        <v>411</v>
      </c>
      <c r="B557" s="766">
        <f>IF(ISNA(VLOOKUP(A557,'TB-22'!A:C,2,0)),0,VLOOKUP(A557,'TB-22'!A:C,2,0))</f>
        <v>15</v>
      </c>
      <c r="C557" s="767">
        <f>IF(ISNA(VLOOKUP(A557,'TB-22'!A:C,3,0)),0,VLOOKUP(A557,'TB-22'!A:C,3,0))</f>
        <v>0</v>
      </c>
      <c r="D557" s="767">
        <f t="shared" si="13"/>
        <v>15</v>
      </c>
    </row>
    <row r="558" spans="1:12" ht="15" customHeight="1">
      <c r="A558" s="763" t="s">
        <v>154</v>
      </c>
      <c r="B558" s="766"/>
      <c r="D558" s="767">
        <f t="shared" si="13"/>
        <v>0</v>
      </c>
    </row>
    <row r="559" spans="1:12" ht="15" customHeight="1">
      <c r="A559" s="769" t="s">
        <v>1056</v>
      </c>
      <c r="B559" s="766">
        <f>IF(ISNA(VLOOKUP(A559,'TB-22'!A:C,2,0)),0,VLOOKUP(A559,'TB-22'!A:C,2,0))</f>
        <v>319.33300000000003</v>
      </c>
      <c r="C559" s="767">
        <f>IF(ISNA(VLOOKUP(A559,'TB-22'!A:C,3,0)),0,VLOOKUP(A559,'TB-22'!A:C,3,0))</f>
        <v>0</v>
      </c>
      <c r="D559" s="767">
        <f t="shared" si="13"/>
        <v>319.33300000000003</v>
      </c>
    </row>
    <row r="560" spans="1:12" ht="15" customHeight="1">
      <c r="A560" s="826" t="s">
        <v>412</v>
      </c>
      <c r="B560" s="766">
        <f>IF(ISNA(VLOOKUP(A560,'TB-22'!A:C,2,0)),0,VLOOKUP(A560,'TB-22'!A:C,2,0))</f>
        <v>139.036</v>
      </c>
      <c r="C560" s="767">
        <f>IF(ISNA(VLOOKUP(A560,'TB-22'!A:C,3,0)),0,VLOOKUP(A560,'TB-22'!A:C,3,0))</f>
        <v>0</v>
      </c>
      <c r="D560" s="767">
        <f t="shared" si="13"/>
        <v>139.036</v>
      </c>
    </row>
    <row r="561" spans="1:4" ht="15" customHeight="1">
      <c r="A561" s="763" t="s">
        <v>179</v>
      </c>
      <c r="B561" s="766"/>
      <c r="D561" s="767">
        <f t="shared" si="13"/>
        <v>0</v>
      </c>
    </row>
    <row r="562" spans="1:4" ht="15" customHeight="1">
      <c r="A562" s="827" t="s">
        <v>620</v>
      </c>
      <c r="B562" s="766">
        <f>IF(ISNA(VLOOKUP(A562,'TB-22'!A:C,2,0)),0,VLOOKUP(A562,'TB-22'!A:C,2,0))</f>
        <v>35.543279999999996</v>
      </c>
      <c r="C562" s="767">
        <f>IF(ISNA(VLOOKUP(A562,'TB-22'!A:C,3,0)),0,VLOOKUP(A562,'TB-22'!A:C,3,0))</f>
        <v>0</v>
      </c>
      <c r="D562" s="767">
        <f t="shared" si="13"/>
        <v>35.543279999999996</v>
      </c>
    </row>
    <row r="563" spans="1:4" ht="15" customHeight="1">
      <c r="A563" s="776" t="s">
        <v>1134</v>
      </c>
      <c r="B563" s="766">
        <f>IF(ISNA(VLOOKUP(A563,'TB-22'!A:C,2,0)),0,VLOOKUP(A563,'TB-22'!A:C,2,0))</f>
        <v>636.65017</v>
      </c>
      <c r="C563" s="767">
        <f>IF(ISNA(VLOOKUP(A563,'TB-22'!A:C,3,0)),0,VLOOKUP(A563,'TB-22'!A:C,3,0))</f>
        <v>0</v>
      </c>
      <c r="D563" s="767">
        <f t="shared" si="13"/>
        <v>636.65017</v>
      </c>
    </row>
    <row r="564" spans="1:4" ht="15" customHeight="1">
      <c r="A564" s="827"/>
      <c r="B564" s="766"/>
      <c r="D564" s="767">
        <f t="shared" si="13"/>
        <v>0</v>
      </c>
    </row>
    <row r="565" spans="1:4" ht="15" customHeight="1">
      <c r="A565" s="828" t="s">
        <v>612</v>
      </c>
      <c r="B565" s="766">
        <f>IF(ISNA(VLOOKUP(A565,'TB-22'!A:C,2,0)),0,VLOOKUP(A565,'TB-22'!A:C,2,0))</f>
        <v>328.81225000000001</v>
      </c>
      <c r="C565" s="767">
        <f>IF(ISNA(VLOOKUP(A565,'TB-22'!A:C,3,0)),0,VLOOKUP(A565,'TB-22'!A:C,3,0))</f>
        <v>0</v>
      </c>
      <c r="D565" s="767">
        <f t="shared" si="13"/>
        <v>328.81225000000001</v>
      </c>
    </row>
    <row r="566" spans="1:4" ht="15" customHeight="1">
      <c r="A566" s="829" t="s">
        <v>410</v>
      </c>
      <c r="B566" s="766">
        <f>IF(ISNA(VLOOKUP(A566,'TB-22'!A:C,2,0)),0,VLOOKUP(A566,'TB-22'!A:C,2,0))</f>
        <v>43.35</v>
      </c>
      <c r="C566" s="767">
        <f>IF(ISNA(VLOOKUP(A566,'TB-22'!A:C,3,0)),0,VLOOKUP(A566,'TB-22'!A:C,3,0))</f>
        <v>0</v>
      </c>
      <c r="D566" s="767">
        <f t="shared" si="13"/>
        <v>43.35</v>
      </c>
    </row>
    <row r="567" spans="1:4" ht="15" customHeight="1">
      <c r="A567" s="770" t="s">
        <v>792</v>
      </c>
      <c r="B567" s="766">
        <f>IF(ISNA(VLOOKUP(A567,'TB-22'!A:C,2,0)),0,VLOOKUP(A567,'TB-22'!A:C,2,0))</f>
        <v>149.38160999999999</v>
      </c>
      <c r="C567" s="767">
        <f>IF(ISNA(VLOOKUP(A567,'TB-22'!A:C,3,0)),0,VLOOKUP(A567,'TB-22'!A:C,3,0))</f>
        <v>0</v>
      </c>
      <c r="D567" s="767">
        <f t="shared" si="13"/>
        <v>149.38160999999999</v>
      </c>
    </row>
    <row r="568" spans="1:4" ht="15" customHeight="1">
      <c r="A568" s="830" t="s">
        <v>408</v>
      </c>
      <c r="B568" s="766">
        <f>IF(ISNA(VLOOKUP(A568,'TB-22'!A:C,2,0)),0,VLOOKUP(A568,'TB-22'!A:C,2,0))</f>
        <v>1478.1669999999999</v>
      </c>
      <c r="C568" s="767">
        <f>IF(ISNA(VLOOKUP(A568,'TB-22'!A:C,3,0)),0,VLOOKUP(A568,'TB-22'!A:C,3,0))</f>
        <v>0</v>
      </c>
      <c r="D568" s="767">
        <f t="shared" si="13"/>
        <v>1478.1669999999999</v>
      </c>
    </row>
    <row r="569" spans="1:4" ht="15" customHeight="1">
      <c r="A569" s="827" t="s">
        <v>621</v>
      </c>
      <c r="B569" s="766">
        <f>IF(ISNA(VLOOKUP(A569,'TB-22'!A:C,2,0)),0,VLOOKUP(A569,'TB-22'!A:C,2,0))</f>
        <v>1547.5659099999998</v>
      </c>
      <c r="C569" s="767">
        <f>IF(ISNA(VLOOKUP(A569,'TB-22'!A:C,3,0)),0,VLOOKUP(A569,'TB-22'!A:C,3,0))</f>
        <v>0</v>
      </c>
      <c r="D569" s="767">
        <f t="shared" si="13"/>
        <v>1547.5659099999998</v>
      </c>
    </row>
    <row r="570" spans="1:4" ht="15" customHeight="1">
      <c r="A570" s="831" t="s">
        <v>430</v>
      </c>
      <c r="B570" s="766">
        <f>IF(ISNA(VLOOKUP(A570,'TB-22'!A:C,2,0)),0,VLOOKUP(A570,'TB-22'!A:C,2,0))</f>
        <v>646.68995999999993</v>
      </c>
      <c r="C570" s="767">
        <f>IF(ISNA(VLOOKUP(A570,'TB-22'!A:C,3,0)),0,VLOOKUP(A570,'TB-22'!A:C,3,0))</f>
        <v>0</v>
      </c>
      <c r="D570" s="767">
        <f t="shared" si="13"/>
        <v>646.68995999999993</v>
      </c>
    </row>
    <row r="571" spans="1:4" ht="15" customHeight="1">
      <c r="A571" s="763" t="s">
        <v>810</v>
      </c>
      <c r="B571" s="766"/>
      <c r="D571" s="767">
        <f t="shared" si="13"/>
        <v>0</v>
      </c>
    </row>
    <row r="572" spans="1:4" ht="15" customHeight="1">
      <c r="A572" s="770" t="s">
        <v>745</v>
      </c>
      <c r="B572" s="766">
        <f>IF(ISNA(VLOOKUP(A572,'TB-22'!A:C,2,0)),0,VLOOKUP(A572,'TB-22'!A:C,2,0))</f>
        <v>109.61</v>
      </c>
      <c r="C572" s="767">
        <f>IF(ISNA(VLOOKUP(A572,'TB-22'!A:C,3,0)),0,VLOOKUP(A572,'TB-22'!A:C,3,0))</f>
        <v>0</v>
      </c>
      <c r="D572" s="767">
        <f t="shared" si="13"/>
        <v>109.61</v>
      </c>
    </row>
    <row r="573" spans="1:4" ht="15" customHeight="1">
      <c r="A573" s="763" t="s">
        <v>123</v>
      </c>
      <c r="B573" s="766"/>
      <c r="D573" s="767">
        <f t="shared" si="13"/>
        <v>0</v>
      </c>
    </row>
    <row r="574" spans="1:4" ht="15" customHeight="1">
      <c r="A574" s="832" t="s">
        <v>616</v>
      </c>
      <c r="B574" s="766">
        <f>IF(ISNA(VLOOKUP(A574,'TB-22'!A:C,2,0)),0,VLOOKUP(A574,'TB-22'!A:C,2,0))</f>
        <v>700.87800000000004</v>
      </c>
      <c r="C574" s="767">
        <f>IF(ISNA(VLOOKUP(A574,'TB-22'!A:C,3,0)),0,VLOOKUP(A574,'TB-22'!A:C,3,0))</f>
        <v>0</v>
      </c>
      <c r="D574" s="767">
        <f t="shared" si="13"/>
        <v>700.87800000000004</v>
      </c>
    </row>
    <row r="575" spans="1:4" ht="15" customHeight="1">
      <c r="A575" s="832" t="s">
        <v>617</v>
      </c>
      <c r="B575" s="766">
        <f>IF(ISNA(VLOOKUP(A575,'TB-22'!A:C,2,0)),0,VLOOKUP(A575,'TB-22'!A:C,2,0))</f>
        <v>111</v>
      </c>
      <c r="C575" s="767">
        <f>IF(ISNA(VLOOKUP(A575,'TB-22'!A:C,3,0)),0,VLOOKUP(A575,'TB-22'!A:C,3,0))</f>
        <v>0</v>
      </c>
      <c r="D575" s="767">
        <f t="shared" ref="D575:D619" si="14">+B575-C575</f>
        <v>111</v>
      </c>
    </row>
    <row r="576" spans="1:4" ht="15" customHeight="1">
      <c r="A576" s="763" t="s">
        <v>634</v>
      </c>
      <c r="B576" s="766"/>
      <c r="D576" s="767">
        <f t="shared" si="14"/>
        <v>0</v>
      </c>
    </row>
    <row r="577" spans="1:12" ht="15" customHeight="1">
      <c r="A577" s="833" t="s">
        <v>599</v>
      </c>
      <c r="B577" s="766">
        <f>IF(ISNA(VLOOKUP(A577,'TB-22'!A:C,2,0)),0,VLOOKUP(A577,'TB-22'!A:C,2,0))</f>
        <v>62.5</v>
      </c>
      <c r="C577" s="767">
        <f>IF(ISNA(VLOOKUP(A577,'TB-22'!A:C,3,0)),0,VLOOKUP(A577,'TB-22'!A:C,3,0))</f>
        <v>0</v>
      </c>
      <c r="D577" s="767">
        <f t="shared" si="14"/>
        <v>62.5</v>
      </c>
    </row>
    <row r="578" spans="1:12" ht="15" customHeight="1">
      <c r="A578" s="834" t="s">
        <v>429</v>
      </c>
      <c r="B578" s="766">
        <f>IF(ISNA(VLOOKUP(A578,'TB-22'!A:C,2,0)),0,VLOOKUP(A578,'TB-22'!A:C,2,0))</f>
        <v>0</v>
      </c>
      <c r="C578" s="767">
        <f>IF(ISNA(VLOOKUP(A578,'TB-22'!A:C,3,0)),0,VLOOKUP(A578,'TB-22'!A:C,3,0))</f>
        <v>0</v>
      </c>
      <c r="D578" s="767">
        <f t="shared" si="14"/>
        <v>0</v>
      </c>
    </row>
    <row r="579" spans="1:12" ht="15" customHeight="1">
      <c r="A579" s="834"/>
      <c r="B579" s="766">
        <f>IF(ISNA(VLOOKUP(A579,'TB-22'!A:C,2,0)),0,VLOOKUP(A579,'TB-22'!A:C,2,0))</f>
        <v>0</v>
      </c>
      <c r="C579" s="767">
        <f>IF(ISNA(VLOOKUP(A579,'TB-22'!A:C,3,0)),0,VLOOKUP(A579,'TB-22'!A:C,3,0))</f>
        <v>0</v>
      </c>
      <c r="D579" s="767">
        <f t="shared" si="14"/>
        <v>0</v>
      </c>
    </row>
    <row r="580" spans="1:12" ht="15" customHeight="1">
      <c r="A580" s="763" t="s">
        <v>196</v>
      </c>
      <c r="B580" s="766">
        <f>IF(ISNA(VLOOKUP(A580,'TB-22'!A:C,2,0)),0,VLOOKUP(A580,'TB-22'!A:C,2,0))</f>
        <v>0</v>
      </c>
      <c r="C580" s="767">
        <f>IF(ISNA(VLOOKUP(A580,'TB-22'!A:C,3,0)),0,VLOOKUP(A580,'TB-22'!A:C,3,0))</f>
        <v>0</v>
      </c>
      <c r="D580" s="767">
        <f t="shared" si="14"/>
        <v>0</v>
      </c>
    </row>
    <row r="581" spans="1:12" ht="15" customHeight="1">
      <c r="A581" s="835" t="s">
        <v>407</v>
      </c>
      <c r="B581" s="766">
        <f>IF(ISNA(VLOOKUP(A581,'TB-22'!A:C,2,0)),0,VLOOKUP(A581,'TB-22'!A:C,2,0))</f>
        <v>7.8295699999999995</v>
      </c>
      <c r="C581" s="767">
        <f>IF(ISNA(VLOOKUP(A581,'TB-22'!A:C,3,0)),0,VLOOKUP(A581,'TB-22'!A:C,3,0))</f>
        <v>0</v>
      </c>
      <c r="D581" s="767">
        <f t="shared" si="14"/>
        <v>7.8295699999999995</v>
      </c>
    </row>
    <row r="582" spans="1:12" ht="15" customHeight="1">
      <c r="A582" s="770" t="s">
        <v>741</v>
      </c>
      <c r="B582" s="766">
        <f>IF(ISNA(VLOOKUP(A582,'TB-22'!A:C,2,0)),0,VLOOKUP(A582,'TB-22'!A:C,2,0))</f>
        <v>124.39831</v>
      </c>
      <c r="C582" s="767">
        <f>IF(ISNA(VLOOKUP(A582,'TB-22'!A:C,3,0)),0,VLOOKUP(A582,'TB-22'!A:C,3,0))</f>
        <v>0</v>
      </c>
      <c r="D582" s="767">
        <f t="shared" si="14"/>
        <v>124.39831</v>
      </c>
    </row>
    <row r="583" spans="1:12" ht="15" customHeight="1">
      <c r="A583" s="771" t="s">
        <v>1276</v>
      </c>
      <c r="B583" s="766">
        <f>IF(ISNA(VLOOKUP(A583,'TB-22'!A:C,2,0)),0,VLOOKUP(A583,'TB-22'!A:C,2,0))</f>
        <v>316.50990000000002</v>
      </c>
      <c r="C583" s="767">
        <f>IF(ISNA(VLOOKUP(A583,'TB-22'!A:C,3,0)),0,VLOOKUP(A583,'TB-22'!A:C,3,0))</f>
        <v>0</v>
      </c>
      <c r="D583" s="767">
        <f t="shared" si="14"/>
        <v>316.50990000000002</v>
      </c>
      <c r="E583" s="767"/>
      <c r="F583" s="767"/>
      <c r="G583" s="767"/>
      <c r="H583" s="767"/>
      <c r="I583" s="767"/>
      <c r="J583" s="767"/>
      <c r="K583" s="767"/>
      <c r="L583" s="767"/>
    </row>
    <row r="584" spans="1:12" ht="15" customHeight="1">
      <c r="A584" s="771" t="s">
        <v>1281</v>
      </c>
      <c r="B584" s="766">
        <f>IF(ISNA(VLOOKUP(A584,'TB-22'!A:C,2,0)),0,VLOOKUP(A584,'TB-22'!A:C,2,0))</f>
        <v>18</v>
      </c>
      <c r="C584" s="767">
        <f>IF(ISNA(VLOOKUP(A584,'TB-22'!A:C,3,0)),0,VLOOKUP(A584,'TB-22'!A:C,3,0))</f>
        <v>0</v>
      </c>
      <c r="D584" s="767">
        <f t="shared" si="14"/>
        <v>18</v>
      </c>
      <c r="E584" s="767"/>
      <c r="F584" s="767"/>
      <c r="G584" s="767"/>
      <c r="H584" s="767"/>
      <c r="I584" s="767"/>
      <c r="J584" s="767"/>
      <c r="K584" s="767"/>
      <c r="L584" s="767"/>
    </row>
    <row r="585" spans="1:12" ht="15" customHeight="1">
      <c r="A585" s="771" t="s">
        <v>1282</v>
      </c>
      <c r="B585" s="766">
        <f>IF(ISNA(VLOOKUP(A585,'TB-22'!A:C,2,0)),0,VLOOKUP(A585,'TB-22'!A:C,2,0))</f>
        <v>115.04600000000001</v>
      </c>
      <c r="C585" s="767">
        <f>IF(ISNA(VLOOKUP(A585,'TB-22'!A:C,3,0)),0,VLOOKUP(A585,'TB-22'!A:C,3,0))</f>
        <v>0</v>
      </c>
      <c r="D585" s="767">
        <f t="shared" si="14"/>
        <v>115.04600000000001</v>
      </c>
      <c r="E585" s="767"/>
      <c r="F585" s="767"/>
      <c r="G585" s="767"/>
      <c r="H585" s="767"/>
      <c r="I585" s="767"/>
      <c r="J585" s="767"/>
      <c r="K585" s="767"/>
      <c r="L585" s="767"/>
    </row>
    <row r="586" spans="1:12" ht="15" customHeight="1">
      <c r="A586" s="771" t="s">
        <v>1292</v>
      </c>
      <c r="B586" s="766">
        <f>IF(ISNA(VLOOKUP(A586,'TB-22'!A:C,2,0)),0,VLOOKUP(A586,'TB-22'!A:C,2,0))</f>
        <v>36</v>
      </c>
      <c r="C586" s="767">
        <f>IF(ISNA(VLOOKUP(A586,'TB-22'!A:C,3,0)),0,VLOOKUP(A586,'TB-22'!A:C,3,0))</f>
        <v>0</v>
      </c>
      <c r="D586" s="767">
        <f t="shared" si="14"/>
        <v>36</v>
      </c>
      <c r="E586" s="767"/>
      <c r="F586" s="767"/>
      <c r="G586" s="767"/>
      <c r="H586" s="767"/>
      <c r="I586" s="767"/>
      <c r="J586" s="767"/>
      <c r="K586" s="767"/>
      <c r="L586" s="767"/>
    </row>
    <row r="587" spans="1:12" ht="15" customHeight="1">
      <c r="A587" s="771" t="s">
        <v>1298</v>
      </c>
      <c r="B587" s="766">
        <f>IF(ISNA(VLOOKUP(A587,'TB-22'!A:C,2,0)),0,VLOOKUP(A587,'TB-22'!A:C,2,0))</f>
        <v>544.80799999999999</v>
      </c>
      <c r="C587" s="767">
        <f>IF(ISNA(VLOOKUP(A587,'TB-22'!A:C,3,0)),0,VLOOKUP(A587,'TB-22'!A:C,3,0))</f>
        <v>0</v>
      </c>
      <c r="D587" s="767">
        <f t="shared" si="14"/>
        <v>544.80799999999999</v>
      </c>
      <c r="E587" s="767"/>
      <c r="F587" s="767"/>
      <c r="G587" s="767"/>
      <c r="H587" s="767"/>
      <c r="I587" s="767"/>
      <c r="J587" s="767"/>
      <c r="K587" s="767"/>
      <c r="L587" s="767"/>
    </row>
    <row r="588" spans="1:12" ht="15" customHeight="1">
      <c r="A588" s="771" t="s">
        <v>1301</v>
      </c>
      <c r="B588" s="766">
        <f>IF(ISNA(VLOOKUP(A588,'TB-22'!A:C,2,0)),0,VLOOKUP(A588,'TB-22'!A:C,2,0))</f>
        <v>76.241</v>
      </c>
      <c r="C588" s="767">
        <f>IF(ISNA(VLOOKUP(A588,'TB-22'!A:C,3,0)),0,VLOOKUP(A588,'TB-22'!A:C,3,0))</f>
        <v>0</v>
      </c>
      <c r="D588" s="767">
        <f t="shared" si="14"/>
        <v>76.241</v>
      </c>
      <c r="E588" s="767"/>
      <c r="F588" s="767"/>
      <c r="G588" s="767"/>
      <c r="H588" s="767"/>
      <c r="I588" s="767"/>
      <c r="J588" s="767"/>
      <c r="K588" s="767"/>
      <c r="L588" s="767"/>
    </row>
    <row r="589" spans="1:12" ht="15" customHeight="1">
      <c r="A589" s="771" t="s">
        <v>1316</v>
      </c>
      <c r="B589" s="766">
        <f>IF(ISNA(VLOOKUP(A589,'TB-22'!A:C,2,0)),0,VLOOKUP(A589,'TB-22'!A:C,2,0))</f>
        <v>7.5</v>
      </c>
      <c r="C589" s="767">
        <f>IF(ISNA(VLOOKUP(A589,'TB-22'!A:C,3,0)),0,VLOOKUP(A589,'TB-22'!A:C,3,0))</f>
        <v>0</v>
      </c>
      <c r="D589" s="767">
        <f t="shared" si="14"/>
        <v>7.5</v>
      </c>
      <c r="E589" s="767"/>
      <c r="F589" s="767"/>
      <c r="G589" s="767"/>
      <c r="H589" s="767"/>
      <c r="I589" s="767"/>
      <c r="J589" s="767"/>
      <c r="K589" s="767"/>
      <c r="L589" s="767"/>
    </row>
    <row r="590" spans="1:12" ht="15" customHeight="1">
      <c r="A590" s="771" t="s">
        <v>1339</v>
      </c>
      <c r="B590" s="766">
        <f>IF(ISNA(VLOOKUP(A590,'TB-22'!A:C,2,0)),0,VLOOKUP(A590,'TB-22'!A:C,2,0))</f>
        <v>2.5</v>
      </c>
      <c r="C590" s="767">
        <f>IF(ISNA(VLOOKUP(A590,'TB-22'!A:C,3,0)),0,VLOOKUP(A590,'TB-22'!A:C,3,0))</f>
        <v>0</v>
      </c>
      <c r="D590" s="767">
        <f t="shared" si="14"/>
        <v>2.5</v>
      </c>
      <c r="E590" s="767"/>
      <c r="F590" s="767"/>
      <c r="G590" s="767"/>
      <c r="H590" s="767"/>
      <c r="I590" s="767"/>
      <c r="J590" s="767"/>
      <c r="K590" s="767"/>
      <c r="L590" s="767"/>
    </row>
    <row r="591" spans="1:12" ht="15" customHeight="1">
      <c r="A591" s="776" t="s">
        <v>1124</v>
      </c>
      <c r="B591" s="766">
        <f>IF(ISNA(VLOOKUP(A591,'TB-22'!A:C,2,0)),0,VLOOKUP(A591,'TB-22'!A:C,2,0))</f>
        <v>345.15</v>
      </c>
      <c r="C591" s="767">
        <f>IF(ISNA(VLOOKUP(A591,'TB-22'!A:C,3,0)),0,VLOOKUP(A591,'TB-22'!A:C,3,0))</f>
        <v>0</v>
      </c>
      <c r="D591" s="767">
        <f t="shared" si="14"/>
        <v>345.15</v>
      </c>
    </row>
    <row r="592" spans="1:12" ht="15" customHeight="1">
      <c r="A592" s="770" t="s">
        <v>757</v>
      </c>
      <c r="B592" s="766">
        <f>IF(ISNA(VLOOKUP(A592,'TB-22'!A:C,2,0)),0,VLOOKUP(A592,'TB-22'!A:C,2,0))</f>
        <v>932.03</v>
      </c>
      <c r="C592" s="767">
        <f>IF(ISNA(VLOOKUP(A592,'TB-22'!A:C,3,0)),0,VLOOKUP(A592,'TB-22'!A:C,3,0))</f>
        <v>0</v>
      </c>
      <c r="D592" s="767">
        <f t="shared" si="14"/>
        <v>932.03</v>
      </c>
    </row>
    <row r="593" spans="1:4" ht="15" customHeight="1">
      <c r="A593" s="771" t="s">
        <v>1405</v>
      </c>
      <c r="B593" s="766">
        <f>IF(ISNA(VLOOKUP(A593,'TB-22'!A:C,2,0)),0,VLOOKUP(A593,'TB-22'!A:C,2,0))</f>
        <v>0.2</v>
      </c>
      <c r="C593" s="767">
        <f>IF(ISNA(VLOOKUP(A593,'TB-22'!A:C,3,0)),0,VLOOKUP(A593,'TB-22'!A:C,3,0))</f>
        <v>0</v>
      </c>
      <c r="D593" s="767">
        <f t="shared" si="14"/>
        <v>0.2</v>
      </c>
    </row>
    <row r="594" spans="1:4" ht="15" customHeight="1">
      <c r="A594" s="836" t="s">
        <v>622</v>
      </c>
      <c r="B594" s="766">
        <f>IF(ISNA(VLOOKUP(A594,'TB-22'!A:C,2,0)),0,VLOOKUP(A594,'TB-22'!A:C,2,0))</f>
        <v>180.12807999999998</v>
      </c>
      <c r="C594" s="767">
        <f>IF(ISNA(VLOOKUP(A594,'TB-22'!A:C,3,0)),0,VLOOKUP(A594,'TB-22'!A:C,3,0))</f>
        <v>0</v>
      </c>
      <c r="D594" s="767">
        <f t="shared" si="14"/>
        <v>180.12807999999998</v>
      </c>
    </row>
    <row r="595" spans="1:4" ht="15" customHeight="1">
      <c r="A595" s="836" t="s">
        <v>195</v>
      </c>
      <c r="B595" s="766">
        <f>IF(ISNA(VLOOKUP(A595,'TB-22'!A:C,2,0)),0,VLOOKUP(A595,'TB-22'!A:C,2,0))</f>
        <v>0.95611999999999997</v>
      </c>
      <c r="C595" s="767">
        <f>IF(ISNA(VLOOKUP(A595,'TB-22'!A:C,3,0)),0,VLOOKUP(A595,'TB-22'!A:C,3,0))</f>
        <v>0</v>
      </c>
      <c r="D595" s="767">
        <f t="shared" si="14"/>
        <v>0.95611999999999997</v>
      </c>
    </row>
    <row r="596" spans="1:4" ht="15" customHeight="1">
      <c r="A596" s="776" t="s">
        <v>1103</v>
      </c>
      <c r="B596" s="766">
        <f>IF(ISNA(VLOOKUP(A596,'TB-22'!A:C,2,0)),0,VLOOKUP(A596,'TB-22'!A:C,2,0))</f>
        <v>54.815199999999997</v>
      </c>
      <c r="C596" s="767">
        <f>IF(ISNA(VLOOKUP(A596,'TB-22'!A:C,3,0)),0,VLOOKUP(A596,'TB-22'!A:C,3,0))</f>
        <v>0</v>
      </c>
      <c r="D596" s="767">
        <f t="shared" si="14"/>
        <v>54.815199999999997</v>
      </c>
    </row>
    <row r="597" spans="1:4" ht="15" customHeight="1">
      <c r="A597" s="769" t="s">
        <v>1040</v>
      </c>
      <c r="B597" s="766">
        <f>IF(ISNA(VLOOKUP(A597,'TB-22'!A:C,2,0)),0,VLOOKUP(A597,'TB-22'!A:C,2,0))</f>
        <v>42.718000000000004</v>
      </c>
      <c r="C597" s="767">
        <f>IF(ISNA(VLOOKUP(A597,'TB-22'!A:C,3,0)),0,VLOOKUP(A597,'TB-22'!A:C,3,0))</f>
        <v>0</v>
      </c>
      <c r="D597" s="767">
        <f t="shared" si="14"/>
        <v>42.718000000000004</v>
      </c>
    </row>
    <row r="598" spans="1:4" ht="15" customHeight="1">
      <c r="A598" s="799" t="s">
        <v>721</v>
      </c>
      <c r="B598" s="766">
        <f>IF(ISNA(VLOOKUP(A598,'TB-22'!A:C,2,0)),0,VLOOKUP(A598,'TB-22'!A:C,2,0))</f>
        <v>479.834</v>
      </c>
      <c r="C598" s="767">
        <f>IF(ISNA(VLOOKUP(A598,'TB-22'!A:C,3,0)),0,VLOOKUP(A598,'TB-22'!A:C,3,0))</f>
        <v>0</v>
      </c>
      <c r="D598" s="767">
        <f t="shared" si="14"/>
        <v>479.834</v>
      </c>
    </row>
    <row r="599" spans="1:4" ht="15" customHeight="1">
      <c r="A599" s="776"/>
      <c r="B599" s="766"/>
      <c r="D599" s="767">
        <f t="shared" si="14"/>
        <v>0</v>
      </c>
    </row>
    <row r="600" spans="1:4" ht="15" customHeight="1">
      <c r="A600" s="763" t="s">
        <v>185</v>
      </c>
      <c r="B600" s="766"/>
      <c r="D600" s="767">
        <f t="shared" si="14"/>
        <v>0</v>
      </c>
    </row>
    <row r="601" spans="1:4" ht="15" customHeight="1">
      <c r="A601" s="837" t="s">
        <v>587</v>
      </c>
      <c r="B601" s="766">
        <f>IF(ISNA(VLOOKUP(A601,'TB-22'!A:C,2,0)),0,VLOOKUP(A601,'TB-22'!A:C,2,0))</f>
        <v>234.22800000000001</v>
      </c>
      <c r="C601" s="767">
        <f>IF(ISNA(VLOOKUP(A601,'TB-22'!A:C,3,0)),0,VLOOKUP(A601,'TB-22'!A:C,3,0))</f>
        <v>0</v>
      </c>
      <c r="D601" s="767">
        <f t="shared" si="14"/>
        <v>234.22800000000001</v>
      </c>
    </row>
    <row r="602" spans="1:4" ht="15" customHeight="1">
      <c r="A602" s="769" t="s">
        <v>1057</v>
      </c>
      <c r="B602" s="766">
        <f>IF(ISNA(VLOOKUP(A602,'TB-22'!A:C,2,0)),0,VLOOKUP(A602,'TB-22'!A:C,2,0))</f>
        <v>265.39999999999998</v>
      </c>
      <c r="C602" s="767">
        <f>IF(ISNA(VLOOKUP(A602,'TB-22'!A:C,3,0)),0,VLOOKUP(A602,'TB-22'!A:C,3,0))</f>
        <v>0</v>
      </c>
      <c r="D602" s="767">
        <f>+B602-C602</f>
        <v>265.39999999999998</v>
      </c>
    </row>
    <row r="603" spans="1:4" ht="15" customHeight="1">
      <c r="A603" s="771" t="s">
        <v>1308</v>
      </c>
      <c r="B603" s="766">
        <f>IF(ISNA(VLOOKUP(A603,'TB-22'!A:C,2,0)),0,VLOOKUP(A603,'TB-22'!A:C,2,0))</f>
        <v>0.82899999999999996</v>
      </c>
      <c r="C603" s="767">
        <f>IF(ISNA(VLOOKUP(A603,'TB-22'!A:C,3,0)),0,VLOOKUP(A603,'TB-22'!A:C,3,0))</f>
        <v>0</v>
      </c>
      <c r="D603" s="767">
        <f t="shared" si="14"/>
        <v>0.82899999999999996</v>
      </c>
    </row>
    <row r="604" spans="1:4" ht="15" customHeight="1">
      <c r="B604" s="766"/>
      <c r="D604" s="767">
        <f t="shared" si="14"/>
        <v>0</v>
      </c>
    </row>
    <row r="605" spans="1:4" ht="15" customHeight="1">
      <c r="A605" s="769" t="s">
        <v>428</v>
      </c>
      <c r="B605" s="766">
        <f>IF(ISNA(VLOOKUP(A605,'TB-22'!A:C,2,0)),0,VLOOKUP(A605,'TB-22'!A:C,2,0))</f>
        <v>217.76</v>
      </c>
      <c r="C605" s="767">
        <f>IF(ISNA(VLOOKUP(A605,'TB-22'!A:C,3,0)),0,VLOOKUP(A605,'TB-22'!A:C,3,0))</f>
        <v>0</v>
      </c>
      <c r="D605" s="767">
        <f t="shared" si="14"/>
        <v>217.76</v>
      </c>
    </row>
    <row r="606" spans="1:4" ht="15" customHeight="1">
      <c r="B606" s="766"/>
      <c r="D606" s="767">
        <f t="shared" si="14"/>
        <v>0</v>
      </c>
    </row>
    <row r="607" spans="1:4" ht="15" customHeight="1">
      <c r="A607" s="763" t="s">
        <v>718</v>
      </c>
      <c r="B607" s="766"/>
      <c r="D607" s="767">
        <f t="shared" si="14"/>
        <v>0</v>
      </c>
    </row>
    <row r="608" spans="1:4" ht="15" customHeight="1">
      <c r="A608" s="763"/>
      <c r="B608" s="766"/>
      <c r="D608" s="767">
        <f t="shared" si="14"/>
        <v>0</v>
      </c>
    </row>
    <row r="609" spans="1:6" ht="15" customHeight="1">
      <c r="A609" s="763" t="s">
        <v>633</v>
      </c>
      <c r="B609" s="766"/>
      <c r="D609" s="767">
        <f t="shared" si="14"/>
        <v>0</v>
      </c>
    </row>
    <row r="610" spans="1:6" ht="15" customHeight="1">
      <c r="A610" s="838" t="s">
        <v>122</v>
      </c>
      <c r="B610" s="766">
        <f>IF(ISNA(VLOOKUP(A610,'TB-22'!A:C,2,0)),0,VLOOKUP(A610,'TB-22'!A:C,2,0))</f>
        <v>3014.9695299999998</v>
      </c>
      <c r="C610" s="767">
        <f>IF(ISNA(VLOOKUP(A610,'TB-22'!A:C,3,0)),0,VLOOKUP(A610,'TB-22'!A:C,3,0))</f>
        <v>0</v>
      </c>
      <c r="D610" s="767">
        <f t="shared" si="14"/>
        <v>3014.9695299999998</v>
      </c>
    </row>
    <row r="611" spans="1:6" ht="15" customHeight="1">
      <c r="A611" s="839"/>
      <c r="B611" s="766"/>
      <c r="D611" s="767">
        <f t="shared" si="14"/>
        <v>0</v>
      </c>
    </row>
    <row r="612" spans="1:6" ht="15" customHeight="1">
      <c r="A612" s="763" t="s">
        <v>555</v>
      </c>
      <c r="B612" s="766"/>
      <c r="D612" s="767">
        <f t="shared" si="14"/>
        <v>0</v>
      </c>
    </row>
    <row r="613" spans="1:6" ht="15" customHeight="1">
      <c r="A613" s="839" t="s">
        <v>562</v>
      </c>
      <c r="B613" s="766">
        <f>IF(ISNA(VLOOKUP(A613,'TB-22'!A:C,2,0)),0,VLOOKUP(A613,'TB-22'!A:C,2,0))</f>
        <v>175</v>
      </c>
      <c r="C613" s="767">
        <f>IF(ISNA(VLOOKUP(A613,'TB-22'!A:C,3,0)),0,VLOOKUP(A613,'TB-22'!A:C,3,0))</f>
        <v>0</v>
      </c>
      <c r="D613" s="767">
        <f t="shared" si="14"/>
        <v>175</v>
      </c>
    </row>
    <row r="614" spans="1:6" ht="15" customHeight="1">
      <c r="A614" s="839"/>
      <c r="B614" s="766"/>
      <c r="D614" s="767">
        <f t="shared" si="14"/>
        <v>0</v>
      </c>
    </row>
    <row r="615" spans="1:6" ht="15" customHeight="1">
      <c r="A615" s="840" t="s">
        <v>1394</v>
      </c>
      <c r="B615" s="766"/>
      <c r="D615" s="767">
        <f t="shared" si="14"/>
        <v>0</v>
      </c>
    </row>
    <row r="616" spans="1:6" ht="15" customHeight="1">
      <c r="A616" s="763" t="s">
        <v>1077</v>
      </c>
      <c r="B616" s="766">
        <f>IF(ISNA(VLOOKUP(A616,'TB-22'!A:C,2,0)),0,VLOOKUP(A616,'TB-22'!A:C,2,0))</f>
        <v>0</v>
      </c>
      <c r="C616" s="767">
        <f>IF(ISNA(VLOOKUP(A616,'TB-22'!A:C,3,0)),0,VLOOKUP(A616,'TB-22'!A:C,3,0))</f>
        <v>0</v>
      </c>
      <c r="D616" s="767">
        <f t="shared" si="14"/>
        <v>0</v>
      </c>
    </row>
    <row r="617" spans="1:6" ht="15" customHeight="1">
      <c r="A617" s="273" t="s">
        <v>180</v>
      </c>
      <c r="B617" s="766">
        <f>IF(ISNA(VLOOKUP(A617,'TB-22'!A:C,2,0)),0,VLOOKUP(A617,'TB-22'!A:C,2,0))</f>
        <v>5461.5427800000007</v>
      </c>
      <c r="C617" s="767">
        <f>IF(ISNA(VLOOKUP(A617,'TB-22'!A:C,3,0)),0,VLOOKUP(A617,'TB-22'!A:C,3,0))</f>
        <v>0</v>
      </c>
      <c r="D617" s="767">
        <f t="shared" si="14"/>
        <v>5461.5427800000007</v>
      </c>
    </row>
    <row r="618" spans="1:6" ht="15" customHeight="1">
      <c r="A618" s="763" t="s">
        <v>183</v>
      </c>
      <c r="B618" s="766"/>
      <c r="D618" s="767">
        <f t="shared" si="14"/>
        <v>0</v>
      </c>
    </row>
    <row r="619" spans="1:6" ht="15" customHeight="1">
      <c r="A619" s="841" t="s">
        <v>567</v>
      </c>
      <c r="B619" s="766">
        <f>IF(ISNA(VLOOKUP(A619,'TB-22'!A:C,2,0)),0,VLOOKUP(A619,'TB-22'!A:C,2,0))</f>
        <v>0</v>
      </c>
      <c r="C619" s="767">
        <f>IF(ISNA(VLOOKUP(A619,'TB-22'!A:C,3,0)),0,VLOOKUP(A619,'TB-22'!A:C,3,0))</f>
        <v>0</v>
      </c>
      <c r="D619" s="767">
        <f t="shared" si="14"/>
        <v>0</v>
      </c>
      <c r="F619" s="764">
        <f>SUM(D546:D619)</f>
        <v>19701.421990000003</v>
      </c>
    </row>
    <row r="620" spans="1:6" ht="15" customHeight="1">
      <c r="A620" s="841"/>
      <c r="B620" s="766"/>
    </row>
    <row r="622" spans="1:6" ht="15" customHeight="1" thickBot="1">
      <c r="B622" s="842">
        <f>SUM(B4:B621)</f>
        <v>1089521.4809010003</v>
      </c>
      <c r="C622" s="842">
        <f>SUM(C4:C621)</f>
        <v>1134583.4348399995</v>
      </c>
      <c r="D622" s="842">
        <f>SUM(D4:D621)</f>
        <v>-45061.953938999519</v>
      </c>
    </row>
    <row r="623" spans="1:6" ht="15" customHeight="1" thickTop="1">
      <c r="B623" s="767">
        <f>'TB-22'!B455</f>
        <v>1040082.0538400001</v>
      </c>
      <c r="C623" s="767">
        <f>'TB-22'!C455</f>
        <v>1040082.0538399997</v>
      </c>
    </row>
    <row r="624" spans="1:6" ht="15" customHeight="1">
      <c r="B624" s="767">
        <f>B622-B623</f>
        <v>49439.427061000257</v>
      </c>
      <c r="C624" s="767">
        <f>C622-C623</f>
        <v>94501.380999999819</v>
      </c>
      <c r="D624" s="767" t="s">
        <v>724</v>
      </c>
    </row>
    <row r="627" spans="2:7" ht="15" customHeight="1">
      <c r="D627" s="273"/>
    </row>
    <row r="628" spans="2:7" ht="15" customHeight="1">
      <c r="B628" s="767" t="s">
        <v>1193</v>
      </c>
      <c r="D628" s="767">
        <f>-SUM(D432:D620)</f>
        <v>56282.432059000057</v>
      </c>
    </row>
    <row r="629" spans="2:7" ht="15" customHeight="1">
      <c r="B629" s="767" t="s">
        <v>1194</v>
      </c>
      <c r="D629" s="767">
        <f>PL!E18</f>
        <v>11220.478119358246</v>
      </c>
      <c r="G629" s="767"/>
    </row>
    <row r="630" spans="2:7" ht="15" customHeight="1">
      <c r="D630" s="843">
        <f>D628-D629</f>
        <v>45061.953939641811</v>
      </c>
      <c r="E630" s="764" t="s">
        <v>717</v>
      </c>
    </row>
    <row r="631" spans="2:7" ht="15" customHeight="1">
      <c r="D631" s="843"/>
    </row>
    <row r="632" spans="2:7" ht="15" customHeight="1">
      <c r="B632" s="767" t="s">
        <v>1193</v>
      </c>
      <c r="D632" s="767">
        <f>D628</f>
        <v>56282.432059000057</v>
      </c>
    </row>
    <row r="633" spans="2:7" ht="15" customHeight="1">
      <c r="B633" s="767" t="s">
        <v>1482</v>
      </c>
      <c r="D633" s="767">
        <v>11220478.119358242</v>
      </c>
    </row>
    <row r="634" spans="2:7" ht="15" customHeight="1">
      <c r="D634" s="843">
        <f>D632-D633</f>
        <v>-11164195.687299242</v>
      </c>
      <c r="E634" s="764" t="s">
        <v>1484</v>
      </c>
    </row>
    <row r="639" spans="2:7" ht="15" customHeight="1">
      <c r="B639" s="766"/>
    </row>
  </sheetData>
  <autoFilter ref="A2:L630" xr:uid="{00000000-0009-0000-0000-000001000000}"/>
  <conditionalFormatting sqref="A1:A28 A31:A33 A35:A40 A43 A102:A113 A120:A128 A148 A152:A153 A155:A163 A168:A174 A177:A182 A184:A205 A207:A209 A215:A265 A308:A312 A349:A352 A355:A356 A358:A368 A370:A379 A381:A402 A404 A406 A413 A423:A444 A446:A482 A484:A603 A605 A607:A65536">
    <cfRule type="expression" dxfId="46" priority="2218" stopIfTrue="1">
      <formula>AND(COUNTIF($A$607:$A$65536, A1)+COUNTIF($A$349:$A$352, A1)+COUNTIF(#REF!, A1)+COUNTIF(#REF!, A1)+COUNTIF(#REF!, A1)+COUNTIF(#REF!, A1)+COUNTIF($A$120:$A$128, A1)+COUNTIF($A$605:$A$605, A1)+COUNTIF($A$148:$A$148, A1)+COUNTIF(#REF!, A1)+COUNTIF(#REF!, A1)+COUNTIF($A$1:$A$28, A1)+COUNTIF($A$356:$A$356, A1)+COUNTIF(#REF!, A1)+COUNTIF($A$358:$A$368, A1)+COUNTIF($A$400:$A$427, A1)+COUNTIF($A$184:$A$199, A1)+COUNTIF($A$200:$A$212, A1)+COUNTIF($A$152:$A$182, A1)+COUNTIF($A$433:$A$434, A1)+COUNTIF($A$215:$A$265, A1)+COUNTIF($A$429:$A$431, A1)+COUNTIF($A$31:$A$43, A1)+COUNTIF($A$441:$A$444, A1)+COUNTIF($A$436:$A$439, A1)+COUNTIF($A$370:$A$375, A1)+COUNTIF($A$382:$A$397, A1)+COUNTIF($A$446:$A$482, A1)+COUNTIF($A$484:$A$603, A1)&gt;1,NOT(ISBLANK(A1)))</formula>
    </cfRule>
  </conditionalFormatting>
  <conditionalFormatting sqref="A1:A33 A35:A40 A43 A102:A113 A120:A128 A148 A152:A153 A155:A163 A168:A174 A177:A182 A184:A205 A207:A209 A215:A266 A308:A312 A349:A352 A355:A356 A358:A368 A370:A379 A381:A402 A404 A406 A413 A423:A444 A446:A482 A484:A603 A605:A65536">
    <cfRule type="expression" dxfId="45" priority="2170" stopIfTrue="1">
      <formula>AND(COUNTIF($A$605:$A$65536, A1)+COUNTIF(#REF!, A1)+COUNTIF(#REF!, A1)+COUNTIF(#REF!, A1)+COUNTIF($A$148:$A$148, A1)+COUNTIF(#REF!, A1)+COUNTIF(#REF!, A1)+COUNTIF($A$120:$A$128, A1)+COUNTIF(#REF!, A1)+COUNTIF($A$349:$A$352, A1)+COUNTIF($A$358:$A$368, A1)+COUNTIF($A$400:$A$427, A1)+COUNTIF($A$356:$A$356, A1)+COUNTIF(#REF!, A1)+COUNTIF($A$184:$A$199, A1)+COUNTIF($A$200:$A$212, A1)+COUNTIF($A$152:$A$182, A1)+COUNTIF($A$433:$A$434, A1)+COUNTIF($A$215:$A$266, A1)+COUNTIF($A$429:$A$431, A1)+COUNTIF($A$1:$A$43, A1)+COUNTIF($A$441:$A$444, A1)+COUNTIF($A$436:$A$439, A1)+COUNTIF($A$370:$A$375, A1)+COUNTIF($A$382:$A$397, A1)+COUNTIF($A$446:$A$482, A1)+COUNTIF($A$484:$A$603, A1)&gt;1,NOT(ISBLANK(A1)))</formula>
    </cfRule>
  </conditionalFormatting>
  <conditionalFormatting sqref="A1:A33 A35:A43 A102:A153 A155:A174 A177:A205 A207:A209 A215:A266 A308:A312 A349:A352 A355:A356 A358:A368 A370:A379 A381:A444 A446:A482 A484:A603 A605:A65536">
    <cfRule type="expression" dxfId="44" priority="2244" stopIfTrue="1">
      <formula>AND(COUNTIF($A$605:$A$65536, A1)+COUNTIF(#REF!, A1)+COUNTIF(#REF!, A1)+COUNTIF($A$349:$A$352, A1)+COUNTIF($A$358:$A$368, A1)+COUNTIF($A$356:$A$356, A1)+COUNTIF($A$120:$A$199, A1)+COUNTIF($A$200:$A$212, A1)+COUNTIF($A$433:$A$434, A1)+COUNTIF($A$215:$A$266, A1)+COUNTIF($A$429:$A$431, A1)+COUNTIF($A$1:$A$119, A1)+COUNTIF($A$441:$A$444, A1)+COUNTIF($A$436:$A$439, A1)+COUNTIF($A$370:$A$375, A1)+COUNTIF($A$382:$A$427, A1)+COUNTIF($A$446:$A$482, A1)+COUNTIF($A$484:$A$603, A1)&gt;1,NOT(ISBLANK(A1)))</formula>
    </cfRule>
  </conditionalFormatting>
  <conditionalFormatting sqref="A29">
    <cfRule type="duplicateValues" dxfId="43" priority="205" stopIfTrue="1"/>
  </conditionalFormatting>
  <conditionalFormatting sqref="A30">
    <cfRule type="duplicateValues" dxfId="42" priority="204" stopIfTrue="1"/>
  </conditionalFormatting>
  <conditionalFormatting sqref="A41">
    <cfRule type="duplicateValues" dxfId="41" priority="14" stopIfTrue="1"/>
  </conditionalFormatting>
  <conditionalFormatting sqref="A102 A114:A153 A1:A33 A35:A40 A42:A43 A155:A205 A207:A65536">
    <cfRule type="expression" dxfId="40" priority="2292" stopIfTrue="1">
      <formula>AND(COUNTIF($A$114:$A$153, A1)+COUNTIF($A$155:$A$65536, A1)+COUNTIF($A$102:$A$102, A1)+COUNTIF($A$1:$A$33, A1)+COUNTIF($A$35:$A$40, A1)+COUNTIF($A$42:$A$43, A1)&gt;1,NOT(ISBLANK(A1)))</formula>
    </cfRule>
  </conditionalFormatting>
  <conditionalFormatting sqref="A102 A153">
    <cfRule type="expression" dxfId="39" priority="2273" stopIfTrue="1">
      <formula>AND(COUNTIF($A$153:$A$153, A102)+COUNTIF($A$102:$A$102, A102)&gt;1,NOT(ISBLANK(A102)))</formula>
    </cfRule>
  </conditionalFormatting>
  <conditionalFormatting sqref="A103:A113">
    <cfRule type="duplicateValues" dxfId="38" priority="5" stopIfTrue="1"/>
  </conditionalFormatting>
  <conditionalFormatting sqref="A209 A398 A426:A428">
    <cfRule type="expression" dxfId="37" priority="1617" stopIfTrue="1">
      <formula>AND(COUNTIF($A$209:$A$209, A209)+COUNTIF($A$398:$A$428, A209)&gt;1,NOT(ISBLANK(A209)))</formula>
    </cfRule>
  </conditionalFormatting>
  <conditionalFormatting sqref="A210:A373 A1:A33 A35:A43 A103:A152 A155:A205 A207:A208 A375:A376 A380 A387 A391:A393 A397 A399:A425 A429:A431 A436 A439 A444:A450 A452:A529 A534 A536:A65536">
    <cfRule type="expression" dxfId="36" priority="1717" stopIfTrue="1">
      <formula>AND(COUNTIF($A$448:$A$529, A1)+COUNTIF($A$1:$A$152, A1)+COUNTIF($A$375:$A$375, A1)+COUNTIF($A$536:$A$65536, A1)+COUNTIF($A$380:$A$380, A1)+COUNTIF($A$387:$A$387, A1)+COUNTIF($A$391:$A$393, A1)+COUNTIF($A$397:$A$400, A1)+COUNTIF($A$429:$A$431, A1)+COUNTIF($A$436:$A$436, A1)+COUNTIF($A$439:$A$439, A1)+COUNTIF($A$444:$A$447, A1)+COUNTIF($A$164:$A$373, A1)&gt;1,NOT(ISBLANK(A1)))</formula>
    </cfRule>
  </conditionalFormatting>
  <conditionalFormatting sqref="A213:A214">
    <cfRule type="duplicateValues" dxfId="35" priority="191" stopIfTrue="1"/>
    <cfRule type="duplicateValues" dxfId="34" priority="188" stopIfTrue="1"/>
    <cfRule type="duplicateValues" dxfId="33" priority="190" stopIfTrue="1"/>
  </conditionalFormatting>
  <conditionalFormatting sqref="A253">
    <cfRule type="duplicateValues" dxfId="32" priority="21" stopIfTrue="1"/>
  </conditionalFormatting>
  <conditionalFormatting sqref="A254:A65536 A1:A33 A207:A252 A35:A43 A102:A153 A155:A205">
    <cfRule type="expression" dxfId="31" priority="1446" stopIfTrue="1">
      <formula>AND(COUNTIF($A$254:$A$65536, A1)+COUNTIF($A$1:$A$252, A1)&gt;1,NOT(ISBLANK(A1)))</formula>
    </cfRule>
  </conditionalFormatting>
  <conditionalFormatting sqref="A353:A354">
    <cfRule type="duplicateValues" dxfId="30" priority="195" stopIfTrue="1"/>
    <cfRule type="duplicateValues" dxfId="29" priority="194" stopIfTrue="1"/>
    <cfRule type="duplicateValues" dxfId="28" priority="193" stopIfTrue="1"/>
  </conditionalFormatting>
  <conditionalFormatting sqref="A357">
    <cfRule type="expression" dxfId="27" priority="1447" stopIfTrue="1">
      <formula>AND(COUNTIF(#REF!, A357)+COUNTIF($A$357:$A$357, A357)&gt;1,NOT(ISBLANK(A357)))</formula>
    </cfRule>
  </conditionalFormatting>
  <conditionalFormatting sqref="A369">
    <cfRule type="duplicateValues" dxfId="26" priority="178" stopIfTrue="1"/>
    <cfRule type="duplicateValues" dxfId="25" priority="179" stopIfTrue="1"/>
    <cfRule type="duplicateValues" dxfId="24" priority="181" stopIfTrue="1"/>
    <cfRule type="duplicateValues" dxfId="23" priority="182" stopIfTrue="1"/>
    <cfRule type="duplicateValues" dxfId="22" priority="180" stopIfTrue="1"/>
  </conditionalFormatting>
  <conditionalFormatting sqref="A370:A379 A381:A444 A1:A33 A35:A43 A102:A153 A155:A174 A177:A182 A184:A205 A207:A209 A215:A266 A308:A312 A349:A352 A355:A356 A358:A368 A446:A482 A484:A603 A605:A65536">
    <cfRule type="expression" dxfId="21" priority="2154" stopIfTrue="1">
      <formula>AND(COUNTIF($A$605:$A$65536, A1)+COUNTIF(#REF!, A1)+COUNTIF(#REF!, A1)+COUNTIF($A$349:$A$352, A1)+COUNTIF($A$358:$A$368, A1)+COUNTIF($A$356:$A$356, A1)+COUNTIF($A$184:$A$199, A1)+COUNTIF($A$200:$A$212, A1)+COUNTIF($A$120:$A$182, A1)+COUNTIF($A$433:$A$434, A1)+COUNTIF($A$215:$A$266, A1)+COUNTIF($A$429:$A$431, A1)+COUNTIF($A$1:$A$119, A1)+COUNTIF($A$441:$A$444, A1)+COUNTIF($A$436:$A$439, A1)+COUNTIF($A$370:$A$375, A1)+COUNTIF($A$382:$A$427, A1)+COUNTIF($A$446:$A$482, A1)+COUNTIF($A$484:$A$603, A1)&gt;1,NOT(ISBLANK(A1)))</formula>
    </cfRule>
  </conditionalFormatting>
  <conditionalFormatting sqref="A374">
    <cfRule type="duplicateValues" dxfId="20" priority="135" stopIfTrue="1"/>
  </conditionalFormatting>
  <conditionalFormatting sqref="A377:A379">
    <cfRule type="expression" dxfId="19" priority="2153" stopIfTrue="1">
      <formula>AND(COUNTIF($A$377:$A$378, A377)+COUNTIF($A$379:$A$379, A377)+COUNTIF(#REF!, A377)&gt;1,NOT(ISBLANK(A377)))</formula>
    </cfRule>
  </conditionalFormatting>
  <conditionalFormatting sqref="A380">
    <cfRule type="duplicateValues" dxfId="18" priority="152" stopIfTrue="1"/>
    <cfRule type="duplicateValues" dxfId="17" priority="151" stopIfTrue="1"/>
    <cfRule type="duplicateValues" dxfId="16" priority="149" stopIfTrue="1"/>
  </conditionalFormatting>
  <conditionalFormatting sqref="A381:A386">
    <cfRule type="duplicateValues" dxfId="15" priority="2056" stopIfTrue="1"/>
  </conditionalFormatting>
  <conditionalFormatting sqref="A381:A65536 A1:A33 A35:A43 A102:A153 A155:A205 A207:A379">
    <cfRule type="expression" dxfId="14" priority="2053" stopIfTrue="1">
      <formula>AND(COUNTIF($A$382:$A$65536, A1)+COUNTIF($A$1:$A$199, A1)+COUNTIF($A$200:$A$375, A1)&gt;1,NOT(ISBLANK(A1)))</formula>
    </cfRule>
  </conditionalFormatting>
  <conditionalFormatting sqref="A388:A390">
    <cfRule type="duplicateValues" dxfId="13" priority="93" stopIfTrue="1"/>
  </conditionalFormatting>
  <conditionalFormatting sqref="A394:A396">
    <cfRule type="duplicateValues" dxfId="12" priority="1956" stopIfTrue="1"/>
  </conditionalFormatting>
  <conditionalFormatting sqref="A432:A435">
    <cfRule type="duplicateValues" dxfId="11" priority="1360" stopIfTrue="1"/>
  </conditionalFormatting>
  <conditionalFormatting sqref="A437:A438">
    <cfRule type="duplicateValues" dxfId="10" priority="65" stopIfTrue="1"/>
  </conditionalFormatting>
  <conditionalFormatting sqref="A440:A443">
    <cfRule type="duplicateValues" dxfId="9" priority="58" stopIfTrue="1"/>
  </conditionalFormatting>
  <conditionalFormatting sqref="A445">
    <cfRule type="duplicateValues" dxfId="8" priority="172" stopIfTrue="1"/>
    <cfRule type="duplicateValues" dxfId="7" priority="171" stopIfTrue="1"/>
    <cfRule type="duplicateValues" dxfId="6" priority="170" stopIfTrue="1"/>
    <cfRule type="duplicateValues" dxfId="5" priority="168" stopIfTrue="1"/>
    <cfRule type="duplicateValues" dxfId="4" priority="169" stopIfTrue="1"/>
  </conditionalFormatting>
  <conditionalFormatting sqref="A451">
    <cfRule type="duplicateValues" dxfId="3" priority="128" stopIfTrue="1"/>
  </conditionalFormatting>
  <conditionalFormatting sqref="A530:A533 A535">
    <cfRule type="expression" dxfId="2" priority="1433" stopIfTrue="1">
      <formula>AND(COUNTIF($A$530:$A$533, A530)+COUNTIF($A$535:$A$535, A530)&gt;1,NOT(ISBLANK(A530)))</formula>
    </cfRule>
  </conditionalFormatting>
  <pageMargins left="0.7" right="0.7" top="0.75" bottom="0.75" header="0.3" footer="0.3"/>
  <pageSetup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8"/>
  <sheetViews>
    <sheetView view="pageBreakPreview" topLeftCell="B13" zoomScaleNormal="100" zoomScaleSheetLayoutView="100" workbookViewId="0">
      <selection activeCell="B1" sqref="B1"/>
    </sheetView>
  </sheetViews>
  <sheetFormatPr defaultColWidth="9.140625" defaultRowHeight="12.75"/>
  <cols>
    <col min="1" max="1" width="5.7109375" style="57" hidden="1" customWidth="1"/>
    <col min="2" max="2" width="5.42578125" style="57" bestFit="1" customWidth="1"/>
    <col min="3" max="3" width="35.7109375" style="57" customWidth="1"/>
    <col min="4" max="4" width="31.5703125" style="57" customWidth="1"/>
    <col min="5" max="5" width="17.7109375" style="111" customWidth="1"/>
    <col min="6" max="6" width="18.7109375" style="111" customWidth="1"/>
    <col min="7" max="7" width="14.7109375" style="57" bestFit="1" customWidth="1"/>
    <col min="8" max="8" width="14.85546875" style="57" bestFit="1" customWidth="1"/>
    <col min="9" max="9" width="14.140625" style="57" bestFit="1" customWidth="1"/>
    <col min="10" max="10" width="15.140625" style="57" bestFit="1" customWidth="1"/>
    <col min="11" max="11" width="12.7109375" style="57" bestFit="1" customWidth="1"/>
    <col min="12" max="16384" width="9.140625" style="57"/>
  </cols>
  <sheetData>
    <row r="1" spans="1:9" s="885" customFormat="1">
      <c r="A1" s="883" t="s">
        <v>212</v>
      </c>
      <c r="B1" s="884"/>
      <c r="E1" s="886"/>
      <c r="F1" s="886"/>
    </row>
    <row r="2" spans="1:9">
      <c r="B2" s="58"/>
      <c r="C2" s="559"/>
      <c r="D2" s="560"/>
      <c r="E2" s="561"/>
      <c r="F2" s="562"/>
    </row>
    <row r="3" spans="1:9">
      <c r="B3" s="60"/>
      <c r="C3" s="1056" t="s">
        <v>1547</v>
      </c>
      <c r="D3" s="1057"/>
      <c r="E3" s="1057"/>
      <c r="F3" s="1058"/>
    </row>
    <row r="4" spans="1:9">
      <c r="B4" s="60"/>
      <c r="C4" s="61"/>
      <c r="D4" s="62"/>
      <c r="E4" s="63"/>
      <c r="F4" s="64"/>
    </row>
    <row r="5" spans="1:9">
      <c r="B5" s="60"/>
      <c r="C5" s="61" t="s">
        <v>1143</v>
      </c>
      <c r="D5" s="62" t="str">
        <f>+BS!A1</f>
        <v>DYNAMIC AIR ENGINEERING INDIA PRIVATE LIMITED</v>
      </c>
      <c r="E5" s="63"/>
      <c r="F5" s="64"/>
      <c r="H5" s="278"/>
    </row>
    <row r="6" spans="1:9">
      <c r="B6" s="60"/>
      <c r="C6" s="61"/>
      <c r="D6" s="62" t="s">
        <v>945</v>
      </c>
      <c r="E6" s="63"/>
      <c r="F6" s="64"/>
    </row>
    <row r="7" spans="1:9">
      <c r="B7" s="60"/>
      <c r="C7" s="61"/>
      <c r="E7" s="63"/>
      <c r="F7" s="64"/>
    </row>
    <row r="8" spans="1:9">
      <c r="B8" s="60"/>
      <c r="C8" s="61" t="s">
        <v>1144</v>
      </c>
      <c r="D8" s="57" t="s">
        <v>244</v>
      </c>
      <c r="E8" s="63"/>
      <c r="F8" s="64"/>
      <c r="G8" s="62"/>
    </row>
    <row r="9" spans="1:9">
      <c r="B9" s="60"/>
      <c r="C9" s="61"/>
      <c r="E9" s="63"/>
      <c r="F9" s="64"/>
    </row>
    <row r="10" spans="1:9">
      <c r="B10" s="60"/>
      <c r="C10" s="61" t="s">
        <v>1145</v>
      </c>
      <c r="D10" s="57" t="s">
        <v>417</v>
      </c>
      <c r="E10" s="63"/>
      <c r="F10" s="64"/>
    </row>
    <row r="11" spans="1:9">
      <c r="B11" s="60"/>
      <c r="C11" s="61"/>
      <c r="E11" s="63"/>
      <c r="F11" s="64"/>
    </row>
    <row r="12" spans="1:9">
      <c r="B12" s="60"/>
      <c r="C12" s="61" t="s">
        <v>1146</v>
      </c>
      <c r="D12" s="57" t="s">
        <v>267</v>
      </c>
      <c r="E12" s="63"/>
      <c r="F12" s="64"/>
    </row>
    <row r="13" spans="1:9">
      <c r="B13" s="60"/>
      <c r="C13" s="61"/>
      <c r="E13" s="63"/>
      <c r="F13" s="64"/>
      <c r="H13" s="520" t="s">
        <v>1524</v>
      </c>
    </row>
    <row r="14" spans="1:9">
      <c r="B14" s="60"/>
      <c r="C14" s="61" t="s">
        <v>1623</v>
      </c>
      <c r="D14" s="57" t="s">
        <v>1549</v>
      </c>
      <c r="E14" s="63"/>
      <c r="F14" s="64"/>
      <c r="H14" s="57" t="s">
        <v>1199</v>
      </c>
      <c r="I14" s="409">
        <v>3212</v>
      </c>
    </row>
    <row r="15" spans="1:9">
      <c r="B15" s="60"/>
      <c r="C15" s="61"/>
      <c r="E15" s="63"/>
      <c r="F15" s="64"/>
      <c r="I15" s="409"/>
    </row>
    <row r="16" spans="1:9">
      <c r="B16" s="60"/>
      <c r="C16" s="61" t="s">
        <v>1147</v>
      </c>
      <c r="D16" s="57" t="s">
        <v>1548</v>
      </c>
      <c r="E16" s="63"/>
      <c r="F16" s="64"/>
      <c r="H16" s="57" t="s">
        <v>1200</v>
      </c>
      <c r="I16" s="70"/>
    </row>
    <row r="17" spans="2:10">
      <c r="B17" s="60"/>
      <c r="C17" s="61"/>
      <c r="E17" s="63"/>
      <c r="F17" s="305"/>
      <c r="H17" s="57" t="s">
        <v>1201</v>
      </c>
      <c r="I17" s="70">
        <v>762506.91999999993</v>
      </c>
    </row>
    <row r="18" spans="2:10">
      <c r="B18" s="60"/>
      <c r="C18" s="1059" t="s">
        <v>16</v>
      </c>
      <c r="D18" s="1060"/>
      <c r="E18" s="65"/>
      <c r="F18" s="66"/>
      <c r="H18" s="67"/>
    </row>
    <row r="19" spans="2:10">
      <c r="B19" s="60"/>
      <c r="C19" s="1061" t="s">
        <v>213</v>
      </c>
      <c r="D19" s="1062"/>
      <c r="E19" s="68"/>
      <c r="F19" s="69"/>
      <c r="H19" s="67"/>
      <c r="I19" s="70"/>
    </row>
    <row r="20" spans="2:10">
      <c r="B20" s="60"/>
      <c r="C20" s="61"/>
      <c r="D20" s="62"/>
      <c r="E20" s="71"/>
      <c r="F20" s="72"/>
      <c r="G20" s="73"/>
      <c r="H20" s="74"/>
      <c r="I20" s="75"/>
    </row>
    <row r="21" spans="2:10">
      <c r="B21" s="60"/>
      <c r="C21" s="1063" t="s">
        <v>214</v>
      </c>
      <c r="D21" s="1064"/>
      <c r="E21" s="71"/>
      <c r="F21" s="72">
        <f>+PL!E22*1000</f>
        <v>11220478.119358245</v>
      </c>
      <c r="G21" s="76"/>
      <c r="H21" s="76"/>
      <c r="I21" s="70"/>
    </row>
    <row r="22" spans="2:10">
      <c r="B22" s="60"/>
      <c r="C22" s="60" t="s">
        <v>264</v>
      </c>
      <c r="D22" s="62"/>
      <c r="E22" s="71"/>
      <c r="F22" s="72"/>
      <c r="I22" s="70"/>
    </row>
    <row r="23" spans="2:10">
      <c r="B23" s="60"/>
      <c r="C23" s="60" t="s">
        <v>1004</v>
      </c>
      <c r="E23" s="77">
        <f>+PL!E15*1000</f>
        <v>32221600.000641771</v>
      </c>
      <c r="F23" s="72"/>
      <c r="G23" s="76"/>
      <c r="H23" s="77"/>
      <c r="I23" s="70"/>
    </row>
    <row r="24" spans="2:10" hidden="1">
      <c r="B24" s="60"/>
      <c r="C24" s="322" t="s">
        <v>988</v>
      </c>
      <c r="D24" s="57" t="s">
        <v>1248</v>
      </c>
      <c r="E24" s="77">
        <f>+I16</f>
        <v>0</v>
      </c>
      <c r="F24" s="72"/>
      <c r="G24" s="76"/>
      <c r="H24"/>
      <c r="I24" s="70"/>
      <c r="J24" s="409">
        <f>I24-H24</f>
        <v>0</v>
      </c>
    </row>
    <row r="25" spans="2:10">
      <c r="B25" s="60"/>
      <c r="C25" s="322" t="s">
        <v>996</v>
      </c>
      <c r="D25" s="57" t="s">
        <v>997</v>
      </c>
      <c r="E25" s="77">
        <f>I14</f>
        <v>3212</v>
      </c>
      <c r="F25" s="72"/>
      <c r="G25" s="76"/>
      <c r="H25"/>
      <c r="I25" s="70"/>
      <c r="J25" s="409">
        <f>I25-H25</f>
        <v>0</v>
      </c>
    </row>
    <row r="26" spans="2:10">
      <c r="B26" s="60"/>
      <c r="C26" s="322" t="s">
        <v>1202</v>
      </c>
      <c r="D26" s="57" t="s">
        <v>1203</v>
      </c>
      <c r="E26" s="77">
        <f>I17*30/100</f>
        <v>228752.07599999997</v>
      </c>
      <c r="F26" s="64"/>
      <c r="G26" s="76"/>
      <c r="I26" s="70"/>
      <c r="J26" s="409"/>
    </row>
    <row r="27" spans="2:10">
      <c r="B27" s="60"/>
      <c r="C27" s="322" t="s">
        <v>998</v>
      </c>
      <c r="D27" s="57" t="s">
        <v>1246</v>
      </c>
      <c r="E27" s="77">
        <f>+'Link Sheet'!D601*1000</f>
        <v>234228</v>
      </c>
      <c r="F27" s="64"/>
      <c r="G27" s="76"/>
      <c r="I27" s="70"/>
      <c r="J27" s="409"/>
    </row>
    <row r="28" spans="2:10">
      <c r="B28" s="60"/>
      <c r="C28" s="322" t="s">
        <v>1245</v>
      </c>
      <c r="D28" s="57" t="s">
        <v>1247</v>
      </c>
      <c r="E28" s="81">
        <f>SUM('Link Sheet'!D602:D603)*1000</f>
        <v>266229</v>
      </c>
      <c r="F28" s="72">
        <f>SUM(E23:E28)</f>
        <v>32954021.076641772</v>
      </c>
      <c r="G28" s="76"/>
      <c r="I28" s="70"/>
    </row>
    <row r="29" spans="2:10">
      <c r="B29" s="60"/>
      <c r="C29" s="78"/>
      <c r="D29" s="62"/>
      <c r="E29" s="79"/>
      <c r="F29" s="72"/>
      <c r="H29" s="76"/>
      <c r="I29" s="70"/>
      <c r="J29" s="80"/>
    </row>
    <row r="30" spans="2:10">
      <c r="B30" s="60"/>
      <c r="C30" s="60" t="s">
        <v>280</v>
      </c>
      <c r="D30" s="62"/>
      <c r="E30" s="79">
        <f>+'Dep IT'!I39+'Dep IT'!J39</f>
        <v>25806009.762224998</v>
      </c>
      <c r="F30" s="64"/>
      <c r="G30" s="76"/>
      <c r="I30" s="70"/>
      <c r="J30" s="80"/>
    </row>
    <row r="31" spans="2:10">
      <c r="B31" s="60"/>
      <c r="C31" s="60" t="s">
        <v>726</v>
      </c>
      <c r="D31" s="62"/>
      <c r="E31" s="81">
        <f>+'PL Notes'!C21*1000</f>
        <v>391313.99999999994</v>
      </c>
      <c r="F31" s="82">
        <f>SUM(E30:E31)</f>
        <v>26197323.762224998</v>
      </c>
      <c r="G31" s="76"/>
      <c r="H31" s="67"/>
      <c r="I31" s="70"/>
      <c r="J31" s="80"/>
    </row>
    <row r="32" spans="2:10">
      <c r="B32" s="60"/>
      <c r="C32" s="60"/>
      <c r="D32" s="62"/>
      <c r="E32" s="79"/>
      <c r="F32" s="64">
        <f>+F21+F28-F31</f>
        <v>17977175.433775019</v>
      </c>
      <c r="G32" s="76"/>
      <c r="I32" s="70"/>
      <c r="J32" s="80"/>
    </row>
    <row r="33" spans="2:11">
      <c r="B33" s="60"/>
      <c r="C33" s="1061" t="s">
        <v>725</v>
      </c>
      <c r="D33" s="1062"/>
      <c r="E33" s="79"/>
      <c r="F33" s="64"/>
      <c r="G33" s="76"/>
      <c r="I33" s="76"/>
      <c r="J33" s="80"/>
    </row>
    <row r="34" spans="2:11">
      <c r="B34" s="60"/>
      <c r="C34" s="60" t="s">
        <v>1141</v>
      </c>
      <c r="E34" s="79">
        <f>+'PL Notes'!C21*1000</f>
        <v>391313.99999999994</v>
      </c>
      <c r="F34" s="64"/>
      <c r="G34" s="76"/>
      <c r="I34" s="76"/>
      <c r="J34" s="80"/>
    </row>
    <row r="35" spans="2:11">
      <c r="B35" s="60"/>
      <c r="C35" s="60"/>
      <c r="E35" s="79"/>
      <c r="F35" s="64">
        <f>+SUM(E34:E35)</f>
        <v>391313.99999999994</v>
      </c>
      <c r="G35" s="76"/>
      <c r="I35" s="76"/>
      <c r="J35" s="80"/>
    </row>
    <row r="36" spans="2:11">
      <c r="B36" s="60"/>
      <c r="C36" s="78" t="s">
        <v>243</v>
      </c>
      <c r="E36" s="59"/>
      <c r="F36" s="83"/>
      <c r="H36" s="67"/>
      <c r="J36" s="80"/>
    </row>
    <row r="37" spans="2:11">
      <c r="B37" s="60"/>
      <c r="C37" s="84" t="s">
        <v>215</v>
      </c>
      <c r="D37" s="939"/>
      <c r="E37" s="71"/>
      <c r="F37" s="85">
        <f>SUM(F32:F36)</f>
        <v>18368489.433775019</v>
      </c>
      <c r="G37" s="76"/>
      <c r="J37" s="67"/>
    </row>
    <row r="38" spans="2:11">
      <c r="B38" s="60"/>
      <c r="C38" s="60"/>
      <c r="D38" s="86"/>
      <c r="E38" s="71"/>
      <c r="F38" s="85"/>
    </row>
    <row r="39" spans="2:11">
      <c r="B39" s="60"/>
      <c r="C39" s="87" t="s">
        <v>216</v>
      </c>
      <c r="D39" s="86"/>
      <c r="E39" s="71"/>
      <c r="F39" s="88">
        <v>0</v>
      </c>
      <c r="I39" s="67"/>
    </row>
    <row r="40" spans="2:11">
      <c r="B40" s="60"/>
      <c r="C40" s="89" t="s">
        <v>217</v>
      </c>
      <c r="D40" s="86"/>
      <c r="E40" s="71"/>
      <c r="F40" s="306">
        <f>+F37-F39</f>
        <v>18368489.433775019</v>
      </c>
      <c r="G40" s="76"/>
      <c r="H40" s="76"/>
      <c r="I40" s="77"/>
      <c r="J40" s="76"/>
      <c r="K40" s="76"/>
    </row>
    <row r="41" spans="2:11">
      <c r="B41" s="60"/>
      <c r="C41" s="90"/>
      <c r="D41" s="91" t="s">
        <v>218</v>
      </c>
      <c r="E41" s="59"/>
      <c r="F41" s="92">
        <f>ROUNDUP(F40,-1)</f>
        <v>18368490</v>
      </c>
      <c r="G41" s="67"/>
      <c r="I41" s="67"/>
    </row>
    <row r="42" spans="2:11">
      <c r="B42" s="60"/>
      <c r="C42" s="90"/>
      <c r="D42" s="91"/>
      <c r="E42" s="59"/>
      <c r="F42" s="92"/>
      <c r="G42" s="67"/>
      <c r="I42" s="67"/>
    </row>
    <row r="43" spans="2:11">
      <c r="B43" s="60"/>
      <c r="C43" s="1065" t="s">
        <v>219</v>
      </c>
      <c r="D43" s="1066"/>
      <c r="E43" s="1066"/>
      <c r="F43" s="1067"/>
      <c r="G43" s="67"/>
      <c r="I43" s="67"/>
    </row>
    <row r="44" spans="2:11">
      <c r="B44" s="60"/>
      <c r="C44" s="93" t="s">
        <v>440</v>
      </c>
      <c r="D44" s="940"/>
      <c r="E44" s="71" t="s">
        <v>0</v>
      </c>
      <c r="F44" s="64">
        <f>+IF(F41*25%&gt;0,F41*25%,0)</f>
        <v>4592122.5</v>
      </c>
      <c r="G44" s="406"/>
      <c r="H44" s="67"/>
    </row>
    <row r="45" spans="2:11">
      <c r="B45" s="60"/>
      <c r="C45" s="93" t="s">
        <v>220</v>
      </c>
      <c r="D45" s="940"/>
      <c r="E45" s="79" t="s">
        <v>1</v>
      </c>
      <c r="F45" s="83">
        <f>'115JB '!E50</f>
        <v>1872922.5216000001</v>
      </c>
      <c r="G45" s="406"/>
    </row>
    <row r="46" spans="2:11">
      <c r="B46" s="60"/>
      <c r="C46" s="892" t="s">
        <v>1195</v>
      </c>
      <c r="D46" s="86"/>
      <c r="E46" s="71" t="s">
        <v>1196</v>
      </c>
      <c r="F46" s="64">
        <f>+MAX(F44,F45)</f>
        <v>4592122.5</v>
      </c>
      <c r="G46" s="63"/>
      <c r="I46" s="406"/>
    </row>
    <row r="47" spans="2:11">
      <c r="B47" s="60"/>
      <c r="C47" s="892" t="s">
        <v>658</v>
      </c>
      <c r="D47" s="86"/>
      <c r="E47" s="71"/>
      <c r="F47" s="82">
        <f>IF(F41&gt;10000000,'STI '!F46*0.07,0)</f>
        <v>321448.57500000001</v>
      </c>
      <c r="G47" s="67"/>
      <c r="I47" s="406"/>
    </row>
    <row r="48" spans="2:11">
      <c r="B48" s="60"/>
      <c r="C48" s="892" t="s">
        <v>221</v>
      </c>
      <c r="D48" s="86"/>
      <c r="E48" s="71"/>
      <c r="F48" s="64">
        <f>+F46+F47</f>
        <v>4913571.0750000002</v>
      </c>
      <c r="G48" s="737"/>
      <c r="I48" s="406"/>
    </row>
    <row r="49" spans="2:11">
      <c r="B49" s="60"/>
      <c r="C49" s="892" t="s">
        <v>738</v>
      </c>
      <c r="D49" s="86"/>
      <c r="E49" s="71"/>
      <c r="F49" s="82">
        <f>+F48*4%</f>
        <v>196542.84300000002</v>
      </c>
      <c r="G49" s="79"/>
      <c r="I49" s="406"/>
    </row>
    <row r="50" spans="2:11">
      <c r="B50" s="60"/>
      <c r="C50" s="94" t="s">
        <v>222</v>
      </c>
      <c r="D50" s="86"/>
      <c r="E50" s="71"/>
      <c r="F50" s="64">
        <f>+ROUND(F48+F49,-1)</f>
        <v>5110110</v>
      </c>
      <c r="G50" s="63"/>
      <c r="I50" s="406"/>
    </row>
    <row r="51" spans="2:11">
      <c r="B51" s="60"/>
      <c r="C51" s="93" t="s">
        <v>1197</v>
      </c>
      <c r="D51" s="86"/>
      <c r="E51" s="71"/>
      <c r="F51" s="64"/>
      <c r="G51" s="63"/>
    </row>
    <row r="52" spans="2:11" ht="15">
      <c r="B52" s="60"/>
      <c r="C52" s="892" t="s">
        <v>223</v>
      </c>
      <c r="D52" s="86"/>
      <c r="E52" s="71"/>
      <c r="F52" s="941">
        <f>557733-866</f>
        <v>556867</v>
      </c>
      <c r="G52" s="67" t="s">
        <v>1546</v>
      </c>
    </row>
    <row r="53" spans="2:11">
      <c r="B53" s="60"/>
      <c r="C53" s="892" t="s">
        <v>1198</v>
      </c>
      <c r="D53" s="86"/>
      <c r="E53" s="71"/>
      <c r="F53" s="82">
        <f>71628.14</f>
        <v>71628.14</v>
      </c>
      <c r="G53" s="67" t="s">
        <v>1545</v>
      </c>
    </row>
    <row r="54" spans="2:11">
      <c r="B54" s="60"/>
      <c r="C54" s="892"/>
      <c r="D54" s="86"/>
      <c r="E54" s="71"/>
      <c r="F54" s="64">
        <f>F50-F51-F52-F53</f>
        <v>4481614.8600000003</v>
      </c>
      <c r="G54" s="67"/>
      <c r="H54" s="67"/>
    </row>
    <row r="55" spans="2:11">
      <c r="B55" s="60"/>
      <c r="C55" s="892" t="s">
        <v>1539</v>
      </c>
      <c r="D55" s="71" t="s">
        <v>1540</v>
      </c>
      <c r="E55" s="942">
        <v>1000000</v>
      </c>
      <c r="F55" s="64"/>
      <c r="G55" s="67"/>
      <c r="H55" s="67"/>
    </row>
    <row r="56" spans="2:11">
      <c r="B56" s="60"/>
      <c r="C56" s="96"/>
      <c r="D56" s="71" t="s">
        <v>1541</v>
      </c>
      <c r="E56" s="942">
        <v>2000000</v>
      </c>
      <c r="F56" s="82">
        <f>SUM(E55:E56)</f>
        <v>3000000</v>
      </c>
      <c r="G56" s="95"/>
      <c r="I56" s="76"/>
    </row>
    <row r="57" spans="2:11" ht="15">
      <c r="B57" s="60"/>
      <c r="C57" s="892"/>
      <c r="D57" s="86"/>
      <c r="E57" s="71"/>
      <c r="F57" s="64">
        <f>+F54-F56</f>
        <v>1481614.8600000003</v>
      </c>
      <c r="G57" s="76"/>
      <c r="H57" s="519" t="s">
        <v>659</v>
      </c>
      <c r="I57" s="76"/>
      <c r="J57" s="98"/>
      <c r="K57" s="99"/>
    </row>
    <row r="58" spans="2:11" ht="15">
      <c r="B58" s="60"/>
      <c r="C58" s="892"/>
      <c r="D58" s="904" t="s">
        <v>729</v>
      </c>
      <c r="E58" s="571"/>
      <c r="F58" s="64"/>
      <c r="G58" s="76"/>
      <c r="H58" s="97"/>
      <c r="I58" s="76"/>
      <c r="J58" s="98"/>
      <c r="K58" s="99"/>
    </row>
    <row r="59" spans="2:11">
      <c r="B59" s="60"/>
      <c r="C59" s="892"/>
      <c r="D59" s="904" t="s">
        <v>1002</v>
      </c>
      <c r="E59" s="71">
        <f>IF(F56&lt;F54*90%,ROUNDDOWN(F57,-2)*1%*7,0)</f>
        <v>103712</v>
      </c>
      <c r="F59" s="64"/>
      <c r="G59" s="402">
        <v>43997</v>
      </c>
      <c r="H59" s="70">
        <f>+ROUND($F$54*15%,-1)</f>
        <v>672240</v>
      </c>
      <c r="I59" s="100">
        <v>0</v>
      </c>
      <c r="J59" s="3">
        <f>+H59-I59</f>
        <v>672240</v>
      </c>
      <c r="K59" s="3">
        <f>IF(J59&gt;0,J59*1%*3,0)</f>
        <v>20167.2</v>
      </c>
    </row>
    <row r="60" spans="2:11">
      <c r="B60" s="60"/>
      <c r="C60" s="892"/>
      <c r="D60" s="904" t="s">
        <v>1003</v>
      </c>
      <c r="E60" s="59">
        <f>K63</f>
        <v>166321.48356000002</v>
      </c>
      <c r="F60" s="83">
        <f>SUM(E58:E60)</f>
        <v>270033.48356000002</v>
      </c>
      <c r="G60" s="402">
        <v>44089</v>
      </c>
      <c r="H60" s="70">
        <f>+$F$54*45%</f>
        <v>2016726.6870000002</v>
      </c>
      <c r="I60" s="70">
        <v>0</v>
      </c>
      <c r="J60" s="3">
        <f>+H60-I60</f>
        <v>2016726.6870000002</v>
      </c>
      <c r="K60" s="3">
        <f>IF(J60&gt;0,J60*1%*3,0)</f>
        <v>60501.800610000006</v>
      </c>
    </row>
    <row r="61" spans="2:11">
      <c r="B61" s="60"/>
      <c r="C61" s="101"/>
      <c r="D61" s="86"/>
      <c r="E61" s="63" t="s">
        <v>243</v>
      </c>
      <c r="F61" s="102">
        <f>+F57+F60</f>
        <v>1751648.3435600004</v>
      </c>
      <c r="G61" s="402">
        <v>44180</v>
      </c>
      <c r="H61" s="70">
        <f>+$F$54*75%</f>
        <v>3361211.1450000005</v>
      </c>
      <c r="I61" s="70">
        <f>E55</f>
        <v>1000000</v>
      </c>
      <c r="J61" s="3">
        <f>+H61-I61</f>
        <v>2361211.1450000005</v>
      </c>
      <c r="K61" s="3">
        <f>IF(J61&gt;0,J61*1%*3,0)</f>
        <v>70836.334350000019</v>
      </c>
    </row>
    <row r="62" spans="2:11">
      <c r="B62" s="60"/>
      <c r="C62" s="101"/>
      <c r="D62" s="904" t="s">
        <v>732</v>
      </c>
      <c r="E62" s="63"/>
      <c r="F62" s="64">
        <v>1774460</v>
      </c>
      <c r="G62" s="402">
        <v>44270</v>
      </c>
      <c r="H62" s="70">
        <f>+$F$54*100%</f>
        <v>4481614.8600000003</v>
      </c>
      <c r="I62" s="70">
        <f>I61+E56</f>
        <v>3000000</v>
      </c>
      <c r="J62" s="3">
        <f>+H62-I62</f>
        <v>1481614.8600000003</v>
      </c>
      <c r="K62" s="3">
        <f>IF(J62&gt;0,J62*1%*1,0)</f>
        <v>14816.148600000004</v>
      </c>
    </row>
    <row r="63" spans="2:11" ht="13.5" thickBot="1">
      <c r="B63" s="60"/>
      <c r="C63" s="101"/>
      <c r="D63" s="86"/>
      <c r="E63" s="68" t="s">
        <v>977</v>
      </c>
      <c r="F63" s="103">
        <f>+ROUND(F61-F62,0)</f>
        <v>-22812</v>
      </c>
      <c r="G63" s="67"/>
      <c r="H63" s="70"/>
      <c r="I63" s="70"/>
      <c r="J63" s="3"/>
      <c r="K63" s="104">
        <f>SUM(K59:K62)</f>
        <v>166321.48356000002</v>
      </c>
    </row>
    <row r="64" spans="2:11" ht="13.5" thickTop="1">
      <c r="B64" s="60"/>
      <c r="C64" s="105"/>
      <c r="D64" s="106"/>
      <c r="E64" s="107" t="s">
        <v>1616</v>
      </c>
      <c r="F64" s="306">
        <f>ROUND(F63,-1)</f>
        <v>-22810</v>
      </c>
      <c r="G64" s="67"/>
      <c r="H64" s="70"/>
      <c r="I64" s="70"/>
      <c r="J64" s="3"/>
      <c r="K64" s="3"/>
    </row>
    <row r="65" spans="2:11">
      <c r="B65" s="90"/>
      <c r="C65" s="108"/>
      <c r="D65" s="86"/>
      <c r="E65" s="71"/>
      <c r="F65" s="63" t="s">
        <v>243</v>
      </c>
      <c r="G65" s="67"/>
      <c r="J65" s="99"/>
      <c r="K65" s="109"/>
    </row>
    <row r="66" spans="2:11">
      <c r="B66" s="110"/>
    </row>
    <row r="69" spans="2:11">
      <c r="D69" s="528" t="s">
        <v>1220</v>
      </c>
      <c r="E69" s="528" t="s">
        <v>1205</v>
      </c>
      <c r="F69" s="528" t="s">
        <v>1206</v>
      </c>
      <c r="G69" s="525" t="s">
        <v>1207</v>
      </c>
      <c r="H69" s="525" t="s">
        <v>1213</v>
      </c>
      <c r="I69" s="528" t="s">
        <v>1138</v>
      </c>
      <c r="J69" s="528" t="s">
        <v>1212</v>
      </c>
    </row>
    <row r="70" spans="2:11">
      <c r="D70" s="404" t="s">
        <v>1113</v>
      </c>
      <c r="E70" s="521">
        <v>0</v>
      </c>
      <c r="F70" s="521">
        <v>15024.27</v>
      </c>
      <c r="G70" s="521">
        <v>15024</v>
      </c>
      <c r="H70" s="521">
        <f>+G70-F70</f>
        <v>-0.27000000000043656</v>
      </c>
      <c r="I70" s="521">
        <f>F70</f>
        <v>15024.27</v>
      </c>
      <c r="J70" s="523">
        <f>+E70+F70-I70</f>
        <v>0</v>
      </c>
    </row>
    <row r="71" spans="2:11">
      <c r="D71" s="404" t="s">
        <v>1112</v>
      </c>
      <c r="E71" s="404">
        <v>562</v>
      </c>
      <c r="F71" s="521">
        <v>0</v>
      </c>
      <c r="G71" s="521">
        <v>0</v>
      </c>
      <c r="H71" s="521">
        <f t="shared" ref="H71:H80" si="0">+G71-F71</f>
        <v>0</v>
      </c>
      <c r="I71" s="521">
        <v>0</v>
      </c>
      <c r="J71" s="523">
        <f>+E71+F71-I71</f>
        <v>562</v>
      </c>
      <c r="K71" s="57" t="s">
        <v>1225</v>
      </c>
    </row>
    <row r="72" spans="2:11">
      <c r="D72" s="404" t="s">
        <v>1111</v>
      </c>
      <c r="E72" s="521">
        <v>0</v>
      </c>
      <c r="F72" s="521">
        <v>29121</v>
      </c>
      <c r="G72" s="521">
        <v>29121</v>
      </c>
      <c r="H72" s="521">
        <f t="shared" si="0"/>
        <v>0</v>
      </c>
      <c r="I72" s="521">
        <f t="shared" ref="I72:I79" si="1">F72</f>
        <v>29121</v>
      </c>
      <c r="J72" s="523">
        <f t="shared" ref="J72:J81" si="2">+E72+F72-I72</f>
        <v>0</v>
      </c>
    </row>
    <row r="73" spans="2:11">
      <c r="D73" s="404" t="s">
        <v>769</v>
      </c>
      <c r="E73" s="521">
        <v>0</v>
      </c>
      <c r="F73" s="521">
        <v>5504</v>
      </c>
      <c r="G73" s="521">
        <v>5504</v>
      </c>
      <c r="H73" s="521">
        <f t="shared" si="0"/>
        <v>0</v>
      </c>
      <c r="I73" s="521">
        <f t="shared" si="1"/>
        <v>5504</v>
      </c>
      <c r="J73" s="523">
        <f t="shared" si="2"/>
        <v>0</v>
      </c>
    </row>
    <row r="74" spans="2:11">
      <c r="D74" s="404" t="s">
        <v>1110</v>
      </c>
      <c r="E74" s="521">
        <v>0</v>
      </c>
      <c r="F74" s="521">
        <v>2345</v>
      </c>
      <c r="G74" s="521">
        <v>2345</v>
      </c>
      <c r="H74" s="521">
        <f t="shared" si="0"/>
        <v>0</v>
      </c>
      <c r="I74" s="521">
        <f t="shared" si="1"/>
        <v>2345</v>
      </c>
      <c r="J74" s="523">
        <f t="shared" si="2"/>
        <v>0</v>
      </c>
    </row>
    <row r="75" spans="2:11">
      <c r="D75" s="404" t="s">
        <v>1109</v>
      </c>
      <c r="E75" s="521">
        <v>0</v>
      </c>
      <c r="F75" s="521">
        <v>1800</v>
      </c>
      <c r="G75" s="521">
        <v>1800</v>
      </c>
      <c r="H75" s="521">
        <f t="shared" si="0"/>
        <v>0</v>
      </c>
      <c r="I75" s="521">
        <f t="shared" si="1"/>
        <v>1800</v>
      </c>
      <c r="J75" s="523">
        <f t="shared" si="2"/>
        <v>0</v>
      </c>
    </row>
    <row r="76" spans="2:11">
      <c r="D76" s="404" t="s">
        <v>1209</v>
      </c>
      <c r="E76" s="521">
        <v>0</v>
      </c>
      <c r="F76" s="521">
        <v>11370</v>
      </c>
      <c r="G76" s="521">
        <v>15495</v>
      </c>
      <c r="H76" s="521">
        <f t="shared" si="0"/>
        <v>4125</v>
      </c>
      <c r="I76" s="521">
        <f t="shared" si="1"/>
        <v>11370</v>
      </c>
      <c r="J76" s="523">
        <f t="shared" si="2"/>
        <v>0</v>
      </c>
      <c r="K76" s="57" t="s">
        <v>1624</v>
      </c>
    </row>
    <row r="77" spans="2:11">
      <c r="D77" s="404" t="s">
        <v>1210</v>
      </c>
      <c r="E77" s="521">
        <v>0</v>
      </c>
      <c r="F77" s="521">
        <v>1833</v>
      </c>
      <c r="G77" s="521">
        <v>1833</v>
      </c>
      <c r="H77" s="521">
        <f t="shared" si="0"/>
        <v>0</v>
      </c>
      <c r="I77" s="521">
        <f t="shared" si="1"/>
        <v>1833</v>
      </c>
      <c r="J77" s="523">
        <f t="shared" si="2"/>
        <v>0</v>
      </c>
    </row>
    <row r="78" spans="2:11">
      <c r="D78" s="404" t="s">
        <v>1108</v>
      </c>
      <c r="E78" s="521">
        <v>0</v>
      </c>
      <c r="F78" s="521">
        <v>5325</v>
      </c>
      <c r="G78" s="521">
        <v>5325</v>
      </c>
      <c r="H78" s="521">
        <f t="shared" si="0"/>
        <v>0</v>
      </c>
      <c r="I78" s="521">
        <f t="shared" si="1"/>
        <v>5325</v>
      </c>
      <c r="J78" s="523">
        <f t="shared" si="2"/>
        <v>0</v>
      </c>
    </row>
    <row r="79" spans="2:11">
      <c r="D79" s="404" t="s">
        <v>1208</v>
      </c>
      <c r="E79" s="521">
        <v>0</v>
      </c>
      <c r="F79" s="521">
        <v>8515</v>
      </c>
      <c r="G79" s="521">
        <v>8515</v>
      </c>
      <c r="H79" s="521">
        <f t="shared" si="0"/>
        <v>0</v>
      </c>
      <c r="I79" s="521">
        <f t="shared" si="1"/>
        <v>8515</v>
      </c>
      <c r="J79" s="523">
        <f t="shared" si="2"/>
        <v>0</v>
      </c>
    </row>
    <row r="80" spans="2:11">
      <c r="D80" s="404" t="s">
        <v>1211</v>
      </c>
      <c r="E80" s="521">
        <v>0</v>
      </c>
      <c r="F80" s="521">
        <v>0</v>
      </c>
      <c r="G80" s="521">
        <v>746</v>
      </c>
      <c r="H80" s="521">
        <f t="shared" si="0"/>
        <v>746</v>
      </c>
      <c r="I80" s="521"/>
      <c r="J80" s="523">
        <f t="shared" si="2"/>
        <v>0</v>
      </c>
      <c r="K80" s="57" t="s">
        <v>1624</v>
      </c>
    </row>
    <row r="81" spans="4:11">
      <c r="D81" s="404"/>
      <c r="E81" s="521"/>
      <c r="F81" s="521"/>
      <c r="G81" s="521"/>
      <c r="H81" s="521"/>
      <c r="I81" s="521"/>
      <c r="J81" s="523">
        <f t="shared" si="2"/>
        <v>0</v>
      </c>
    </row>
    <row r="82" spans="4:11" ht="13.5" thickBot="1">
      <c r="E82" s="522">
        <f t="shared" ref="E82:J82" si="3">SUM(E70:E81)</f>
        <v>562</v>
      </c>
      <c r="F82" s="522">
        <f t="shared" si="3"/>
        <v>80837.27</v>
      </c>
      <c r="G82" s="522">
        <f t="shared" si="3"/>
        <v>85708</v>
      </c>
      <c r="H82" s="522">
        <f t="shared" si="3"/>
        <v>4870.7299999999996</v>
      </c>
      <c r="I82" s="522">
        <f t="shared" si="3"/>
        <v>80837.27</v>
      </c>
      <c r="J82" s="522">
        <f t="shared" si="3"/>
        <v>562</v>
      </c>
    </row>
    <row r="83" spans="4:11" ht="13.5" thickTop="1"/>
    <row r="88" spans="4:11" ht="25.5">
      <c r="D88" s="525" t="s">
        <v>1220</v>
      </c>
      <c r="E88" s="525" t="s">
        <v>1214</v>
      </c>
      <c r="F88" s="526" t="s">
        <v>1215</v>
      </c>
      <c r="G88" s="527" t="s">
        <v>1216</v>
      </c>
      <c r="H88" s="527" t="s">
        <v>1217</v>
      </c>
      <c r="I88" s="527" t="s">
        <v>1218</v>
      </c>
      <c r="J88" s="528" t="s">
        <v>1219</v>
      </c>
    </row>
    <row r="89" spans="4:11">
      <c r="D89" s="404" t="s">
        <v>1221</v>
      </c>
      <c r="E89" s="524">
        <v>0</v>
      </c>
      <c r="F89" s="524">
        <v>2032</v>
      </c>
      <c r="G89" s="529">
        <v>2032</v>
      </c>
      <c r="H89" s="408">
        <f>+G89-F89</f>
        <v>0</v>
      </c>
      <c r="I89" s="408">
        <f>+E89+F89</f>
        <v>2032</v>
      </c>
      <c r="J89" s="408">
        <f>+E89+F89-I89</f>
        <v>0</v>
      </c>
    </row>
    <row r="90" spans="4:11">
      <c r="D90" s="404" t="s">
        <v>1060</v>
      </c>
      <c r="E90" s="524">
        <v>0</v>
      </c>
      <c r="F90" s="524">
        <v>3751</v>
      </c>
      <c r="G90" s="529">
        <v>3751.85</v>
      </c>
      <c r="H90" s="408">
        <f>+G90-F90</f>
        <v>0.84999999999990905</v>
      </c>
      <c r="I90" s="408">
        <f t="shared" ref="I90:I96" si="4">+E90+F90</f>
        <v>3751</v>
      </c>
      <c r="J90" s="408">
        <f t="shared" ref="J90:J96" si="5">+E90+F90-I90</f>
        <v>0</v>
      </c>
    </row>
    <row r="91" spans="4:11">
      <c r="D91" s="404" t="s">
        <v>1222</v>
      </c>
      <c r="E91" s="524">
        <v>0</v>
      </c>
      <c r="F91" s="524">
        <v>4187.37</v>
      </c>
      <c r="G91" s="529">
        <v>4187.18</v>
      </c>
      <c r="H91" s="408">
        <f t="shared" ref="H91:H96" si="6">+G91-F91</f>
        <v>-0.18999999999959982</v>
      </c>
      <c r="I91" s="408">
        <f t="shared" si="4"/>
        <v>4187.37</v>
      </c>
      <c r="J91" s="408">
        <f t="shared" si="5"/>
        <v>0</v>
      </c>
    </row>
    <row r="92" spans="4:11">
      <c r="D92" s="404" t="s">
        <v>399</v>
      </c>
      <c r="E92" s="524">
        <v>0</v>
      </c>
      <c r="F92" s="524">
        <v>15694</v>
      </c>
      <c r="G92" s="529">
        <v>15696</v>
      </c>
      <c r="H92" s="408">
        <f t="shared" si="6"/>
        <v>2</v>
      </c>
      <c r="I92" s="408">
        <f t="shared" si="4"/>
        <v>15694</v>
      </c>
      <c r="J92" s="408">
        <f t="shared" si="5"/>
        <v>0</v>
      </c>
    </row>
    <row r="93" spans="4:11">
      <c r="D93" s="404" t="s">
        <v>1223</v>
      </c>
      <c r="E93" s="524">
        <v>0</v>
      </c>
      <c r="F93" s="524">
        <v>422</v>
      </c>
      <c r="G93" s="404">
        <v>422</v>
      </c>
      <c r="H93" s="408">
        <f t="shared" si="6"/>
        <v>0</v>
      </c>
      <c r="I93" s="408">
        <f t="shared" si="4"/>
        <v>422</v>
      </c>
      <c r="J93" s="408">
        <f t="shared" si="5"/>
        <v>0</v>
      </c>
    </row>
    <row r="94" spans="4:11">
      <c r="D94" s="404" t="s">
        <v>1224</v>
      </c>
      <c r="E94" s="524">
        <v>0</v>
      </c>
      <c r="F94" s="524">
        <v>1416.23</v>
      </c>
      <c r="G94" s="529">
        <v>1416.23</v>
      </c>
      <c r="H94" s="408">
        <f t="shared" si="6"/>
        <v>0</v>
      </c>
      <c r="I94" s="408">
        <f t="shared" si="4"/>
        <v>1416.23</v>
      </c>
      <c r="J94" s="408">
        <f t="shared" si="5"/>
        <v>0</v>
      </c>
    </row>
    <row r="95" spans="4:11">
      <c r="D95" s="404" t="s">
        <v>601</v>
      </c>
      <c r="E95" s="524">
        <v>0</v>
      </c>
      <c r="F95" s="524">
        <v>4519</v>
      </c>
      <c r="G95" s="529">
        <v>4518.6400000000003</v>
      </c>
      <c r="H95" s="408">
        <f t="shared" si="6"/>
        <v>-0.35999999999967258</v>
      </c>
      <c r="I95" s="408">
        <f t="shared" si="4"/>
        <v>4519</v>
      </c>
      <c r="J95" s="408">
        <f t="shared" si="5"/>
        <v>0</v>
      </c>
      <c r="K95" s="57" t="s">
        <v>1625</v>
      </c>
    </row>
    <row r="96" spans="4:11">
      <c r="D96" s="404" t="s">
        <v>1165</v>
      </c>
      <c r="E96" s="524">
        <v>0</v>
      </c>
      <c r="F96" s="524">
        <v>0</v>
      </c>
      <c r="G96" s="404">
        <v>354.7</v>
      </c>
      <c r="H96" s="408">
        <f t="shared" si="6"/>
        <v>354.7</v>
      </c>
      <c r="I96" s="408">
        <f t="shared" si="4"/>
        <v>0</v>
      </c>
      <c r="J96" s="408">
        <f t="shared" si="5"/>
        <v>0</v>
      </c>
      <c r="K96" s="57" t="s">
        <v>1625</v>
      </c>
    </row>
    <row r="97" spans="5:10" ht="13.5" thickBot="1">
      <c r="E97" s="522">
        <f t="shared" ref="E97:J97" si="7">SUM(E89:E96)</f>
        <v>0</v>
      </c>
      <c r="F97" s="522">
        <f t="shared" si="7"/>
        <v>32021.599999999999</v>
      </c>
      <c r="G97" s="522">
        <f t="shared" si="7"/>
        <v>32378.6</v>
      </c>
      <c r="H97" s="522">
        <f t="shared" si="7"/>
        <v>357.00000000000063</v>
      </c>
      <c r="I97" s="522">
        <f t="shared" si="7"/>
        <v>32021.599999999999</v>
      </c>
      <c r="J97" s="522">
        <f t="shared" si="7"/>
        <v>0</v>
      </c>
    </row>
    <row r="98" spans="5:10" ht="13.5" thickTop="1"/>
  </sheetData>
  <mergeCells count="6">
    <mergeCell ref="C3:F3"/>
    <mergeCell ref="C18:D18"/>
    <mergeCell ref="C19:D19"/>
    <mergeCell ref="C21:D21"/>
    <mergeCell ref="C43:F43"/>
    <mergeCell ref="C33:D33"/>
  </mergeCells>
  <phoneticPr fontId="25" type="noConversion"/>
  <printOptions horizontalCentered="1"/>
  <pageMargins left="0.51181102362204722" right="0.51181102362204722" top="0.98425196850393704" bottom="0.51181102362204722" header="0.15748031496062992" footer="0.31496062992125984"/>
  <pageSetup scale="8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0"/>
  <sheetViews>
    <sheetView view="pageBreakPreview" zoomScaleNormal="100" zoomScaleSheetLayoutView="100" workbookViewId="0">
      <selection sqref="A1:B1"/>
    </sheetView>
  </sheetViews>
  <sheetFormatPr defaultColWidth="9.140625" defaultRowHeight="12.75"/>
  <cols>
    <col min="1" max="1" width="3.140625" style="57" customWidth="1"/>
    <col min="2" max="2" width="60.42578125" style="57" customWidth="1"/>
    <col min="3" max="3" width="12.7109375" style="57" customWidth="1"/>
    <col min="4" max="5" width="13.28515625" style="57" customWidth="1"/>
    <col min="6" max="6" width="14.140625" style="57" customWidth="1"/>
    <col min="7" max="7" width="13.140625" style="57" customWidth="1"/>
    <col min="8" max="8" width="12.42578125" style="57" customWidth="1"/>
    <col min="9" max="18" width="9.140625" style="57"/>
    <col min="19" max="19" width="8.5703125" style="57" customWidth="1"/>
    <col min="20" max="20" width="14.42578125" style="57" customWidth="1"/>
    <col min="21" max="21" width="6" style="57" customWidth="1"/>
    <col min="22" max="22" width="5.7109375" style="57" customWidth="1"/>
    <col min="23" max="23" width="8" style="57" customWidth="1"/>
    <col min="24" max="24" width="9.42578125" style="57" customWidth="1"/>
    <col min="25" max="25" width="5.85546875" style="57" customWidth="1"/>
    <col min="26" max="26" width="8.140625" style="57" customWidth="1"/>
    <col min="27" max="27" width="3" style="57" customWidth="1"/>
    <col min="28" max="28" width="2" style="57" customWidth="1"/>
    <col min="29" max="30" width="3.28515625" style="57" customWidth="1"/>
    <col min="31" max="31" width="3" style="57" customWidth="1"/>
    <col min="32" max="16384" width="9.140625" style="57"/>
  </cols>
  <sheetData>
    <row r="1" spans="1:17">
      <c r="A1" s="8" t="s">
        <v>212</v>
      </c>
      <c r="C1" s="62"/>
      <c r="D1" s="62"/>
      <c r="L1" s="62"/>
      <c r="M1" s="62"/>
      <c r="N1" s="62"/>
    </row>
    <row r="2" spans="1:17">
      <c r="B2" s="1070" t="s">
        <v>224</v>
      </c>
      <c r="C2" s="1071"/>
      <c r="D2" s="1071"/>
      <c r="E2" s="1072"/>
      <c r="L2" s="62"/>
      <c r="M2" s="62"/>
      <c r="N2" s="62"/>
    </row>
    <row r="3" spans="1:17">
      <c r="B3" s="61"/>
      <c r="C3" s="62"/>
      <c r="D3" s="62"/>
      <c r="E3" s="228"/>
      <c r="L3" s="62"/>
      <c r="M3" s="62"/>
      <c r="N3" s="62"/>
    </row>
    <row r="4" spans="1:17">
      <c r="B4" s="61" t="s">
        <v>731</v>
      </c>
      <c r="C4" s="229"/>
      <c r="D4" s="62"/>
      <c r="E4" s="228"/>
      <c r="L4" s="62"/>
      <c r="M4" s="62"/>
      <c r="N4" s="62"/>
    </row>
    <row r="5" spans="1:17">
      <c r="B5" s="61"/>
      <c r="C5" s="229"/>
      <c r="D5" s="62"/>
      <c r="E5" s="228"/>
      <c r="L5" s="62"/>
      <c r="M5" s="62"/>
      <c r="N5" s="62"/>
    </row>
    <row r="6" spans="1:17">
      <c r="B6" s="61" t="s">
        <v>730</v>
      </c>
      <c r="C6" s="62"/>
      <c r="D6" s="62"/>
      <c r="E6" s="228"/>
      <c r="L6" s="62"/>
      <c r="M6" s="62"/>
      <c r="N6" s="62"/>
    </row>
    <row r="7" spans="1:17">
      <c r="B7" s="61"/>
      <c r="D7" s="62"/>
      <c r="E7" s="228"/>
      <c r="L7" s="62"/>
      <c r="M7" s="62"/>
      <c r="N7" s="62"/>
    </row>
    <row r="8" spans="1:17">
      <c r="B8" s="61" t="s">
        <v>1244</v>
      </c>
      <c r="D8" s="62"/>
      <c r="E8" s="228"/>
      <c r="L8" s="62"/>
      <c r="M8" s="62"/>
      <c r="N8" s="62"/>
    </row>
    <row r="9" spans="1:17">
      <c r="B9" s="61"/>
      <c r="D9" s="62"/>
      <c r="E9" s="228"/>
      <c r="L9" s="62"/>
      <c r="M9" s="62"/>
      <c r="N9" s="62"/>
    </row>
    <row r="10" spans="1:17">
      <c r="B10" s="61" t="s">
        <v>1626</v>
      </c>
      <c r="D10" s="62"/>
      <c r="E10" s="228"/>
      <c r="G10" s="230"/>
      <c r="L10" s="62"/>
      <c r="M10" s="62"/>
      <c r="N10" s="62"/>
    </row>
    <row r="11" spans="1:17">
      <c r="B11" s="61"/>
      <c r="D11" s="62"/>
      <c r="E11" s="228"/>
      <c r="G11" s="230"/>
      <c r="L11" s="62"/>
      <c r="M11" s="62"/>
      <c r="N11" s="62"/>
    </row>
    <row r="12" spans="1:17">
      <c r="B12" s="61" t="s">
        <v>1627</v>
      </c>
      <c r="D12" s="62"/>
      <c r="E12" s="228"/>
      <c r="L12" s="62"/>
      <c r="M12" s="62"/>
      <c r="N12" s="62"/>
    </row>
    <row r="13" spans="1:17">
      <c r="B13" s="231"/>
      <c r="C13" s="232"/>
      <c r="D13" s="232"/>
      <c r="E13" s="233"/>
      <c r="L13" s="62"/>
      <c r="M13" s="62"/>
      <c r="N13" s="62"/>
    </row>
    <row r="14" spans="1:17">
      <c r="B14" s="1073" t="s">
        <v>16</v>
      </c>
      <c r="C14" s="1074"/>
      <c r="D14" s="234" t="s">
        <v>101</v>
      </c>
      <c r="E14" s="234" t="s">
        <v>101</v>
      </c>
      <c r="L14" s="62"/>
      <c r="M14" s="62"/>
      <c r="N14" s="62"/>
      <c r="O14" s="62"/>
      <c r="P14" s="62"/>
      <c r="Q14" s="62"/>
    </row>
    <row r="15" spans="1:17">
      <c r="B15" s="235"/>
      <c r="C15" s="236"/>
      <c r="D15" s="237"/>
      <c r="E15" s="238"/>
      <c r="L15" s="62"/>
      <c r="M15" s="62"/>
      <c r="N15" s="62"/>
      <c r="O15" s="62"/>
      <c r="P15" s="62"/>
      <c r="Q15" s="62"/>
    </row>
    <row r="16" spans="1:17">
      <c r="B16" s="60" t="s">
        <v>225</v>
      </c>
      <c r="D16" s="239"/>
      <c r="E16" s="240">
        <f>'STI '!F21</f>
        <v>11220478.119358245</v>
      </c>
      <c r="F16" s="76"/>
    </row>
    <row r="17" spans="2:7">
      <c r="B17" s="241" t="s">
        <v>811</v>
      </c>
      <c r="D17" s="239"/>
      <c r="E17" s="240"/>
      <c r="G17" s="242"/>
    </row>
    <row r="18" spans="2:7">
      <c r="B18" s="60" t="s">
        <v>226</v>
      </c>
      <c r="D18" s="243">
        <v>0</v>
      </c>
      <c r="E18" s="240"/>
      <c r="G18" s="242"/>
    </row>
    <row r="19" spans="2:7">
      <c r="B19" s="60" t="s">
        <v>227</v>
      </c>
      <c r="D19" s="243">
        <v>0</v>
      </c>
      <c r="E19" s="240"/>
      <c r="G19" s="242"/>
    </row>
    <row r="20" spans="2:7">
      <c r="B20" s="60" t="s">
        <v>228</v>
      </c>
      <c r="D20" s="243">
        <v>0</v>
      </c>
      <c r="E20" s="240"/>
      <c r="G20" s="242"/>
    </row>
    <row r="21" spans="2:7">
      <c r="B21" s="60" t="s">
        <v>229</v>
      </c>
      <c r="D21" s="243">
        <v>0</v>
      </c>
      <c r="E21" s="240"/>
      <c r="G21" s="242"/>
    </row>
    <row r="22" spans="2:7">
      <c r="B22" s="60" t="s">
        <v>230</v>
      </c>
      <c r="D22" s="243">
        <v>0</v>
      </c>
      <c r="E22" s="240"/>
      <c r="G22" s="242"/>
    </row>
    <row r="23" spans="2:7">
      <c r="B23" s="60" t="s">
        <v>231</v>
      </c>
      <c r="D23" s="243">
        <v>0</v>
      </c>
      <c r="E23" s="240"/>
      <c r="G23" s="242"/>
    </row>
    <row r="24" spans="2:7">
      <c r="B24" s="60" t="s">
        <v>232</v>
      </c>
      <c r="D24" s="243">
        <f>+PL!E15*1000</f>
        <v>32221600.000641771</v>
      </c>
      <c r="E24" s="240"/>
      <c r="G24" s="242"/>
    </row>
    <row r="25" spans="2:7">
      <c r="B25" s="60" t="s">
        <v>233</v>
      </c>
      <c r="D25" s="243">
        <v>0</v>
      </c>
      <c r="E25" s="240"/>
      <c r="G25" s="242"/>
    </row>
    <row r="26" spans="2:7">
      <c r="B26" s="60" t="s">
        <v>234</v>
      </c>
      <c r="D26" s="243">
        <v>0</v>
      </c>
      <c r="E26" s="240"/>
      <c r="G26" s="242"/>
    </row>
    <row r="27" spans="2:7">
      <c r="B27" s="60"/>
      <c r="D27" s="240"/>
      <c r="E27" s="244">
        <f>+SUM(D18:D27)</f>
        <v>32221600.000641771</v>
      </c>
      <c r="G27" s="242"/>
    </row>
    <row r="28" spans="2:7">
      <c r="B28" s="60"/>
      <c r="D28" s="239"/>
      <c r="E28" s="240">
        <f>+E16+E27</f>
        <v>43442078.12000002</v>
      </c>
      <c r="G28" s="242"/>
    </row>
    <row r="29" spans="2:7">
      <c r="B29" s="241" t="s">
        <v>812</v>
      </c>
      <c r="D29" s="239"/>
      <c r="E29" s="240"/>
      <c r="G29" s="242"/>
    </row>
    <row r="30" spans="2:7">
      <c r="B30" s="60" t="s">
        <v>235</v>
      </c>
      <c r="D30" s="239">
        <v>0</v>
      </c>
      <c r="E30" s="240"/>
      <c r="G30" s="242"/>
    </row>
    <row r="31" spans="2:7">
      <c r="B31" s="60" t="s">
        <v>236</v>
      </c>
      <c r="D31" s="239">
        <v>0</v>
      </c>
      <c r="E31" s="240"/>
      <c r="G31" s="242"/>
    </row>
    <row r="32" spans="2:7">
      <c r="B32" s="60" t="s">
        <v>237</v>
      </c>
      <c r="D32" s="239">
        <f>+PL!E15*1000</f>
        <v>32221600.000641771</v>
      </c>
      <c r="E32" s="240"/>
      <c r="G32" s="242"/>
    </row>
    <row r="33" spans="2:7" ht="25.5">
      <c r="B33" s="245" t="s">
        <v>415</v>
      </c>
      <c r="D33" s="239">
        <v>0</v>
      </c>
      <c r="E33" s="240"/>
      <c r="G33" s="242"/>
    </row>
    <row r="34" spans="2:7" ht="25.5">
      <c r="B34" s="245" t="s">
        <v>414</v>
      </c>
      <c r="D34" s="239"/>
      <c r="E34" s="240"/>
      <c r="G34" s="242"/>
    </row>
    <row r="35" spans="2:7">
      <c r="B35" s="60" t="s">
        <v>238</v>
      </c>
      <c r="D35" s="239">
        <v>0</v>
      </c>
      <c r="E35" s="240"/>
      <c r="G35" s="242"/>
    </row>
    <row r="36" spans="2:7">
      <c r="B36" s="60" t="s">
        <v>239</v>
      </c>
      <c r="D36" s="239">
        <v>0</v>
      </c>
      <c r="E36" s="240"/>
      <c r="G36" s="242"/>
    </row>
    <row r="37" spans="2:7">
      <c r="B37" s="60" t="s">
        <v>240</v>
      </c>
      <c r="D37" s="239">
        <v>0</v>
      </c>
      <c r="E37" s="240"/>
      <c r="G37" s="242"/>
    </row>
    <row r="38" spans="2:7">
      <c r="B38" s="60"/>
      <c r="D38" s="240">
        <v>0</v>
      </c>
      <c r="E38" s="240">
        <f>SUM(D30:D38)</f>
        <v>32221600.000641771</v>
      </c>
      <c r="F38" s="76"/>
    </row>
    <row r="39" spans="2:7">
      <c r="B39" s="60"/>
      <c r="D39" s="239"/>
      <c r="E39" s="240"/>
      <c r="F39" s="76"/>
    </row>
    <row r="40" spans="2:7" ht="13.5" thickBot="1">
      <c r="B40" s="1061" t="s">
        <v>241</v>
      </c>
      <c r="C40" s="1075"/>
      <c r="D40" s="246"/>
      <c r="E40" s="247">
        <f>E28-E38</f>
        <v>11220478.119358249</v>
      </c>
      <c r="F40" s="67"/>
    </row>
    <row r="41" spans="2:7" ht="13.5" thickTop="1">
      <c r="B41" s="60"/>
      <c r="D41" s="239"/>
      <c r="E41" s="240"/>
    </row>
    <row r="42" spans="2:7">
      <c r="B42" s="1076" t="s">
        <v>132</v>
      </c>
      <c r="C42" s="1077"/>
      <c r="D42" s="248"/>
      <c r="E42" s="249"/>
    </row>
    <row r="43" spans="2:7">
      <c r="B43" s="87"/>
      <c r="C43" s="86"/>
      <c r="D43" s="248"/>
      <c r="E43" s="249"/>
    </row>
    <row r="44" spans="2:7">
      <c r="B44" s="61" t="s">
        <v>1107</v>
      </c>
      <c r="C44" s="250"/>
      <c r="D44" s="248"/>
      <c r="E44" s="85">
        <f>MAX(ROUND((ROUND(E40,-1)*15%),0),0)</f>
        <v>1683072</v>
      </c>
    </row>
    <row r="45" spans="2:7">
      <c r="B45" s="231"/>
      <c r="C45" s="251"/>
      <c r="D45" s="252"/>
      <c r="E45" s="88"/>
    </row>
    <row r="46" spans="2:7">
      <c r="B46" s="60" t="s">
        <v>656</v>
      </c>
      <c r="D46" s="253"/>
      <c r="E46" s="240">
        <f>+E44</f>
        <v>1683072</v>
      </c>
    </row>
    <row r="47" spans="2:7">
      <c r="B47" s="60" t="s">
        <v>657</v>
      </c>
      <c r="D47" s="253"/>
      <c r="E47" s="244">
        <f>IF(E40&gt;10000000,E46*7%,0)</f>
        <v>117815.04000000001</v>
      </c>
    </row>
    <row r="48" spans="2:7">
      <c r="B48" s="60" t="s">
        <v>221</v>
      </c>
      <c r="D48" s="253"/>
      <c r="E48" s="240">
        <f>+E46+E47</f>
        <v>1800887.04</v>
      </c>
    </row>
    <row r="49" spans="2:5">
      <c r="B49" s="60" t="s">
        <v>737</v>
      </c>
      <c r="D49" s="253"/>
      <c r="E49" s="240">
        <f>+E48*4%</f>
        <v>72035.481599999999</v>
      </c>
    </row>
    <row r="50" spans="2:5">
      <c r="B50" s="1068" t="s">
        <v>242</v>
      </c>
      <c r="C50" s="1069"/>
      <c r="D50" s="254"/>
      <c r="E50" s="255">
        <f>+E48+E49</f>
        <v>1872922.5216000001</v>
      </c>
    </row>
  </sheetData>
  <mergeCells count="5">
    <mergeCell ref="B50:C50"/>
    <mergeCell ref="B2:E2"/>
    <mergeCell ref="B14:C14"/>
    <mergeCell ref="B40:C40"/>
    <mergeCell ref="B42:C42"/>
  </mergeCells>
  <phoneticPr fontId="25" type="noConversion"/>
  <hyperlinks>
    <hyperlink ref="A1" location="Index!A1" display="Index" xr:uid="{00000000-0004-0000-0300-000000000000}"/>
  </hyperlinks>
  <printOptions horizontalCentered="1"/>
  <pageMargins left="0.51181102362204722" right="0.51181102362204722" top="0.98425196850393704" bottom="0.51181102362204722" header="0" footer="0"/>
  <pageSetup paperSize="9" scale="85" orientation="portrait" verticalDpi="18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5"/>
  <sheetViews>
    <sheetView showGridLines="0" view="pageBreakPreview" zoomScaleNormal="100" zoomScaleSheetLayoutView="100" workbookViewId="0">
      <selection sqref="A1:B1"/>
    </sheetView>
  </sheetViews>
  <sheetFormatPr defaultColWidth="9.140625" defaultRowHeight="12.75"/>
  <cols>
    <col min="1" max="1" width="6" style="13" customWidth="1"/>
    <col min="2" max="2" width="25.7109375" style="13" customWidth="1"/>
    <col min="3" max="3" width="9.28515625" style="13" customWidth="1"/>
    <col min="4" max="6" width="14.7109375" style="37" customWidth="1"/>
    <col min="7" max="7" width="11.85546875" style="37" customWidth="1"/>
    <col min="8" max="11" width="14.7109375" style="37" customWidth="1"/>
    <col min="12" max="12" width="11.28515625" style="13" bestFit="1" customWidth="1"/>
    <col min="13" max="13" width="17" style="70" customWidth="1"/>
    <col min="14" max="14" width="16.42578125" style="13" bestFit="1" customWidth="1"/>
    <col min="15" max="16384" width="9.140625" style="13"/>
  </cols>
  <sheetData>
    <row r="1" spans="1:11">
      <c r="A1" s="9"/>
      <c r="B1" s="9"/>
      <c r="C1" s="10"/>
      <c r="D1" s="11"/>
      <c r="E1" s="11"/>
      <c r="F1" s="11"/>
      <c r="G1" s="12"/>
      <c r="H1" s="12"/>
      <c r="I1" s="12"/>
      <c r="J1" s="12"/>
      <c r="K1" s="12"/>
    </row>
    <row r="2" spans="1:11">
      <c r="A2" s="14" t="s">
        <v>188</v>
      </c>
      <c r="B2" s="15"/>
      <c r="C2" s="16"/>
      <c r="D2" s="17"/>
      <c r="E2" s="17"/>
      <c r="F2" s="17"/>
      <c r="G2" s="17"/>
      <c r="H2" s="17"/>
      <c r="I2" s="17"/>
      <c r="J2" s="17"/>
      <c r="K2" s="18"/>
    </row>
    <row r="3" spans="1:11">
      <c r="A3" s="19" t="s">
        <v>416</v>
      </c>
      <c r="C3" s="20"/>
      <c r="D3" s="12"/>
      <c r="E3" s="12"/>
      <c r="F3" s="12"/>
      <c r="G3" s="12"/>
      <c r="H3" s="12"/>
      <c r="I3" s="12"/>
      <c r="J3" s="12"/>
      <c r="K3" s="21"/>
    </row>
    <row r="4" spans="1:11">
      <c r="A4" s="277" t="s">
        <v>947</v>
      </c>
      <c r="C4" s="20"/>
      <c r="D4" s="12"/>
      <c r="E4" s="12"/>
      <c r="F4" s="12"/>
      <c r="G4" s="12"/>
      <c r="H4" s="12"/>
      <c r="I4" s="12"/>
      <c r="J4" s="12"/>
      <c r="K4" s="21"/>
    </row>
    <row r="5" spans="1:11">
      <c r="A5" s="19" t="s">
        <v>189</v>
      </c>
      <c r="C5" s="20"/>
      <c r="D5" s="12"/>
      <c r="E5" s="12"/>
      <c r="F5" s="12"/>
      <c r="G5" s="12"/>
      <c r="H5" s="12"/>
      <c r="I5" s="12"/>
      <c r="J5" s="12"/>
      <c r="K5" s="21"/>
    </row>
    <row r="6" spans="1:11">
      <c r="A6" s="19" t="s">
        <v>190</v>
      </c>
      <c r="C6" s="20"/>
      <c r="D6" s="12"/>
      <c r="E6" s="12"/>
      <c r="F6" s="12"/>
      <c r="G6" s="12"/>
      <c r="H6" s="12"/>
      <c r="I6" s="12"/>
      <c r="J6" s="12"/>
      <c r="K6" s="21"/>
    </row>
    <row r="7" spans="1:11">
      <c r="A7" s="22"/>
      <c r="B7" s="23"/>
      <c r="C7" s="24"/>
      <c r="D7" s="25"/>
      <c r="E7" s="26"/>
      <c r="F7" s="26"/>
      <c r="G7" s="26"/>
      <c r="H7" s="26"/>
      <c r="I7" s="26"/>
      <c r="J7" s="26"/>
      <c r="K7" s="27"/>
    </row>
    <row r="8" spans="1:11">
      <c r="A8" s="1082" t="s">
        <v>1254</v>
      </c>
      <c r="B8" s="1082"/>
      <c r="C8" s="1082"/>
      <c r="D8" s="1082"/>
      <c r="E8" s="1082"/>
      <c r="F8" s="1082"/>
      <c r="G8" s="1082"/>
      <c r="H8" s="1082"/>
      <c r="I8" s="1082"/>
      <c r="J8" s="1082"/>
      <c r="K8" s="1082"/>
    </row>
    <row r="9" spans="1:11">
      <c r="A9" s="28"/>
      <c r="B9" s="28"/>
      <c r="C9" s="29"/>
      <c r="D9" s="1083" t="s">
        <v>133</v>
      </c>
      <c r="E9" s="1083"/>
      <c r="F9" s="1083"/>
      <c r="G9" s="1083"/>
      <c r="H9" s="1083"/>
      <c r="I9" s="52"/>
      <c r="J9" s="52"/>
      <c r="K9" s="52" t="s">
        <v>307</v>
      </c>
    </row>
    <row r="10" spans="1:11" ht="25.5" customHeight="1">
      <c r="A10" s="28" t="s">
        <v>134</v>
      </c>
      <c r="B10" s="28" t="s">
        <v>135</v>
      </c>
      <c r="C10" s="29" t="s">
        <v>136</v>
      </c>
      <c r="D10" s="53" t="s">
        <v>1149</v>
      </c>
      <c r="E10" s="1084" t="s">
        <v>137</v>
      </c>
      <c r="F10" s="1084"/>
      <c r="G10" s="53" t="s">
        <v>306</v>
      </c>
      <c r="H10" s="53" t="s">
        <v>1255</v>
      </c>
      <c r="I10" s="53" t="s">
        <v>719</v>
      </c>
      <c r="J10" s="53" t="s">
        <v>1114</v>
      </c>
      <c r="K10" s="53" t="s">
        <v>1256</v>
      </c>
    </row>
    <row r="11" spans="1:11" ht="12.75" customHeight="1">
      <c r="A11" s="28"/>
      <c r="B11" s="28"/>
      <c r="C11" s="29"/>
      <c r="D11" s="53"/>
      <c r="E11" s="53" t="s">
        <v>138</v>
      </c>
      <c r="F11" s="53" t="s">
        <v>139</v>
      </c>
      <c r="G11" s="52"/>
      <c r="H11" s="52"/>
      <c r="I11" s="52"/>
      <c r="J11" s="52"/>
      <c r="K11" s="52"/>
    </row>
    <row r="12" spans="1:11">
      <c r="A12" s="28"/>
      <c r="B12" s="30" t="s">
        <v>438</v>
      </c>
      <c r="C12" s="29"/>
      <c r="D12" s="53"/>
      <c r="E12" s="53"/>
      <c r="F12" s="53"/>
      <c r="G12" s="52"/>
      <c r="H12" s="52"/>
      <c r="I12" s="52"/>
      <c r="J12" s="52"/>
      <c r="K12" s="52"/>
    </row>
    <row r="13" spans="1:11">
      <c r="A13" s="28">
        <v>1</v>
      </c>
      <c r="B13" s="31" t="s">
        <v>436</v>
      </c>
      <c r="C13" s="36">
        <v>0</v>
      </c>
      <c r="D13" s="32">
        <v>24942539.25</v>
      </c>
      <c r="E13" s="259">
        <v>0</v>
      </c>
      <c r="F13" s="259">
        <v>0</v>
      </c>
      <c r="G13" s="52">
        <v>0</v>
      </c>
      <c r="H13" s="33">
        <f>+D13+E13+F13-G13</f>
        <v>24942539.25</v>
      </c>
      <c r="I13" s="536">
        <f>+((D13+E13-G13)*C13)+(F13*C13/2)</f>
        <v>0</v>
      </c>
      <c r="J13" s="534"/>
      <c r="K13" s="33">
        <f>+H13-I13-J13</f>
        <v>24942539.25</v>
      </c>
    </row>
    <row r="14" spans="1:11">
      <c r="A14" s="28"/>
      <c r="B14" s="34"/>
      <c r="C14" s="29"/>
      <c r="D14" s="53">
        <v>24942539.25</v>
      </c>
      <c r="E14" s="53">
        <f t="shared" ref="E14:K14" si="0">SUM(E13)</f>
        <v>0</v>
      </c>
      <c r="F14" s="53">
        <f t="shared" si="0"/>
        <v>0</v>
      </c>
      <c r="G14" s="53">
        <f t="shared" si="0"/>
        <v>0</v>
      </c>
      <c r="H14" s="53">
        <f t="shared" si="0"/>
        <v>24942539.25</v>
      </c>
      <c r="I14" s="536">
        <v>0</v>
      </c>
      <c r="J14" s="535">
        <f t="shared" si="0"/>
        <v>0</v>
      </c>
      <c r="K14" s="53">
        <f t="shared" si="0"/>
        <v>24942539.25</v>
      </c>
    </row>
    <row r="15" spans="1:11">
      <c r="A15" s="28"/>
      <c r="B15" s="30" t="s">
        <v>434</v>
      </c>
      <c r="C15" s="29"/>
      <c r="D15" s="53"/>
      <c r="E15" s="53"/>
      <c r="F15" s="53"/>
      <c r="G15" s="52"/>
      <c r="H15" s="52"/>
      <c r="I15" s="534"/>
      <c r="J15" s="534"/>
      <c r="K15" s="52"/>
    </row>
    <row r="16" spans="1:11">
      <c r="A16" s="28">
        <v>2</v>
      </c>
      <c r="B16" s="35" t="s">
        <v>208</v>
      </c>
      <c r="C16" s="36">
        <v>0.1</v>
      </c>
      <c r="D16" s="32">
        <v>58924902.600000001</v>
      </c>
      <c r="E16" s="32">
        <v>0</v>
      </c>
      <c r="F16" s="32">
        <v>0</v>
      </c>
      <c r="G16" s="52">
        <v>0</v>
      </c>
      <c r="H16" s="33">
        <f>+D16+E16+F16-G16</f>
        <v>58924902.600000001</v>
      </c>
      <c r="I16" s="536">
        <f>+((D16+E16-G16)*C16)+(F16*C16/2)</f>
        <v>5892490.2600000007</v>
      </c>
      <c r="J16" s="536"/>
      <c r="K16" s="33">
        <f>+H16-I16-J16</f>
        <v>53032412.340000004</v>
      </c>
    </row>
    <row r="17" spans="1:14">
      <c r="A17" s="28">
        <f>+A16+1</f>
        <v>3</v>
      </c>
      <c r="B17" s="35" t="s">
        <v>655</v>
      </c>
      <c r="C17" s="36">
        <v>0.1</v>
      </c>
      <c r="D17" s="32">
        <v>1241453.7</v>
      </c>
      <c r="E17" s="32">
        <f>'FA Additions'!G30</f>
        <v>0</v>
      </c>
      <c r="F17" s="32">
        <f>'FA Additions'!H30</f>
        <v>41450</v>
      </c>
      <c r="G17" s="52">
        <v>0</v>
      </c>
      <c r="H17" s="33">
        <f>+D17+E17+F17-G17</f>
        <v>1282903.7</v>
      </c>
      <c r="I17" s="536">
        <f>+((D17+E17-G17)*C17)+(F17*C17/2)</f>
        <v>126217.87</v>
      </c>
      <c r="J17" s="536"/>
      <c r="K17" s="33">
        <f>+H17-I17-J17</f>
        <v>1156685.83</v>
      </c>
      <c r="N17" s="37"/>
    </row>
    <row r="18" spans="1:14">
      <c r="A18" s="28"/>
      <c r="B18" s="28"/>
      <c r="C18" s="29"/>
      <c r="D18" s="53">
        <v>60166356.300000004</v>
      </c>
      <c r="E18" s="53">
        <f t="shared" ref="E18:K18" si="1">SUM(E16:E17)</f>
        <v>0</v>
      </c>
      <c r="F18" s="53">
        <f t="shared" si="1"/>
        <v>41450</v>
      </c>
      <c r="G18" s="53">
        <f t="shared" si="1"/>
        <v>0</v>
      </c>
      <c r="H18" s="53">
        <f t="shared" si="1"/>
        <v>60207806.300000004</v>
      </c>
      <c r="I18" s="535">
        <f t="shared" si="1"/>
        <v>6018708.1300000008</v>
      </c>
      <c r="J18" s="535">
        <f t="shared" si="1"/>
        <v>0</v>
      </c>
      <c r="K18" s="53">
        <f t="shared" si="1"/>
        <v>54189098.170000002</v>
      </c>
      <c r="N18" s="37"/>
    </row>
    <row r="19" spans="1:14">
      <c r="A19" s="28"/>
      <c r="B19" s="30" t="s">
        <v>435</v>
      </c>
      <c r="C19" s="29"/>
      <c r="D19" s="53"/>
      <c r="E19" s="53"/>
      <c r="F19" s="53"/>
      <c r="G19" s="52"/>
      <c r="H19" s="52"/>
      <c r="I19" s="534"/>
      <c r="J19" s="534"/>
      <c r="K19" s="52"/>
    </row>
    <row r="20" spans="1:14">
      <c r="A20" s="28">
        <f>+A17+1</f>
        <v>4</v>
      </c>
      <c r="B20" s="38" t="s">
        <v>209</v>
      </c>
      <c r="C20" s="36">
        <v>0.15</v>
      </c>
      <c r="D20" s="32">
        <v>87917.2</v>
      </c>
      <c r="E20" s="32">
        <v>0</v>
      </c>
      <c r="F20" s="32">
        <v>0</v>
      </c>
      <c r="G20" s="52">
        <v>0</v>
      </c>
      <c r="H20" s="33">
        <f>+D20+E20+F20-G20</f>
        <v>87917.2</v>
      </c>
      <c r="I20" s="536">
        <f>+((D20+E20)*C20)+(F20*C20/2)</f>
        <v>13187.58</v>
      </c>
      <c r="J20" s="536"/>
      <c r="K20" s="33">
        <f>+H20-I20-J20</f>
        <v>74729.62</v>
      </c>
    </row>
    <row r="21" spans="1:14">
      <c r="A21" s="28">
        <f t="shared" ref="A21:A28" si="2">A20+1</f>
        <v>5</v>
      </c>
      <c r="B21" s="38" t="s">
        <v>210</v>
      </c>
      <c r="C21" s="36">
        <v>0.15</v>
      </c>
      <c r="D21" s="32">
        <v>3354.95</v>
      </c>
      <c r="E21" s="53">
        <v>0</v>
      </c>
      <c r="F21" s="53">
        <v>0</v>
      </c>
      <c r="G21" s="52">
        <v>0</v>
      </c>
      <c r="H21" s="33">
        <f t="shared" ref="H21:H28" si="3">+D21+E21+F21-G21</f>
        <v>3354.95</v>
      </c>
      <c r="I21" s="536">
        <f>+((D21+E21)*C21)+(F21*C21/2)</f>
        <v>503.24249999999995</v>
      </c>
      <c r="J21" s="536"/>
      <c r="K21" s="33">
        <f>+H21-I21-J21</f>
        <v>2851.7075</v>
      </c>
    </row>
    <row r="22" spans="1:14">
      <c r="A22" s="28">
        <f t="shared" si="2"/>
        <v>6</v>
      </c>
      <c r="B22" s="38" t="s">
        <v>167</v>
      </c>
      <c r="C22" s="36">
        <v>0.15</v>
      </c>
      <c r="D22" s="32">
        <v>104504143.7</v>
      </c>
      <c r="E22" s="32">
        <f>'FA Additions'!G20</f>
        <v>528000</v>
      </c>
      <c r="F22" s="32">
        <f>'FA Additions'!H28</f>
        <v>6774500</v>
      </c>
      <c r="G22" s="719">
        <f>'FA Additions'!F45</f>
        <v>1500000</v>
      </c>
      <c r="H22" s="33">
        <f t="shared" si="3"/>
        <v>110306643.7</v>
      </c>
      <c r="I22" s="536">
        <f>+((D22+E22-G22)*C22)+F22*C22/2</f>
        <v>16037909.055</v>
      </c>
      <c r="J22" s="718">
        <f>(E22*0.2)+F22*0.1</f>
        <v>783050</v>
      </c>
      <c r="K22" s="33">
        <f>+H22-I22-J22</f>
        <v>93485684.645000011</v>
      </c>
    </row>
    <row r="23" spans="1:14">
      <c r="A23" s="28">
        <f>A22+1</f>
        <v>7</v>
      </c>
      <c r="B23" s="39" t="s">
        <v>207</v>
      </c>
      <c r="C23" s="36">
        <v>0.15</v>
      </c>
      <c r="D23" s="32">
        <v>3269.1</v>
      </c>
      <c r="E23" s="53">
        <v>0</v>
      </c>
      <c r="F23" s="53">
        <v>0</v>
      </c>
      <c r="G23" s="52">
        <v>0</v>
      </c>
      <c r="H23" s="33">
        <f t="shared" si="3"/>
        <v>3269.1</v>
      </c>
      <c r="I23" s="536">
        <f t="shared" ref="I23:I28" si="4">+((D23+E23)*C23)+(F23*C23/2)</f>
        <v>490.36499999999995</v>
      </c>
      <c r="J23" s="536"/>
      <c r="K23" s="33">
        <f t="shared" ref="K23:K28" si="5">+H23-I23-J23</f>
        <v>2778.7350000000001</v>
      </c>
    </row>
    <row r="24" spans="1:14">
      <c r="A24" s="28">
        <f t="shared" si="2"/>
        <v>8</v>
      </c>
      <c r="B24" s="40" t="s">
        <v>173</v>
      </c>
      <c r="C24" s="36">
        <v>0.15</v>
      </c>
      <c r="D24" s="32">
        <v>474775.57849999995</v>
      </c>
      <c r="E24" s="32">
        <f>'FA Additions'!G35</f>
        <v>74067.8</v>
      </c>
      <c r="F24" s="32">
        <f>'FA Additions'!H35</f>
        <v>8515.6299999999992</v>
      </c>
      <c r="G24" s="52">
        <v>0</v>
      </c>
      <c r="H24" s="33">
        <f t="shared" si="3"/>
        <v>557359.0085</v>
      </c>
      <c r="I24" s="536">
        <f t="shared" si="4"/>
        <v>82965.179025000005</v>
      </c>
      <c r="J24" s="536"/>
      <c r="K24" s="33">
        <f t="shared" si="5"/>
        <v>474393.82947499998</v>
      </c>
      <c r="M24" s="323"/>
    </row>
    <row r="25" spans="1:14">
      <c r="A25" s="28">
        <f t="shared" si="2"/>
        <v>9</v>
      </c>
      <c r="B25" s="35" t="s">
        <v>263</v>
      </c>
      <c r="C25" s="36">
        <v>0.15</v>
      </c>
      <c r="D25" s="32">
        <v>194786.85</v>
      </c>
      <c r="E25" s="260">
        <v>0</v>
      </c>
      <c r="F25" s="260">
        <v>0</v>
      </c>
      <c r="G25" s="52">
        <v>0</v>
      </c>
      <c r="H25" s="33">
        <f t="shared" si="3"/>
        <v>194786.85</v>
      </c>
      <c r="I25" s="536">
        <f t="shared" si="4"/>
        <v>29218.0275</v>
      </c>
      <c r="J25" s="536"/>
      <c r="K25" s="33">
        <f t="shared" si="5"/>
        <v>165568.82250000001</v>
      </c>
      <c r="M25" s="3"/>
    </row>
    <row r="26" spans="1:14">
      <c r="A26" s="28">
        <f t="shared" si="2"/>
        <v>10</v>
      </c>
      <c r="B26" s="41" t="s">
        <v>262</v>
      </c>
      <c r="C26" s="36">
        <v>0.15</v>
      </c>
      <c r="D26" s="32">
        <v>1224076.5</v>
      </c>
      <c r="E26" s="32"/>
      <c r="F26" s="32">
        <f>'FA Additions'!H39</f>
        <v>785210</v>
      </c>
      <c r="G26" s="52">
        <v>0</v>
      </c>
      <c r="H26" s="33">
        <f t="shared" si="3"/>
        <v>2009286.5</v>
      </c>
      <c r="I26" s="536">
        <f t="shared" si="4"/>
        <v>242502.22500000001</v>
      </c>
      <c r="J26" s="536"/>
      <c r="K26" s="33">
        <f t="shared" si="5"/>
        <v>1766784.2749999999</v>
      </c>
      <c r="M26" s="3"/>
    </row>
    <row r="27" spans="1:14">
      <c r="A27" s="28">
        <f t="shared" si="2"/>
        <v>11</v>
      </c>
      <c r="B27" s="41" t="s">
        <v>502</v>
      </c>
      <c r="C27" s="36">
        <v>0.15</v>
      </c>
      <c r="D27" s="32">
        <v>13155912.4</v>
      </c>
      <c r="E27" s="32">
        <v>0</v>
      </c>
      <c r="F27" s="32">
        <v>0</v>
      </c>
      <c r="G27" s="52"/>
      <c r="H27" s="33">
        <f t="shared" si="3"/>
        <v>13155912.4</v>
      </c>
      <c r="I27" s="536">
        <f t="shared" si="4"/>
        <v>1973386.8599999999</v>
      </c>
      <c r="J27" s="536"/>
      <c r="K27" s="33">
        <f t="shared" si="5"/>
        <v>11182525.540000001</v>
      </c>
      <c r="M27" s="3"/>
    </row>
    <row r="28" spans="1:14">
      <c r="A28" s="28">
        <f t="shared" si="2"/>
        <v>12</v>
      </c>
      <c r="B28" s="41" t="s">
        <v>816</v>
      </c>
      <c r="C28" s="36">
        <v>0.15</v>
      </c>
      <c r="D28" s="32">
        <v>1587519.5</v>
      </c>
      <c r="E28" s="32"/>
      <c r="F28" s="32">
        <f>SUM('FA Additions'!H37:H38)</f>
        <v>1350000</v>
      </c>
      <c r="G28" s="52">
        <v>0</v>
      </c>
      <c r="H28" s="33">
        <f t="shared" si="3"/>
        <v>2937519.5</v>
      </c>
      <c r="I28" s="536">
        <f t="shared" si="4"/>
        <v>339377.92499999999</v>
      </c>
      <c r="J28" s="536"/>
      <c r="K28" s="33">
        <f t="shared" si="5"/>
        <v>2598141.5750000002</v>
      </c>
      <c r="M28" s="3"/>
    </row>
    <row r="29" spans="1:14">
      <c r="A29" s="28"/>
      <c r="B29" s="28"/>
      <c r="C29" s="29"/>
      <c r="D29" s="53">
        <f>SUM(D20:D28)</f>
        <v>121235755.77850001</v>
      </c>
      <c r="E29" s="53">
        <f t="shared" ref="E29:K29" si="6">SUM(E20:E28)</f>
        <v>602067.80000000005</v>
      </c>
      <c r="F29" s="53">
        <f t="shared" si="6"/>
        <v>8918225.629999999</v>
      </c>
      <c r="G29" s="53">
        <f t="shared" si="6"/>
        <v>1500000</v>
      </c>
      <c r="H29" s="53">
        <f t="shared" si="6"/>
        <v>129256049.2085</v>
      </c>
      <c r="I29" s="535">
        <f>SUM(I20:I28)</f>
        <v>18719540.459024999</v>
      </c>
      <c r="J29" s="535">
        <f t="shared" si="6"/>
        <v>783050</v>
      </c>
      <c r="K29" s="53">
        <f t="shared" si="6"/>
        <v>109753458.74947503</v>
      </c>
      <c r="L29" s="736">
        <v>129256050</v>
      </c>
      <c r="M29" s="406">
        <f>H29-L29</f>
        <v>-0.79150000214576721</v>
      </c>
      <c r="N29" s="37"/>
    </row>
    <row r="30" spans="1:14">
      <c r="A30" s="28"/>
      <c r="B30" s="34"/>
      <c r="C30" s="29"/>
      <c r="D30" s="53"/>
      <c r="E30" s="53"/>
      <c r="F30" s="53"/>
      <c r="G30" s="53"/>
      <c r="H30" s="53"/>
      <c r="I30" s="535"/>
      <c r="J30" s="535"/>
      <c r="K30" s="53"/>
      <c r="N30" s="37"/>
    </row>
    <row r="31" spans="1:14">
      <c r="A31" s="28"/>
      <c r="B31" s="30" t="s">
        <v>1526</v>
      </c>
      <c r="C31" s="29"/>
      <c r="D31" s="53"/>
      <c r="E31" s="53"/>
      <c r="F31" s="53"/>
      <c r="G31" s="53"/>
      <c r="H31" s="53"/>
      <c r="I31" s="535"/>
      <c r="J31" s="535"/>
      <c r="K31" s="53"/>
      <c r="N31" s="37"/>
    </row>
    <row r="32" spans="1:14">
      <c r="A32" s="28">
        <f>A28+1</f>
        <v>13</v>
      </c>
      <c r="B32" s="31" t="s">
        <v>1521</v>
      </c>
      <c r="C32" s="36">
        <v>0.25</v>
      </c>
      <c r="D32" s="32"/>
      <c r="E32" s="32"/>
      <c r="F32" s="32">
        <f>'FA Additions'!H12</f>
        <v>480000</v>
      </c>
      <c r="G32" s="32"/>
      <c r="H32" s="33">
        <f>+D32+E32+F32-G32</f>
        <v>480000</v>
      </c>
      <c r="I32" s="536">
        <f>+((D32+E32)*C32)+F32*C32/2</f>
        <v>60000</v>
      </c>
      <c r="J32" s="536"/>
      <c r="K32" s="33">
        <f>+H32-I32-J32</f>
        <v>420000</v>
      </c>
      <c r="N32" s="37"/>
    </row>
    <row r="33" spans="1:14">
      <c r="A33" s="28"/>
      <c r="B33" s="31"/>
      <c r="C33" s="36"/>
      <c r="D33" s="53">
        <f>SUM(D32)</f>
        <v>0</v>
      </c>
      <c r="E33" s="53">
        <f t="shared" ref="E33:K33" si="7">SUM(E32)</f>
        <v>0</v>
      </c>
      <c r="F33" s="53">
        <f t="shared" si="7"/>
        <v>480000</v>
      </c>
      <c r="G33" s="53">
        <f t="shared" si="7"/>
        <v>0</v>
      </c>
      <c r="H33" s="53">
        <f t="shared" si="7"/>
        <v>480000</v>
      </c>
      <c r="I33" s="53">
        <f t="shared" si="7"/>
        <v>60000</v>
      </c>
      <c r="J33" s="53">
        <f t="shared" si="7"/>
        <v>0</v>
      </c>
      <c r="K33" s="53">
        <f t="shared" si="7"/>
        <v>420000</v>
      </c>
      <c r="N33" s="37"/>
    </row>
    <row r="34" spans="1:14">
      <c r="A34" s="28"/>
      <c r="B34" s="34"/>
      <c r="C34" s="29"/>
      <c r="D34" s="53"/>
      <c r="E34" s="53"/>
      <c r="F34" s="53"/>
      <c r="G34" s="53"/>
      <c r="H34" s="53"/>
      <c r="I34" s="535"/>
      <c r="J34" s="535"/>
      <c r="K34" s="53"/>
      <c r="N34" s="37"/>
    </row>
    <row r="35" spans="1:14">
      <c r="A35" s="28"/>
      <c r="B35" s="30" t="s">
        <v>1525</v>
      </c>
      <c r="C35" s="29"/>
      <c r="D35" s="53"/>
      <c r="E35" s="53"/>
      <c r="F35" s="53"/>
      <c r="G35" s="52"/>
      <c r="H35" s="52"/>
      <c r="I35" s="534"/>
      <c r="J35" s="534"/>
      <c r="K35" s="52"/>
    </row>
    <row r="36" spans="1:14">
      <c r="A36" s="28">
        <f>A32+1</f>
        <v>14</v>
      </c>
      <c r="B36" s="35" t="s">
        <v>211</v>
      </c>
      <c r="C36" s="36">
        <v>0.4</v>
      </c>
      <c r="D36" s="32">
        <v>425358.46799999999</v>
      </c>
      <c r="E36" s="32">
        <f>'FA Additions'!G18</f>
        <v>0</v>
      </c>
      <c r="F36" s="32">
        <f>'FA Additions'!H18</f>
        <v>272838.93</v>
      </c>
      <c r="G36" s="52">
        <v>0</v>
      </c>
      <c r="H36" s="33">
        <f>+D36+E36+F36-G36</f>
        <v>698197.39800000004</v>
      </c>
      <c r="I36" s="536">
        <f>+((D36+E36)*C36)+F36*C36/2</f>
        <v>224711.17319999999</v>
      </c>
      <c r="J36" s="536"/>
      <c r="K36" s="33">
        <f>+H36-I36-J36</f>
        <v>473486.22480000008</v>
      </c>
    </row>
    <row r="37" spans="1:14">
      <c r="A37" s="28"/>
      <c r="B37" s="28"/>
      <c r="C37" s="29"/>
      <c r="D37" s="53">
        <f>SUM(D36)</f>
        <v>425358.46799999999</v>
      </c>
      <c r="E37" s="53">
        <f t="shared" ref="E37:K37" si="8">SUM(E36)</f>
        <v>0</v>
      </c>
      <c r="F37" s="53">
        <f t="shared" si="8"/>
        <v>272838.93</v>
      </c>
      <c r="G37" s="53">
        <f t="shared" si="8"/>
        <v>0</v>
      </c>
      <c r="H37" s="53">
        <f t="shared" si="8"/>
        <v>698197.39800000004</v>
      </c>
      <c r="I37" s="535">
        <f t="shared" si="8"/>
        <v>224711.17319999999</v>
      </c>
      <c r="J37" s="535"/>
      <c r="K37" s="53">
        <f t="shared" si="8"/>
        <v>473486.22480000008</v>
      </c>
      <c r="N37" s="37"/>
    </row>
    <row r="38" spans="1:14">
      <c r="A38" s="28"/>
      <c r="B38" s="28"/>
      <c r="C38" s="29"/>
      <c r="D38" s="53"/>
      <c r="E38" s="53"/>
      <c r="F38" s="53"/>
      <c r="G38" s="52"/>
      <c r="H38" s="52"/>
      <c r="I38" s="52"/>
      <c r="J38" s="52"/>
      <c r="K38" s="52"/>
    </row>
    <row r="39" spans="1:14">
      <c r="A39" s="28"/>
      <c r="B39" s="28" t="s">
        <v>1187</v>
      </c>
      <c r="C39" s="29"/>
      <c r="D39" s="53">
        <f>D14+D18+D29+D33+D37</f>
        <v>206770009.79650003</v>
      </c>
      <c r="E39" s="53">
        <f t="shared" ref="E39:K39" si="9">E14+E18+E29+E33+E37</f>
        <v>602067.80000000005</v>
      </c>
      <c r="F39" s="53">
        <f t="shared" si="9"/>
        <v>9712514.5599999987</v>
      </c>
      <c r="G39" s="53">
        <f t="shared" si="9"/>
        <v>1500000</v>
      </c>
      <c r="H39" s="53">
        <f t="shared" si="9"/>
        <v>215584592.15650001</v>
      </c>
      <c r="I39" s="53">
        <f t="shared" si="9"/>
        <v>25022959.762224998</v>
      </c>
      <c r="J39" s="53">
        <f t="shared" si="9"/>
        <v>783050</v>
      </c>
      <c r="K39" s="53">
        <f t="shared" si="9"/>
        <v>189778582.39427501</v>
      </c>
      <c r="N39" s="37"/>
    </row>
    <row r="40" spans="1:14">
      <c r="A40" s="28"/>
      <c r="B40" s="28"/>
      <c r="C40" s="29"/>
      <c r="D40" s="53"/>
      <c r="E40" s="53"/>
      <c r="F40" s="53"/>
      <c r="G40" s="52"/>
      <c r="H40" s="52"/>
      <c r="I40" s="52"/>
      <c r="J40" s="52"/>
      <c r="K40" s="52"/>
    </row>
    <row r="41" spans="1:14">
      <c r="A41" s="43"/>
      <c r="B41" s="44"/>
      <c r="C41" s="15"/>
      <c r="D41" s="45"/>
      <c r="E41" s="45"/>
      <c r="F41" s="45"/>
      <c r="G41" s="45"/>
      <c r="H41" s="45"/>
      <c r="I41" s="45"/>
      <c r="J41" s="45"/>
      <c r="K41" s="46"/>
    </row>
    <row r="42" spans="1:14">
      <c r="A42" s="56"/>
      <c r="C42" s="42"/>
      <c r="K42" s="47"/>
    </row>
    <row r="43" spans="1:14">
      <c r="A43" s="56" t="s">
        <v>1233</v>
      </c>
      <c r="H43" s="1078" t="s">
        <v>294</v>
      </c>
      <c r="I43" s="1078"/>
      <c r="J43" s="1078"/>
      <c r="K43" s="1079"/>
    </row>
    <row r="44" spans="1:14">
      <c r="A44" s="56" t="s">
        <v>946</v>
      </c>
      <c r="H44" s="1078" t="s">
        <v>295</v>
      </c>
      <c r="I44" s="1078"/>
      <c r="J44" s="1078"/>
      <c r="K44" s="1079"/>
    </row>
    <row r="45" spans="1:14">
      <c r="A45" s="56"/>
      <c r="H45" s="1078" t="s">
        <v>733</v>
      </c>
      <c r="I45" s="1078"/>
      <c r="J45" s="1078"/>
      <c r="K45" s="1079"/>
    </row>
    <row r="46" spans="1:14">
      <c r="A46" s="56"/>
      <c r="D46" s="13"/>
      <c r="E46" s="13"/>
      <c r="F46" s="13"/>
      <c r="H46" s="1078" t="s">
        <v>734</v>
      </c>
      <c r="I46" s="1078"/>
      <c r="J46" s="54"/>
      <c r="K46" s="47"/>
    </row>
    <row r="47" spans="1:14">
      <c r="A47" s="56"/>
      <c r="D47" s="13"/>
      <c r="E47" s="13"/>
      <c r="F47" s="13"/>
      <c r="H47" s="54"/>
      <c r="I47" s="54"/>
      <c r="J47" s="54"/>
      <c r="K47" s="47"/>
    </row>
    <row r="48" spans="1:14">
      <c r="A48" s="56"/>
      <c r="D48" s="13"/>
      <c r="E48" s="13"/>
      <c r="F48" s="13"/>
      <c r="H48" s="54"/>
      <c r="I48" s="54"/>
      <c r="J48" s="54"/>
      <c r="K48" s="47"/>
    </row>
    <row r="49" spans="1:11">
      <c r="A49" s="56" t="s">
        <v>936</v>
      </c>
      <c r="D49" s="13" t="s">
        <v>439</v>
      </c>
      <c r="E49" s="13"/>
      <c r="F49" s="13"/>
      <c r="H49" s="55" t="s">
        <v>129</v>
      </c>
      <c r="I49" s="55"/>
      <c r="J49" s="55"/>
      <c r="K49" s="47"/>
    </row>
    <row r="50" spans="1:11">
      <c r="A50" s="56" t="s">
        <v>938</v>
      </c>
      <c r="D50" s="13" t="s">
        <v>937</v>
      </c>
      <c r="E50" s="13"/>
      <c r="F50" s="13"/>
      <c r="H50" s="1085" t="s">
        <v>130</v>
      </c>
      <c r="I50" s="1085"/>
      <c r="J50" s="55"/>
      <c r="K50" s="47"/>
    </row>
    <row r="51" spans="1:11">
      <c r="A51" s="56" t="s">
        <v>1028</v>
      </c>
      <c r="D51" s="13" t="s">
        <v>949</v>
      </c>
      <c r="E51" s="13"/>
      <c r="F51" s="13"/>
      <c r="H51" s="1085" t="s">
        <v>256</v>
      </c>
      <c r="I51" s="1085"/>
      <c r="J51" s="55"/>
      <c r="K51" s="47"/>
    </row>
    <row r="52" spans="1:11">
      <c r="A52" s="56"/>
      <c r="D52" s="13"/>
      <c r="E52" s="13"/>
      <c r="F52" s="13"/>
      <c r="K52" s="47"/>
    </row>
    <row r="53" spans="1:11">
      <c r="A53" s="56" t="s">
        <v>140</v>
      </c>
      <c r="D53" s="13"/>
      <c r="E53" s="13"/>
      <c r="F53" s="13"/>
      <c r="H53" s="13"/>
      <c r="I53" s="13"/>
      <c r="J53" s="13"/>
      <c r="K53" s="47"/>
    </row>
    <row r="54" spans="1:11">
      <c r="A54" s="1080" t="s">
        <v>1617</v>
      </c>
      <c r="B54" s="1081"/>
      <c r="D54" s="13"/>
      <c r="E54" s="13"/>
      <c r="F54" s="13"/>
      <c r="H54" s="13"/>
      <c r="I54" s="13"/>
      <c r="J54" s="13"/>
      <c r="K54" s="47"/>
    </row>
    <row r="55" spans="1:11">
      <c r="A55" s="48"/>
      <c r="B55" s="49"/>
      <c r="C55" s="49"/>
      <c r="D55" s="49"/>
      <c r="E55" s="49"/>
      <c r="F55" s="49"/>
      <c r="G55" s="50"/>
      <c r="H55" s="50"/>
      <c r="I55" s="50"/>
      <c r="J55" s="50"/>
      <c r="K55" s="51"/>
    </row>
  </sheetData>
  <mergeCells count="10">
    <mergeCell ref="H44:K44"/>
    <mergeCell ref="H45:K45"/>
    <mergeCell ref="A54:B54"/>
    <mergeCell ref="A8:K8"/>
    <mergeCell ref="D9:H9"/>
    <mergeCell ref="E10:F10"/>
    <mergeCell ref="H46:I46"/>
    <mergeCell ref="H50:I50"/>
    <mergeCell ref="H51:I51"/>
    <mergeCell ref="H43:K43"/>
  </mergeCells>
  <phoneticPr fontId="25" type="noConversion"/>
  <printOptions horizontalCentered="1"/>
  <pageMargins left="0.19685039370078741" right="0.19685039370078741" top="0.78740157480314965" bottom="0.19685039370078741" header="0.23622047244094491" footer="0.31496062992125984"/>
  <pageSetup scale="76" orientation="landscape" r:id="rId1"/>
  <ignoredErrors>
    <ignoredError sqref="I22"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4"/>
  <sheetViews>
    <sheetView view="pageBreakPreview" zoomScaleNormal="100" zoomScaleSheetLayoutView="100" workbookViewId="0">
      <selection activeCell="B1" sqref="A1:B1"/>
    </sheetView>
  </sheetViews>
  <sheetFormatPr defaultColWidth="9.28515625" defaultRowHeight="12.75"/>
  <cols>
    <col min="1" max="1" width="46.28515625" style="858" customWidth="1"/>
    <col min="2" max="2" width="16.5703125" style="856" customWidth="1"/>
    <col min="3" max="3" width="16.140625" style="856" customWidth="1"/>
    <col min="4" max="4" width="14.140625" style="865" bestFit="1" customWidth="1"/>
    <col min="5" max="5" width="20.5703125" style="865" bestFit="1" customWidth="1"/>
    <col min="6" max="6" width="9.28515625" style="858"/>
    <col min="7" max="8" width="12.28515625" style="858" bestFit="1" customWidth="1"/>
    <col min="9" max="16384" width="9.28515625" style="858"/>
  </cols>
  <sheetData>
    <row r="1" spans="1:8" ht="41.45" customHeight="1">
      <c r="A1" s="857" t="s">
        <v>1492</v>
      </c>
      <c r="B1" s="846" t="s">
        <v>1583</v>
      </c>
      <c r="C1" s="846" t="s">
        <v>1584</v>
      </c>
      <c r="D1" s="846" t="s">
        <v>1561</v>
      </c>
      <c r="E1" s="846" t="s">
        <v>1562</v>
      </c>
    </row>
    <row r="2" spans="1:8" s="860" customFormat="1" ht="12.75" customHeight="1">
      <c r="A2" s="869" t="s">
        <v>1571</v>
      </c>
      <c r="B2" s="871">
        <f>B3/B4</f>
        <v>1.1000643658112372</v>
      </c>
      <c r="C2" s="871">
        <f>C3/C4</f>
        <v>1.1898262736351739</v>
      </c>
      <c r="D2" s="877">
        <f>(B2-C2)/C2</f>
        <v>-7.5441188191024591E-2</v>
      </c>
      <c r="E2" s="866"/>
      <c r="F2" s="867" t="s">
        <v>1585</v>
      </c>
      <c r="G2" s="868"/>
    </row>
    <row r="3" spans="1:8" s="860" customFormat="1" ht="12.75" customHeight="1">
      <c r="A3" s="861" t="s">
        <v>1563</v>
      </c>
      <c r="B3" s="873">
        <f>SUM(BS!G39:G42)</f>
        <v>225478.21109999996</v>
      </c>
      <c r="C3" s="873">
        <f>SUM(BS!H39:H42)</f>
        <v>166046.62583999999</v>
      </c>
      <c r="D3" s="878"/>
      <c r="E3" s="850"/>
    </row>
    <row r="4" spans="1:8" s="860" customFormat="1" ht="12.75" customHeight="1">
      <c r="A4" s="861" t="s">
        <v>1564</v>
      </c>
      <c r="B4" s="873">
        <f>SUM(BS!G20:G25)</f>
        <v>204968.19832330639</v>
      </c>
      <c r="C4" s="873">
        <f>SUM(BS!H20:H25)</f>
        <v>139555.35317999998</v>
      </c>
      <c r="D4" s="878"/>
      <c r="E4" s="850"/>
      <c r="G4" s="862"/>
      <c r="H4" s="862"/>
    </row>
    <row r="5" spans="1:8" s="860" customFormat="1" ht="12.75" customHeight="1">
      <c r="A5" s="861"/>
      <c r="B5" s="849"/>
      <c r="C5" s="851"/>
      <c r="D5" s="878"/>
      <c r="E5" s="850"/>
    </row>
    <row r="6" spans="1:8" s="860" customFormat="1" ht="12.75" customHeight="1">
      <c r="A6" s="869" t="s">
        <v>1572</v>
      </c>
      <c r="B6" s="871">
        <f>(B7-B8)/(B9-B10)</f>
        <v>2.5632018166495101</v>
      </c>
      <c r="C6" s="871">
        <f>(C7-C8)/(C9-C10)</f>
        <v>2.656965507197512</v>
      </c>
      <c r="D6" s="877">
        <f>(B6-C6)/C6</f>
        <v>-3.5289765822703913E-2</v>
      </c>
      <c r="E6" s="866"/>
      <c r="F6" s="867" t="s">
        <v>1586</v>
      </c>
      <c r="G6" s="868"/>
    </row>
    <row r="7" spans="1:8" s="860" customFormat="1" ht="12.75" customHeight="1">
      <c r="A7" s="861" t="s">
        <v>1595</v>
      </c>
      <c r="B7" s="852">
        <f>BS!G15+BS!G20</f>
        <v>244102.77454000001</v>
      </c>
      <c r="C7" s="852">
        <f>BS!H15+BS!H20</f>
        <v>225276.52043</v>
      </c>
      <c r="D7" s="878"/>
      <c r="E7" s="850"/>
      <c r="G7" s="859"/>
    </row>
    <row r="8" spans="1:8" s="860" customFormat="1" ht="12.75" customHeight="1">
      <c r="A8" s="861" t="s">
        <v>1594</v>
      </c>
      <c r="B8" s="852">
        <f>BS!G41</f>
        <v>8673.6363500000007</v>
      </c>
      <c r="C8" s="852">
        <f>BS!H41</f>
        <v>2204.3001599999998</v>
      </c>
      <c r="D8" s="878"/>
      <c r="E8" s="850"/>
    </row>
    <row r="9" spans="1:8" s="860" customFormat="1" ht="12.75" customHeight="1">
      <c r="A9" s="861" t="s">
        <v>1565</v>
      </c>
      <c r="B9" s="852">
        <f>SUM(BS!G9:G10)</f>
        <v>91849.629888972719</v>
      </c>
      <c r="C9" s="852">
        <f>SUM(BS!H9:H10)</f>
        <v>83957.514565286896</v>
      </c>
      <c r="D9" s="878"/>
      <c r="E9" s="850"/>
      <c r="F9" s="859"/>
    </row>
    <row r="10" spans="1:8" s="860" customFormat="1" ht="12.75" customHeight="1">
      <c r="A10" s="861" t="s">
        <v>1587</v>
      </c>
      <c r="B10" s="852">
        <v>0</v>
      </c>
      <c r="C10" s="850">
        <v>0</v>
      </c>
      <c r="D10" s="878"/>
      <c r="E10" s="850"/>
    </row>
    <row r="11" spans="1:8" s="860" customFormat="1" ht="12.75" customHeight="1">
      <c r="A11" s="861"/>
      <c r="B11" s="852"/>
      <c r="C11" s="850"/>
      <c r="D11" s="878"/>
      <c r="E11" s="850"/>
    </row>
    <row r="12" spans="1:8" s="860" customFormat="1" ht="12.75" customHeight="1">
      <c r="A12" s="869" t="s">
        <v>1573</v>
      </c>
      <c r="B12" s="871">
        <f>SUM(B13:B14)/SUM(B14:B15)</f>
        <v>0.60289275148305788</v>
      </c>
      <c r="C12" s="871">
        <f>SUM(C13:C14)/(C14+C15)</f>
        <v>0.7185088071937602</v>
      </c>
      <c r="D12" s="877">
        <f>(B12-C12)/C12</f>
        <v>-0.16091111835115496</v>
      </c>
      <c r="E12" s="866"/>
      <c r="F12" s="867" t="s">
        <v>1646</v>
      </c>
      <c r="G12" s="868"/>
    </row>
    <row r="13" spans="1:8" s="860" customFormat="1" ht="12.75" customHeight="1">
      <c r="A13" s="861" t="s">
        <v>1596</v>
      </c>
      <c r="B13" s="853">
        <f>PL!E18</f>
        <v>11220.478119358246</v>
      </c>
      <c r="C13" s="853">
        <f>PL!F18</f>
        <v>3195.7789967751014</v>
      </c>
      <c r="D13" s="878"/>
      <c r="E13" s="850"/>
    </row>
    <row r="14" spans="1:8" s="860" customFormat="1" ht="12.75" customHeight="1">
      <c r="A14" s="861" t="s">
        <v>1588</v>
      </c>
      <c r="B14" s="853">
        <f>PL!E14</f>
        <v>25251.749469999995</v>
      </c>
      <c r="C14" s="853">
        <f>PL!F14</f>
        <v>24227.58914</v>
      </c>
      <c r="D14" s="878"/>
      <c r="E14" s="850"/>
    </row>
    <row r="15" spans="1:8" s="860" customFormat="1" ht="12.75" customHeight="1">
      <c r="A15" s="861" t="s">
        <v>1597</v>
      </c>
      <c r="B15" s="853">
        <v>35243.633000000002</v>
      </c>
      <c r="C15" s="853">
        <v>13939.47</v>
      </c>
      <c r="D15" s="878"/>
      <c r="E15" s="850"/>
    </row>
    <row r="16" spans="1:8" s="860" customFormat="1" ht="12.75" customHeight="1">
      <c r="A16" s="863"/>
      <c r="B16" s="853"/>
      <c r="C16" s="850"/>
      <c r="D16" s="878"/>
      <c r="E16" s="850"/>
    </row>
    <row r="17" spans="1:8" s="860" customFormat="1" ht="12.75" customHeight="1">
      <c r="A17" s="869" t="s">
        <v>1574</v>
      </c>
      <c r="B17" s="872">
        <f>B18/((B19+B20)/2-B21)</f>
        <v>8.9781508575029881E-2</v>
      </c>
      <c r="C17" s="872">
        <f>C18/((C19+C20)/2-C21)</f>
        <v>2.4886143306188813E-2</v>
      </c>
      <c r="D17" s="877">
        <f>(B17-C17)/C17</f>
        <v>2.6076907325653211</v>
      </c>
      <c r="E17" s="866" t="s">
        <v>1639</v>
      </c>
      <c r="F17" s="867" t="s">
        <v>1608</v>
      </c>
      <c r="G17" s="868"/>
    </row>
    <row r="18" spans="1:8" s="860" customFormat="1" ht="12.75" customHeight="1">
      <c r="A18" s="861" t="s">
        <v>1566</v>
      </c>
      <c r="B18" s="873">
        <f>PL!E31</f>
        <v>7892.1153236858127</v>
      </c>
      <c r="C18" s="873">
        <f>PL!F31</f>
        <v>2063.6999153264815</v>
      </c>
      <c r="D18" s="878"/>
      <c r="E18" s="850"/>
    </row>
    <row r="19" spans="1:8" s="860" customFormat="1" ht="12.75" customHeight="1">
      <c r="A19" s="861" t="s">
        <v>1598</v>
      </c>
      <c r="B19" s="873">
        <f>C20</f>
        <v>83957.514565286896</v>
      </c>
      <c r="C19" s="873">
        <v>81893.81</v>
      </c>
      <c r="D19" s="878"/>
      <c r="E19" s="850"/>
      <c r="G19" s="862"/>
    </row>
    <row r="20" spans="1:8" s="860" customFormat="1" ht="12.75" customHeight="1">
      <c r="A20" s="861" t="s">
        <v>1599</v>
      </c>
      <c r="B20" s="873">
        <f>SUM(BS!G9:G10)</f>
        <v>91849.629888972719</v>
      </c>
      <c r="C20" s="874">
        <f>SUM(BS!H9:H10)</f>
        <v>83957.514565286896</v>
      </c>
      <c r="D20" s="878"/>
      <c r="E20" s="850"/>
      <c r="G20" s="862"/>
    </row>
    <row r="21" spans="1:8" s="860" customFormat="1" ht="12.75" customHeight="1">
      <c r="A21" s="861" t="s">
        <v>1589</v>
      </c>
      <c r="B21" s="873">
        <v>0</v>
      </c>
      <c r="C21" s="874">
        <v>0</v>
      </c>
      <c r="D21" s="878"/>
      <c r="E21" s="850"/>
      <c r="G21" s="862"/>
    </row>
    <row r="22" spans="1:8" s="860" customFormat="1" ht="12.75" customHeight="1">
      <c r="A22" s="864"/>
      <c r="B22" s="854"/>
      <c r="C22" s="855"/>
      <c r="D22" s="879"/>
      <c r="E22" s="855"/>
    </row>
    <row r="23" spans="1:8" s="860" customFormat="1" ht="12.75" customHeight="1">
      <c r="A23" s="869" t="s">
        <v>1575</v>
      </c>
      <c r="B23" s="871">
        <f>B24/(B25+B26)/2</f>
        <v>1.5218003826129418</v>
      </c>
      <c r="C23" s="871">
        <f>C24/(C25+C26)/2</f>
        <v>0.85401869543422471</v>
      </c>
      <c r="D23" s="877">
        <f>(B23-C23)/C23</f>
        <v>0.78192865185367444</v>
      </c>
      <c r="E23" s="866" t="s">
        <v>1639</v>
      </c>
      <c r="F23" s="867" t="s">
        <v>1609</v>
      </c>
      <c r="G23" s="868"/>
    </row>
    <row r="24" spans="1:8" s="860" customFormat="1" ht="12.75" customHeight="1">
      <c r="A24" s="861" t="s">
        <v>1582</v>
      </c>
      <c r="B24" s="873">
        <f>PL!E7</f>
        <v>460793.20597000001</v>
      </c>
      <c r="C24" s="873">
        <f>PL!F7</f>
        <v>175821.62329000002</v>
      </c>
      <c r="D24" s="878"/>
      <c r="E24" s="850"/>
    </row>
    <row r="25" spans="1:8" s="860" customFormat="1" ht="12.75" customHeight="1">
      <c r="A25" s="861" t="s">
        <v>1601</v>
      </c>
      <c r="B25" s="873">
        <f>BS!G39</f>
        <v>94501.381000000008</v>
      </c>
      <c r="C25" s="873">
        <f>BS!H39</f>
        <v>56896.006999999998</v>
      </c>
      <c r="D25" s="878"/>
      <c r="E25" s="850"/>
    </row>
    <row r="26" spans="1:8" s="860" customFormat="1" ht="12.75" customHeight="1">
      <c r="A26" s="861" t="s">
        <v>1600</v>
      </c>
      <c r="B26" s="873">
        <f>C25</f>
        <v>56896.006999999998</v>
      </c>
      <c r="C26" s="874">
        <v>46041.8</v>
      </c>
      <c r="D26" s="878"/>
      <c r="E26" s="850"/>
    </row>
    <row r="27" spans="1:8" s="860" customFormat="1" ht="12.75" customHeight="1">
      <c r="A27" s="861"/>
      <c r="B27" s="873"/>
      <c r="C27" s="874"/>
      <c r="D27" s="878"/>
      <c r="E27" s="850"/>
    </row>
    <row r="28" spans="1:8" s="860" customFormat="1" ht="12.75" customHeight="1">
      <c r="A28" s="869" t="s">
        <v>1576</v>
      </c>
      <c r="B28" s="871">
        <f>B29/(B30+B31)/2</f>
        <v>1.4056149616530134</v>
      </c>
      <c r="C28" s="871">
        <f>C29/(C30+C31)/2</f>
        <v>0.70312864010529297</v>
      </c>
      <c r="D28" s="877">
        <f>(B28-C28)/C28</f>
        <v>0.99908648500297703</v>
      </c>
      <c r="E28" s="866" t="s">
        <v>1641</v>
      </c>
      <c r="F28" s="867" t="s">
        <v>1610</v>
      </c>
      <c r="G28" s="868"/>
    </row>
    <row r="29" spans="1:8" s="860" customFormat="1" ht="12.75" customHeight="1">
      <c r="A29" s="861" t="s">
        <v>1582</v>
      </c>
      <c r="B29" s="873">
        <f>B24</f>
        <v>460793.20597000001</v>
      </c>
      <c r="C29" s="873">
        <f>C24</f>
        <v>175821.62329000002</v>
      </c>
      <c r="D29" s="878"/>
      <c r="E29" s="850"/>
    </row>
    <row r="30" spans="1:8" s="860" customFormat="1" ht="12.75" customHeight="1">
      <c r="A30" s="861" t="s">
        <v>1603</v>
      </c>
      <c r="B30" s="873">
        <f>C31</f>
        <v>69214.86262</v>
      </c>
      <c r="C30" s="874">
        <v>55813.2</v>
      </c>
      <c r="D30" s="878"/>
      <c r="E30" s="850"/>
      <c r="G30" s="847"/>
      <c r="H30" s="848"/>
    </row>
    <row r="31" spans="1:8" s="860" customFormat="1" ht="12.75" customHeight="1">
      <c r="A31" s="861" t="s">
        <v>1602</v>
      </c>
      <c r="B31" s="873">
        <f>BS!G40</f>
        <v>94696.741389999966</v>
      </c>
      <c r="C31" s="873">
        <f>BS!H40</f>
        <v>69214.86262</v>
      </c>
      <c r="D31" s="878"/>
      <c r="E31" s="850"/>
      <c r="G31" s="847"/>
      <c r="H31" s="848"/>
    </row>
    <row r="32" spans="1:8" s="860" customFormat="1" ht="12.75" customHeight="1">
      <c r="A32" s="863"/>
      <c r="B32" s="852"/>
      <c r="C32" s="850"/>
      <c r="D32" s="878"/>
      <c r="E32" s="850"/>
    </row>
    <row r="33" spans="1:7" s="860" customFormat="1" ht="12.75" customHeight="1">
      <c r="A33" s="869" t="s">
        <v>1577</v>
      </c>
      <c r="B33" s="871">
        <f>B34/(B35+B36)/2</f>
        <v>1.2188624859340695</v>
      </c>
      <c r="C33" s="871">
        <f>C34/(C35+C36)/2</f>
        <v>0.27937795464537168</v>
      </c>
      <c r="D33" s="877">
        <f>(B33-C33)/C33</f>
        <v>3.3627726013000285</v>
      </c>
      <c r="E33" s="866" t="s">
        <v>1640</v>
      </c>
      <c r="F33" s="867" t="s">
        <v>1590</v>
      </c>
      <c r="G33" s="868"/>
    </row>
    <row r="34" spans="1:7" s="860" customFormat="1" ht="12.75" customHeight="1">
      <c r="A34" s="861" t="s">
        <v>1591</v>
      </c>
      <c r="B34" s="873">
        <f>PL!E11+PL!E16</f>
        <v>363247.34229</v>
      </c>
      <c r="C34" s="873">
        <f>PL!F11+PL!F16</f>
        <v>115110.20447</v>
      </c>
      <c r="D34" s="878"/>
      <c r="E34" s="850"/>
    </row>
    <row r="35" spans="1:7" s="860" customFormat="1" ht="12.75" customHeight="1">
      <c r="A35" s="861" t="s">
        <v>1604</v>
      </c>
      <c r="B35" s="873">
        <f>C36</f>
        <v>67254.73</v>
      </c>
      <c r="C35" s="874">
        <v>138756.88</v>
      </c>
      <c r="D35" s="878"/>
      <c r="E35" s="850"/>
    </row>
    <row r="36" spans="1:7" s="860" customFormat="1" ht="12.75" customHeight="1">
      <c r="A36" s="861" t="s">
        <v>1605</v>
      </c>
      <c r="B36" s="873">
        <f>BS!G23</f>
        <v>81756.06756000001</v>
      </c>
      <c r="C36" s="874">
        <v>67254.73</v>
      </c>
      <c r="D36" s="878"/>
      <c r="E36" s="850"/>
    </row>
    <row r="37" spans="1:7" s="860" customFormat="1" ht="12.75" customHeight="1">
      <c r="A37" s="861"/>
      <c r="B37" s="873"/>
      <c r="C37" s="874"/>
      <c r="D37" s="878"/>
      <c r="E37" s="850"/>
    </row>
    <row r="38" spans="1:7" s="860" customFormat="1" ht="12.75" customHeight="1">
      <c r="A38" s="869" t="s">
        <v>1567</v>
      </c>
      <c r="B38" s="871">
        <f>B39/B40</f>
        <v>22.466743974612232</v>
      </c>
      <c r="C38" s="871">
        <f>C39/C40</f>
        <v>6.6369640125096163</v>
      </c>
      <c r="D38" s="877">
        <f>(B38-C38)/C38</f>
        <v>2.3850935355783172</v>
      </c>
      <c r="E38" s="866" t="s">
        <v>1639</v>
      </c>
      <c r="F38" s="867" t="s">
        <v>1611</v>
      </c>
      <c r="G38" s="868"/>
    </row>
    <row r="39" spans="1:7" s="860" customFormat="1" ht="12.75" customHeight="1">
      <c r="A39" s="861" t="s">
        <v>1582</v>
      </c>
      <c r="B39" s="873">
        <f>B29</f>
        <v>460793.20597000001</v>
      </c>
      <c r="C39" s="873">
        <f>C29</f>
        <v>175821.62329000002</v>
      </c>
      <c r="D39" s="878"/>
      <c r="E39" s="850"/>
    </row>
    <row r="40" spans="1:7" s="860" customFormat="1" ht="12.75" customHeight="1">
      <c r="A40" s="861" t="s">
        <v>1568</v>
      </c>
      <c r="B40" s="873">
        <f>B3-B4</f>
        <v>20510.012776693562</v>
      </c>
      <c r="C40" s="873">
        <f>C3-C4</f>
        <v>26491.272660000017</v>
      </c>
      <c r="D40" s="878"/>
      <c r="E40" s="850"/>
    </row>
    <row r="41" spans="1:7" s="860" customFormat="1" ht="12.75" customHeight="1">
      <c r="A41" s="861"/>
      <c r="B41" s="873"/>
      <c r="C41" s="874"/>
      <c r="D41" s="878"/>
      <c r="E41" s="850"/>
    </row>
    <row r="42" spans="1:7" s="860" customFormat="1" ht="12.75" customHeight="1">
      <c r="A42" s="869" t="s">
        <v>1578</v>
      </c>
      <c r="B42" s="870">
        <f>B43/B44</f>
        <v>2.4350354940104641E-2</v>
      </c>
      <c r="C42" s="870">
        <f>C43/C44</f>
        <v>1.8176256918661173E-2</v>
      </c>
      <c r="D42" s="877">
        <f>(B42-C42)/C42</f>
        <v>0.33967928870463171</v>
      </c>
      <c r="E42" s="866" t="s">
        <v>1639</v>
      </c>
      <c r="F42" s="867" t="s">
        <v>1612</v>
      </c>
      <c r="G42" s="868"/>
    </row>
    <row r="43" spans="1:7" s="860" customFormat="1" ht="12.75" customHeight="1">
      <c r="A43" s="861" t="s">
        <v>1569</v>
      </c>
      <c r="B43" s="873">
        <f>PL!E22</f>
        <v>11220.478119358246</v>
      </c>
      <c r="C43" s="873">
        <f>PL!F22</f>
        <v>3195.7789967751014</v>
      </c>
      <c r="D43" s="878"/>
      <c r="E43" s="850"/>
    </row>
    <row r="44" spans="1:7" s="860" customFormat="1" ht="12.75" customHeight="1">
      <c r="A44" s="861" t="s">
        <v>1582</v>
      </c>
      <c r="B44" s="873">
        <f>B39</f>
        <v>460793.20597000001</v>
      </c>
      <c r="C44" s="873">
        <f>C39</f>
        <v>175821.62329000002</v>
      </c>
      <c r="D44" s="878"/>
      <c r="E44" s="850"/>
    </row>
    <row r="45" spans="1:7" s="860" customFormat="1" ht="12.75" customHeight="1">
      <c r="A45" s="861"/>
      <c r="B45" s="852"/>
      <c r="C45" s="850"/>
      <c r="D45" s="878"/>
      <c r="E45" s="850"/>
    </row>
    <row r="46" spans="1:7" s="860" customFormat="1" ht="12.75" customHeight="1">
      <c r="A46" s="869" t="s">
        <v>1579</v>
      </c>
      <c r="B46" s="870">
        <f>B47/B48</f>
        <v>0.53258035383472735</v>
      </c>
      <c r="C46" s="870">
        <f>C47/C48</f>
        <v>0.44155878898859757</v>
      </c>
      <c r="D46" s="877">
        <f>(B46-C46)/C46</f>
        <v>0.20613691113388807</v>
      </c>
      <c r="E46" s="866"/>
      <c r="F46" s="867" t="s">
        <v>1647</v>
      </c>
      <c r="G46" s="868"/>
    </row>
    <row r="47" spans="1:7" s="860" customFormat="1" ht="12.75" customHeight="1">
      <c r="A47" s="861" t="s">
        <v>1570</v>
      </c>
      <c r="B47" s="873">
        <f>PL!E18+PL!E14</f>
        <v>36472.227589358241</v>
      </c>
      <c r="C47" s="873">
        <f>PL!F18+PL!F14</f>
        <v>27423.368136775101</v>
      </c>
      <c r="D47" s="878"/>
      <c r="E47" s="850"/>
    </row>
    <row r="48" spans="1:7" s="860" customFormat="1" ht="12.75" customHeight="1">
      <c r="A48" s="861" t="s">
        <v>1580</v>
      </c>
      <c r="B48" s="978">
        <v>68482.112279861642</v>
      </c>
      <c r="C48" s="978">
        <v>62105.81426674594</v>
      </c>
      <c r="D48" s="878"/>
      <c r="E48" s="850"/>
    </row>
    <row r="49" spans="1:7" s="860" customFormat="1" ht="12.75" customHeight="1">
      <c r="A49" s="861"/>
      <c r="B49" s="873"/>
      <c r="C49" s="874"/>
      <c r="D49" s="878"/>
      <c r="E49" s="850"/>
    </row>
    <row r="50" spans="1:7" s="860" customFormat="1" ht="12.75" customHeight="1">
      <c r="A50" s="869" t="s">
        <v>1581</v>
      </c>
      <c r="B50" s="870" t="s">
        <v>1592</v>
      </c>
      <c r="C50" s="870" t="s">
        <v>1592</v>
      </c>
      <c r="D50" s="877">
        <v>0</v>
      </c>
      <c r="E50" s="866"/>
      <c r="F50" s="867" t="s">
        <v>1613</v>
      </c>
      <c r="G50" s="868"/>
    </row>
    <row r="51" spans="1:7" s="860" customFormat="1" ht="12.75" customHeight="1">
      <c r="A51" s="861" t="s">
        <v>1593</v>
      </c>
      <c r="B51" s="873"/>
      <c r="C51" s="873"/>
      <c r="D51" s="880"/>
      <c r="E51" s="850"/>
    </row>
    <row r="52" spans="1:7" s="860" customFormat="1" ht="12.75" customHeight="1">
      <c r="A52" s="861" t="s">
        <v>1607</v>
      </c>
      <c r="B52" s="873"/>
      <c r="C52" s="873"/>
      <c r="D52" s="881"/>
      <c r="E52" s="850"/>
    </row>
    <row r="53" spans="1:7" s="860" customFormat="1" ht="12.75" customHeight="1">
      <c r="A53" s="861" t="s">
        <v>1606</v>
      </c>
      <c r="B53" s="873"/>
      <c r="C53" s="873"/>
      <c r="D53" s="881"/>
      <c r="E53" s="850"/>
    </row>
    <row r="54" spans="1:7" s="860" customFormat="1" ht="12.75" customHeight="1">
      <c r="A54" s="861" t="s">
        <v>1614</v>
      </c>
      <c r="B54" s="873">
        <v>0</v>
      </c>
      <c r="C54" s="873">
        <v>0</v>
      </c>
      <c r="D54" s="878"/>
      <c r="E54" s="850"/>
    </row>
    <row r="55" spans="1:7" s="860" customFormat="1" ht="12.75" customHeight="1">
      <c r="A55" s="861" t="s">
        <v>1615</v>
      </c>
      <c r="B55" s="873">
        <v>0</v>
      </c>
      <c r="C55" s="874">
        <v>0</v>
      </c>
      <c r="D55" s="878"/>
      <c r="E55" s="850"/>
    </row>
    <row r="56" spans="1:7" s="860" customFormat="1" ht="12.75" customHeight="1">
      <c r="A56" s="864"/>
      <c r="B56" s="875"/>
      <c r="C56" s="876"/>
      <c r="D56" s="879"/>
      <c r="E56" s="855"/>
    </row>
    <row r="57" spans="1:7" s="860" customFormat="1">
      <c r="A57" s="856"/>
      <c r="B57" s="856"/>
      <c r="C57" s="856"/>
      <c r="D57" s="882"/>
      <c r="E57" s="856"/>
    </row>
    <row r="58" spans="1:7" s="860" customFormat="1">
      <c r="B58" s="856"/>
      <c r="C58" s="856"/>
      <c r="D58" s="856"/>
      <c r="E58" s="856"/>
    </row>
    <row r="59" spans="1:7" s="860" customFormat="1">
      <c r="A59" s="988" t="s">
        <v>1652</v>
      </c>
      <c r="B59" s="989">
        <f>(B60+B61)/((B62+B63)-B64)</f>
        <v>0.1161833460618632</v>
      </c>
      <c r="C59" s="989">
        <f>(C60+C61)/((C62+C63)-C64)</f>
        <v>9.7217506789628247E-2</v>
      </c>
      <c r="D59" s="877">
        <f>(B59-C59)/C59</f>
        <v>0.19508666595694207</v>
      </c>
      <c r="E59" s="856"/>
    </row>
    <row r="60" spans="1:7">
      <c r="A60" s="988" t="s">
        <v>318</v>
      </c>
      <c r="B60" s="856">
        <f>PL!E22</f>
        <v>11220.478119358246</v>
      </c>
      <c r="C60" s="856">
        <f>PL!F22</f>
        <v>3195.7789967751014</v>
      </c>
    </row>
    <row r="61" spans="1:7">
      <c r="A61" s="988" t="s">
        <v>1648</v>
      </c>
      <c r="B61" s="856">
        <f>PL!E14</f>
        <v>25251.749469999995</v>
      </c>
      <c r="C61" s="856">
        <f>PL!F14</f>
        <v>24227.58914</v>
      </c>
    </row>
    <row r="62" spans="1:7">
      <c r="A62" s="988" t="s">
        <v>1649</v>
      </c>
      <c r="B62" s="856">
        <f>(SUM(BS!G9:G10)+SUM(BS!H9:H10))/2</f>
        <v>87903.5722271298</v>
      </c>
      <c r="C62" s="856">
        <f>(SUM(BS!H9:H10)+SUM(BS!I9:I10))/2</f>
        <v>82925.664607643441</v>
      </c>
    </row>
    <row r="63" spans="1:7">
      <c r="A63" s="988" t="s">
        <v>1650</v>
      </c>
      <c r="B63" s="856">
        <f>(SUM(BS!G15+BS!G20)+(BS!H15+BS!H20))/2</f>
        <v>234689.64748500002</v>
      </c>
      <c r="C63" s="856">
        <f>(SUM(BS!H15+BS!H20)+(BS!I15+BS!I20))/2</f>
        <v>201361.246415</v>
      </c>
    </row>
    <row r="64" spans="1:7">
      <c r="A64" s="988" t="s">
        <v>1651</v>
      </c>
      <c r="B64" s="856">
        <f>BS!G41</f>
        <v>8673.6363500000007</v>
      </c>
      <c r="C64" s="856">
        <f>BS!H41</f>
        <v>2204.3001599999998</v>
      </c>
    </row>
  </sheetData>
  <pageMargins left="0.7" right="0.7" top="0.75" bottom="0.75" header="0.3" footer="0.3"/>
  <pageSetup paperSize="9" scale="78" orientation="portrait" r:id="rId1"/>
  <colBreaks count="1" manualBreakCount="1">
    <brk id="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151"/>
  <sheetViews>
    <sheetView view="pageBreakPreview" zoomScale="92" zoomScaleNormal="100" zoomScaleSheetLayoutView="92" workbookViewId="0">
      <selection sqref="A1:B1"/>
    </sheetView>
  </sheetViews>
  <sheetFormatPr defaultColWidth="9.140625" defaultRowHeight="12.75"/>
  <cols>
    <col min="1" max="1" width="9.140625" style="13"/>
    <col min="2" max="2" width="6.5703125" style="756" customWidth="1"/>
    <col min="3" max="3" width="26.7109375" style="13" customWidth="1"/>
    <col min="4" max="5" width="12.7109375" style="13" customWidth="1"/>
    <col min="6" max="6" width="15.85546875" style="323" bestFit="1" customWidth="1"/>
    <col min="7" max="7" width="15" style="323" bestFit="1" customWidth="1"/>
    <col min="8" max="8" width="15.85546875" style="323" bestFit="1" customWidth="1"/>
    <col min="9" max="9" width="10.85546875" style="13" bestFit="1" customWidth="1"/>
    <col min="10" max="10" width="10.42578125" style="323" customWidth="1"/>
    <col min="11" max="16384" width="9.140625" style="13"/>
  </cols>
  <sheetData>
    <row r="1" spans="2:10" s="738" customFormat="1">
      <c r="B1" s="14" t="str">
        <f>+BS!A1</f>
        <v>DYNAMIC AIR ENGINEERING INDIA PRIVATE LIMITED</v>
      </c>
      <c r="C1" s="933"/>
      <c r="D1" s="933"/>
      <c r="E1" s="933"/>
      <c r="F1" s="934"/>
      <c r="G1" s="934"/>
      <c r="H1" s="935"/>
      <c r="J1" s="739"/>
    </row>
    <row r="2" spans="2:10" s="738" customFormat="1">
      <c r="B2" s="19" t="str">
        <f>+BS!A2</f>
        <v>CIN No. :  U29192TN2008PTC066303</v>
      </c>
      <c r="F2" s="936"/>
      <c r="G2" s="936"/>
      <c r="H2" s="937"/>
      <c r="J2" s="739"/>
    </row>
    <row r="3" spans="2:10" s="738" customFormat="1">
      <c r="B3" s="19" t="str">
        <f>'Dep IT'!A4</f>
        <v>REGISTERED OFFICE</v>
      </c>
      <c r="F3" s="936"/>
      <c r="G3" s="936"/>
      <c r="H3" s="937"/>
      <c r="J3" s="739"/>
    </row>
    <row r="4" spans="2:10" s="738" customFormat="1">
      <c r="B4" s="19" t="str">
        <f>'Dep IT'!A5</f>
        <v>NO. 4, BOOPATHY NAGAR, INDUSTRIAL ESTATE</v>
      </c>
      <c r="F4" s="936"/>
      <c r="G4" s="936"/>
      <c r="H4" s="937"/>
      <c r="J4" s="739"/>
    </row>
    <row r="5" spans="2:10">
      <c r="B5" s="19" t="str">
        <f>'Dep IT'!A6</f>
        <v>KEEZHKATTALAI, CHENNAI - 600 117.</v>
      </c>
      <c r="F5" s="3"/>
      <c r="G5" s="3"/>
      <c r="H5" s="578"/>
    </row>
    <row r="6" spans="2:10">
      <c r="B6" s="938"/>
      <c r="C6" s="49"/>
      <c r="D6" s="49"/>
      <c r="E6" s="49"/>
      <c r="F6" s="740"/>
      <c r="G6" s="740"/>
      <c r="H6" s="741"/>
    </row>
    <row r="7" spans="2:10" s="273" customFormat="1" ht="15.75" customHeight="1">
      <c r="B7" s="1086" t="s">
        <v>735</v>
      </c>
      <c r="C7" s="1087"/>
      <c r="D7" s="1087"/>
      <c r="E7" s="1087"/>
      <c r="F7" s="1087"/>
      <c r="G7" s="1087"/>
      <c r="H7" s="1088"/>
      <c r="I7" s="742">
        <v>44651</v>
      </c>
      <c r="J7" s="743"/>
    </row>
    <row r="8" spans="2:10" ht="25.5">
      <c r="B8" s="263" t="s">
        <v>648</v>
      </c>
      <c r="C8" s="263" t="s">
        <v>649</v>
      </c>
      <c r="D8" s="147" t="s">
        <v>650</v>
      </c>
      <c r="E8" s="147" t="s">
        <v>651</v>
      </c>
      <c r="F8" s="148" t="s">
        <v>101</v>
      </c>
      <c r="G8" s="264" t="s">
        <v>652</v>
      </c>
      <c r="H8" s="264" t="s">
        <v>653</v>
      </c>
      <c r="I8" s="13" t="s">
        <v>472</v>
      </c>
      <c r="J8" s="265"/>
    </row>
    <row r="9" spans="2:10">
      <c r="B9" s="744"/>
      <c r="C9" s="745"/>
      <c r="D9" s="746"/>
      <c r="E9" s="747"/>
      <c r="F9" s="316"/>
      <c r="G9" s="748"/>
      <c r="H9" s="748"/>
      <c r="I9" s="749"/>
      <c r="J9" s="3"/>
    </row>
    <row r="10" spans="2:10">
      <c r="B10" s="750"/>
      <c r="C10" s="751" t="s">
        <v>1521</v>
      </c>
      <c r="D10" s="746"/>
      <c r="E10" s="747"/>
      <c r="F10" s="149"/>
      <c r="G10" s="752"/>
      <c r="H10" s="752"/>
      <c r="I10" s="749"/>
      <c r="J10" s="3"/>
    </row>
    <row r="11" spans="2:10">
      <c r="B11" s="750"/>
      <c r="C11" s="256" t="s">
        <v>1393</v>
      </c>
      <c r="D11" s="746">
        <v>44501</v>
      </c>
      <c r="E11" s="746">
        <v>44501</v>
      </c>
      <c r="F11" s="332">
        <v>480000</v>
      </c>
      <c r="G11" s="332"/>
      <c r="H11" s="332">
        <f t="shared" ref="H11:H17" si="0">F11</f>
        <v>480000</v>
      </c>
      <c r="I11" s="749">
        <f>+$I$7-E11+1</f>
        <v>151</v>
      </c>
      <c r="J11" s="3"/>
    </row>
    <row r="12" spans="2:10">
      <c r="B12" s="750"/>
      <c r="C12" s="256"/>
      <c r="D12" s="746"/>
      <c r="E12" s="746"/>
      <c r="F12" s="717">
        <f>SUM(F11)</f>
        <v>480000</v>
      </c>
      <c r="G12" s="717">
        <f>SUM(G11)</f>
        <v>0</v>
      </c>
      <c r="H12" s="717">
        <f>SUM(H11)</f>
        <v>480000</v>
      </c>
      <c r="I12" s="749"/>
      <c r="J12" s="3"/>
    </row>
    <row r="13" spans="2:10">
      <c r="B13" s="750"/>
      <c r="C13" s="751" t="s">
        <v>211</v>
      </c>
      <c r="D13" s="746"/>
      <c r="E13" s="746"/>
      <c r="F13" s="332"/>
      <c r="G13" s="332"/>
      <c r="H13" s="332"/>
      <c r="I13" s="749"/>
      <c r="J13" s="3"/>
    </row>
    <row r="14" spans="2:10">
      <c r="B14" s="750"/>
      <c r="C14" s="256" t="s">
        <v>1384</v>
      </c>
      <c r="D14" s="746">
        <v>44525</v>
      </c>
      <c r="E14" s="746">
        <v>44525</v>
      </c>
      <c r="F14" s="332">
        <v>124576.27</v>
      </c>
      <c r="G14" s="332"/>
      <c r="H14" s="332">
        <f t="shared" si="0"/>
        <v>124576.27</v>
      </c>
      <c r="I14" s="749">
        <f>+$I$7-E14+1</f>
        <v>127</v>
      </c>
      <c r="J14" s="3"/>
    </row>
    <row r="15" spans="2:10">
      <c r="B15" s="750"/>
      <c r="C15" s="256" t="s">
        <v>1389</v>
      </c>
      <c r="D15" s="746">
        <v>44585</v>
      </c>
      <c r="E15" s="746">
        <v>44585</v>
      </c>
      <c r="F15" s="332">
        <v>17796.61</v>
      </c>
      <c r="G15" s="332">
        <v>0</v>
      </c>
      <c r="H15" s="332">
        <f t="shared" si="0"/>
        <v>17796.61</v>
      </c>
      <c r="I15" s="749">
        <f>+$I$7-E15+1</f>
        <v>67</v>
      </c>
      <c r="J15" s="3"/>
    </row>
    <row r="16" spans="2:10">
      <c r="B16" s="750"/>
      <c r="C16" s="256" t="s">
        <v>496</v>
      </c>
      <c r="D16" s="746">
        <v>44622</v>
      </c>
      <c r="E16" s="746">
        <v>44622</v>
      </c>
      <c r="F16" s="332">
        <v>88983.05</v>
      </c>
      <c r="G16" s="332">
        <v>0</v>
      </c>
      <c r="H16" s="332">
        <f t="shared" si="0"/>
        <v>88983.05</v>
      </c>
      <c r="I16" s="749">
        <f>+$I$7-E16+1</f>
        <v>30</v>
      </c>
      <c r="J16" s="3"/>
    </row>
    <row r="17" spans="2:12">
      <c r="B17" s="750"/>
      <c r="C17" s="256" t="s">
        <v>496</v>
      </c>
      <c r="D17" s="746">
        <v>44628</v>
      </c>
      <c r="E17" s="746">
        <v>44628</v>
      </c>
      <c r="F17" s="332">
        <v>41483</v>
      </c>
      <c r="G17" s="332">
        <v>0</v>
      </c>
      <c r="H17" s="332">
        <f t="shared" si="0"/>
        <v>41483</v>
      </c>
      <c r="I17" s="749">
        <f>+$I$7-E17+1</f>
        <v>24</v>
      </c>
      <c r="J17" s="3"/>
    </row>
    <row r="18" spans="2:12">
      <c r="B18" s="750"/>
      <c r="C18" s="256"/>
      <c r="D18" s="746"/>
      <c r="E18" s="747"/>
      <c r="F18" s="717">
        <f>SUM(F14:F17)</f>
        <v>272838.93</v>
      </c>
      <c r="G18" s="717">
        <f>SUM(G14:G17)</f>
        <v>0</v>
      </c>
      <c r="H18" s="717">
        <f>SUM(H14:H17)</f>
        <v>272838.93</v>
      </c>
      <c r="J18" s="3"/>
    </row>
    <row r="19" spans="2:12">
      <c r="B19" s="750"/>
      <c r="C19" s="753" t="s">
        <v>813</v>
      </c>
      <c r="D19" s="746"/>
      <c r="E19" s="747"/>
      <c r="F19" s="332"/>
      <c r="G19" s="332"/>
      <c r="H19" s="717"/>
      <c r="J19" s="3"/>
    </row>
    <row r="20" spans="2:12">
      <c r="B20" s="750"/>
      <c r="C20" s="13" t="s">
        <v>1383</v>
      </c>
      <c r="D20" s="746">
        <v>44469</v>
      </c>
      <c r="E20" s="746">
        <v>44469</v>
      </c>
      <c r="F20" s="332">
        <v>528000</v>
      </c>
      <c r="G20" s="332">
        <f>F20</f>
        <v>528000</v>
      </c>
      <c r="H20" s="717"/>
      <c r="J20" s="3"/>
    </row>
    <row r="21" spans="2:12">
      <c r="B21" s="750"/>
      <c r="C21" s="13" t="s">
        <v>1383</v>
      </c>
      <c r="D21" s="746">
        <v>44573</v>
      </c>
      <c r="E21" s="746">
        <v>44573</v>
      </c>
      <c r="F21" s="332">
        <v>64500</v>
      </c>
      <c r="G21" s="332">
        <v>0</v>
      </c>
      <c r="H21" s="332">
        <f t="shared" ref="H21:H27" si="1">F21</f>
        <v>64500</v>
      </c>
      <c r="I21" s="749">
        <f>+$I$7-E21+1</f>
        <v>79</v>
      </c>
      <c r="J21" s="3"/>
    </row>
    <row r="22" spans="2:12">
      <c r="B22" s="750"/>
      <c r="C22" s="256" t="s">
        <v>1391</v>
      </c>
      <c r="D22" s="746">
        <v>44608</v>
      </c>
      <c r="E22" s="746">
        <v>44608</v>
      </c>
      <c r="F22" s="332">
        <v>900000</v>
      </c>
      <c r="G22" s="332">
        <v>0</v>
      </c>
      <c r="H22" s="332">
        <f t="shared" si="1"/>
        <v>900000</v>
      </c>
      <c r="I22" s="749">
        <f>+$I$7-E22+1</f>
        <v>44</v>
      </c>
      <c r="J22" s="3"/>
    </row>
    <row r="23" spans="2:12">
      <c r="B23" s="750"/>
      <c r="C23" s="256" t="s">
        <v>1436</v>
      </c>
      <c r="D23" s="746">
        <v>44635</v>
      </c>
      <c r="E23" s="746">
        <v>44635</v>
      </c>
      <c r="F23" s="332">
        <v>1700000</v>
      </c>
      <c r="G23" s="332"/>
      <c r="H23" s="332">
        <f t="shared" si="1"/>
        <v>1700000</v>
      </c>
      <c r="I23" s="749"/>
      <c r="J23" s="3"/>
    </row>
    <row r="24" spans="2:12">
      <c r="B24" s="750"/>
      <c r="C24" s="256" t="s">
        <v>1437</v>
      </c>
      <c r="D24" s="746">
        <v>44635</v>
      </c>
      <c r="E24" s="746">
        <v>44635</v>
      </c>
      <c r="F24" s="332">
        <v>900000</v>
      </c>
      <c r="G24" s="332"/>
      <c r="H24" s="332">
        <f t="shared" si="1"/>
        <v>900000</v>
      </c>
      <c r="I24" s="749"/>
      <c r="J24" s="3"/>
      <c r="L24" s="13" t="s">
        <v>1440</v>
      </c>
    </row>
    <row r="25" spans="2:12">
      <c r="B25" s="750"/>
      <c r="C25" s="256" t="s">
        <v>1438</v>
      </c>
      <c r="D25" s="746">
        <v>44646</v>
      </c>
      <c r="E25" s="746">
        <v>44646</v>
      </c>
      <c r="F25" s="332">
        <v>2600000</v>
      </c>
      <c r="G25" s="332"/>
      <c r="H25" s="332">
        <f t="shared" si="1"/>
        <v>2600000</v>
      </c>
      <c r="I25" s="749"/>
      <c r="J25" s="3"/>
    </row>
    <row r="26" spans="2:12">
      <c r="B26" s="750"/>
      <c r="C26" s="256" t="s">
        <v>1438</v>
      </c>
      <c r="D26" s="746">
        <v>44651</v>
      </c>
      <c r="E26" s="746">
        <v>44651</v>
      </c>
      <c r="F26" s="332">
        <v>125000</v>
      </c>
      <c r="G26" s="332"/>
      <c r="H26" s="332">
        <f t="shared" si="1"/>
        <v>125000</v>
      </c>
      <c r="I26" s="749"/>
      <c r="J26" s="3"/>
    </row>
    <row r="27" spans="2:12">
      <c r="B27" s="750"/>
      <c r="C27" s="256" t="s">
        <v>1439</v>
      </c>
      <c r="D27" s="746">
        <v>44651</v>
      </c>
      <c r="E27" s="746">
        <v>44651</v>
      </c>
      <c r="F27" s="332">
        <v>485000</v>
      </c>
      <c r="G27" s="332"/>
      <c r="H27" s="332">
        <f t="shared" si="1"/>
        <v>485000</v>
      </c>
      <c r="I27" s="749"/>
      <c r="J27" s="3"/>
    </row>
    <row r="28" spans="2:12">
      <c r="B28" s="750"/>
      <c r="C28" s="256"/>
      <c r="D28" s="746"/>
      <c r="E28" s="746"/>
      <c r="F28" s="717">
        <f>SUM(F20:F27)</f>
        <v>7302500</v>
      </c>
      <c r="G28" s="717">
        <f>SUM(G20:G27)</f>
        <v>528000</v>
      </c>
      <c r="H28" s="717">
        <f>SUM(H20:H27)</f>
        <v>6774500</v>
      </c>
      <c r="J28" s="3"/>
    </row>
    <row r="29" spans="2:12">
      <c r="B29" s="750"/>
      <c r="C29" s="753" t="s">
        <v>655</v>
      </c>
      <c r="D29" s="746"/>
      <c r="E29" s="746"/>
      <c r="F29" s="332"/>
      <c r="G29" s="332"/>
      <c r="H29" s="717"/>
      <c r="J29" s="3"/>
    </row>
    <row r="30" spans="2:12">
      <c r="B30" s="750"/>
      <c r="C30" s="13" t="s">
        <v>1388</v>
      </c>
      <c r="D30" s="746">
        <v>44585</v>
      </c>
      <c r="E30" s="746">
        <v>44585</v>
      </c>
      <c r="F30" s="332">
        <v>41450</v>
      </c>
      <c r="G30" s="149">
        <v>0</v>
      </c>
      <c r="H30" s="332">
        <f>F30</f>
        <v>41450</v>
      </c>
      <c r="I30" s="749">
        <f>+$I$7-E30+1</f>
        <v>67</v>
      </c>
      <c r="J30" s="3"/>
    </row>
    <row r="31" spans="2:12">
      <c r="B31" s="750"/>
      <c r="C31" s="256"/>
      <c r="D31" s="746"/>
      <c r="E31" s="746"/>
      <c r="F31" s="332"/>
      <c r="G31" s="149"/>
      <c r="H31" s="717"/>
      <c r="J31" s="3"/>
    </row>
    <row r="32" spans="2:12">
      <c r="B32" s="750"/>
      <c r="C32" s="753" t="s">
        <v>173</v>
      </c>
      <c r="D32" s="746"/>
      <c r="E32" s="746"/>
      <c r="F32" s="332"/>
      <c r="G32" s="149"/>
      <c r="H32" s="717"/>
      <c r="J32" s="3"/>
    </row>
    <row r="33" spans="2:10">
      <c r="B33" s="750"/>
      <c r="C33" s="13" t="s">
        <v>1382</v>
      </c>
      <c r="D33" s="746">
        <v>44468</v>
      </c>
      <c r="E33" s="746">
        <v>44468</v>
      </c>
      <c r="F33" s="332">
        <v>74067.8</v>
      </c>
      <c r="G33" s="149">
        <f>IF(I33&gt;180,F33,0)</f>
        <v>74067.8</v>
      </c>
      <c r="H33" s="149">
        <f>IF(I33&gt;180,0,F33)</f>
        <v>0</v>
      </c>
      <c r="I33" s="749">
        <f>+$I$7-E33+1</f>
        <v>184</v>
      </c>
      <c r="J33" s="3"/>
    </row>
    <row r="34" spans="2:10">
      <c r="B34" s="750"/>
      <c r="C34" s="256" t="s">
        <v>1390</v>
      </c>
      <c r="D34" s="746">
        <v>44592</v>
      </c>
      <c r="E34" s="746">
        <v>44592</v>
      </c>
      <c r="F34" s="332">
        <v>8515.6299999999992</v>
      </c>
      <c r="G34" s="149">
        <v>0</v>
      </c>
      <c r="H34" s="149">
        <f>F34</f>
        <v>8515.6299999999992</v>
      </c>
      <c r="I34" s="749">
        <f>+$I$7-E34+1</f>
        <v>60</v>
      </c>
      <c r="J34" s="3"/>
    </row>
    <row r="35" spans="2:10">
      <c r="B35" s="750"/>
      <c r="C35" s="256"/>
      <c r="D35" s="746"/>
      <c r="E35" s="746"/>
      <c r="F35" s="717">
        <f>SUM(F33:F34)</f>
        <v>82583.430000000008</v>
      </c>
      <c r="G35" s="717">
        <f>SUM(G33:G34)</f>
        <v>74067.8</v>
      </c>
      <c r="H35" s="717">
        <f>SUM(H33:H34)</f>
        <v>8515.6299999999992</v>
      </c>
      <c r="J35" s="3"/>
    </row>
    <row r="36" spans="2:10">
      <c r="B36" s="750"/>
      <c r="C36" s="753" t="s">
        <v>1381</v>
      </c>
      <c r="D36" s="746"/>
      <c r="E36" s="746"/>
      <c r="F36" s="717"/>
      <c r="G36" s="717"/>
      <c r="H36" s="717"/>
      <c r="J36" s="3"/>
    </row>
    <row r="37" spans="2:10">
      <c r="B37" s="750"/>
      <c r="C37" s="13" t="s">
        <v>1385</v>
      </c>
      <c r="D37" s="746">
        <v>44537</v>
      </c>
      <c r="E37" s="746">
        <v>44537</v>
      </c>
      <c r="F37" s="332">
        <v>625000</v>
      </c>
      <c r="G37" s="149">
        <f>IF(I37&gt;180,F37,0)</f>
        <v>0</v>
      </c>
      <c r="H37" s="149">
        <f>IF(I37&gt;180,0,F37)</f>
        <v>625000</v>
      </c>
      <c r="I37" s="749">
        <f>+$I$7-E37+1</f>
        <v>115</v>
      </c>
      <c r="J37" s="3"/>
    </row>
    <row r="38" spans="2:10">
      <c r="B38" s="750"/>
      <c r="C38" s="256" t="s">
        <v>1386</v>
      </c>
      <c r="D38" s="746">
        <v>44537</v>
      </c>
      <c r="E38" s="746">
        <v>44537</v>
      </c>
      <c r="F38" s="332">
        <v>725000</v>
      </c>
      <c r="G38" s="149">
        <f>IF(I38&gt;180,F38,0)</f>
        <v>0</v>
      </c>
      <c r="H38" s="149">
        <f>IF(I38&gt;180,0,F38)</f>
        <v>725000</v>
      </c>
      <c r="I38" s="749">
        <f>+$I$7-E38+1</f>
        <v>115</v>
      </c>
      <c r="J38" s="3"/>
    </row>
    <row r="39" spans="2:10">
      <c r="B39" s="750"/>
      <c r="C39" s="256" t="s">
        <v>1387</v>
      </c>
      <c r="D39" s="746">
        <v>44562</v>
      </c>
      <c r="E39" s="746">
        <v>44562</v>
      </c>
      <c r="F39" s="332">
        <v>785210</v>
      </c>
      <c r="G39" s="149">
        <f>IF(I39&gt;180,F39,0)</f>
        <v>0</v>
      </c>
      <c r="H39" s="149">
        <f>IF(I39&gt;180,0,F39)</f>
        <v>785210</v>
      </c>
      <c r="I39" s="749">
        <f>+$I$7-E39+1</f>
        <v>90</v>
      </c>
      <c r="J39" s="3"/>
    </row>
    <row r="40" spans="2:10">
      <c r="B40" s="750"/>
      <c r="C40" s="256"/>
      <c r="D40" s="746"/>
      <c r="E40" s="746"/>
      <c r="F40" s="717">
        <f>SUM(F37:F39)</f>
        <v>2135210</v>
      </c>
      <c r="G40" s="717">
        <f>SUM(G37:G39)</f>
        <v>0</v>
      </c>
      <c r="H40" s="717">
        <f>SUM(H37:H39)</f>
        <v>2135210</v>
      </c>
      <c r="I40" s="749"/>
      <c r="J40" s="3"/>
    </row>
    <row r="41" spans="2:10">
      <c r="B41" s="754"/>
      <c r="C41" s="38"/>
      <c r="D41" s="38"/>
      <c r="E41" s="38"/>
      <c r="F41" s="755"/>
      <c r="G41" s="755"/>
      <c r="H41" s="755"/>
      <c r="J41" s="3"/>
    </row>
    <row r="42" spans="2:10">
      <c r="F42" s="739"/>
      <c r="G42" s="739"/>
      <c r="H42" s="739"/>
      <c r="J42" s="3"/>
    </row>
    <row r="43" spans="2:10">
      <c r="E43" s="738" t="s">
        <v>974</v>
      </c>
      <c r="F43" s="739">
        <f>F40+F35+F30+F28+F18+F12</f>
        <v>10314582.359999999</v>
      </c>
      <c r="G43" s="739">
        <f>G40+G35+G30+G28+G18+G12</f>
        <v>602067.80000000005</v>
      </c>
      <c r="H43" s="739">
        <f>H40+H35+H30+H28+H18+H12</f>
        <v>9712514.5599999987</v>
      </c>
      <c r="J43" s="3"/>
    </row>
    <row r="44" spans="2:10">
      <c r="J44" s="3"/>
    </row>
    <row r="45" spans="2:10">
      <c r="C45" s="629" t="s">
        <v>1242</v>
      </c>
      <c r="D45" s="757"/>
      <c r="E45" s="757"/>
      <c r="F45" s="731">
        <v>1500000</v>
      </c>
      <c r="G45" s="731">
        <f>F45</f>
        <v>1500000</v>
      </c>
      <c r="H45" s="758"/>
      <c r="I45" s="759">
        <v>44355</v>
      </c>
      <c r="J45" s="3"/>
    </row>
    <row r="46" spans="2:10">
      <c r="J46" s="3"/>
    </row>
    <row r="47" spans="2:10">
      <c r="J47" s="3"/>
    </row>
    <row r="48" spans="2:10">
      <c r="J48" s="3"/>
    </row>
    <row r="49" spans="10:10">
      <c r="J49" s="3"/>
    </row>
    <row r="50" spans="10:10">
      <c r="J50" s="3"/>
    </row>
    <row r="51" spans="10:10">
      <c r="J51" s="3"/>
    </row>
    <row r="52" spans="10:10">
      <c r="J52" s="3"/>
    </row>
    <row r="53" spans="10:10">
      <c r="J53" s="3"/>
    </row>
    <row r="54" spans="10:10">
      <c r="J54" s="3"/>
    </row>
    <row r="55" spans="10:10">
      <c r="J55" s="3"/>
    </row>
    <row r="56" spans="10:10">
      <c r="J56" s="3"/>
    </row>
    <row r="57" spans="10:10">
      <c r="J57" s="3"/>
    </row>
    <row r="58" spans="10:10">
      <c r="J58" s="3"/>
    </row>
    <row r="59" spans="10:10">
      <c r="J59" s="3"/>
    </row>
    <row r="60" spans="10:10">
      <c r="J60" s="3"/>
    </row>
    <row r="61" spans="10:10">
      <c r="J61" s="3"/>
    </row>
    <row r="62" spans="10:10">
      <c r="J62" s="3"/>
    </row>
    <row r="63" spans="10:10">
      <c r="J63" s="3"/>
    </row>
    <row r="64" spans="10:10">
      <c r="J64" s="3"/>
    </row>
    <row r="65" spans="10:10">
      <c r="J65" s="3"/>
    </row>
    <row r="66" spans="10:10">
      <c r="J66" s="3"/>
    </row>
    <row r="67" spans="10:10">
      <c r="J67" s="3"/>
    </row>
    <row r="68" spans="10:10">
      <c r="J68" s="3"/>
    </row>
    <row r="69" spans="10:10">
      <c r="J69" s="3"/>
    </row>
    <row r="70" spans="10:10">
      <c r="J70" s="3"/>
    </row>
    <row r="71" spans="10:10">
      <c r="J71" s="3"/>
    </row>
    <row r="72" spans="10:10">
      <c r="J72" s="3"/>
    </row>
    <row r="73" spans="10:10">
      <c r="J73" s="3"/>
    </row>
    <row r="74" spans="10:10">
      <c r="J74" s="3"/>
    </row>
    <row r="75" spans="10:10">
      <c r="J75" s="3"/>
    </row>
    <row r="76" spans="10:10">
      <c r="J76" s="3"/>
    </row>
    <row r="77" spans="10:10">
      <c r="J77" s="3"/>
    </row>
    <row r="78" spans="10:10">
      <c r="J78" s="3"/>
    </row>
    <row r="79" spans="10:10">
      <c r="J79" s="3"/>
    </row>
    <row r="80" spans="10:10">
      <c r="J80" s="3"/>
    </row>
    <row r="81" spans="10:10">
      <c r="J81" s="3"/>
    </row>
    <row r="82" spans="10:10">
      <c r="J82" s="3"/>
    </row>
    <row r="83" spans="10:10">
      <c r="J83" s="3"/>
    </row>
    <row r="84" spans="10:10">
      <c r="J84" s="3"/>
    </row>
    <row r="85" spans="10:10">
      <c r="J85" s="3"/>
    </row>
    <row r="86" spans="10:10">
      <c r="J86" s="3"/>
    </row>
    <row r="87" spans="10:10">
      <c r="J87" s="3"/>
    </row>
    <row r="88" spans="10:10">
      <c r="J88" s="3"/>
    </row>
    <row r="89" spans="10:10">
      <c r="J89" s="3"/>
    </row>
    <row r="90" spans="10:10">
      <c r="J90" s="3"/>
    </row>
    <row r="91" spans="10:10">
      <c r="J91" s="3"/>
    </row>
    <row r="92" spans="10:10">
      <c r="J92" s="3"/>
    </row>
    <row r="93" spans="10:10">
      <c r="J93" s="3"/>
    </row>
    <row r="94" spans="10:10">
      <c r="J94" s="3"/>
    </row>
    <row r="95" spans="10:10">
      <c r="J95" s="3"/>
    </row>
    <row r="96" spans="10:10">
      <c r="J96" s="3"/>
    </row>
    <row r="97" spans="10:10">
      <c r="J97" s="3"/>
    </row>
    <row r="98" spans="10:10">
      <c r="J98" s="3"/>
    </row>
    <row r="99" spans="10:10">
      <c r="J99" s="3"/>
    </row>
    <row r="100" spans="10:10">
      <c r="J100" s="3"/>
    </row>
    <row r="101" spans="10:10">
      <c r="J101" s="3"/>
    </row>
    <row r="102" spans="10:10">
      <c r="J102" s="3"/>
    </row>
    <row r="103" spans="10:10">
      <c r="J103" s="3"/>
    </row>
    <row r="104" spans="10:10">
      <c r="J104" s="3"/>
    </row>
    <row r="105" spans="10:10">
      <c r="J105" s="3"/>
    </row>
    <row r="106" spans="10:10">
      <c r="J106" s="3"/>
    </row>
    <row r="107" spans="10:10">
      <c r="J107" s="3"/>
    </row>
    <row r="108" spans="10:10">
      <c r="J108" s="3"/>
    </row>
    <row r="109" spans="10:10">
      <c r="J109" s="3"/>
    </row>
    <row r="110" spans="10:10">
      <c r="J110" s="3"/>
    </row>
    <row r="111" spans="10:10">
      <c r="J111" s="3"/>
    </row>
    <row r="112" spans="10:10">
      <c r="J112" s="3"/>
    </row>
    <row r="113" spans="10:10">
      <c r="J113" s="3"/>
    </row>
    <row r="114" spans="10:10">
      <c r="J114" s="3"/>
    </row>
    <row r="115" spans="10:10">
      <c r="J115" s="3"/>
    </row>
    <row r="116" spans="10:10">
      <c r="J116" s="3"/>
    </row>
    <row r="117" spans="10:10">
      <c r="J117" s="3"/>
    </row>
    <row r="118" spans="10:10">
      <c r="J118" s="3"/>
    </row>
    <row r="119" spans="10:10">
      <c r="J119" s="3"/>
    </row>
    <row r="120" spans="10:10">
      <c r="J120" s="3"/>
    </row>
    <row r="121" spans="10:10">
      <c r="J121" s="3"/>
    </row>
    <row r="122" spans="10:10">
      <c r="J122" s="3"/>
    </row>
    <row r="123" spans="10:10">
      <c r="J123" s="3"/>
    </row>
    <row r="124" spans="10:10">
      <c r="J124" s="3"/>
    </row>
    <row r="125" spans="10:10">
      <c r="J125" s="3"/>
    </row>
    <row r="126" spans="10:10">
      <c r="J126" s="3"/>
    </row>
    <row r="127" spans="10:10">
      <c r="J127" s="3"/>
    </row>
    <row r="128" spans="10:10">
      <c r="J128" s="3"/>
    </row>
    <row r="129" spans="10:10">
      <c r="J129" s="3"/>
    </row>
    <row r="130" spans="10:10">
      <c r="J130" s="3"/>
    </row>
    <row r="131" spans="10:10">
      <c r="J131" s="3"/>
    </row>
    <row r="132" spans="10:10">
      <c r="J132" s="3"/>
    </row>
    <row r="133" spans="10:10">
      <c r="J133" s="3"/>
    </row>
    <row r="134" spans="10:10">
      <c r="J134" s="3"/>
    </row>
    <row r="135" spans="10:10">
      <c r="J135" s="3"/>
    </row>
    <row r="136" spans="10:10">
      <c r="J136" s="3"/>
    </row>
    <row r="137" spans="10:10">
      <c r="J137" s="3"/>
    </row>
    <row r="138" spans="10:10">
      <c r="J138" s="3"/>
    </row>
    <row r="139" spans="10:10">
      <c r="J139" s="3"/>
    </row>
    <row r="140" spans="10:10">
      <c r="J140" s="3"/>
    </row>
    <row r="141" spans="10:10">
      <c r="J141" s="3"/>
    </row>
    <row r="142" spans="10:10">
      <c r="J142" s="3"/>
    </row>
    <row r="143" spans="10:10">
      <c r="J143" s="3"/>
    </row>
    <row r="144" spans="10:10">
      <c r="J144" s="3"/>
    </row>
    <row r="145" spans="10:10">
      <c r="J145" s="3"/>
    </row>
    <row r="146" spans="10:10">
      <c r="J146" s="3"/>
    </row>
    <row r="147" spans="10:10">
      <c r="J147" s="3"/>
    </row>
    <row r="151" spans="10:10">
      <c r="J151" s="3"/>
    </row>
  </sheetData>
  <autoFilter ref="B8:I36" xr:uid="{00000000-0009-0000-0000-000006000000}"/>
  <mergeCells count="1">
    <mergeCell ref="B7:H7"/>
  </mergeCells>
  <printOptions horizontalCentered="1"/>
  <pageMargins left="0.70866141732283472" right="0.70866141732283472" top="1.3130314960629921" bottom="0.74803149606299213" header="0.31496062992125984" footer="0.31496062992125984"/>
  <pageSetup paperSize="9" scale="7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9"/>
  <sheetViews>
    <sheetView view="pageBreakPreview" topLeftCell="A25" zoomScaleNormal="100" zoomScaleSheetLayoutView="100" workbookViewId="0">
      <selection activeCell="G6" sqref="G6:G44"/>
    </sheetView>
  </sheetViews>
  <sheetFormatPr defaultColWidth="9.140625" defaultRowHeight="12.75"/>
  <cols>
    <col min="1" max="1" width="5.42578125" style="300" customWidth="1"/>
    <col min="2" max="2" width="3.5703125" style="300" customWidth="1"/>
    <col min="3" max="3" width="5.7109375" style="300" customWidth="1"/>
    <col min="4" max="4" width="8.7109375" style="300" customWidth="1"/>
    <col min="5" max="5" width="32.42578125" style="300" customWidth="1"/>
    <col min="6" max="6" width="7" style="339" customWidth="1"/>
    <col min="7" max="7" width="21" style="300" customWidth="1"/>
    <col min="8" max="9" width="20.28515625" style="300" customWidth="1"/>
    <col min="10" max="10" width="15.5703125" style="334" bestFit="1" customWidth="1"/>
    <col min="11" max="11" width="15.28515625" style="300" bestFit="1" customWidth="1"/>
    <col min="12" max="12" width="11.28515625" style="300" bestFit="1" customWidth="1"/>
    <col min="13" max="13" width="14.7109375" style="300" bestFit="1" customWidth="1"/>
    <col min="14" max="14" width="10.28515625" style="300" bestFit="1" customWidth="1"/>
    <col min="15" max="16384" width="9.140625" style="300"/>
  </cols>
  <sheetData>
    <row r="1" spans="1:11">
      <c r="A1" s="1095" t="s">
        <v>946</v>
      </c>
      <c r="B1" s="1095"/>
      <c r="C1" s="1095"/>
      <c r="D1" s="1095"/>
      <c r="E1" s="1095"/>
      <c r="F1" s="1095"/>
      <c r="G1" s="1095"/>
      <c r="H1" s="1095"/>
      <c r="I1" s="971"/>
    </row>
    <row r="2" spans="1:11">
      <c r="A2" s="1095" t="s">
        <v>416</v>
      </c>
      <c r="B2" s="1095"/>
      <c r="C2" s="1095"/>
      <c r="D2" s="1095"/>
      <c r="E2" s="1095"/>
      <c r="F2" s="1095"/>
      <c r="G2" s="1095"/>
      <c r="H2" s="1095"/>
      <c r="I2" s="971"/>
    </row>
    <row r="3" spans="1:11">
      <c r="A3" s="1095" t="s">
        <v>1620</v>
      </c>
      <c r="B3" s="1095"/>
      <c r="C3" s="1095"/>
      <c r="D3" s="1095"/>
      <c r="E3" s="1095"/>
      <c r="F3" s="1095"/>
      <c r="G3" s="1095"/>
      <c r="H3" s="1095"/>
      <c r="I3" s="971"/>
    </row>
    <row r="4" spans="1:11">
      <c r="A4" s="1096" t="s">
        <v>1621</v>
      </c>
      <c r="B4" s="1096"/>
      <c r="C4" s="1096"/>
      <c r="D4" s="1096"/>
      <c r="E4" s="1096"/>
      <c r="F4" s="1096"/>
      <c r="G4" s="1096"/>
      <c r="H4" s="1096"/>
      <c r="I4" s="985"/>
    </row>
    <row r="5" spans="1:11" ht="38.25">
      <c r="A5" s="165"/>
      <c r="B5" s="1090" t="s">
        <v>16</v>
      </c>
      <c r="C5" s="1091"/>
      <c r="D5" s="1091"/>
      <c r="E5" s="1092"/>
      <c r="F5" s="165" t="s">
        <v>17</v>
      </c>
      <c r="G5" s="165" t="s">
        <v>1631</v>
      </c>
      <c r="H5" s="165" t="s">
        <v>1632</v>
      </c>
      <c r="I5" s="986"/>
    </row>
    <row r="6" spans="1:11" ht="15" customHeight="1">
      <c r="A6" s="541" t="s">
        <v>18</v>
      </c>
      <c r="B6" s="542" t="s">
        <v>19</v>
      </c>
      <c r="C6" s="543"/>
      <c r="D6" s="342"/>
      <c r="E6" s="342"/>
      <c r="F6" s="544"/>
      <c r="G6" s="545"/>
      <c r="H6" s="545"/>
    </row>
    <row r="7" spans="1:11" ht="15" customHeight="1">
      <c r="A7" s="225"/>
      <c r="B7" s="346"/>
      <c r="E7" s="345"/>
      <c r="F7" s="343"/>
      <c r="G7" s="344"/>
      <c r="H7" s="344"/>
    </row>
    <row r="8" spans="1:11" ht="15" customHeight="1">
      <c r="A8" s="198">
        <v>1</v>
      </c>
      <c r="B8" s="346" t="s">
        <v>20</v>
      </c>
      <c r="C8" s="546"/>
      <c r="E8" s="345"/>
      <c r="F8" s="343"/>
      <c r="G8" s="344"/>
      <c r="H8" s="344"/>
    </row>
    <row r="9" spans="1:11" ht="15" customHeight="1">
      <c r="A9" s="225"/>
      <c r="B9" s="547" t="s">
        <v>21</v>
      </c>
      <c r="C9" s="300" t="s">
        <v>22</v>
      </c>
      <c r="E9" s="345"/>
      <c r="F9" s="343">
        <v>2</v>
      </c>
      <c r="G9" s="349">
        <f>ROUND('BS Notes'!E18,0)/1000</f>
        <v>28500</v>
      </c>
      <c r="H9" s="333">
        <f>+'BS Notes'!F18/1000</f>
        <v>28500</v>
      </c>
      <c r="I9" s="333">
        <v>28500</v>
      </c>
      <c r="J9" s="334">
        <f>G9-H9</f>
        <v>0</v>
      </c>
      <c r="K9" s="336"/>
    </row>
    <row r="10" spans="1:11" ht="15" customHeight="1">
      <c r="A10" s="225"/>
      <c r="B10" s="547" t="s">
        <v>23</v>
      </c>
      <c r="C10" s="300" t="s">
        <v>24</v>
      </c>
      <c r="E10" s="345"/>
      <c r="F10" s="343">
        <v>3</v>
      </c>
      <c r="G10" s="333">
        <f>'BS Notes'!E56</f>
        <v>63349.629888972719</v>
      </c>
      <c r="H10" s="333">
        <f>'BS Notes'!F56</f>
        <v>55457.514565286903</v>
      </c>
      <c r="I10" s="334">
        <f>53393814.65/1000</f>
        <v>53393.81465</v>
      </c>
      <c r="J10" s="334">
        <f>G10-H10</f>
        <v>7892.1153236858154</v>
      </c>
      <c r="K10" s="336"/>
    </row>
    <row r="11" spans="1:11" ht="15" customHeight="1">
      <c r="A11" s="225"/>
      <c r="B11" s="547"/>
      <c r="E11" s="345"/>
      <c r="F11" s="343"/>
      <c r="G11" s="333"/>
      <c r="H11" s="333"/>
      <c r="I11" s="334"/>
      <c r="K11" s="336"/>
    </row>
    <row r="12" spans="1:11" ht="15" customHeight="1">
      <c r="A12" s="198">
        <v>2</v>
      </c>
      <c r="B12" s="972" t="s">
        <v>368</v>
      </c>
      <c r="E12" s="345"/>
      <c r="F12" s="343"/>
      <c r="G12" s="333">
        <v>0</v>
      </c>
      <c r="H12" s="333">
        <v>0</v>
      </c>
      <c r="I12" s="334"/>
      <c r="K12" s="336"/>
    </row>
    <row r="13" spans="1:11" ht="15" customHeight="1">
      <c r="A13" s="225"/>
      <c r="B13" s="547"/>
      <c r="E13" s="345"/>
      <c r="F13" s="343"/>
      <c r="G13" s="333"/>
      <c r="H13" s="333"/>
      <c r="I13" s="334"/>
      <c r="K13" s="336"/>
    </row>
    <row r="14" spans="1:11" ht="15" customHeight="1">
      <c r="A14" s="198">
        <v>3</v>
      </c>
      <c r="B14" s="346" t="s">
        <v>26</v>
      </c>
      <c r="C14" s="546"/>
      <c r="E14" s="345"/>
      <c r="F14" s="343"/>
      <c r="G14" s="344"/>
      <c r="H14" s="344"/>
      <c r="K14" s="336"/>
    </row>
    <row r="15" spans="1:11" ht="15" customHeight="1">
      <c r="A15" s="225"/>
      <c r="B15" s="547" t="s">
        <v>21</v>
      </c>
      <c r="C15" s="300" t="s">
        <v>27</v>
      </c>
      <c r="E15" s="345"/>
      <c r="F15" s="343">
        <v>4</v>
      </c>
      <c r="G15" s="333">
        <f>'BS Notes'!E70</f>
        <v>136398.97378669362</v>
      </c>
      <c r="H15" s="333">
        <f>'BS Notes'!F70</f>
        <v>163379.73342999999</v>
      </c>
      <c r="I15" s="334">
        <f>147890891.9/1000</f>
        <v>147890.89190000002</v>
      </c>
      <c r="J15" s="334">
        <f>G15-H15</f>
        <v>-26980.759643306374</v>
      </c>
      <c r="K15" s="336"/>
    </row>
    <row r="16" spans="1:11" ht="15" customHeight="1">
      <c r="A16" s="225"/>
      <c r="B16" s="547" t="s">
        <v>23</v>
      </c>
      <c r="C16" s="300" t="s">
        <v>282</v>
      </c>
      <c r="E16" s="345"/>
      <c r="F16" s="343">
        <v>5</v>
      </c>
      <c r="G16" s="333">
        <f>IF('BS Notes'!E86&gt;0,'BS Notes'!E86,0)</f>
        <v>2881.4896490118617</v>
      </c>
      <c r="H16" s="333">
        <f>+'BS Notes'!F86</f>
        <v>4666.3068533394289</v>
      </c>
      <c r="I16" s="334"/>
      <c r="J16" s="334">
        <f>G16-H16</f>
        <v>-1784.8172043275672</v>
      </c>
      <c r="K16" s="336"/>
    </row>
    <row r="17" spans="1:14" ht="15" customHeight="1">
      <c r="A17" s="225"/>
      <c r="B17" s="547" t="s">
        <v>25</v>
      </c>
      <c r="C17" s="300" t="s">
        <v>29</v>
      </c>
      <c r="E17" s="345"/>
      <c r="F17" s="343">
        <v>6</v>
      </c>
      <c r="G17" s="333">
        <f>'BS Notes'!E92</f>
        <v>742.96199999999999</v>
      </c>
      <c r="H17" s="333">
        <f>'BS Notes'!F92</f>
        <v>742.96199999999999</v>
      </c>
      <c r="I17" s="334"/>
      <c r="J17" s="334">
        <f>G17-H17</f>
        <v>0</v>
      </c>
      <c r="K17" s="336"/>
    </row>
    <row r="18" spans="1:14" ht="15" customHeight="1">
      <c r="A18" s="225"/>
      <c r="B18" s="547"/>
      <c r="E18" s="345"/>
      <c r="F18" s="343"/>
      <c r="G18" s="333"/>
      <c r="H18" s="333"/>
      <c r="I18" s="334"/>
      <c r="K18" s="336"/>
      <c r="L18" s="336"/>
    </row>
    <row r="19" spans="1:14" ht="15" customHeight="1">
      <c r="A19" s="198">
        <v>4</v>
      </c>
      <c r="B19" s="346" t="s">
        <v>30</v>
      </c>
      <c r="C19" s="546"/>
      <c r="E19" s="345"/>
      <c r="F19" s="343"/>
      <c r="G19" s="344"/>
      <c r="H19" s="344"/>
      <c r="K19" s="336"/>
    </row>
    <row r="20" spans="1:14" ht="15" customHeight="1">
      <c r="A20" s="225"/>
      <c r="B20" s="547" t="s">
        <v>21</v>
      </c>
      <c r="C20" s="300" t="s">
        <v>31</v>
      </c>
      <c r="E20" s="345"/>
      <c r="F20" s="343">
        <v>7</v>
      </c>
      <c r="G20" s="333">
        <f>+'BS Notes'!E111</f>
        <v>107703.80075330639</v>
      </c>
      <c r="H20" s="333">
        <f>+'BS Notes'!F111</f>
        <v>61896.787000000004</v>
      </c>
      <c r="I20" s="334">
        <f>29555080.5/1000</f>
        <v>29555.0805</v>
      </c>
      <c r="J20" s="334">
        <f>G20-H20</f>
        <v>45807.01375330639</v>
      </c>
      <c r="K20" s="336">
        <f>G15+G20</f>
        <v>244102.77454000001</v>
      </c>
      <c r="L20" s="336">
        <f>H15+H20</f>
        <v>225276.52043</v>
      </c>
      <c r="M20" s="336">
        <f>(I15+I20)</f>
        <v>177445.97240000003</v>
      </c>
      <c r="N20" s="336">
        <f>M20-L20</f>
        <v>-47830.548029999976</v>
      </c>
    </row>
    <row r="21" spans="1:14" ht="15" customHeight="1">
      <c r="A21" s="225"/>
      <c r="B21" s="547" t="s">
        <v>23</v>
      </c>
      <c r="C21" s="300" t="s">
        <v>32</v>
      </c>
      <c r="E21" s="345"/>
      <c r="F21" s="343">
        <v>8</v>
      </c>
      <c r="G21" s="344"/>
      <c r="H21" s="344"/>
      <c r="K21" s="336"/>
    </row>
    <row r="22" spans="1:14" ht="30" customHeight="1">
      <c r="A22" s="225"/>
      <c r="B22" s="547"/>
      <c r="C22" s="1093" t="s">
        <v>1487</v>
      </c>
      <c r="D22" s="1093"/>
      <c r="E22" s="1094"/>
      <c r="F22" s="343"/>
      <c r="G22" s="333"/>
      <c r="H22" s="333"/>
      <c r="I22" s="334"/>
      <c r="K22" s="336"/>
    </row>
    <row r="23" spans="1:14" ht="30" customHeight="1">
      <c r="A23" s="225"/>
      <c r="B23" s="547"/>
      <c r="C23" s="1093" t="s">
        <v>1485</v>
      </c>
      <c r="D23" s="1093"/>
      <c r="E23" s="1094"/>
      <c r="F23" s="343"/>
      <c r="G23" s="333">
        <f>'BS Notes'!E123</f>
        <v>81756.06756000001</v>
      </c>
      <c r="H23" s="333">
        <f>'BS Notes'!F123</f>
        <v>67254.732940000002</v>
      </c>
      <c r="I23" s="334"/>
      <c r="J23" s="334">
        <f>G23-H23</f>
        <v>14501.334620000009</v>
      </c>
      <c r="K23" s="336"/>
    </row>
    <row r="24" spans="1:14" ht="15" customHeight="1">
      <c r="A24" s="225"/>
      <c r="B24" s="547" t="s">
        <v>25</v>
      </c>
      <c r="C24" s="300" t="s">
        <v>33</v>
      </c>
      <c r="E24" s="345"/>
      <c r="F24" s="343">
        <v>9</v>
      </c>
      <c r="G24" s="349">
        <f>'BS Notes'!E158</f>
        <v>10398.220009999997</v>
      </c>
      <c r="H24" s="349">
        <f>'BS Notes'!F158</f>
        <v>7183.0632399999995</v>
      </c>
      <c r="I24" s="350"/>
      <c r="J24" s="334">
        <f>G24-H24</f>
        <v>3215.1567699999978</v>
      </c>
      <c r="K24" s="336"/>
    </row>
    <row r="25" spans="1:14" ht="15" customHeight="1">
      <c r="A25" s="225"/>
      <c r="B25" s="547" t="s">
        <v>28</v>
      </c>
      <c r="C25" s="300" t="s">
        <v>34</v>
      </c>
      <c r="E25" s="345"/>
      <c r="F25" s="343">
        <v>10</v>
      </c>
      <c r="G25" s="591">
        <f>'BS Notes'!E179</f>
        <v>5110.1100000000006</v>
      </c>
      <c r="H25" s="591">
        <f>3220770/1000</f>
        <v>3220.77</v>
      </c>
      <c r="I25" s="334"/>
      <c r="J25" s="334">
        <f>G25-H25</f>
        <v>1889.3400000000006</v>
      </c>
      <c r="K25" s="336"/>
    </row>
    <row r="26" spans="1:14" ht="15" customHeight="1" thickBot="1">
      <c r="A26" s="225"/>
      <c r="B26" s="335"/>
      <c r="D26" s="548" t="s">
        <v>35</v>
      </c>
      <c r="E26" s="549"/>
      <c r="F26" s="343"/>
      <c r="G26" s="348">
        <f>SUM(G8:G25)</f>
        <v>436841.25364798453</v>
      </c>
      <c r="H26" s="348">
        <f>SUM(H8:H25)</f>
        <v>392301.87002862635</v>
      </c>
      <c r="I26" s="987"/>
      <c r="K26" s="336"/>
    </row>
    <row r="27" spans="1:14" ht="15" customHeight="1" thickTop="1">
      <c r="A27" s="225" t="s">
        <v>36</v>
      </c>
      <c r="B27" s="346" t="s">
        <v>37</v>
      </c>
      <c r="C27" s="339"/>
      <c r="E27" s="345"/>
      <c r="F27" s="343"/>
      <c r="G27" s="344"/>
      <c r="H27" s="345"/>
      <c r="K27" s="336"/>
    </row>
    <row r="28" spans="1:14" ht="15" customHeight="1">
      <c r="A28" s="225"/>
      <c r="B28" s="346" t="s">
        <v>38</v>
      </c>
      <c r="E28" s="345"/>
      <c r="F28" s="343"/>
      <c r="G28" s="344"/>
      <c r="H28" s="345"/>
      <c r="K28" s="336"/>
    </row>
    <row r="29" spans="1:14" ht="15" customHeight="1">
      <c r="A29" s="198">
        <v>1</v>
      </c>
      <c r="B29" s="335" t="s">
        <v>21</v>
      </c>
      <c r="C29" s="300" t="s">
        <v>1489</v>
      </c>
      <c r="E29" s="345"/>
      <c r="F29" s="343">
        <v>11</v>
      </c>
      <c r="G29" s="344"/>
      <c r="H29" s="345"/>
      <c r="K29" s="336"/>
    </row>
    <row r="30" spans="1:14" ht="15" customHeight="1">
      <c r="A30" s="225"/>
      <c r="B30" s="335"/>
      <c r="C30" s="300" t="s">
        <v>39</v>
      </c>
      <c r="D30" s="300" t="s">
        <v>1488</v>
      </c>
      <c r="E30" s="345"/>
      <c r="F30" s="343"/>
      <c r="G30" s="333">
        <f>'Dep - co'!M26-G31</f>
        <v>200524.58311041768</v>
      </c>
      <c r="H30" s="337">
        <f>+'Dep - co'!L26</f>
        <v>224286.18119024346</v>
      </c>
      <c r="I30" s="334"/>
      <c r="J30" s="334">
        <f>G30-H30</f>
        <v>-23761.598079825781</v>
      </c>
      <c r="K30" s="336"/>
    </row>
    <row r="31" spans="1:14" ht="15" customHeight="1">
      <c r="A31" s="225"/>
      <c r="B31" s="335"/>
      <c r="C31" s="300" t="s">
        <v>40</v>
      </c>
      <c r="D31" s="300" t="s">
        <v>41</v>
      </c>
      <c r="E31" s="345"/>
      <c r="F31" s="343"/>
      <c r="G31" s="351">
        <f>'Dep - co'!M24</f>
        <v>354.58043918396038</v>
      </c>
      <c r="H31" s="351">
        <v>0</v>
      </c>
      <c r="I31" s="350"/>
      <c r="J31" s="334">
        <f>G31-H31</f>
        <v>354.58043918396038</v>
      </c>
      <c r="K31" s="336"/>
    </row>
    <row r="32" spans="1:14" ht="15" hidden="1" customHeight="1">
      <c r="A32" s="225"/>
      <c r="B32" s="335"/>
      <c r="C32" s="300" t="s">
        <v>42</v>
      </c>
      <c r="D32" s="300" t="s">
        <v>43</v>
      </c>
      <c r="E32" s="345"/>
      <c r="F32" s="343"/>
      <c r="G32" s="351">
        <f>+'Dep - co'!G36</f>
        <v>0</v>
      </c>
      <c r="H32" s="351">
        <f>+'Dep - co'!L36</f>
        <v>0</v>
      </c>
      <c r="I32" s="350"/>
      <c r="K32" s="336"/>
    </row>
    <row r="33" spans="1:11" ht="15" hidden="1" customHeight="1">
      <c r="A33" s="225"/>
      <c r="B33" s="335"/>
      <c r="C33" s="300" t="s">
        <v>44</v>
      </c>
      <c r="D33" s="300" t="s">
        <v>45</v>
      </c>
      <c r="E33" s="345"/>
      <c r="F33" s="343"/>
      <c r="G33" s="351">
        <v>0</v>
      </c>
      <c r="H33" s="351">
        <v>0</v>
      </c>
      <c r="I33" s="350"/>
      <c r="K33" s="336"/>
    </row>
    <row r="34" spans="1:11" ht="15" customHeight="1">
      <c r="A34" s="225"/>
      <c r="B34" s="335" t="s">
        <v>23</v>
      </c>
      <c r="C34" s="300" t="s">
        <v>46</v>
      </c>
      <c r="E34" s="345"/>
      <c r="F34" s="343"/>
      <c r="G34" s="349">
        <v>0</v>
      </c>
      <c r="H34" s="349">
        <v>0</v>
      </c>
      <c r="I34" s="350"/>
      <c r="K34" s="336"/>
    </row>
    <row r="35" spans="1:11" ht="15" customHeight="1">
      <c r="A35" s="225"/>
      <c r="B35" s="335" t="s">
        <v>25</v>
      </c>
      <c r="C35" s="300" t="s">
        <v>1005</v>
      </c>
      <c r="E35" s="345"/>
      <c r="F35" s="343"/>
      <c r="G35" s="333">
        <v>0</v>
      </c>
      <c r="H35" s="333">
        <v>0</v>
      </c>
      <c r="I35" s="334"/>
      <c r="K35" s="336"/>
    </row>
    <row r="36" spans="1:11" ht="15" customHeight="1">
      <c r="A36" s="225"/>
      <c r="B36" s="335" t="s">
        <v>28</v>
      </c>
      <c r="C36" s="300" t="s">
        <v>1491</v>
      </c>
      <c r="E36" s="345"/>
      <c r="F36" s="343">
        <v>12</v>
      </c>
      <c r="G36" s="333">
        <f>'BS Notes'!E189</f>
        <v>10483.879000000001</v>
      </c>
      <c r="H36" s="333">
        <f>'BS Notes'!F189</f>
        <v>1969.0630000000001</v>
      </c>
      <c r="I36" s="334"/>
      <c r="J36" s="334">
        <f t="shared" ref="J36:J42" si="0">G36-H36</f>
        <v>8514.8160000000007</v>
      </c>
      <c r="K36" s="336"/>
    </row>
    <row r="37" spans="1:11" ht="15" customHeight="1">
      <c r="A37" s="225"/>
      <c r="B37" s="335"/>
      <c r="E37" s="345"/>
      <c r="F37" s="343"/>
      <c r="G37" s="337"/>
      <c r="H37" s="337"/>
      <c r="I37" s="334"/>
      <c r="K37" s="336"/>
    </row>
    <row r="38" spans="1:11" ht="15" customHeight="1">
      <c r="A38" s="198">
        <v>2</v>
      </c>
      <c r="B38" s="346" t="s">
        <v>47</v>
      </c>
      <c r="C38" s="546"/>
      <c r="E38" s="345"/>
      <c r="F38" s="343"/>
      <c r="G38" s="345"/>
      <c r="H38" s="345"/>
      <c r="K38" s="336"/>
    </row>
    <row r="39" spans="1:11" ht="15" customHeight="1">
      <c r="A39" s="225"/>
      <c r="B39" s="335" t="s">
        <v>21</v>
      </c>
      <c r="C39" s="300" t="s">
        <v>48</v>
      </c>
      <c r="E39" s="345"/>
      <c r="F39" s="343">
        <v>13</v>
      </c>
      <c r="G39" s="337">
        <f>'BS Notes'!E199</f>
        <v>94501.381000000008</v>
      </c>
      <c r="H39" s="337">
        <f>'BS Notes'!F199</f>
        <v>56896.006999999998</v>
      </c>
      <c r="I39" s="334"/>
      <c r="J39" s="334">
        <f t="shared" si="0"/>
        <v>37605.374000000011</v>
      </c>
      <c r="K39" s="336"/>
    </row>
    <row r="40" spans="1:11" ht="15" customHeight="1">
      <c r="A40" s="225"/>
      <c r="B40" s="335" t="s">
        <v>23</v>
      </c>
      <c r="C40" s="300" t="s">
        <v>49</v>
      </c>
      <c r="E40" s="345"/>
      <c r="F40" s="343">
        <v>14</v>
      </c>
      <c r="G40" s="333">
        <f>+'BS Notes'!E207</f>
        <v>94696.741389999966</v>
      </c>
      <c r="H40" s="333">
        <f>+'BS Notes'!F207</f>
        <v>69214.86262</v>
      </c>
      <c r="I40" s="334"/>
      <c r="J40" s="334">
        <f t="shared" si="0"/>
        <v>25481.878769999967</v>
      </c>
      <c r="K40" s="336"/>
    </row>
    <row r="41" spans="1:11" ht="15" customHeight="1">
      <c r="A41" s="225"/>
      <c r="B41" s="335" t="s">
        <v>25</v>
      </c>
      <c r="C41" s="300" t="s">
        <v>50</v>
      </c>
      <c r="E41" s="345"/>
      <c r="F41" s="343">
        <v>15</v>
      </c>
      <c r="G41" s="333">
        <f>'BS Notes'!E238</f>
        <v>8673.6363500000007</v>
      </c>
      <c r="H41" s="333">
        <f>'BS Notes'!F238</f>
        <v>2204.3001599999998</v>
      </c>
      <c r="I41" s="334"/>
      <c r="J41" s="334">
        <f t="shared" si="0"/>
        <v>6469.3361900000009</v>
      </c>
      <c r="K41" s="336"/>
    </row>
    <row r="42" spans="1:11" ht="15" customHeight="1">
      <c r="A42" s="225"/>
      <c r="B42" s="335" t="s">
        <v>28</v>
      </c>
      <c r="C42" s="300" t="s">
        <v>1530</v>
      </c>
      <c r="E42" s="345"/>
      <c r="F42" s="343">
        <v>16</v>
      </c>
      <c r="G42" s="333">
        <f>'BS Notes'!E260</f>
        <v>27606.452360000003</v>
      </c>
      <c r="H42" s="333">
        <f>'BS Notes'!F260</f>
        <v>37731.456059999997</v>
      </c>
      <c r="I42" s="334"/>
      <c r="J42" s="334">
        <f t="shared" si="0"/>
        <v>-10125.003699999994</v>
      </c>
      <c r="K42" s="336"/>
    </row>
    <row r="43" spans="1:11" ht="15" customHeight="1">
      <c r="A43" s="225"/>
      <c r="B43" s="335"/>
      <c r="E43" s="345"/>
      <c r="F43" s="343"/>
      <c r="G43" s="333"/>
      <c r="H43" s="337"/>
      <c r="I43" s="334"/>
      <c r="K43" s="336">
        <f>J43+G43</f>
        <v>0</v>
      </c>
    </row>
    <row r="44" spans="1:11" ht="15" customHeight="1">
      <c r="A44" s="918"/>
      <c r="B44" s="341"/>
      <c r="C44" s="353"/>
      <c r="D44" s="919" t="s">
        <v>35</v>
      </c>
      <c r="E44" s="920"/>
      <c r="F44" s="544"/>
      <c r="G44" s="921">
        <f>SUM(G29:G43)</f>
        <v>436841.2536496016</v>
      </c>
      <c r="H44" s="921">
        <f>SUM(H29:H43)</f>
        <v>392301.87003024342</v>
      </c>
      <c r="I44" s="987"/>
      <c r="J44" s="334">
        <f>G44-G26</f>
        <v>1.617067027837038E-6</v>
      </c>
      <c r="K44" s="336">
        <f>H44-H26</f>
        <v>1.617067027837038E-6</v>
      </c>
    </row>
    <row r="45" spans="1:11">
      <c r="A45" s="353" t="s">
        <v>1628</v>
      </c>
      <c r="B45" s="353"/>
      <c r="C45" s="353"/>
      <c r="D45" s="353"/>
      <c r="E45" s="353"/>
      <c r="F45" s="539">
        <v>1</v>
      </c>
      <c r="G45" s="353"/>
      <c r="H45" s="353"/>
    </row>
    <row r="46" spans="1:11">
      <c r="A46" s="300" t="s">
        <v>1629</v>
      </c>
    </row>
    <row r="47" spans="1:11">
      <c r="G47" s="1089" t="s">
        <v>297</v>
      </c>
      <c r="H47" s="1089"/>
      <c r="I47" s="922"/>
    </row>
    <row r="48" spans="1:11">
      <c r="A48" s="300" t="s">
        <v>1233</v>
      </c>
      <c r="G48" s="1089" t="s">
        <v>1630</v>
      </c>
      <c r="H48" s="1089"/>
      <c r="I48" s="922"/>
    </row>
    <row r="49" spans="1:9">
      <c r="A49" s="300" t="s">
        <v>191</v>
      </c>
      <c r="G49" s="1089" t="s">
        <v>296</v>
      </c>
      <c r="H49" s="1089"/>
      <c r="I49" s="922"/>
    </row>
    <row r="50" spans="1:9">
      <c r="G50" s="1089" t="s">
        <v>255</v>
      </c>
      <c r="H50" s="1089"/>
      <c r="I50" s="922"/>
    </row>
    <row r="51" spans="1:9">
      <c r="G51" s="922"/>
      <c r="H51" s="922"/>
      <c r="I51" s="922"/>
    </row>
    <row r="52" spans="1:9">
      <c r="G52" s="339"/>
      <c r="H52" s="922"/>
      <c r="I52" s="922"/>
    </row>
    <row r="53" spans="1:9">
      <c r="D53" s="339"/>
      <c r="E53" s="922"/>
      <c r="F53" s="300"/>
      <c r="G53" s="922"/>
      <c r="H53" s="922"/>
      <c r="I53" s="922"/>
    </row>
    <row r="54" spans="1:9">
      <c r="A54" s="300" t="s">
        <v>950</v>
      </c>
      <c r="D54" s="339"/>
      <c r="E54" s="922" t="s">
        <v>439</v>
      </c>
      <c r="F54" s="923"/>
      <c r="G54" s="1089" t="s">
        <v>129</v>
      </c>
      <c r="H54" s="1089"/>
      <c r="I54" s="922"/>
    </row>
    <row r="55" spans="1:9">
      <c r="A55" s="300" t="s">
        <v>951</v>
      </c>
      <c r="D55" s="923"/>
      <c r="E55" s="922" t="s">
        <v>952</v>
      </c>
      <c r="F55" s="923"/>
      <c r="G55" s="1089" t="s">
        <v>130</v>
      </c>
      <c r="H55" s="1089"/>
      <c r="I55" s="922"/>
    </row>
    <row r="56" spans="1:9">
      <c r="A56" s="300" t="s">
        <v>948</v>
      </c>
      <c r="D56" s="339"/>
      <c r="E56" s="922" t="s">
        <v>949</v>
      </c>
      <c r="F56" s="923"/>
      <c r="G56" s="1089" t="s">
        <v>256</v>
      </c>
      <c r="H56" s="1089"/>
      <c r="I56" s="922"/>
    </row>
    <row r="58" spans="1:9">
      <c r="A58" s="300" t="s">
        <v>257</v>
      </c>
    </row>
    <row r="59" spans="1:9">
      <c r="A59" s="1097" t="s">
        <v>1618</v>
      </c>
      <c r="B59" s="1097"/>
      <c r="C59" s="1097"/>
      <c r="D59" s="1097"/>
    </row>
  </sheetData>
  <mergeCells count="15">
    <mergeCell ref="A59:D59"/>
    <mergeCell ref="G54:H54"/>
    <mergeCell ref="G55:H55"/>
    <mergeCell ref="G48:H48"/>
    <mergeCell ref="G49:H49"/>
    <mergeCell ref="G50:H50"/>
    <mergeCell ref="G56:H56"/>
    <mergeCell ref="G47:H47"/>
    <mergeCell ref="B5:E5"/>
    <mergeCell ref="C22:E22"/>
    <mergeCell ref="C23:E23"/>
    <mergeCell ref="A1:H1"/>
    <mergeCell ref="A2:H2"/>
    <mergeCell ref="A3:H3"/>
    <mergeCell ref="A4:H4"/>
  </mergeCells>
  <phoneticPr fontId="4" type="noConversion"/>
  <printOptions horizontalCentered="1"/>
  <pageMargins left="0.51181102362204722" right="0.51181102362204722" top="0.59055118110236227" bottom="0.51181102362204722" header="0.15748031496062992" footer="0.15748031496062992"/>
  <pageSetup scale="8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2"/>
  <sheetViews>
    <sheetView view="pageBreakPreview" topLeftCell="A6" zoomScale="110" zoomScaleNormal="110" zoomScaleSheetLayoutView="110" workbookViewId="0">
      <selection activeCell="E14" sqref="E14"/>
    </sheetView>
  </sheetViews>
  <sheetFormatPr defaultColWidth="9.140625" defaultRowHeight="12.75"/>
  <cols>
    <col min="1" max="1" width="7.5703125" style="227" customWidth="1"/>
    <col min="2" max="2" width="16.42578125" style="154" customWidth="1"/>
    <col min="3" max="3" width="35.28515625" style="154" customWidth="1"/>
    <col min="4" max="4" width="9" style="156" customWidth="1"/>
    <col min="5" max="5" width="15.85546875" style="154" customWidth="1"/>
    <col min="6" max="6" width="16.140625" style="154" customWidth="1"/>
    <col min="7" max="8" width="16.140625" style="182" customWidth="1"/>
    <col min="9" max="9" width="15.85546875" style="154" bestFit="1" customWidth="1"/>
    <col min="10" max="10" width="15.85546875" style="154" customWidth="1"/>
    <col min="11" max="11" width="43" style="154" customWidth="1"/>
    <col min="12" max="12" width="17.140625" style="154" customWidth="1"/>
    <col min="13" max="13" width="14.28515625" style="154" bestFit="1" customWidth="1"/>
    <col min="14" max="14" width="14.85546875" style="154" bestFit="1" customWidth="1"/>
    <col min="15" max="15" width="11.140625" style="154" bestFit="1" customWidth="1"/>
    <col min="16" max="16" width="12.28515625" style="154" bestFit="1" customWidth="1"/>
    <col min="17" max="16384" width="9.140625" style="154"/>
  </cols>
  <sheetData>
    <row r="1" spans="1:14">
      <c r="A1" s="1098" t="s">
        <v>946</v>
      </c>
      <c r="B1" s="1098"/>
      <c r="C1" s="1098"/>
      <c r="D1" s="1098"/>
      <c r="E1" s="1098"/>
      <c r="F1" s="1098"/>
      <c r="G1" s="581"/>
      <c r="H1" s="581"/>
    </row>
    <row r="2" spans="1:14" s="195" customFormat="1">
      <c r="A2" s="1098" t="s">
        <v>416</v>
      </c>
      <c r="B2" s="1098"/>
      <c r="C2" s="1098"/>
      <c r="D2" s="1098"/>
      <c r="E2" s="1098"/>
      <c r="F2" s="1098"/>
      <c r="G2" s="582"/>
      <c r="H2" s="582"/>
    </row>
    <row r="3" spans="1:14" s="195" customFormat="1">
      <c r="A3" s="1098" t="s">
        <v>1619</v>
      </c>
      <c r="B3" s="1098"/>
      <c r="C3" s="1098"/>
      <c r="D3" s="1098"/>
      <c r="E3" s="1098"/>
      <c r="F3" s="1098"/>
      <c r="G3" s="582"/>
      <c r="H3" s="582"/>
    </row>
    <row r="4" spans="1:14">
      <c r="A4" s="1099" t="str">
        <f>BS!A4</f>
        <v>(All amounts are in Indian Rupees in thousands, except share data and as stated)</v>
      </c>
      <c r="B4" s="1099"/>
      <c r="C4" s="1099"/>
      <c r="D4" s="1099"/>
      <c r="E4" s="1099"/>
      <c r="F4" s="1099"/>
      <c r="G4" s="581"/>
      <c r="H4" s="581"/>
    </row>
    <row r="5" spans="1:14" ht="38.25">
      <c r="A5" s="165"/>
      <c r="B5" s="1090" t="s">
        <v>16</v>
      </c>
      <c r="C5" s="1092"/>
      <c r="D5" s="165" t="s">
        <v>17</v>
      </c>
      <c r="E5" s="165" t="s">
        <v>1633</v>
      </c>
      <c r="F5" s="165" t="s">
        <v>1634</v>
      </c>
      <c r="G5" s="584"/>
      <c r="H5" s="584"/>
      <c r="I5" s="165" t="s">
        <v>1148</v>
      </c>
      <c r="J5" s="165" t="s">
        <v>1076</v>
      </c>
    </row>
    <row r="6" spans="1:14" s="300" customFormat="1" ht="15" customHeight="1">
      <c r="A6" s="225"/>
      <c r="B6" s="341"/>
      <c r="C6" s="342"/>
      <c r="D6" s="343"/>
      <c r="E6" s="344"/>
      <c r="F6" s="345"/>
      <c r="G6" s="364"/>
      <c r="H6" s="364" t="s">
        <v>1553</v>
      </c>
      <c r="I6" s="334">
        <f>E7</f>
        <v>460793.20597000001</v>
      </c>
      <c r="J6" s="334">
        <f>F7</f>
        <v>175821.62329000002</v>
      </c>
    </row>
    <row r="7" spans="1:14" s="300" customFormat="1" ht="15" customHeight="1">
      <c r="A7" s="225" t="s">
        <v>18</v>
      </c>
      <c r="B7" s="335" t="s">
        <v>51</v>
      </c>
      <c r="C7" s="345"/>
      <c r="D7" s="343">
        <v>17</v>
      </c>
      <c r="E7" s="333">
        <f>'PL Notes'!C15</f>
        <v>460793.20597000001</v>
      </c>
      <c r="F7" s="333">
        <f>'PL Notes'!D15</f>
        <v>175821.62329000002</v>
      </c>
      <c r="G7" s="364">
        <f>'Link Sheet'!F443</f>
        <v>-460793.20597000007</v>
      </c>
      <c r="H7" s="364" t="s">
        <v>1552</v>
      </c>
      <c r="I7" s="334">
        <f>SUM(E11:E12)</f>
        <v>352325.79330000002</v>
      </c>
      <c r="J7" s="334">
        <f>SUM(F11:F12)</f>
        <v>97566.64261000001</v>
      </c>
    </row>
    <row r="8" spans="1:14" s="300" customFormat="1" ht="15" customHeight="1">
      <c r="A8" s="225" t="s">
        <v>36</v>
      </c>
      <c r="B8" s="335" t="s">
        <v>52</v>
      </c>
      <c r="C8" s="345"/>
      <c r="D8" s="343">
        <v>18</v>
      </c>
      <c r="E8" s="333">
        <f>'PL Notes'!C24</f>
        <v>728.57951000000003</v>
      </c>
      <c r="F8" s="333">
        <f>'PL Notes'!D24</f>
        <v>176.67400000000001</v>
      </c>
      <c r="G8" s="364">
        <f>'Link Sheet'!F452</f>
        <v>-728.57951000000003</v>
      </c>
      <c r="H8" s="364" t="s">
        <v>1551</v>
      </c>
      <c r="I8" s="334">
        <f>I6-I7</f>
        <v>108467.41266999999</v>
      </c>
      <c r="J8" s="334">
        <f>J6-J7</f>
        <v>78254.980680000008</v>
      </c>
    </row>
    <row r="9" spans="1:14" s="300" customFormat="1" ht="15" customHeight="1" thickBot="1">
      <c r="A9" s="198" t="s">
        <v>53</v>
      </c>
      <c r="B9" s="346" t="s">
        <v>1486</v>
      </c>
      <c r="C9" s="347"/>
      <c r="D9" s="343"/>
      <c r="E9" s="348">
        <f>+E7+E8</f>
        <v>461521.78548000002</v>
      </c>
      <c r="F9" s="348">
        <f>+F7+F8</f>
        <v>175998.29729000002</v>
      </c>
      <c r="G9" s="364"/>
      <c r="H9" s="364"/>
      <c r="I9" s="334">
        <f>I8/I6*100</f>
        <v>23.539282104142345</v>
      </c>
      <c r="J9" s="334">
        <f>J8/J6*100</f>
        <v>44.508166410752743</v>
      </c>
      <c r="N9" s="334"/>
    </row>
    <row r="10" spans="1:14" s="300" customFormat="1" ht="15" customHeight="1" thickTop="1">
      <c r="A10" s="225" t="s">
        <v>54</v>
      </c>
      <c r="B10" s="335" t="s">
        <v>55</v>
      </c>
      <c r="C10" s="345"/>
      <c r="D10" s="343"/>
      <c r="E10" s="344"/>
      <c r="F10" s="345"/>
      <c r="G10" s="364"/>
      <c r="H10" s="364" t="s">
        <v>662</v>
      </c>
      <c r="I10" s="334">
        <f>E18/E7*100</f>
        <v>2.4350354940104642</v>
      </c>
      <c r="J10" s="334">
        <f>F18/F7*100</f>
        <v>1.8176256918661173</v>
      </c>
      <c r="L10" s="334"/>
    </row>
    <row r="11" spans="1:14" s="300" customFormat="1" ht="15" customHeight="1">
      <c r="A11" s="225"/>
      <c r="B11" s="335" t="s">
        <v>1231</v>
      </c>
      <c r="C11" s="345"/>
      <c r="D11" s="343">
        <v>19</v>
      </c>
      <c r="E11" s="333">
        <f>'PL Notes'!C36</f>
        <v>343545.9203</v>
      </c>
      <c r="F11" s="333">
        <f>'PL Notes'!D36</f>
        <v>106233.87561</v>
      </c>
      <c r="G11" s="364">
        <f>'Link Sheet'!F490</f>
        <v>342817.34079000005</v>
      </c>
      <c r="H11" s="364"/>
      <c r="L11" s="334"/>
    </row>
    <row r="12" spans="1:14" s="300" customFormat="1">
      <c r="A12" s="225"/>
      <c r="B12" s="1100" t="s">
        <v>1637</v>
      </c>
      <c r="C12" s="1094"/>
      <c r="D12" s="343">
        <v>20</v>
      </c>
      <c r="E12" s="333">
        <f>'PL Notes'!C50</f>
        <v>8779.8730000000069</v>
      </c>
      <c r="F12" s="333">
        <f>'PL Notes'!D50</f>
        <v>-8667.2330000000002</v>
      </c>
      <c r="G12" s="350">
        <f>'Link Sheet'!F500</f>
        <v>-36282.080938999999</v>
      </c>
      <c r="H12" s="350"/>
      <c r="I12" s="334"/>
      <c r="J12" s="334"/>
      <c r="K12" s="334"/>
      <c r="L12" s="334"/>
    </row>
    <row r="13" spans="1:14" s="300" customFormat="1" ht="15" customHeight="1">
      <c r="A13" s="225"/>
      <c r="B13" s="335" t="s">
        <v>56</v>
      </c>
      <c r="C13" s="345"/>
      <c r="D13" s="343">
        <v>21</v>
      </c>
      <c r="E13" s="333">
        <f>'PL Notes'!C63</f>
        <v>20800.742600000001</v>
      </c>
      <c r="F13" s="333">
        <f>'PL Notes'!D63</f>
        <v>3061.2608500000001</v>
      </c>
      <c r="G13" s="350">
        <f>'Link Sheet'!F516</f>
        <v>20800.742599999998</v>
      </c>
      <c r="H13" s="350"/>
      <c r="I13" s="334"/>
      <c r="J13" s="334"/>
      <c r="K13" s="334"/>
    </row>
    <row r="14" spans="1:14" s="300" customFormat="1" ht="15" customHeight="1">
      <c r="A14" s="225"/>
      <c r="B14" s="335" t="s">
        <v>57</v>
      </c>
      <c r="C14" s="345"/>
      <c r="D14" s="343">
        <v>22</v>
      </c>
      <c r="E14" s="349">
        <f>+'PL Notes'!C74</f>
        <v>25251.749469999995</v>
      </c>
      <c r="F14" s="349">
        <f>+'PL Notes'!D74</f>
        <v>24227.58914</v>
      </c>
      <c r="G14" s="350">
        <f>'Link Sheet'!F539</f>
        <v>25251.749469999995</v>
      </c>
      <c r="H14" s="350"/>
      <c r="I14" s="334"/>
      <c r="J14" s="334"/>
      <c r="K14" s="334"/>
    </row>
    <row r="15" spans="1:14" s="300" customFormat="1" ht="15" customHeight="1">
      <c r="A15" s="225"/>
      <c r="B15" s="335" t="s">
        <v>58</v>
      </c>
      <c r="C15" s="345"/>
      <c r="D15" s="343">
        <v>11</v>
      </c>
      <c r="E15" s="351">
        <f>'Dep - co'!I26</f>
        <v>32221.600000641771</v>
      </c>
      <c r="F15" s="351">
        <f>39070696.8332249/1000</f>
        <v>39070.696833224902</v>
      </c>
      <c r="I15" s="334"/>
      <c r="J15" s="334"/>
      <c r="K15" s="352"/>
      <c r="L15" s="353"/>
      <c r="M15" s="353"/>
      <c r="N15" s="342"/>
    </row>
    <row r="16" spans="1:14" s="300" customFormat="1" ht="15" customHeight="1">
      <c r="A16" s="225"/>
      <c r="B16" s="335" t="s">
        <v>59</v>
      </c>
      <c r="C16" s="345"/>
      <c r="D16" s="343">
        <v>23</v>
      </c>
      <c r="E16" s="349">
        <f>+'PL Notes'!C103</f>
        <v>19701.421989999999</v>
      </c>
      <c r="F16" s="349">
        <f>+'PL Notes'!D103</f>
        <v>8876.3288599999978</v>
      </c>
      <c r="G16" s="350">
        <f>'Link Sheet'!F619</f>
        <v>19701.421990000003</v>
      </c>
      <c r="H16" s="350"/>
      <c r="I16" s="334"/>
      <c r="J16" s="334"/>
      <c r="K16" s="354" t="s">
        <v>660</v>
      </c>
      <c r="N16" s="345"/>
    </row>
    <row r="17" spans="1:16" s="300" customFormat="1" ht="15" customHeight="1" thickBot="1">
      <c r="A17" s="225"/>
      <c r="B17" s="346" t="s">
        <v>60</v>
      </c>
      <c r="C17" s="345"/>
      <c r="D17" s="343"/>
      <c r="E17" s="348">
        <f>SUM(E11:E16)</f>
        <v>450301.30736064177</v>
      </c>
      <c r="F17" s="348">
        <f>SUM(F11:F16)</f>
        <v>172802.51829322492</v>
      </c>
      <c r="G17" s="370"/>
      <c r="H17" s="370"/>
      <c r="K17" s="338" t="s">
        <v>661</v>
      </c>
      <c r="L17" s="355">
        <f>+'Def Tax'!C11</f>
        <v>0.2782</v>
      </c>
      <c r="N17" s="345"/>
    </row>
    <row r="18" spans="1:16" s="300" customFormat="1" ht="15" customHeight="1" thickTop="1">
      <c r="A18" s="198" t="s">
        <v>61</v>
      </c>
      <c r="B18" s="346" t="s">
        <v>62</v>
      </c>
      <c r="C18" s="356"/>
      <c r="D18" s="343"/>
      <c r="E18" s="357">
        <f>E9-E17</f>
        <v>11220.478119358246</v>
      </c>
      <c r="F18" s="357">
        <f>F9-F17</f>
        <v>3195.7789967751014</v>
      </c>
      <c r="G18" s="370">
        <v>11220478.119999999</v>
      </c>
      <c r="H18" s="370"/>
      <c r="I18" s="334"/>
      <c r="J18" s="334"/>
      <c r="K18" s="338" t="s">
        <v>662</v>
      </c>
      <c r="L18" s="334">
        <f>+E22</f>
        <v>11220.478119358246</v>
      </c>
      <c r="M18" s="358"/>
      <c r="N18" s="345"/>
    </row>
    <row r="19" spans="1:16" s="300" customFormat="1" ht="15" customHeight="1">
      <c r="A19" s="225" t="s">
        <v>63</v>
      </c>
      <c r="B19" s="335" t="s">
        <v>64</v>
      </c>
      <c r="C19" s="345"/>
      <c r="D19" s="343"/>
      <c r="E19" s="359">
        <v>0</v>
      </c>
      <c r="F19" s="360">
        <v>0</v>
      </c>
      <c r="G19" s="350">
        <f>G18-E18</f>
        <v>11209257.641880641</v>
      </c>
      <c r="H19" s="350"/>
      <c r="I19" s="334"/>
      <c r="J19" s="334"/>
      <c r="K19" s="338" t="s">
        <v>663</v>
      </c>
      <c r="L19" s="334"/>
      <c r="N19" s="337">
        <f>+L17*L18</f>
        <v>3121.5370128054642</v>
      </c>
    </row>
    <row r="20" spans="1:16" s="300" customFormat="1" ht="15" customHeight="1">
      <c r="A20" s="198" t="s">
        <v>65</v>
      </c>
      <c r="B20" s="346" t="s">
        <v>66</v>
      </c>
      <c r="C20" s="347"/>
      <c r="D20" s="343"/>
      <c r="E20" s="357">
        <f>E18-E19</f>
        <v>11220.478119358246</v>
      </c>
      <c r="F20" s="357">
        <f>F18-F19</f>
        <v>3195.7789967751014</v>
      </c>
      <c r="G20" s="370"/>
      <c r="H20" s="370"/>
      <c r="I20" s="334"/>
      <c r="J20" s="334"/>
      <c r="K20" s="338" t="s">
        <v>986</v>
      </c>
      <c r="L20" s="334"/>
      <c r="N20" s="337">
        <f>E24+E25+E26</f>
        <v>3328.3627956724331</v>
      </c>
    </row>
    <row r="21" spans="1:16" s="300" customFormat="1" ht="15" customHeight="1">
      <c r="A21" s="225" t="s">
        <v>67</v>
      </c>
      <c r="B21" s="335" t="s">
        <v>68</v>
      </c>
      <c r="C21" s="345"/>
      <c r="D21" s="343"/>
      <c r="E21" s="359">
        <v>0</v>
      </c>
      <c r="F21" s="360">
        <v>0</v>
      </c>
      <c r="G21" s="350"/>
      <c r="H21" s="350"/>
      <c r="I21" s="334"/>
      <c r="J21" s="334"/>
      <c r="K21" s="338" t="s">
        <v>984</v>
      </c>
      <c r="L21" s="334"/>
      <c r="N21" s="361">
        <f>-('STI '!E30-'STI '!E23)*L17</f>
        <v>1784817.2043275461</v>
      </c>
    </row>
    <row r="22" spans="1:16" s="300" customFormat="1" ht="15" customHeight="1">
      <c r="A22" s="198" t="s">
        <v>69</v>
      </c>
      <c r="B22" s="346" t="s">
        <v>70</v>
      </c>
      <c r="C22" s="347"/>
      <c r="D22" s="343"/>
      <c r="E22" s="357">
        <f>+E20-E21</f>
        <v>11220.478119358246</v>
      </c>
      <c r="F22" s="357">
        <f>+F20-F21</f>
        <v>3195.7789967751014</v>
      </c>
      <c r="G22" s="370"/>
      <c r="H22" s="370"/>
      <c r="I22" s="334"/>
      <c r="J22" s="334"/>
      <c r="K22" s="338"/>
      <c r="N22" s="337">
        <f>+N19-N20+N21</f>
        <v>1784610.3785446791</v>
      </c>
    </row>
    <row r="23" spans="1:16" s="300" customFormat="1" ht="15" customHeight="1">
      <c r="A23" s="225" t="s">
        <v>71</v>
      </c>
      <c r="B23" s="335" t="s">
        <v>72</v>
      </c>
      <c r="C23" s="345"/>
      <c r="D23" s="343"/>
      <c r="E23" s="344"/>
      <c r="F23" s="345"/>
      <c r="G23" s="350"/>
      <c r="H23" s="350"/>
      <c r="K23" s="362" t="s">
        <v>664</v>
      </c>
      <c r="M23" s="334"/>
      <c r="N23" s="345"/>
    </row>
    <row r="24" spans="1:16" s="300" customFormat="1" ht="15" customHeight="1">
      <c r="A24" s="225"/>
      <c r="B24" s="363" t="s">
        <v>73</v>
      </c>
      <c r="C24" s="345"/>
      <c r="D24" s="343"/>
      <c r="E24" s="349">
        <f>('STI '!F50+3070)/1000</f>
        <v>5113.18</v>
      </c>
      <c r="F24" s="351">
        <f>3220770/1000</f>
        <v>3220.77</v>
      </c>
      <c r="G24" s="350"/>
      <c r="H24" s="350"/>
      <c r="I24" s="334"/>
      <c r="J24" s="334"/>
      <c r="K24" s="338" t="s">
        <v>665</v>
      </c>
      <c r="L24" s="350">
        <f>+'STI '!E26</f>
        <v>228752.07599999997</v>
      </c>
      <c r="M24" s="350">
        <f>+L24*$L$17</f>
        <v>63638.827543199994</v>
      </c>
      <c r="N24" s="351"/>
      <c r="P24" s="364"/>
    </row>
    <row r="25" spans="1:16" s="300" customFormat="1" ht="15" customHeight="1">
      <c r="A25" s="225"/>
      <c r="B25" s="363" t="s">
        <v>978</v>
      </c>
      <c r="C25" s="345"/>
      <c r="D25" s="343"/>
      <c r="E25" s="349">
        <f>0</f>
        <v>0</v>
      </c>
      <c r="F25" s="351">
        <v>0</v>
      </c>
      <c r="G25" s="350"/>
      <c r="H25" s="350"/>
      <c r="I25" s="334"/>
      <c r="J25" s="334"/>
      <c r="K25" s="365"/>
      <c r="L25" s="350">
        <v>279914</v>
      </c>
      <c r="M25" s="350">
        <f>+L25*$L$17</f>
        <v>77872.074800000002</v>
      </c>
      <c r="N25" s="351"/>
    </row>
    <row r="26" spans="1:16" s="300" customFormat="1" ht="15" customHeight="1">
      <c r="A26" s="225"/>
      <c r="B26" s="363" t="s">
        <v>1190</v>
      </c>
      <c r="C26" s="345"/>
      <c r="D26" s="343"/>
      <c r="E26" s="359">
        <f>-'Def Tax'!C35/1000</f>
        <v>-1784.8172043275674</v>
      </c>
      <c r="F26" s="366">
        <f>-2088690.91855138/1000</f>
        <v>-2088.69091855138</v>
      </c>
      <c r="G26" s="370"/>
      <c r="H26" s="370"/>
      <c r="I26" s="367"/>
      <c r="J26" s="367"/>
      <c r="K26" s="365" t="str">
        <f>+'STI '!C25</f>
        <v>Disallowance u/s 36(1)(va)</v>
      </c>
      <c r="L26" s="350">
        <f>+'STI '!E25</f>
        <v>3212</v>
      </c>
      <c r="M26" s="350">
        <f>+L26*$L$17</f>
        <v>893.57839999999999</v>
      </c>
      <c r="N26" s="351"/>
    </row>
    <row r="27" spans="1:16" s="300" customFormat="1" ht="15" customHeight="1">
      <c r="A27" s="198" t="s">
        <v>74</v>
      </c>
      <c r="B27" s="346" t="s">
        <v>75</v>
      </c>
      <c r="C27" s="356"/>
      <c r="D27" s="343"/>
      <c r="E27" s="906">
        <f>+E22-SUM(E24:E26)</f>
        <v>7892.1153236858127</v>
      </c>
      <c r="F27" s="357">
        <f>+F22-SUM(F24:F26)</f>
        <v>2063.6999153264815</v>
      </c>
      <c r="G27" s="350"/>
      <c r="H27" s="350"/>
      <c r="K27" s="365" t="s">
        <v>985</v>
      </c>
      <c r="L27" s="350">
        <f>SUM('STI '!E28:E28)</f>
        <v>266229</v>
      </c>
      <c r="M27" s="350">
        <f>L27*L17</f>
        <v>74064.907800000001</v>
      </c>
      <c r="N27" s="351"/>
    </row>
    <row r="28" spans="1:16" s="300" customFormat="1" ht="15" customHeight="1">
      <c r="A28" s="225" t="s">
        <v>76</v>
      </c>
      <c r="B28" s="335" t="s">
        <v>77</v>
      </c>
      <c r="C28" s="345"/>
      <c r="D28" s="343"/>
      <c r="E28" s="349">
        <v>0</v>
      </c>
      <c r="F28" s="351">
        <v>0</v>
      </c>
      <c r="G28" s="350"/>
      <c r="H28" s="350"/>
      <c r="K28" s="365"/>
      <c r="L28" s="350"/>
      <c r="M28" s="350"/>
      <c r="N28" s="351"/>
    </row>
    <row r="29" spans="1:16" s="300" customFormat="1" ht="15" customHeight="1">
      <c r="A29" s="225" t="s">
        <v>78</v>
      </c>
      <c r="B29" s="335" t="s">
        <v>79</v>
      </c>
      <c r="C29" s="345"/>
      <c r="D29" s="343"/>
      <c r="E29" s="349">
        <v>0</v>
      </c>
      <c r="F29" s="351">
        <v>0</v>
      </c>
      <c r="G29" s="350"/>
      <c r="H29" s="350"/>
      <c r="K29" s="365" t="s">
        <v>722</v>
      </c>
      <c r="L29" s="368">
        <f>+'STI '!E24</f>
        <v>0</v>
      </c>
      <c r="M29" s="369">
        <f>+L29*L17</f>
        <v>0</v>
      </c>
      <c r="N29" s="360">
        <f>SUM(M23:M29)</f>
        <v>216469.38854319998</v>
      </c>
    </row>
    <row r="30" spans="1:16" s="300" customFormat="1" ht="15" customHeight="1" thickBot="1">
      <c r="A30" s="198" t="s">
        <v>80</v>
      </c>
      <c r="B30" s="346" t="s">
        <v>81</v>
      </c>
      <c r="C30" s="356"/>
      <c r="D30" s="343"/>
      <c r="E30" s="333">
        <f>E28-E29</f>
        <v>0</v>
      </c>
      <c r="F30" s="333">
        <v>0</v>
      </c>
      <c r="G30" s="370"/>
      <c r="H30" s="370"/>
      <c r="K30" s="335"/>
      <c r="M30" s="370" t="s">
        <v>481</v>
      </c>
      <c r="N30" s="371">
        <f>+N22+N29</f>
        <v>2001079.7670878791</v>
      </c>
    </row>
    <row r="31" spans="1:16" s="300" customFormat="1" ht="15" customHeight="1" thickTop="1" thickBot="1">
      <c r="A31" s="198" t="s">
        <v>82</v>
      </c>
      <c r="B31" s="346" t="s">
        <v>83</v>
      </c>
      <c r="C31" s="347"/>
      <c r="D31" s="343"/>
      <c r="E31" s="905">
        <f>+E27+E30</f>
        <v>7892.1153236858127</v>
      </c>
      <c r="F31" s="348">
        <f>+F27+F30</f>
        <v>2063.6999153264815</v>
      </c>
      <c r="G31" s="350"/>
      <c r="H31" s="350">
        <f>E31*1000</f>
        <v>7892115.3236858128</v>
      </c>
      <c r="K31" s="372"/>
      <c r="L31" s="373"/>
      <c r="M31" s="369"/>
      <c r="N31" s="360"/>
    </row>
    <row r="32" spans="1:16" s="300" customFormat="1" ht="15" customHeight="1" thickTop="1">
      <c r="A32" s="225" t="s">
        <v>84</v>
      </c>
      <c r="B32" s="335" t="s">
        <v>85</v>
      </c>
      <c r="C32" s="345"/>
      <c r="D32" s="343"/>
      <c r="E32" s="374"/>
      <c r="F32" s="345"/>
      <c r="G32" s="350"/>
      <c r="H32" s="350"/>
      <c r="K32" s="375" t="s">
        <v>727</v>
      </c>
    </row>
    <row r="33" spans="1:15" s="300" customFormat="1" ht="15" customHeight="1">
      <c r="A33" s="225"/>
      <c r="B33" s="335" t="s">
        <v>86</v>
      </c>
      <c r="C33" s="345"/>
      <c r="D33" s="343"/>
      <c r="E33" s="349">
        <f>E31/'BS Notes'!C29</f>
        <v>2.769163271468706</v>
      </c>
      <c r="F33" s="349">
        <f>F31/'BS Notes'!C29</f>
        <v>0.72410523344788824</v>
      </c>
      <c r="G33" s="350"/>
      <c r="H33" s="350"/>
      <c r="K33" s="352" t="s">
        <v>638</v>
      </c>
      <c r="L33" s="376">
        <v>14621823.25</v>
      </c>
    </row>
    <row r="34" spans="1:15" s="300" customFormat="1" ht="15" customHeight="1">
      <c r="A34" s="226"/>
      <c r="B34" s="372" t="s">
        <v>87</v>
      </c>
      <c r="C34" s="377"/>
      <c r="D34" s="378"/>
      <c r="E34" s="359">
        <f>E33</f>
        <v>2.769163271468706</v>
      </c>
      <c r="F34" s="359">
        <f>F33</f>
        <v>0.72410523344788824</v>
      </c>
      <c r="G34" s="585"/>
      <c r="H34" s="585"/>
      <c r="K34" s="338" t="s">
        <v>639</v>
      </c>
      <c r="L34" s="337">
        <f>+E22</f>
        <v>11220.478119358246</v>
      </c>
      <c r="O34" s="336"/>
    </row>
    <row r="35" spans="1:15" s="300" customFormat="1" ht="15" customHeight="1" thickBot="1">
      <c r="A35" s="353" t="s">
        <v>128</v>
      </c>
      <c r="B35" s="353"/>
      <c r="C35" s="353"/>
      <c r="D35" s="539">
        <v>1</v>
      </c>
      <c r="E35" s="353"/>
      <c r="F35" s="539"/>
      <c r="G35" s="586"/>
      <c r="H35" s="586"/>
      <c r="K35" s="338" t="s">
        <v>481</v>
      </c>
      <c r="L35" s="379">
        <f>+L33-L34</f>
        <v>14610602.771880642</v>
      </c>
      <c r="M35" s="334"/>
      <c r="N35" s="336"/>
    </row>
    <row r="36" spans="1:15" s="300" customFormat="1" ht="15" customHeight="1" thickTop="1">
      <c r="A36" s="300" t="s">
        <v>131</v>
      </c>
      <c r="E36" s="1089" t="s">
        <v>297</v>
      </c>
      <c r="F36" s="1089"/>
      <c r="G36" s="586"/>
      <c r="H36" s="586"/>
      <c r="K36" s="380"/>
      <c r="L36" s="361">
        <v>0</v>
      </c>
    </row>
    <row r="37" spans="1:15" s="300" customFormat="1" ht="15" customHeight="1">
      <c r="E37" s="1089" t="s">
        <v>298</v>
      </c>
      <c r="F37" s="1089"/>
      <c r="G37" s="586"/>
      <c r="H37" s="586"/>
      <c r="K37" s="334"/>
    </row>
    <row r="38" spans="1:15" s="300" customFormat="1" ht="15" customHeight="1">
      <c r="A38" s="300" t="s">
        <v>1235</v>
      </c>
      <c r="E38" s="1089" t="s">
        <v>296</v>
      </c>
      <c r="F38" s="1089"/>
      <c r="G38" s="586"/>
      <c r="H38" s="586"/>
      <c r="K38" s="375"/>
      <c r="N38" s="381"/>
    </row>
    <row r="39" spans="1:15" s="300" customFormat="1" ht="15" customHeight="1">
      <c r="A39" s="300" t="s">
        <v>946</v>
      </c>
      <c r="E39" s="1089" t="s">
        <v>255</v>
      </c>
      <c r="F39" s="1089"/>
      <c r="G39" s="587"/>
      <c r="H39" s="587"/>
      <c r="K39" s="382"/>
      <c r="L39" s="383"/>
      <c r="M39" s="382"/>
      <c r="N39" s="384"/>
    </row>
    <row r="40" spans="1:15" s="300" customFormat="1" ht="15" customHeight="1">
      <c r="E40" s="922"/>
      <c r="F40" s="923"/>
      <c r="G40" s="585"/>
      <c r="H40" s="585"/>
      <c r="K40" s="358"/>
      <c r="N40" s="385"/>
    </row>
    <row r="41" spans="1:15" s="300" customFormat="1" ht="15" customHeight="1">
      <c r="F41" s="339"/>
      <c r="G41" s="585"/>
      <c r="H41" s="585"/>
      <c r="K41" s="334"/>
      <c r="N41" s="385"/>
    </row>
    <row r="42" spans="1:15" s="386" customFormat="1" ht="15" customHeight="1">
      <c r="A42" s="300"/>
      <c r="B42" s="339"/>
      <c r="C42" s="922"/>
      <c r="D42" s="300"/>
      <c r="E42" s="922"/>
      <c r="F42" s="339"/>
      <c r="G42" s="588"/>
      <c r="H42" s="588"/>
      <c r="I42" s="387"/>
      <c r="J42" s="387"/>
      <c r="K42" s="358"/>
      <c r="L42" s="300"/>
      <c r="M42" s="300"/>
      <c r="N42" s="388"/>
      <c r="O42" s="300"/>
    </row>
    <row r="43" spans="1:15" s="386" customFormat="1" ht="15" customHeight="1">
      <c r="A43" s="386" t="s">
        <v>953</v>
      </c>
      <c r="C43" s="386" t="s">
        <v>439</v>
      </c>
      <c r="E43" s="1101" t="s">
        <v>129</v>
      </c>
      <c r="F43" s="1101"/>
      <c r="G43" s="589"/>
      <c r="H43" s="589"/>
      <c r="I43" s="387"/>
      <c r="J43" s="387"/>
      <c r="K43" s="389" t="s">
        <v>243</v>
      </c>
      <c r="L43" s="300"/>
      <c r="M43" s="300"/>
      <c r="N43" s="300"/>
    </row>
    <row r="44" spans="1:15" s="386" customFormat="1" ht="15" customHeight="1">
      <c r="A44" s="386" t="s">
        <v>954</v>
      </c>
      <c r="C44" s="386" t="s">
        <v>952</v>
      </c>
      <c r="E44" s="386" t="s">
        <v>130</v>
      </c>
      <c r="F44" s="924"/>
      <c r="G44" s="589"/>
      <c r="H44" s="589"/>
      <c r="I44" s="387"/>
      <c r="J44" s="387"/>
      <c r="K44" s="270"/>
      <c r="M44" s="300"/>
      <c r="N44" s="300"/>
    </row>
    <row r="45" spans="1:15" s="386" customFormat="1" ht="15" customHeight="1">
      <c r="A45" s="300" t="s">
        <v>955</v>
      </c>
      <c r="C45" s="386" t="s">
        <v>949</v>
      </c>
      <c r="E45" s="386" t="s">
        <v>256</v>
      </c>
      <c r="F45" s="924"/>
      <c r="G45" s="590"/>
      <c r="H45" s="590"/>
      <c r="I45" s="387"/>
      <c r="J45" s="387"/>
      <c r="K45" s="271"/>
      <c r="M45" s="300"/>
      <c r="N45" s="300"/>
    </row>
    <row r="46" spans="1:15" s="386" customFormat="1" ht="15" customHeight="1">
      <c r="F46" s="925"/>
      <c r="G46" s="590"/>
      <c r="H46" s="590"/>
      <c r="I46" s="387"/>
      <c r="J46" s="387"/>
      <c r="K46" s="271"/>
      <c r="M46" s="300"/>
      <c r="N46" s="300"/>
    </row>
    <row r="47" spans="1:15" s="386" customFormat="1" ht="15" customHeight="1">
      <c r="A47" s="386" t="s">
        <v>257</v>
      </c>
      <c r="F47" s="925"/>
      <c r="G47" s="590"/>
      <c r="H47" s="590"/>
      <c r="I47" s="387"/>
      <c r="J47" s="387"/>
      <c r="K47" s="271"/>
    </row>
    <row r="48" spans="1:15" s="300" customFormat="1" ht="15" customHeight="1">
      <c r="A48" s="1101" t="str">
        <f>BS!A59</f>
        <v>DATE: 02-09-2022</v>
      </c>
      <c r="B48" s="1101"/>
      <c r="C48" s="386"/>
      <c r="D48" s="926"/>
      <c r="E48" s="386"/>
      <c r="F48" s="925"/>
      <c r="G48" s="364"/>
      <c r="H48" s="364"/>
      <c r="K48" s="271"/>
      <c r="L48" s="386"/>
      <c r="M48" s="386"/>
      <c r="N48" s="386"/>
      <c r="O48" s="386"/>
    </row>
    <row r="49" spans="11:14">
      <c r="K49" s="195"/>
      <c r="L49" s="195"/>
      <c r="M49" s="195"/>
      <c r="N49" s="195"/>
    </row>
    <row r="50" spans="11:14">
      <c r="M50" s="195"/>
      <c r="N50" s="195"/>
    </row>
    <row r="51" spans="11:14">
      <c r="M51" s="195"/>
      <c r="N51" s="195"/>
    </row>
    <row r="52" spans="11:14">
      <c r="M52" s="195"/>
      <c r="N52" s="195"/>
    </row>
  </sheetData>
  <mergeCells count="12">
    <mergeCell ref="B12:C12"/>
    <mergeCell ref="A48:B48"/>
    <mergeCell ref="E43:F43"/>
    <mergeCell ref="E36:F36"/>
    <mergeCell ref="E37:F37"/>
    <mergeCell ref="E38:F38"/>
    <mergeCell ref="E39:F39"/>
    <mergeCell ref="A1:F1"/>
    <mergeCell ref="A2:F2"/>
    <mergeCell ref="A3:F3"/>
    <mergeCell ref="A4:F4"/>
    <mergeCell ref="B5:C5"/>
  </mergeCells>
  <phoneticPr fontId="4" type="noConversion"/>
  <printOptions horizontalCentered="1"/>
  <pageMargins left="0.51181102362204722" right="0.51181102362204722" top="0.98425196850393704" bottom="0.51181102362204722" header="0.51181102362204722" footer="0.27559055118110237"/>
  <pageSetup scale="85"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71"/>
  <sheetViews>
    <sheetView view="pageBreakPreview" topLeftCell="A188" zoomScaleNormal="100" zoomScaleSheetLayoutView="100" workbookViewId="0">
      <selection activeCell="E205" sqref="E205"/>
    </sheetView>
  </sheetViews>
  <sheetFormatPr defaultColWidth="9.140625" defaultRowHeight="15"/>
  <cols>
    <col min="1" max="1" width="41.5703125" style="157" customWidth="1"/>
    <col min="2" max="2" width="14.7109375" style="157" customWidth="1"/>
    <col min="3" max="3" width="17.42578125" style="157" customWidth="1"/>
    <col min="4" max="4" width="14.140625" style="157" bestFit="1" customWidth="1"/>
    <col min="5" max="5" width="18.28515625" style="178" customWidth="1"/>
    <col min="6" max="6" width="18.7109375" style="178" customWidth="1"/>
    <col min="7" max="7" width="14.28515625" style="550" bestFit="1" customWidth="1"/>
    <col min="8" max="9" width="12.5703125" style="550" bestFit="1" customWidth="1"/>
    <col min="10" max="16384" width="9.140625" style="550"/>
  </cols>
  <sheetData>
    <row r="1" spans="1:6" ht="15" customHeight="1">
      <c r="A1" s="1102" t="s">
        <v>946</v>
      </c>
      <c r="B1" s="1102"/>
      <c r="C1" s="1102"/>
      <c r="D1" s="1102"/>
      <c r="E1" s="1102"/>
      <c r="F1" s="1102"/>
    </row>
    <row r="2" spans="1:6" ht="15" customHeight="1">
      <c r="A2" s="1102" t="s">
        <v>416</v>
      </c>
      <c r="B2" s="1102"/>
      <c r="C2" s="1102"/>
      <c r="D2" s="1102"/>
      <c r="E2" s="1102"/>
      <c r="F2" s="1102"/>
    </row>
    <row r="3" spans="1:6" s="551" customFormat="1" ht="15" customHeight="1">
      <c r="A3" s="1104" t="s">
        <v>1622</v>
      </c>
      <c r="B3" s="1104"/>
      <c r="C3" s="1104"/>
      <c r="D3" s="1104"/>
      <c r="E3" s="1104"/>
      <c r="F3" s="1104"/>
    </row>
    <row r="4" spans="1:6" ht="15" customHeight="1">
      <c r="A4" s="1103" t="str">
        <f>CFS!A5</f>
        <v>(All amounts are in Indian Rupees in thousands, except share data and as stated)</v>
      </c>
      <c r="B4" s="1103"/>
      <c r="C4" s="1103"/>
      <c r="D4" s="1103"/>
      <c r="E4" s="1103"/>
      <c r="F4" s="1103"/>
    </row>
    <row r="5" spans="1:6" ht="15" customHeight="1">
      <c r="A5" s="932"/>
      <c r="B5" s="932"/>
      <c r="C5" s="932"/>
      <c r="D5" s="932"/>
      <c r="E5" s="932"/>
      <c r="F5" s="932"/>
    </row>
    <row r="6" spans="1:6" ht="15" customHeight="1">
      <c r="A6" s="912" t="s">
        <v>107</v>
      </c>
      <c r="B6" s="913"/>
      <c r="C6" s="913"/>
      <c r="D6" s="913"/>
      <c r="E6" s="630"/>
      <c r="F6" s="630"/>
    </row>
    <row r="7" spans="1:6" ht="15" customHeight="1">
      <c r="A7" s="914" t="s">
        <v>22</v>
      </c>
      <c r="B7" s="159"/>
      <c r="C7" s="159"/>
      <c r="D7" s="159"/>
      <c r="E7" s="673"/>
      <c r="F7" s="915"/>
    </row>
    <row r="8" spans="1:6">
      <c r="A8" s="1106" t="s">
        <v>16</v>
      </c>
      <c r="B8" s="631"/>
      <c r="C8" s="631"/>
      <c r="D8" s="632"/>
      <c r="E8" s="633" t="s">
        <v>418</v>
      </c>
      <c r="F8" s="633" t="s">
        <v>418</v>
      </c>
    </row>
    <row r="9" spans="1:6">
      <c r="A9" s="1107"/>
      <c r="B9" s="634"/>
      <c r="C9" s="634"/>
      <c r="D9" s="635"/>
      <c r="E9" s="636">
        <v>44651</v>
      </c>
      <c r="F9" s="636">
        <v>44286</v>
      </c>
    </row>
    <row r="10" spans="1:6" ht="15" customHeight="1">
      <c r="A10" s="637"/>
      <c r="D10" s="638"/>
      <c r="E10" s="530"/>
      <c r="F10" s="639"/>
    </row>
    <row r="11" spans="1:6" ht="15" customHeight="1">
      <c r="A11" s="637" t="s">
        <v>90</v>
      </c>
      <c r="B11" s="943"/>
      <c r="C11" s="943"/>
      <c r="D11" s="640"/>
      <c r="E11" s="530"/>
      <c r="F11" s="639"/>
    </row>
    <row r="12" spans="1:6" ht="15" customHeight="1">
      <c r="A12" s="641" t="s">
        <v>1075</v>
      </c>
      <c r="B12" s="928"/>
      <c r="C12" s="928"/>
      <c r="D12" s="902"/>
      <c r="E12" s="530">
        <f>(6500000*10)</f>
        <v>65000000</v>
      </c>
      <c r="F12" s="530">
        <f>(6500000*10)</f>
        <v>65000000</v>
      </c>
    </row>
    <row r="13" spans="1:6" ht="15" customHeight="1">
      <c r="A13" s="637" t="s">
        <v>91</v>
      </c>
      <c r="B13" s="928"/>
      <c r="C13" s="928"/>
      <c r="D13" s="902"/>
      <c r="E13" s="530"/>
      <c r="F13" s="530"/>
    </row>
    <row r="14" spans="1:6" ht="15" customHeight="1">
      <c r="A14" s="641" t="s">
        <v>1155</v>
      </c>
      <c r="B14" s="928"/>
      <c r="C14" s="928"/>
      <c r="D14" s="902"/>
      <c r="E14" s="530">
        <f>D29</f>
        <v>28500000</v>
      </c>
      <c r="F14" s="530">
        <f>28500*1000</f>
        <v>28500000</v>
      </c>
    </row>
    <row r="15" spans="1:6" ht="15" customHeight="1">
      <c r="A15" s="637" t="s">
        <v>92</v>
      </c>
      <c r="B15" s="943"/>
      <c r="C15" s="943"/>
      <c r="D15" s="640"/>
      <c r="E15" s="530"/>
      <c r="F15" s="530"/>
    </row>
    <row r="16" spans="1:6" ht="15" customHeight="1">
      <c r="A16" s="641" t="s">
        <v>1154</v>
      </c>
      <c r="D16" s="638"/>
      <c r="E16" s="530">
        <f>D29</f>
        <v>28500000</v>
      </c>
      <c r="F16" s="530">
        <f>F14</f>
        <v>28500000</v>
      </c>
    </row>
    <row r="17" spans="1:7" ht="15" customHeight="1">
      <c r="A17" s="641"/>
      <c r="D17" s="638"/>
      <c r="E17" s="530"/>
      <c r="F17" s="639"/>
    </row>
    <row r="18" spans="1:7" ht="15" customHeight="1">
      <c r="A18" s="643" t="s">
        <v>93</v>
      </c>
      <c r="B18" s="644"/>
      <c r="C18" s="644"/>
      <c r="D18" s="645"/>
      <c r="E18" s="185">
        <f>SUM(E16:E17)</f>
        <v>28500000</v>
      </c>
      <c r="F18" s="185">
        <f>SUM(F16:F17)</f>
        <v>28500000</v>
      </c>
    </row>
    <row r="19" spans="1:7" ht="15" customHeight="1">
      <c r="A19" s="685"/>
      <c r="B19" s="685"/>
      <c r="C19" s="685"/>
      <c r="D19" s="685"/>
      <c r="E19" s="980"/>
      <c r="F19" s="980"/>
    </row>
    <row r="20" spans="1:7" ht="15" customHeight="1">
      <c r="A20" s="916" t="s">
        <v>1643</v>
      </c>
      <c r="B20" s="930"/>
      <c r="C20" s="930"/>
      <c r="D20" s="930"/>
      <c r="E20" s="981"/>
      <c r="F20" s="981"/>
    </row>
    <row r="21" spans="1:7" ht="58.5" customHeight="1">
      <c r="A21" s="1124" t="s">
        <v>1642</v>
      </c>
      <c r="B21" s="1124"/>
      <c r="C21" s="1124"/>
      <c r="D21" s="1124"/>
      <c r="E21" s="1124"/>
      <c r="F21" s="1124"/>
    </row>
    <row r="22" spans="1:7" ht="15" customHeight="1">
      <c r="E22" s="157"/>
      <c r="F22" s="157"/>
    </row>
    <row r="23" spans="1:7" ht="15" customHeight="1">
      <c r="A23" s="894" t="s">
        <v>103</v>
      </c>
      <c r="B23" s="159"/>
      <c r="C23" s="159"/>
      <c r="D23" s="159"/>
      <c r="E23" s="673"/>
      <c r="F23" s="673"/>
    </row>
    <row r="24" spans="1:7" ht="15" customHeight="1">
      <c r="A24" s="1116" t="s">
        <v>16</v>
      </c>
      <c r="B24" s="1117"/>
      <c r="C24" s="1114" t="s">
        <v>1249</v>
      </c>
      <c r="D24" s="1115"/>
      <c r="E24" s="1108" t="s">
        <v>1151</v>
      </c>
      <c r="F24" s="1109"/>
    </row>
    <row r="25" spans="1:7" ht="15" customHeight="1">
      <c r="A25" s="1118"/>
      <c r="B25" s="1119"/>
      <c r="C25" s="895" t="s">
        <v>89</v>
      </c>
      <c r="D25" s="184" t="s">
        <v>101</v>
      </c>
      <c r="E25" s="646" t="s">
        <v>89</v>
      </c>
      <c r="F25" s="184" t="s">
        <v>101</v>
      </c>
    </row>
    <row r="26" spans="1:7" ht="15" customHeight="1">
      <c r="A26" s="1100" t="s">
        <v>94</v>
      </c>
      <c r="B26" s="1094"/>
      <c r="C26" s="647">
        <f>+E29</f>
        <v>2850</v>
      </c>
      <c r="D26" s="648">
        <f>+C26*10000</f>
        <v>28500000</v>
      </c>
      <c r="E26" s="647">
        <v>2850</v>
      </c>
      <c r="F26" s="647">
        <f>28500*1000</f>
        <v>28500000</v>
      </c>
    </row>
    <row r="27" spans="1:7" ht="15" customHeight="1">
      <c r="A27" s="1120" t="s">
        <v>95</v>
      </c>
      <c r="B27" s="1121"/>
      <c r="C27" s="194"/>
      <c r="D27" s="648"/>
      <c r="E27" s="194">
        <v>0</v>
      </c>
      <c r="F27" s="651">
        <v>0</v>
      </c>
    </row>
    <row r="28" spans="1:7" ht="15" customHeight="1">
      <c r="A28" s="1120" t="s">
        <v>96</v>
      </c>
      <c r="B28" s="1121"/>
      <c r="C28" s="194">
        <v>0</v>
      </c>
      <c r="D28" s="652">
        <f>+C28*10</f>
        <v>0</v>
      </c>
      <c r="E28" s="194">
        <v>0</v>
      </c>
      <c r="F28" s="194">
        <v>0</v>
      </c>
    </row>
    <row r="29" spans="1:7" ht="15" customHeight="1">
      <c r="A29" s="1122" t="s">
        <v>97</v>
      </c>
      <c r="B29" s="1123"/>
      <c r="C29" s="653">
        <f>C26+C27-C28</f>
        <v>2850</v>
      </c>
      <c r="D29" s="654">
        <f>D26+D27-D28</f>
        <v>28500000</v>
      </c>
      <c r="E29" s="653">
        <v>2850</v>
      </c>
      <c r="F29" s="653">
        <f>SUM(F26:F28)</f>
        <v>28500000</v>
      </c>
    </row>
    <row r="30" spans="1:7" ht="15" customHeight="1">
      <c r="A30" s="151"/>
      <c r="B30" s="151"/>
      <c r="C30" s="151"/>
      <c r="D30" s="151"/>
      <c r="E30" s="710"/>
      <c r="F30" s="710"/>
    </row>
    <row r="31" spans="1:7" ht="15" customHeight="1">
      <c r="A31" s="949" t="s">
        <v>102</v>
      </c>
      <c r="B31" s="159"/>
      <c r="C31" s="159"/>
      <c r="D31" s="159"/>
      <c r="E31" s="673"/>
      <c r="F31" s="673"/>
    </row>
    <row r="32" spans="1:7" ht="15" customHeight="1">
      <c r="A32" s="1116" t="s">
        <v>98</v>
      </c>
      <c r="B32" s="1117"/>
      <c r="C32" s="1110" t="str">
        <f>C24</f>
        <v>As at March 31, 2022</v>
      </c>
      <c r="D32" s="1147"/>
      <c r="E32" s="1110" t="str">
        <f>E24</f>
        <v>As at March 31, 2021</v>
      </c>
      <c r="F32" s="1111"/>
      <c r="G32" s="552"/>
    </row>
    <row r="33" spans="1:8" ht="15" customHeight="1">
      <c r="A33" s="1118"/>
      <c r="B33" s="1119"/>
      <c r="C33" s="165" t="s">
        <v>99</v>
      </c>
      <c r="D33" s="655" t="s">
        <v>100</v>
      </c>
      <c r="E33" s="656" t="s">
        <v>99</v>
      </c>
      <c r="F33" s="657" t="s">
        <v>100</v>
      </c>
      <c r="G33" s="553"/>
    </row>
    <row r="34" spans="1:8" ht="15" customHeight="1">
      <c r="A34" s="1148" t="s">
        <v>248</v>
      </c>
      <c r="B34" s="1149"/>
      <c r="C34" s="658">
        <f>(145000+145000*6+1746000)/1000</f>
        <v>2761</v>
      </c>
      <c r="D34" s="659">
        <f>+C34/C29</f>
        <v>0.9687719298245614</v>
      </c>
      <c r="E34" s="658">
        <v>2761</v>
      </c>
      <c r="F34" s="659">
        <f>+E34/E29</f>
        <v>0.9687719298245614</v>
      </c>
      <c r="H34" s="554"/>
    </row>
    <row r="35" spans="1:8" ht="15" customHeight="1">
      <c r="A35" s="1100" t="s">
        <v>439</v>
      </c>
      <c r="B35" s="1094"/>
      <c r="C35" s="642">
        <f>(5000+5000*6+54000)/1000</f>
        <v>89</v>
      </c>
      <c r="D35" s="722">
        <f>+C35/C29</f>
        <v>3.1228070175438598E-2</v>
      </c>
      <c r="E35" s="642">
        <v>89</v>
      </c>
      <c r="F35" s="723">
        <f>+E35/E29</f>
        <v>3.1228070175438598E-2</v>
      </c>
      <c r="H35" s="554"/>
    </row>
    <row r="36" spans="1:8" s="621" customFormat="1" ht="15" customHeight="1">
      <c r="A36" s="1112" t="s">
        <v>93</v>
      </c>
      <c r="B36" s="1113"/>
      <c r="C36" s="660">
        <f>SUM(C34:C35)</f>
        <v>2850</v>
      </c>
      <c r="D36" s="661">
        <f>SUM(D34:D35)</f>
        <v>1</v>
      </c>
      <c r="E36" s="662">
        <f>SUM(E34:E35)</f>
        <v>2850</v>
      </c>
      <c r="F36" s="661">
        <f>SUM(F34:F35)</f>
        <v>1</v>
      </c>
    </row>
    <row r="37" spans="1:8" s="621" customFormat="1" ht="15" customHeight="1">
      <c r="A37" s="950"/>
      <c r="B37" s="950"/>
      <c r="C37" s="951"/>
      <c r="D37" s="952"/>
      <c r="E37" s="953"/>
      <c r="F37" s="952"/>
    </row>
    <row r="38" spans="1:8" ht="15" customHeight="1">
      <c r="A38" s="949" t="s">
        <v>1512</v>
      </c>
      <c r="B38" s="949"/>
      <c r="C38" s="949"/>
      <c r="D38" s="949"/>
      <c r="E38" s="949"/>
      <c r="F38" s="949"/>
      <c r="G38" s="954"/>
    </row>
    <row r="39" spans="1:8" ht="26.25" customHeight="1">
      <c r="A39" s="982" t="s">
        <v>1513</v>
      </c>
      <c r="B39" s="616" t="s">
        <v>1514</v>
      </c>
      <c r="C39" s="617" t="s">
        <v>1515</v>
      </c>
      <c r="D39" s="616" t="s">
        <v>1514</v>
      </c>
      <c r="E39" s="617" t="s">
        <v>1515</v>
      </c>
      <c r="F39" s="617" t="s">
        <v>1516</v>
      </c>
    </row>
    <row r="40" spans="1:8" ht="15" customHeight="1">
      <c r="A40" s="983" t="s">
        <v>248</v>
      </c>
      <c r="B40" s="658">
        <f>C34</f>
        <v>2761</v>
      </c>
      <c r="C40" s="622">
        <f>B40/B42</f>
        <v>0.9687719298245614</v>
      </c>
      <c r="D40" s="658">
        <f>(145000+145000*6+1746000)/1000</f>
        <v>2761</v>
      </c>
      <c r="E40" s="622">
        <f>D40/D42</f>
        <v>0.9687719298245614</v>
      </c>
      <c r="F40" s="618" t="s">
        <v>1517</v>
      </c>
    </row>
    <row r="41" spans="1:8" ht="15" customHeight="1">
      <c r="A41" s="983" t="s">
        <v>439</v>
      </c>
      <c r="B41" s="642">
        <f>C35</f>
        <v>89</v>
      </c>
      <c r="C41" s="619">
        <f>B41/B42</f>
        <v>3.1228070175438598E-2</v>
      </c>
      <c r="D41" s="642">
        <f>(5000+5000*6+54000)/1000</f>
        <v>89</v>
      </c>
      <c r="E41" s="619">
        <f>D41/D42</f>
        <v>3.1228070175438598E-2</v>
      </c>
      <c r="F41" s="620" t="s">
        <v>1517</v>
      </c>
    </row>
    <row r="42" spans="1:8" ht="15" customHeight="1">
      <c r="A42" s="984" t="s">
        <v>35</v>
      </c>
      <c r="B42" s="955">
        <f>SUM(B40:B41)</f>
        <v>2850</v>
      </c>
      <c r="C42" s="956">
        <f>SUM(C40:C41)</f>
        <v>1</v>
      </c>
      <c r="D42" s="955">
        <f>SUM(D40:D41)</f>
        <v>2850</v>
      </c>
      <c r="E42" s="956">
        <f>SUM(E40:E41)</f>
        <v>1</v>
      </c>
      <c r="F42" s="957">
        <f>SUM(F40:F41)</f>
        <v>0</v>
      </c>
    </row>
    <row r="43" spans="1:8" ht="15" customHeight="1">
      <c r="A43" s="151"/>
      <c r="B43" s="151"/>
      <c r="C43" s="151"/>
      <c r="D43" s="151"/>
      <c r="E43" s="710"/>
      <c r="F43" s="710"/>
    </row>
    <row r="44" spans="1:8" ht="15" customHeight="1">
      <c r="A44" s="931" t="s">
        <v>108</v>
      </c>
    </row>
    <row r="45" spans="1:8" ht="15" customHeight="1">
      <c r="A45" s="1105" t="s">
        <v>24</v>
      </c>
      <c r="B45" s="1105"/>
      <c r="C45" s="1105"/>
      <c r="D45" s="1105"/>
      <c r="E45" s="1105"/>
      <c r="F45" s="1105"/>
    </row>
    <row r="46" spans="1:8" ht="29.25" customHeight="1">
      <c r="A46" s="893" t="s">
        <v>16</v>
      </c>
      <c r="B46" s="663"/>
      <c r="C46" s="663"/>
      <c r="D46" s="664"/>
      <c r="E46" s="665" t="str">
        <f>C32</f>
        <v>As at March 31, 2022</v>
      </c>
      <c r="F46" s="665" t="str">
        <f>E32</f>
        <v>As at March 31, 2021</v>
      </c>
    </row>
    <row r="47" spans="1:8">
      <c r="A47" s="669"/>
      <c r="B47" s="944"/>
      <c r="C47" s="944"/>
      <c r="D47" s="666"/>
      <c r="E47" s="668"/>
      <c r="F47" s="668"/>
    </row>
    <row r="48" spans="1:8" ht="15" customHeight="1">
      <c r="A48" s="641" t="s">
        <v>369</v>
      </c>
      <c r="B48" s="944"/>
      <c r="C48" s="944"/>
      <c r="D48" s="973" t="s">
        <v>112</v>
      </c>
      <c r="E48" s="667">
        <f>'Link Sheet'!C8</f>
        <v>16200</v>
      </c>
      <c r="F48" s="667">
        <v>16200</v>
      </c>
    </row>
    <row r="49" spans="1:7" ht="15" customHeight="1">
      <c r="A49" s="669"/>
      <c r="B49" s="944"/>
      <c r="C49" s="944"/>
      <c r="D49" s="973"/>
      <c r="E49" s="668"/>
      <c r="F49" s="668"/>
    </row>
    <row r="50" spans="1:7" ht="15" customHeight="1">
      <c r="A50" s="155" t="s">
        <v>141</v>
      </c>
      <c r="B50" s="928"/>
      <c r="C50" s="928"/>
      <c r="D50" s="974"/>
      <c r="E50" s="530"/>
      <c r="F50" s="530"/>
    </row>
    <row r="51" spans="1:7" ht="15" customHeight="1">
      <c r="A51" s="641" t="s">
        <v>105</v>
      </c>
      <c r="B51" s="928"/>
      <c r="C51" s="928"/>
      <c r="D51" s="974"/>
      <c r="E51" s="530">
        <f>F54</f>
        <v>39257.514565286903</v>
      </c>
      <c r="F51" s="530">
        <v>37193.814649960404</v>
      </c>
    </row>
    <row r="52" spans="1:7" ht="15" hidden="1" customHeight="1">
      <c r="A52" s="641" t="s">
        <v>723</v>
      </c>
      <c r="B52" s="928"/>
      <c r="C52" s="928"/>
      <c r="D52" s="974"/>
      <c r="E52" s="530">
        <v>0</v>
      </c>
      <c r="F52" s="530">
        <v>0</v>
      </c>
    </row>
    <row r="53" spans="1:7" ht="15" customHeight="1">
      <c r="A53" s="641" t="s">
        <v>106</v>
      </c>
      <c r="B53" s="928"/>
      <c r="C53" s="928"/>
      <c r="D53" s="974"/>
      <c r="E53" s="530">
        <f>PL!E27</f>
        <v>7892.1153236858127</v>
      </c>
      <c r="F53" s="530">
        <v>2063.6999153264974</v>
      </c>
    </row>
    <row r="54" spans="1:7" ht="15" customHeight="1">
      <c r="A54" s="641"/>
      <c r="B54" s="928"/>
      <c r="C54" s="928"/>
      <c r="D54" s="974" t="s">
        <v>160</v>
      </c>
      <c r="E54" s="185">
        <f>SUM(E51:E53)</f>
        <v>47149.629888972719</v>
      </c>
      <c r="F54" s="185">
        <f>(SUM(F51:F53))</f>
        <v>39257.514565286903</v>
      </c>
    </row>
    <row r="55" spans="1:7" ht="15" customHeight="1">
      <c r="A55" s="641"/>
      <c r="B55" s="928"/>
      <c r="C55" s="928"/>
      <c r="D55" s="974"/>
      <c r="E55" s="530"/>
      <c r="F55" s="530"/>
    </row>
    <row r="56" spans="1:7" ht="15" customHeight="1">
      <c r="A56" s="670" t="s">
        <v>104</v>
      </c>
      <c r="B56" s="671"/>
      <c r="C56" s="671"/>
      <c r="D56" s="975" t="s">
        <v>1638</v>
      </c>
      <c r="E56" s="185">
        <f>E54+E48</f>
        <v>63349.629888972719</v>
      </c>
      <c r="F56" s="185">
        <f>F54+F48</f>
        <v>55457.514565286903</v>
      </c>
    </row>
    <row r="57" spans="1:7" ht="15" customHeight="1">
      <c r="A57" s="685"/>
      <c r="B57" s="685"/>
      <c r="C57" s="685"/>
      <c r="D57" s="685"/>
      <c r="E57" s="532"/>
      <c r="F57" s="532"/>
    </row>
    <row r="58" spans="1:7" ht="15" customHeight="1">
      <c r="A58" s="930"/>
      <c r="B58" s="930"/>
      <c r="C58" s="930"/>
      <c r="D58" s="930"/>
      <c r="E58" s="977"/>
      <c r="F58" s="977"/>
    </row>
    <row r="59" spans="1:7" ht="15" customHeight="1">
      <c r="A59" s="931" t="s">
        <v>109</v>
      </c>
    </row>
    <row r="60" spans="1:7" ht="15" customHeight="1">
      <c r="A60" s="894" t="s">
        <v>155</v>
      </c>
      <c r="B60" s="159"/>
      <c r="C60" s="159"/>
      <c r="D60" s="159"/>
      <c r="E60" s="673"/>
      <c r="F60" s="673"/>
    </row>
    <row r="61" spans="1:7" ht="27" customHeight="1">
      <c r="A61" s="893" t="s">
        <v>16</v>
      </c>
      <c r="B61" s="663"/>
      <c r="C61" s="663"/>
      <c r="D61" s="664"/>
      <c r="E61" s="665" t="str">
        <f>+$E$46</f>
        <v>As at March 31, 2022</v>
      </c>
      <c r="F61" s="665" t="str">
        <f>+$F$46</f>
        <v>As at March 31, 2021</v>
      </c>
      <c r="G61" s="555"/>
    </row>
    <row r="62" spans="1:7" ht="15" customHeight="1">
      <c r="A62" s="637"/>
      <c r="D62" s="638"/>
      <c r="E62" s="530"/>
      <c r="F62" s="674"/>
    </row>
    <row r="63" spans="1:7" ht="15" customHeight="1">
      <c r="A63" s="637" t="s">
        <v>281</v>
      </c>
      <c r="D63" s="638"/>
      <c r="E63" s="530"/>
      <c r="F63" s="530"/>
    </row>
    <row r="64" spans="1:7" ht="15" customHeight="1">
      <c r="A64" s="1142" t="s">
        <v>1014</v>
      </c>
      <c r="B64" s="1143"/>
      <c r="C64" s="1143"/>
      <c r="D64" s="1144"/>
      <c r="E64" s="639">
        <f>-SUM('Link Sheet'!D14:D15)-E105</f>
        <v>486.60840669360402</v>
      </c>
      <c r="F64" s="639">
        <v>209.6</v>
      </c>
    </row>
    <row r="65" spans="1:6" s="556" customFormat="1" ht="30.75" customHeight="1">
      <c r="A65" s="1142" t="s">
        <v>1550</v>
      </c>
      <c r="B65" s="1143"/>
      <c r="C65" s="1143"/>
      <c r="D65" s="1144"/>
      <c r="E65" s="639">
        <f>-SUM('Link Sheet'!D18:D21)-E106</f>
        <v>135912.36538</v>
      </c>
      <c r="F65" s="639">
        <v>163060.98199999999</v>
      </c>
    </row>
    <row r="66" spans="1:6" ht="15" customHeight="1">
      <c r="A66" s="155" t="s">
        <v>397</v>
      </c>
      <c r="B66" s="916"/>
      <c r="C66" s="916"/>
      <c r="D66" s="675"/>
      <c r="E66" s="530"/>
      <c r="F66" s="177"/>
    </row>
    <row r="67" spans="1:6" ht="15" customHeight="1">
      <c r="A67" s="724" t="s">
        <v>990</v>
      </c>
      <c r="B67" s="916"/>
      <c r="C67" s="916"/>
      <c r="D67" s="675"/>
      <c r="E67" s="530">
        <v>0</v>
      </c>
      <c r="F67" s="530">
        <v>96.865510000000015</v>
      </c>
    </row>
    <row r="68" spans="1:6" ht="15" customHeight="1">
      <c r="A68" s="676" t="s">
        <v>647</v>
      </c>
      <c r="B68" s="916"/>
      <c r="C68" s="916"/>
      <c r="D68" s="675"/>
      <c r="E68" s="530">
        <v>0</v>
      </c>
      <c r="F68" s="530">
        <v>12.285919999999983</v>
      </c>
    </row>
    <row r="69" spans="1:6" ht="15" customHeight="1">
      <c r="A69" s="676"/>
      <c r="B69" s="916"/>
      <c r="C69" s="916"/>
      <c r="D69" s="675"/>
      <c r="E69" s="530"/>
      <c r="F69" s="530"/>
    </row>
    <row r="70" spans="1:6" ht="15" customHeight="1">
      <c r="A70" s="643" t="s">
        <v>93</v>
      </c>
      <c r="B70" s="644"/>
      <c r="C70" s="644"/>
      <c r="D70" s="645"/>
      <c r="E70" s="655">
        <f>SUM(E64:E69)</f>
        <v>136398.97378669362</v>
      </c>
      <c r="F70" s="655">
        <f>SUM(F62:F69)</f>
        <v>163379.73342999999</v>
      </c>
    </row>
    <row r="71" spans="1:6" ht="15" customHeight="1">
      <c r="A71" s="945"/>
      <c r="B71" s="945"/>
      <c r="C71" s="945"/>
      <c r="D71" s="945"/>
      <c r="E71" s="970"/>
      <c r="F71" s="945"/>
    </row>
    <row r="72" spans="1:6" ht="15" customHeight="1">
      <c r="A72" s="931" t="s">
        <v>110</v>
      </c>
    </row>
    <row r="73" spans="1:6" ht="15" customHeight="1">
      <c r="A73" s="894" t="s">
        <v>716</v>
      </c>
      <c r="B73" s="159"/>
      <c r="C73" s="159"/>
      <c r="D73" s="159"/>
      <c r="E73" s="673"/>
      <c r="F73" s="673"/>
    </row>
    <row r="74" spans="1:6">
      <c r="A74" s="960" t="s">
        <v>16</v>
      </c>
      <c r="B74" s="159"/>
      <c r="C74" s="159"/>
      <c r="D74" s="159"/>
      <c r="E74" s="959" t="str">
        <f>+$E$46</f>
        <v>As at March 31, 2022</v>
      </c>
      <c r="F74" s="961" t="str">
        <f>+$F$46</f>
        <v>As at March 31, 2021</v>
      </c>
    </row>
    <row r="75" spans="1:6" ht="15" customHeight="1">
      <c r="A75" s="680"/>
      <c r="B75" s="944"/>
      <c r="C75" s="944"/>
      <c r="D75" s="666"/>
      <c r="E75" s="177"/>
      <c r="F75" s="180"/>
    </row>
    <row r="76" spans="1:6" ht="15" customHeight="1">
      <c r="A76" s="637" t="s">
        <v>964</v>
      </c>
      <c r="D76" s="638"/>
      <c r="E76" s="530"/>
      <c r="F76" s="530"/>
    </row>
    <row r="77" spans="1:6" ht="15" customHeight="1">
      <c r="A77" s="681" t="s">
        <v>965</v>
      </c>
      <c r="B77" s="929"/>
      <c r="C77" s="929"/>
      <c r="D77" s="682"/>
      <c r="E77" s="530">
        <f>-'Def Tax'!D18/1000</f>
        <v>3088.1816774118615</v>
      </c>
      <c r="F77" s="530">
        <v>4666.3068533394289</v>
      </c>
    </row>
    <row r="78" spans="1:6" ht="15" customHeight="1">
      <c r="A78" s="681" t="s">
        <v>125</v>
      </c>
      <c r="B78" s="929"/>
      <c r="C78" s="929"/>
      <c r="D78" s="682"/>
      <c r="E78" s="530"/>
      <c r="F78" s="530"/>
    </row>
    <row r="79" spans="1:6" ht="15" customHeight="1">
      <c r="A79" s="188" t="s">
        <v>126</v>
      </c>
      <c r="B79" s="929"/>
      <c r="C79" s="929"/>
      <c r="D79" s="682"/>
      <c r="E79" s="655">
        <f>SUM(E77:E78)</f>
        <v>3088.1816774118615</v>
      </c>
      <c r="F79" s="655">
        <f>SUM(F77:F78)</f>
        <v>4666.3068533394289</v>
      </c>
    </row>
    <row r="80" spans="1:6" ht="15" customHeight="1">
      <c r="A80" s="188"/>
      <c r="B80" s="929"/>
      <c r="C80" s="929"/>
      <c r="D80" s="682"/>
      <c r="E80" s="683"/>
      <c r="F80" s="683"/>
    </row>
    <row r="81" spans="1:6" ht="15" customHeight="1">
      <c r="A81" s="637" t="s">
        <v>966</v>
      </c>
      <c r="B81" s="929"/>
      <c r="C81" s="929"/>
      <c r="D81" s="682"/>
      <c r="E81" s="530"/>
      <c r="F81" s="530"/>
    </row>
    <row r="82" spans="1:6" ht="15" customHeight="1">
      <c r="A82" s="681" t="s">
        <v>965</v>
      </c>
      <c r="B82" s="929"/>
      <c r="C82" s="929"/>
      <c r="D82" s="682"/>
      <c r="E82" s="530">
        <v>0</v>
      </c>
      <c r="F82" s="530">
        <v>0</v>
      </c>
    </row>
    <row r="83" spans="1:6" ht="15" customHeight="1">
      <c r="A83" s="684" t="s">
        <v>125</v>
      </c>
      <c r="B83" s="928"/>
      <c r="C83" s="928"/>
      <c r="D83" s="902"/>
      <c r="E83" s="530">
        <f>'Def Tax'!D21/1000</f>
        <v>206.6920284</v>
      </c>
      <c r="F83" s="530">
        <v>0</v>
      </c>
    </row>
    <row r="84" spans="1:6" ht="15" customHeight="1">
      <c r="A84" s="188" t="s">
        <v>127</v>
      </c>
      <c r="B84" s="929"/>
      <c r="C84" s="929"/>
      <c r="D84" s="682"/>
      <c r="E84" s="185">
        <f>SUM(E82:E83)</f>
        <v>206.6920284</v>
      </c>
      <c r="F84" s="185">
        <f>SUM(F82:F83)</f>
        <v>0</v>
      </c>
    </row>
    <row r="85" spans="1:6" ht="15" customHeight="1">
      <c r="A85" s="179"/>
      <c r="B85" s="929"/>
      <c r="C85" s="929"/>
      <c r="D85" s="682"/>
      <c r="E85" s="530"/>
      <c r="F85" s="530"/>
    </row>
    <row r="86" spans="1:6" ht="15" customHeight="1">
      <c r="A86" s="643" t="s">
        <v>995</v>
      </c>
      <c r="B86" s="644"/>
      <c r="C86" s="644"/>
      <c r="D86" s="645"/>
      <c r="E86" s="655">
        <f>E79-E84</f>
        <v>2881.4896490118617</v>
      </c>
      <c r="F86" s="655">
        <f>F79-F84</f>
        <v>4666.3068533394289</v>
      </c>
    </row>
    <row r="87" spans="1:6" ht="15" customHeight="1">
      <c r="A87" s="685"/>
      <c r="B87" s="685"/>
      <c r="C87" s="685"/>
      <c r="D87" s="685"/>
      <c r="E87" s="686"/>
      <c r="F87" s="686"/>
    </row>
    <row r="88" spans="1:6" ht="15" customHeight="1">
      <c r="A88" s="931" t="s">
        <v>157</v>
      </c>
      <c r="B88" s="930"/>
      <c r="C88" s="930"/>
      <c r="D88" s="930"/>
      <c r="E88" s="583"/>
      <c r="F88" s="583"/>
    </row>
    <row r="89" spans="1:6" ht="15" customHeight="1">
      <c r="A89" s="894" t="s">
        <v>1024</v>
      </c>
      <c r="B89" s="687"/>
      <c r="C89" s="687"/>
      <c r="D89" s="687"/>
      <c r="E89" s="687"/>
      <c r="F89" s="687"/>
    </row>
    <row r="90" spans="1:6">
      <c r="A90" s="677" t="s">
        <v>16</v>
      </c>
      <c r="B90" s="678"/>
      <c r="C90" s="678"/>
      <c r="D90" s="679"/>
      <c r="E90" s="665" t="str">
        <f>+$E$46</f>
        <v>As at March 31, 2022</v>
      </c>
      <c r="F90" s="665" t="str">
        <f>+$F$46</f>
        <v>As at March 31, 2021</v>
      </c>
    </row>
    <row r="91" spans="1:6" ht="15" customHeight="1">
      <c r="A91" s="637"/>
      <c r="D91" s="638"/>
      <c r="E91" s="530"/>
      <c r="F91" s="530"/>
    </row>
    <row r="92" spans="1:6" ht="15" customHeight="1">
      <c r="A92" s="899" t="s">
        <v>1025</v>
      </c>
      <c r="B92" s="929"/>
      <c r="C92" s="929"/>
      <c r="D92" s="682"/>
      <c r="E92" s="178">
        <f>'Link Sheet'!C30</f>
        <v>742.96199999999999</v>
      </c>
      <c r="F92" s="639">
        <v>742.96199999999999</v>
      </c>
    </row>
    <row r="93" spans="1:6" ht="15" customHeight="1">
      <c r="A93" s="899"/>
      <c r="B93" s="929"/>
      <c r="C93" s="929"/>
      <c r="D93" s="682"/>
      <c r="E93" s="639"/>
      <c r="F93" s="639"/>
    </row>
    <row r="94" spans="1:6" ht="15" customHeight="1">
      <c r="A94" s="643" t="s">
        <v>93</v>
      </c>
      <c r="B94" s="644"/>
      <c r="C94" s="644"/>
      <c r="D94" s="645"/>
      <c r="E94" s="655">
        <f>SUM(E91:E93)</f>
        <v>742.96199999999999</v>
      </c>
      <c r="F94" s="655">
        <f>SUM(F91:F93)</f>
        <v>742.96199999999999</v>
      </c>
    </row>
    <row r="95" spans="1:6" ht="15" customHeight="1">
      <c r="A95" s="685"/>
      <c r="B95" s="685"/>
      <c r="C95" s="685"/>
      <c r="D95" s="685"/>
      <c r="E95" s="686"/>
      <c r="F95" s="686"/>
    </row>
    <row r="96" spans="1:6" ht="15" customHeight="1">
      <c r="A96" s="931" t="s">
        <v>1542</v>
      </c>
      <c r="B96" s="930"/>
      <c r="C96" s="930"/>
      <c r="D96" s="930"/>
      <c r="E96" s="583"/>
      <c r="F96" s="583"/>
    </row>
    <row r="97" spans="1:6" ht="15" customHeight="1">
      <c r="A97" s="894" t="s">
        <v>156</v>
      </c>
      <c r="B97" s="687"/>
      <c r="C97" s="687"/>
      <c r="D97" s="687"/>
      <c r="E97" s="687"/>
      <c r="F97" s="687"/>
    </row>
    <row r="98" spans="1:6">
      <c r="A98" s="677" t="s">
        <v>16</v>
      </c>
      <c r="B98" s="678"/>
      <c r="C98" s="678"/>
      <c r="D98" s="679"/>
      <c r="E98" s="665" t="str">
        <f>+$E$46</f>
        <v>As at March 31, 2022</v>
      </c>
      <c r="F98" s="665" t="str">
        <f>+$F$46</f>
        <v>As at March 31, 2021</v>
      </c>
    </row>
    <row r="99" spans="1:6" ht="15" customHeight="1">
      <c r="A99" s="637"/>
      <c r="D99" s="638"/>
      <c r="E99" s="530"/>
      <c r="F99" s="530"/>
    </row>
    <row r="100" spans="1:6" ht="15" customHeight="1">
      <c r="A100" s="1145" t="s">
        <v>1029</v>
      </c>
      <c r="B100" s="1124"/>
      <c r="C100" s="1124"/>
      <c r="D100" s="1146"/>
      <c r="E100" s="639">
        <f>-SUM('Link Sheet'!D33)</f>
        <v>37687.911659999998</v>
      </c>
      <c r="F100" s="639">
        <v>32361.687000000002</v>
      </c>
    </row>
    <row r="101" spans="1:6" ht="15" customHeight="1">
      <c r="A101" s="899" t="s">
        <v>1030</v>
      </c>
      <c r="B101" s="946"/>
      <c r="C101" s="946"/>
      <c r="D101" s="900"/>
      <c r="E101" s="688"/>
      <c r="F101" s="639"/>
    </row>
    <row r="102" spans="1:6" ht="15" customHeight="1">
      <c r="A102" s="899" t="s">
        <v>1536</v>
      </c>
      <c r="B102" s="946"/>
      <c r="C102" s="946"/>
      <c r="D102" s="900"/>
      <c r="E102" s="688">
        <f>'Link Sheet'!C34</f>
        <v>29505.834500000001</v>
      </c>
      <c r="F102" s="639"/>
    </row>
    <row r="103" spans="1:6" ht="15" customHeight="1">
      <c r="A103" s="899"/>
      <c r="B103" s="946"/>
      <c r="C103" s="946"/>
      <c r="D103" s="900"/>
      <c r="E103" s="688"/>
      <c r="F103" s="639"/>
    </row>
    <row r="104" spans="1:6" ht="15" customHeight="1">
      <c r="A104" s="637" t="s">
        <v>281</v>
      </c>
      <c r="D104" s="638"/>
      <c r="E104" s="530"/>
      <c r="F104" s="530"/>
    </row>
    <row r="105" spans="1:6" ht="15" customHeight="1">
      <c r="A105" s="1142" t="s">
        <v>1014</v>
      </c>
      <c r="B105" s="1143"/>
      <c r="C105" s="1143"/>
      <c r="D105" s="1144"/>
      <c r="E105" s="530">
        <f>406054.593306396/1000</f>
        <v>406.05459330639599</v>
      </c>
      <c r="F105" s="530">
        <v>331.33800000000002</v>
      </c>
    </row>
    <row r="106" spans="1:6" s="556" customFormat="1" ht="29.25" customHeight="1">
      <c r="A106" s="1142" t="s">
        <v>1543</v>
      </c>
      <c r="B106" s="1143"/>
      <c r="C106" s="1143"/>
      <c r="D106" s="1144"/>
      <c r="E106" s="639">
        <f>40104000/1000</f>
        <v>40104</v>
      </c>
      <c r="F106" s="639">
        <v>27600</v>
      </c>
    </row>
    <row r="107" spans="1:6" ht="15" customHeight="1">
      <c r="A107" s="155" t="s">
        <v>397</v>
      </c>
      <c r="B107" s="916"/>
      <c r="C107" s="916"/>
      <c r="D107" s="675"/>
      <c r="E107" s="530"/>
      <c r="F107" s="530"/>
    </row>
    <row r="108" spans="1:6" ht="15" customHeight="1">
      <c r="A108" s="724" t="s">
        <v>990</v>
      </c>
      <c r="B108" s="929"/>
      <c r="C108" s="929"/>
      <c r="D108" s="682"/>
      <c r="E108" s="530">
        <v>0</v>
      </c>
      <c r="F108" s="530">
        <f>1155762/1000</f>
        <v>1155.7619999999999</v>
      </c>
    </row>
    <row r="109" spans="1:6" ht="15" customHeight="1">
      <c r="A109" s="676" t="s">
        <v>647</v>
      </c>
      <c r="B109" s="929"/>
      <c r="C109" s="929"/>
      <c r="D109" s="682"/>
      <c r="E109" s="530">
        <v>0</v>
      </c>
      <c r="F109" s="530">
        <v>448</v>
      </c>
    </row>
    <row r="110" spans="1:6" ht="15" customHeight="1">
      <c r="A110" s="899"/>
      <c r="B110" s="929"/>
      <c r="C110" s="929"/>
      <c r="D110" s="682"/>
      <c r="F110" s="639"/>
    </row>
    <row r="111" spans="1:6" ht="15" customHeight="1">
      <c r="A111" s="643" t="s">
        <v>93</v>
      </c>
      <c r="B111" s="644"/>
      <c r="C111" s="644"/>
      <c r="D111" s="645"/>
      <c r="E111" s="655">
        <f>SUM(E100:E109)</f>
        <v>107703.80075330639</v>
      </c>
      <c r="F111" s="655">
        <f>SUM(F100:F109)</f>
        <v>61896.787000000004</v>
      </c>
    </row>
    <row r="112" spans="1:6" ht="15" customHeight="1">
      <c r="A112" s="958"/>
      <c r="B112" s="958"/>
      <c r="C112" s="958"/>
      <c r="D112" s="958"/>
      <c r="E112" s="958"/>
      <c r="F112" s="958"/>
    </row>
    <row r="113" spans="1:9" ht="15" customHeight="1">
      <c r="A113" s="945"/>
      <c r="B113" s="945"/>
      <c r="C113" s="945"/>
      <c r="D113" s="945"/>
      <c r="E113" s="945"/>
      <c r="F113" s="945"/>
    </row>
    <row r="114" spans="1:9" ht="15" customHeight="1">
      <c r="A114" s="931" t="s">
        <v>283</v>
      </c>
      <c r="B114" s="945"/>
      <c r="C114" s="945"/>
      <c r="D114" s="945"/>
      <c r="E114" s="945"/>
      <c r="F114" s="945"/>
    </row>
    <row r="115" spans="1:9" ht="15" customHeight="1">
      <c r="A115" s="962" t="s">
        <v>124</v>
      </c>
      <c r="B115" s="159"/>
      <c r="C115" s="159"/>
      <c r="D115" s="159"/>
      <c r="E115" s="673"/>
      <c r="F115" s="673"/>
    </row>
    <row r="116" spans="1:9">
      <c r="A116" s="893" t="s">
        <v>16</v>
      </c>
      <c r="B116" s="663"/>
      <c r="C116" s="663"/>
      <c r="D116" s="664"/>
      <c r="E116" s="665" t="str">
        <f>+$E$46</f>
        <v>As at March 31, 2022</v>
      </c>
      <c r="F116" s="665" t="str">
        <f>+$F$46</f>
        <v>As at March 31, 2021</v>
      </c>
    </row>
    <row r="117" spans="1:9" ht="15" customHeight="1">
      <c r="A117" s="637"/>
      <c r="D117" s="638"/>
      <c r="E117" s="530"/>
      <c r="F117" s="530"/>
    </row>
    <row r="118" spans="1:9" ht="15" customHeight="1">
      <c r="A118" s="899" t="s">
        <v>149</v>
      </c>
      <c r="B118" s="946"/>
      <c r="C118" s="946"/>
      <c r="D118" s="900"/>
      <c r="E118" s="530">
        <f>'Link Sheet'!C38</f>
        <v>7419.6565599999994</v>
      </c>
      <c r="F118" s="530">
        <v>3018.0775600000002</v>
      </c>
    </row>
    <row r="119" spans="1:9" ht="15" customHeight="1">
      <c r="A119" s="899" t="s">
        <v>1139</v>
      </c>
      <c r="B119" s="946"/>
      <c r="C119" s="946"/>
      <c r="D119" s="900"/>
      <c r="E119" s="530">
        <f>-SUM('Link Sheet'!D40:D42)</f>
        <v>1725.9600000000003</v>
      </c>
      <c r="F119" s="530">
        <v>3558.8159999999998</v>
      </c>
    </row>
    <row r="120" spans="1:9" ht="15" customHeight="1">
      <c r="A120" s="899" t="s">
        <v>1533</v>
      </c>
      <c r="B120" s="946"/>
      <c r="C120" s="946"/>
      <c r="D120" s="900"/>
      <c r="E120" s="530">
        <f>ABS(SUM('Link Sheet'!D44:D101))</f>
        <v>67715.609000000011</v>
      </c>
      <c r="F120" s="530">
        <v>0</v>
      </c>
    </row>
    <row r="121" spans="1:9" ht="15" customHeight="1">
      <c r="A121" s="899" t="s">
        <v>273</v>
      </c>
      <c r="B121" s="946"/>
      <c r="C121" s="946"/>
      <c r="D121" s="900"/>
      <c r="E121" s="530">
        <f>-SUM('Link Sheet'!D103:D168)</f>
        <v>4894.8419999999996</v>
      </c>
      <c r="F121" s="530">
        <v>60677.839379999998</v>
      </c>
    </row>
    <row r="122" spans="1:9" ht="15" customHeight="1">
      <c r="A122" s="899"/>
      <c r="B122" s="946"/>
      <c r="C122" s="946"/>
      <c r="D122" s="900"/>
      <c r="E122" s="530"/>
      <c r="F122" s="530"/>
      <c r="G122" s="557"/>
    </row>
    <row r="123" spans="1:9" ht="15" customHeight="1">
      <c r="A123" s="643" t="s">
        <v>93</v>
      </c>
      <c r="B123" s="644"/>
      <c r="C123" s="644"/>
      <c r="D123" s="645"/>
      <c r="E123" s="655">
        <f>SUM(E118:E121)</f>
        <v>81756.06756000001</v>
      </c>
      <c r="F123" s="655">
        <f>SUM(F118:F121)</f>
        <v>67254.732940000002</v>
      </c>
      <c r="G123" s="557"/>
    </row>
    <row r="124" spans="1:9" ht="12.75" customHeight="1">
      <c r="A124" s="685"/>
      <c r="B124" s="685"/>
      <c r="C124" s="685"/>
      <c r="D124" s="685"/>
      <c r="E124" s="686"/>
      <c r="F124" s="686"/>
      <c r="G124" s="557"/>
    </row>
    <row r="125" spans="1:9" ht="15" customHeight="1">
      <c r="A125" s="1150" t="s">
        <v>1493</v>
      </c>
      <c r="B125" s="1150"/>
      <c r="C125" s="1150"/>
      <c r="D125" s="1150"/>
      <c r="E125" s="1150"/>
      <c r="F125" s="1150"/>
      <c r="G125" s="599"/>
      <c r="H125" s="599"/>
    </row>
    <row r="126" spans="1:9" ht="15" customHeight="1">
      <c r="A126" s="1132" t="s">
        <v>16</v>
      </c>
      <c r="B126" s="1133"/>
      <c r="C126" s="1137" t="s">
        <v>1494</v>
      </c>
      <c r="D126" s="1137"/>
      <c r="E126" s="1137"/>
      <c r="F126" s="1138"/>
      <c r="G126" s="558"/>
    </row>
    <row r="127" spans="1:9" ht="27" customHeight="1">
      <c r="A127" s="1134"/>
      <c r="B127" s="1135"/>
      <c r="C127" s="725" t="s">
        <v>1495</v>
      </c>
      <c r="D127" s="726" t="s">
        <v>1496</v>
      </c>
      <c r="E127" s="726" t="s">
        <v>1497</v>
      </c>
      <c r="F127" s="727" t="s">
        <v>1498</v>
      </c>
      <c r="G127" s="558"/>
    </row>
    <row r="128" spans="1:9" ht="15" customHeight="1">
      <c r="A128" s="1126" t="s">
        <v>1499</v>
      </c>
      <c r="B128" s="1127"/>
      <c r="C128" s="607">
        <v>0</v>
      </c>
      <c r="D128" s="592">
        <v>0</v>
      </c>
      <c r="E128" s="592">
        <v>0</v>
      </c>
      <c r="F128" s="592">
        <v>0</v>
      </c>
      <c r="G128" s="558"/>
      <c r="H128" s="554"/>
      <c r="I128" s="557"/>
    </row>
    <row r="129" spans="1:8" ht="15" customHeight="1">
      <c r="A129" s="1126" t="s">
        <v>1500</v>
      </c>
      <c r="B129" s="1127"/>
      <c r="C129" s="608">
        <f>79153319/1000</f>
        <v>79153.319000000003</v>
      </c>
      <c r="D129" s="595">
        <f>337761/1000</f>
        <v>337.76100000000002</v>
      </c>
      <c r="E129" s="595">
        <f>1044249/1000</f>
        <v>1044.249</v>
      </c>
      <c r="F129" s="947">
        <f>1220738.56/1000</f>
        <v>1220.73856</v>
      </c>
      <c r="G129" s="558"/>
    </row>
    <row r="130" spans="1:8" ht="15" customHeight="1">
      <c r="A130" s="1126" t="s">
        <v>1501</v>
      </c>
      <c r="B130" s="1127"/>
      <c r="C130" s="609">
        <v>0</v>
      </c>
      <c r="D130" s="595">
        <v>0</v>
      </c>
      <c r="E130" s="595">
        <v>0</v>
      </c>
      <c r="F130" s="593">
        <v>0</v>
      </c>
      <c r="G130" s="558"/>
    </row>
    <row r="131" spans="1:8" ht="15" customHeight="1">
      <c r="A131" s="1128" t="s">
        <v>1502</v>
      </c>
      <c r="B131" s="1129"/>
      <c r="C131" s="610">
        <v>0</v>
      </c>
      <c r="D131" s="597">
        <v>0</v>
      </c>
      <c r="E131" s="595">
        <v>0</v>
      </c>
      <c r="F131" s="593">
        <v>0</v>
      </c>
      <c r="G131" s="558"/>
    </row>
    <row r="132" spans="1:8" ht="12" customHeight="1">
      <c r="A132" s="963"/>
      <c r="B132" s="964"/>
      <c r="C132" s="964"/>
      <c r="D132" s="965"/>
      <c r="E132" s="596"/>
      <c r="F132" s="596"/>
      <c r="G132" s="275"/>
      <c r="H132" s="600"/>
    </row>
    <row r="133" spans="1:8" ht="15" customHeight="1">
      <c r="A133" s="1150" t="s">
        <v>1503</v>
      </c>
      <c r="B133" s="1150"/>
      <c r="C133" s="1150"/>
      <c r="D133" s="1150"/>
      <c r="E133" s="1150"/>
      <c r="F133" s="1150"/>
      <c r="G133" s="599"/>
      <c r="H133" s="599"/>
    </row>
    <row r="134" spans="1:8" ht="15" customHeight="1">
      <c r="A134" s="1132" t="s">
        <v>16</v>
      </c>
      <c r="B134" s="1133"/>
      <c r="C134" s="1136" t="s">
        <v>1494</v>
      </c>
      <c r="D134" s="1137"/>
      <c r="E134" s="1137"/>
      <c r="F134" s="1138"/>
      <c r="G134" s="558"/>
    </row>
    <row r="135" spans="1:8" ht="27" customHeight="1">
      <c r="A135" s="1134"/>
      <c r="B135" s="1135"/>
      <c r="C135" s="28" t="s">
        <v>1495</v>
      </c>
      <c r="D135" s="726" t="s">
        <v>1496</v>
      </c>
      <c r="E135" s="726" t="s">
        <v>1497</v>
      </c>
      <c r="F135" s="727" t="s">
        <v>1498</v>
      </c>
    </row>
    <row r="136" spans="1:8" ht="15" customHeight="1">
      <c r="A136" s="1126" t="s">
        <v>1499</v>
      </c>
      <c r="B136" s="1127"/>
      <c r="C136" s="592">
        <v>0</v>
      </c>
      <c r="D136" s="595">
        <v>0</v>
      </c>
      <c r="E136" s="593">
        <v>0</v>
      </c>
      <c r="F136" s="593">
        <v>0</v>
      </c>
    </row>
    <row r="137" spans="1:8" ht="15" customHeight="1">
      <c r="A137" s="1126" t="s">
        <v>1500</v>
      </c>
      <c r="B137" s="1127"/>
      <c r="C137" s="594">
        <f>53956134.44/1000</f>
        <v>53956.134439999994</v>
      </c>
      <c r="D137" s="595">
        <f>13298598.5/1000</f>
        <v>13298.5985</v>
      </c>
      <c r="E137" s="595">
        <v>0</v>
      </c>
      <c r="F137" s="593">
        <v>0</v>
      </c>
      <c r="G137" s="557"/>
    </row>
    <row r="138" spans="1:8" ht="15" customHeight="1">
      <c r="A138" s="1126" t="s">
        <v>1501</v>
      </c>
      <c r="B138" s="1127"/>
      <c r="C138" s="595">
        <v>0</v>
      </c>
      <c r="D138" s="595">
        <v>0</v>
      </c>
      <c r="E138" s="595">
        <v>0</v>
      </c>
      <c r="F138" s="593">
        <v>0</v>
      </c>
    </row>
    <row r="139" spans="1:8" ht="15" customHeight="1">
      <c r="A139" s="1128" t="s">
        <v>1502</v>
      </c>
      <c r="B139" s="1129"/>
      <c r="C139" s="597">
        <v>0</v>
      </c>
      <c r="D139" s="597">
        <v>0</v>
      </c>
      <c r="E139" s="597">
        <v>0</v>
      </c>
      <c r="F139" s="598">
        <v>0</v>
      </c>
    </row>
    <row r="140" spans="1:8" ht="15" customHeight="1">
      <c r="A140" s="908"/>
      <c r="B140" s="908"/>
      <c r="C140" s="965"/>
      <c r="D140" s="965"/>
      <c r="E140" s="965"/>
      <c r="F140" s="596"/>
    </row>
    <row r="141" spans="1:8">
      <c r="A141" s="931" t="s">
        <v>299</v>
      </c>
      <c r="B141" s="930"/>
      <c r="C141" s="930"/>
      <c r="D141" s="930"/>
      <c r="E141" s="583"/>
      <c r="F141" s="583"/>
      <c r="G141" s="557"/>
    </row>
    <row r="142" spans="1:8" ht="15" customHeight="1">
      <c r="A142" s="894" t="s">
        <v>150</v>
      </c>
      <c r="B142" s="159"/>
      <c r="C142" s="159"/>
      <c r="D142" s="159"/>
      <c r="E142" s="673"/>
      <c r="F142" s="673"/>
    </row>
    <row r="143" spans="1:8">
      <c r="A143" s="677" t="s">
        <v>16</v>
      </c>
      <c r="B143" s="678"/>
      <c r="C143" s="678"/>
      <c r="D143" s="679"/>
      <c r="E143" s="665" t="str">
        <f>+$E$46</f>
        <v>As at March 31, 2022</v>
      </c>
      <c r="F143" s="665" t="str">
        <f>+$F$46</f>
        <v>As at March 31, 2021</v>
      </c>
    </row>
    <row r="144" spans="1:8" ht="15" customHeight="1">
      <c r="A144" s="680"/>
      <c r="B144" s="944"/>
      <c r="C144" s="944"/>
      <c r="D144" s="666"/>
      <c r="E144" s="689"/>
      <c r="F144" s="689"/>
    </row>
    <row r="145" spans="1:6" ht="15" customHeight="1">
      <c r="A145" s="155" t="s">
        <v>1556</v>
      </c>
      <c r="B145" s="944"/>
      <c r="C145" s="944"/>
      <c r="D145" s="666"/>
      <c r="E145" s="690">
        <f>SUM('Link Sheet'!C174:C177)</f>
        <v>1132.694</v>
      </c>
      <c r="F145" s="689"/>
    </row>
    <row r="146" spans="1:6" ht="15" customHeight="1">
      <c r="A146" s="680"/>
      <c r="B146" s="944"/>
      <c r="C146" s="944"/>
      <c r="D146" s="666"/>
      <c r="E146" s="689"/>
      <c r="F146" s="689"/>
    </row>
    <row r="147" spans="1:6" ht="15" customHeight="1">
      <c r="A147" s="155" t="s">
        <v>1557</v>
      </c>
      <c r="B147" s="916"/>
      <c r="C147" s="916"/>
      <c r="D147" s="675"/>
      <c r="E147" s="689"/>
      <c r="F147" s="690"/>
    </row>
    <row r="148" spans="1:6" ht="15" customHeight="1">
      <c r="A148" s="641" t="s">
        <v>292</v>
      </c>
      <c r="B148" s="916"/>
      <c r="C148" s="916"/>
      <c r="D148" s="675"/>
      <c r="E148" s="690">
        <f>-SUM('Link Sheet'!D171:D172)-'Link Sheet'!D174</f>
        <v>1852.473</v>
      </c>
      <c r="F148" s="690">
        <v>1379.4839999999999</v>
      </c>
    </row>
    <row r="149" spans="1:6" ht="15" customHeight="1">
      <c r="A149" s="641" t="s">
        <v>940</v>
      </c>
      <c r="B149" s="944"/>
      <c r="C149" s="944"/>
      <c r="D149" s="666"/>
      <c r="E149" s="690">
        <f>-SUM('Link Sheet'!D179:D183)</f>
        <v>1575.66986</v>
      </c>
      <c r="F149" s="690">
        <v>1165.8252399999999</v>
      </c>
    </row>
    <row r="150" spans="1:6" ht="15" customHeight="1">
      <c r="A150" s="641"/>
      <c r="B150" s="944"/>
      <c r="C150" s="944"/>
      <c r="D150" s="666"/>
      <c r="E150" s="689"/>
      <c r="F150" s="689"/>
    </row>
    <row r="151" spans="1:6" ht="15" customHeight="1">
      <c r="A151" s="155" t="s">
        <v>1558</v>
      </c>
      <c r="B151" s="916"/>
      <c r="C151" s="916"/>
      <c r="D151" s="675"/>
      <c r="E151" s="530"/>
      <c r="F151" s="530"/>
    </row>
    <row r="152" spans="1:6" ht="15" customHeight="1">
      <c r="A152" s="641" t="s">
        <v>1186</v>
      </c>
      <c r="B152" s="916"/>
      <c r="C152" s="916"/>
      <c r="D152" s="675"/>
      <c r="E152" s="530">
        <f>SUM('Link Sheet'!C186:C192)</f>
        <v>5482.7729999999992</v>
      </c>
      <c r="F152" s="530">
        <v>88.498000000000005</v>
      </c>
    </row>
    <row r="153" spans="1:6" ht="15" customHeight="1">
      <c r="A153" s="641" t="s">
        <v>1133</v>
      </c>
      <c r="B153" s="916"/>
      <c r="C153" s="916"/>
      <c r="D153" s="675"/>
      <c r="E153" s="530">
        <f>-SUM('Link Sheet'!D195:D199)</f>
        <v>0</v>
      </c>
      <c r="F153" s="530">
        <v>3.5230000000000001</v>
      </c>
    </row>
    <row r="154" spans="1:6" ht="15" customHeight="1">
      <c r="A154" s="179" t="s">
        <v>1079</v>
      </c>
      <c r="B154" s="929"/>
      <c r="C154" s="929"/>
      <c r="D154" s="682"/>
      <c r="E154" s="530">
        <f>-SUM('Link Sheet'!D202:D205)</f>
        <v>29.774000000000001</v>
      </c>
      <c r="F154" s="530">
        <v>34.594999999999999</v>
      </c>
    </row>
    <row r="155" spans="1:6" ht="15" customHeight="1">
      <c r="A155" s="179"/>
      <c r="B155" s="929"/>
      <c r="C155" s="929"/>
      <c r="D155" s="682"/>
      <c r="E155" s="530"/>
      <c r="F155" s="530"/>
    </row>
    <row r="156" spans="1:6" ht="15" customHeight="1">
      <c r="A156" s="155" t="s">
        <v>1559</v>
      </c>
      <c r="B156" s="929"/>
      <c r="C156" s="929"/>
      <c r="D156" s="682"/>
      <c r="E156" s="530">
        <f>-SUM('Link Sheet'!D207:D213)</f>
        <v>324.83615000000003</v>
      </c>
      <c r="F156" s="530">
        <v>4511.1379999999999</v>
      </c>
    </row>
    <row r="157" spans="1:6" ht="15" customHeight="1">
      <c r="A157" s="155"/>
      <c r="B157" s="929"/>
      <c r="C157" s="929"/>
      <c r="D157" s="682"/>
      <c r="E157" s="530"/>
      <c r="F157" s="530"/>
    </row>
    <row r="158" spans="1:6" ht="15" customHeight="1">
      <c r="A158" s="643" t="s">
        <v>93</v>
      </c>
      <c r="B158" s="644"/>
      <c r="C158" s="644"/>
      <c r="D158" s="645"/>
      <c r="E158" s="655">
        <f>SUM(E145:E157)</f>
        <v>10398.220009999997</v>
      </c>
      <c r="F158" s="655">
        <f>SUM(F145:F157)</f>
        <v>7183.0632399999995</v>
      </c>
    </row>
    <row r="159" spans="1:6" ht="15" customHeight="1">
      <c r="A159" s="685"/>
      <c r="B159" s="685"/>
      <c r="C159" s="685"/>
      <c r="D159" s="685"/>
      <c r="E159" s="686"/>
      <c r="F159" s="686"/>
    </row>
    <row r="160" spans="1:6" ht="15" customHeight="1">
      <c r="A160" s="894" t="s">
        <v>640</v>
      </c>
      <c r="B160" s="159"/>
      <c r="C160" s="159"/>
      <c r="D160" s="159"/>
      <c r="E160" s="673"/>
      <c r="F160" s="673"/>
    </row>
    <row r="161" spans="1:6">
      <c r="A161" s="896" t="s">
        <v>641</v>
      </c>
      <c r="B161" s="678"/>
      <c r="C161" s="678"/>
      <c r="D161" s="679"/>
      <c r="E161" s="665" t="str">
        <f>+$E$46</f>
        <v>As at March 31, 2022</v>
      </c>
      <c r="F161" s="665" t="str">
        <f>+$F$46</f>
        <v>As at March 31, 2021</v>
      </c>
    </row>
    <row r="162" spans="1:6" ht="15" customHeight="1">
      <c r="A162" s="672"/>
      <c r="D162" s="638"/>
      <c r="E162" s="668"/>
      <c r="F162" s="668"/>
    </row>
    <row r="163" spans="1:6" ht="15" customHeight="1">
      <c r="A163" s="175" t="s">
        <v>642</v>
      </c>
      <c r="D163" s="638"/>
      <c r="E163" s="667">
        <f>SUM('Link Sheet'!C174:C175)</f>
        <v>520.37400000000002</v>
      </c>
      <c r="F163" s="530">
        <v>4347.9040000000005</v>
      </c>
    </row>
    <row r="164" spans="1:6" ht="15" customHeight="1">
      <c r="A164" s="175" t="s">
        <v>643</v>
      </c>
      <c r="B164" s="154"/>
      <c r="C164" s="154"/>
      <c r="D164" s="903"/>
      <c r="E164" s="667">
        <f>SUM('Link Sheet'!C176:C177)</f>
        <v>612.32000000000005</v>
      </c>
      <c r="F164" s="530">
        <v>132.32</v>
      </c>
    </row>
    <row r="165" spans="1:6" ht="15" customHeight="1">
      <c r="A165" s="175"/>
      <c r="B165" s="154"/>
      <c r="C165" s="154"/>
      <c r="D165" s="903"/>
      <c r="E165" s="691"/>
      <c r="F165" s="691"/>
    </row>
    <row r="166" spans="1:6" ht="15" customHeight="1">
      <c r="A166" s="643" t="s">
        <v>93</v>
      </c>
      <c r="B166" s="644"/>
      <c r="C166" s="644"/>
      <c r="D166" s="645"/>
      <c r="E166" s="185">
        <f>SUM(E162:E165)</f>
        <v>1132.694</v>
      </c>
      <c r="F166" s="185">
        <f>SUM(F162:F165)</f>
        <v>4480.2240000000002</v>
      </c>
    </row>
    <row r="167" spans="1:6" ht="15" customHeight="1">
      <c r="A167" s="685"/>
      <c r="B167" s="685"/>
      <c r="C167" s="685"/>
      <c r="D167" s="685"/>
      <c r="E167" s="686"/>
      <c r="F167" s="686"/>
    </row>
    <row r="168" spans="1:6" ht="15" customHeight="1">
      <c r="A168" s="930"/>
      <c r="B168" s="930"/>
      <c r="C168" s="930"/>
      <c r="D168" s="930"/>
      <c r="E168" s="583"/>
      <c r="F168" s="583"/>
    </row>
    <row r="169" spans="1:6" ht="15" customHeight="1">
      <c r="A169" s="931" t="s">
        <v>1243</v>
      </c>
      <c r="B169" s="930"/>
      <c r="C169" s="930"/>
      <c r="D169" s="930"/>
      <c r="E169" s="583"/>
      <c r="F169" s="583"/>
    </row>
    <row r="170" spans="1:6" ht="15" customHeight="1">
      <c r="A170" s="894" t="s">
        <v>284</v>
      </c>
      <c r="B170" s="159"/>
      <c r="C170" s="159"/>
      <c r="D170" s="159"/>
      <c r="E170" s="673"/>
      <c r="F170" s="673"/>
    </row>
    <row r="171" spans="1:6">
      <c r="A171" s="896" t="s">
        <v>16</v>
      </c>
      <c r="B171" s="678"/>
      <c r="C171" s="678"/>
      <c r="D171" s="679"/>
      <c r="E171" s="665" t="str">
        <f>+$E$46</f>
        <v>As at March 31, 2022</v>
      </c>
      <c r="F171" s="665" t="str">
        <f>+$F$46</f>
        <v>As at March 31, 2021</v>
      </c>
    </row>
    <row r="172" spans="1:6" ht="15" customHeight="1">
      <c r="A172" s="672"/>
      <c r="D172" s="638"/>
      <c r="E172" s="668"/>
      <c r="F172" s="668"/>
    </row>
    <row r="173" spans="1:6" ht="15" customHeight="1">
      <c r="A173" s="155" t="s">
        <v>1015</v>
      </c>
      <c r="D173" s="638"/>
      <c r="E173" s="668"/>
      <c r="F173" s="668"/>
    </row>
    <row r="174" spans="1:6" ht="15" customHeight="1">
      <c r="A174" s="641" t="s">
        <v>959</v>
      </c>
      <c r="D174" s="638"/>
      <c r="E174" s="667">
        <f>F177</f>
        <v>3220.77</v>
      </c>
      <c r="F174" s="667">
        <v>5259.87</v>
      </c>
    </row>
    <row r="175" spans="1:6" ht="15" customHeight="1">
      <c r="A175" s="641" t="s">
        <v>1016</v>
      </c>
      <c r="D175" s="638"/>
      <c r="E175" s="692">
        <f>3223840/1000</f>
        <v>3223.84</v>
      </c>
      <c r="F175" s="692">
        <v>5259.87</v>
      </c>
    </row>
    <row r="176" spans="1:6" ht="15" customHeight="1">
      <c r="A176" s="672"/>
      <c r="D176" s="638"/>
      <c r="E176" s="668">
        <f>E174-E175</f>
        <v>-3.0700000000001637</v>
      </c>
      <c r="F176" s="668"/>
    </row>
    <row r="177" spans="1:6" ht="15" customHeight="1">
      <c r="A177" s="175" t="s">
        <v>1017</v>
      </c>
      <c r="B177" s="154"/>
      <c r="C177" s="154"/>
      <c r="D177" s="903"/>
      <c r="E177" s="667">
        <f>PL!E24</f>
        <v>5113.18</v>
      </c>
      <c r="F177" s="691">
        <f>(PL!F24)</f>
        <v>3220.77</v>
      </c>
    </row>
    <row r="178" spans="1:6" ht="15" customHeight="1">
      <c r="A178" s="175"/>
      <c r="B178" s="154"/>
      <c r="C178" s="154"/>
      <c r="D178" s="903"/>
      <c r="E178" s="667"/>
      <c r="F178" s="691"/>
    </row>
    <row r="179" spans="1:6" ht="15" customHeight="1">
      <c r="A179" s="643" t="s">
        <v>93</v>
      </c>
      <c r="B179" s="644"/>
      <c r="C179" s="644"/>
      <c r="D179" s="645"/>
      <c r="E179" s="693">
        <f>E176+E177</f>
        <v>5110.1100000000006</v>
      </c>
      <c r="F179" s="185">
        <f>F176+F177</f>
        <v>3220.77</v>
      </c>
    </row>
    <row r="180" spans="1:6" ht="15" customHeight="1">
      <c r="A180" s="685"/>
      <c r="B180" s="685"/>
      <c r="C180" s="685"/>
      <c r="D180" s="685"/>
      <c r="E180" s="532"/>
      <c r="F180" s="532"/>
    </row>
    <row r="181" spans="1:6" ht="15" customHeight="1">
      <c r="A181" s="931" t="s">
        <v>4</v>
      </c>
      <c r="B181" s="913"/>
      <c r="C181" s="913"/>
      <c r="D181" s="913"/>
      <c r="E181" s="913"/>
      <c r="F181" s="913"/>
    </row>
    <row r="182" spans="1:6" ht="15" customHeight="1">
      <c r="A182" s="894" t="s">
        <v>1490</v>
      </c>
      <c r="B182" s="159"/>
      <c r="C182" s="159"/>
      <c r="D182" s="159"/>
      <c r="E182" s="673"/>
      <c r="F182" s="673"/>
    </row>
    <row r="183" spans="1:6" ht="15" customHeight="1">
      <c r="A183" s="677" t="s">
        <v>16</v>
      </c>
      <c r="B183" s="678"/>
      <c r="C183" s="678"/>
      <c r="D183" s="679"/>
      <c r="E183" s="665" t="str">
        <f>+$E$46</f>
        <v>As at March 31, 2022</v>
      </c>
      <c r="F183" s="665" t="str">
        <f>+$F$46</f>
        <v>As at March 31, 2021</v>
      </c>
    </row>
    <row r="184" spans="1:6" ht="15" customHeight="1">
      <c r="A184" s="976"/>
      <c r="D184" s="638"/>
      <c r="E184" s="668"/>
      <c r="F184" s="668"/>
    </row>
    <row r="185" spans="1:6" ht="15" customHeight="1">
      <c r="A185" s="641" t="s">
        <v>1431</v>
      </c>
      <c r="D185" s="638"/>
      <c r="E185" s="667">
        <f>SUM('Link Sheet'!D254:D255)</f>
        <v>9000</v>
      </c>
      <c r="F185" s="668">
        <v>0</v>
      </c>
    </row>
    <row r="186" spans="1:6" ht="15" customHeight="1">
      <c r="A186" s="706" t="s">
        <v>1544</v>
      </c>
      <c r="B186" s="154"/>
      <c r="C186" s="154"/>
      <c r="D186" s="903"/>
      <c r="E186" s="530">
        <f>SUM('Link Sheet'!D367:D369)</f>
        <v>717.87900000000002</v>
      </c>
      <c r="F186" s="691">
        <v>939.06200000000001</v>
      </c>
    </row>
    <row r="187" spans="1:6" ht="15" customHeight="1">
      <c r="A187" s="706" t="s">
        <v>437</v>
      </c>
      <c r="B187" s="154"/>
      <c r="C187" s="154"/>
      <c r="D187" s="903"/>
      <c r="E187" s="691">
        <f>SUM('Link Sheet'!D394:D396)</f>
        <v>766</v>
      </c>
      <c r="F187" s="691">
        <v>1030.001</v>
      </c>
    </row>
    <row r="188" spans="1:6" ht="15" customHeight="1">
      <c r="A188" s="175"/>
      <c r="B188" s="154"/>
      <c r="C188" s="154"/>
      <c r="D188" s="903"/>
      <c r="E188" s="691"/>
      <c r="F188" s="691"/>
    </row>
    <row r="189" spans="1:6" ht="15" customHeight="1">
      <c r="A189" s="643" t="s">
        <v>93</v>
      </c>
      <c r="B189" s="644"/>
      <c r="C189" s="644"/>
      <c r="D189" s="645"/>
      <c r="E189" s="185">
        <f>SUM(E184:E188)</f>
        <v>10483.879000000001</v>
      </c>
      <c r="F189" s="185">
        <f>SUM(F184:F188)</f>
        <v>1969.0630000000001</v>
      </c>
    </row>
    <row r="190" spans="1:6" ht="15" customHeight="1">
      <c r="A190" s="958"/>
      <c r="B190" s="966"/>
      <c r="C190" s="966"/>
      <c r="D190" s="966"/>
      <c r="E190" s="966"/>
      <c r="F190" s="966"/>
    </row>
    <row r="191" spans="1:6" ht="15" customHeight="1">
      <c r="A191" s="931" t="s">
        <v>5</v>
      </c>
      <c r="B191" s="913"/>
      <c r="C191" s="913"/>
      <c r="D191" s="913"/>
      <c r="E191" s="913"/>
      <c r="F191" s="913"/>
    </row>
    <row r="192" spans="1:6" ht="15" customHeight="1">
      <c r="A192" s="894" t="s">
        <v>6</v>
      </c>
      <c r="B192" s="159"/>
      <c r="C192" s="159"/>
      <c r="D192" s="159"/>
      <c r="E192" s="673"/>
      <c r="F192" s="673"/>
    </row>
    <row r="193" spans="1:7">
      <c r="A193" s="677" t="s">
        <v>16</v>
      </c>
      <c r="B193" s="678"/>
      <c r="C193" s="678"/>
      <c r="D193" s="679"/>
      <c r="E193" s="665" t="str">
        <f>+$E$46</f>
        <v>As at March 31, 2022</v>
      </c>
      <c r="F193" s="665" t="str">
        <f>+$F$46</f>
        <v>As at March 31, 2021</v>
      </c>
    </row>
    <row r="194" spans="1:7" ht="15" customHeight="1">
      <c r="A194" s="694" t="s">
        <v>1483</v>
      </c>
      <c r="D194" s="638"/>
      <c r="E194" s="668"/>
      <c r="F194" s="668"/>
    </row>
    <row r="195" spans="1:7" ht="15" customHeight="1">
      <c r="A195" s="676" t="s">
        <v>1019</v>
      </c>
      <c r="B195" s="154"/>
      <c r="C195" s="154"/>
      <c r="D195" s="903"/>
      <c r="E195" s="691">
        <f>'Link Sheet'!B260</f>
        <v>58174.192999999999</v>
      </c>
      <c r="F195" s="691">
        <v>11788.946</v>
      </c>
    </row>
    <row r="196" spans="1:7" ht="15" customHeight="1">
      <c r="A196" s="676" t="s">
        <v>1020</v>
      </c>
      <c r="B196" s="154"/>
      <c r="C196" s="154"/>
      <c r="D196" s="903"/>
      <c r="E196" s="691">
        <f>'Link Sheet'!B262</f>
        <v>25014.137999999999</v>
      </c>
      <c r="F196" s="691">
        <v>9882.0529999999999</v>
      </c>
    </row>
    <row r="197" spans="1:7" ht="15" customHeight="1">
      <c r="A197" s="676" t="s">
        <v>1018</v>
      </c>
      <c r="B197" s="154"/>
      <c r="C197" s="154"/>
      <c r="D197" s="903"/>
      <c r="E197" s="691">
        <f>'Link Sheet'!B263</f>
        <v>11313.05</v>
      </c>
      <c r="F197" s="691">
        <v>35225.008000000002</v>
      </c>
    </row>
    <row r="198" spans="1:7" ht="15" customHeight="1">
      <c r="A198" s="175"/>
      <c r="B198" s="154"/>
      <c r="C198" s="154"/>
      <c r="D198" s="903"/>
      <c r="E198" s="691"/>
      <c r="F198" s="691"/>
    </row>
    <row r="199" spans="1:7" ht="15" customHeight="1">
      <c r="A199" s="643" t="s">
        <v>93</v>
      </c>
      <c r="B199" s="644"/>
      <c r="C199" s="644"/>
      <c r="D199" s="645"/>
      <c r="E199" s="185">
        <f>SUM(E195:E197)</f>
        <v>94501.381000000008</v>
      </c>
      <c r="F199" s="185">
        <f>SUM(F195:F198)</f>
        <v>56896.006999999998</v>
      </c>
      <c r="G199" s="557"/>
    </row>
    <row r="200" spans="1:7" ht="15" customHeight="1">
      <c r="A200" s="685"/>
      <c r="B200" s="685"/>
      <c r="C200" s="685"/>
      <c r="D200" s="685"/>
      <c r="E200" s="532"/>
      <c r="F200" s="532"/>
    </row>
    <row r="201" spans="1:7" ht="15" customHeight="1">
      <c r="A201" s="931" t="s">
        <v>7</v>
      </c>
    </row>
    <row r="202" spans="1:7" ht="15" customHeight="1">
      <c r="A202" s="894" t="s">
        <v>8</v>
      </c>
      <c r="B202" s="159"/>
      <c r="C202" s="159"/>
      <c r="D202" s="159"/>
      <c r="E202" s="673"/>
      <c r="F202" s="673"/>
    </row>
    <row r="203" spans="1:7">
      <c r="A203" s="677" t="s">
        <v>16</v>
      </c>
      <c r="B203" s="678"/>
      <c r="C203" s="678"/>
      <c r="D203" s="679"/>
      <c r="E203" s="665" t="str">
        <f>+$E$46</f>
        <v>As at March 31, 2022</v>
      </c>
      <c r="F203" s="665" t="str">
        <f>+$F$46</f>
        <v>As at March 31, 2021</v>
      </c>
    </row>
    <row r="204" spans="1:7">
      <c r="A204" s="976"/>
      <c r="D204" s="638"/>
      <c r="E204" s="668"/>
      <c r="F204" s="668"/>
    </row>
    <row r="205" spans="1:7" ht="15" customHeight="1">
      <c r="A205" s="175" t="s">
        <v>930</v>
      </c>
      <c r="D205" s="638"/>
      <c r="E205" s="691">
        <f>SUM('Link Sheet'!D267:D348)</f>
        <v>94696.741389999966</v>
      </c>
      <c r="F205" s="691">
        <v>69214.86262</v>
      </c>
    </row>
    <row r="206" spans="1:7" ht="15" customHeight="1">
      <c r="A206" s="175"/>
      <c r="D206" s="638"/>
      <c r="E206" s="691"/>
      <c r="F206" s="691"/>
    </row>
    <row r="207" spans="1:7" ht="15" customHeight="1">
      <c r="A207" s="643" t="s">
        <v>93</v>
      </c>
      <c r="B207" s="695" t="s">
        <v>151</v>
      </c>
      <c r="C207" s="695"/>
      <c r="D207" s="696"/>
      <c r="E207" s="185">
        <f>SUM(E205:E206)</f>
        <v>94696.741389999966</v>
      </c>
      <c r="F207" s="185">
        <f>SUM(F205:F206)</f>
        <v>69214.86262</v>
      </c>
    </row>
    <row r="208" spans="1:7" ht="15" customHeight="1">
      <c r="A208" s="685"/>
      <c r="B208" s="151"/>
      <c r="C208" s="151"/>
      <c r="D208" s="151"/>
      <c r="E208" s="533"/>
      <c r="F208" s="533"/>
    </row>
    <row r="209" spans="1:8" ht="15" customHeight="1">
      <c r="A209" s="1151" t="s">
        <v>1504</v>
      </c>
      <c r="B209" s="1151"/>
      <c r="C209" s="1151"/>
      <c r="D209" s="1151"/>
      <c r="E209" s="1151"/>
      <c r="F209" s="1151"/>
      <c r="G209" s="612"/>
      <c r="H209" s="612"/>
    </row>
    <row r="210" spans="1:8" ht="15" customHeight="1">
      <c r="A210" s="1130" t="s">
        <v>16</v>
      </c>
      <c r="B210" s="1139" t="s">
        <v>1494</v>
      </c>
      <c r="C210" s="1140"/>
      <c r="D210" s="1140"/>
      <c r="E210" s="1140"/>
      <c r="F210" s="1141"/>
      <c r="G210" s="615"/>
      <c r="H210" s="613"/>
    </row>
    <row r="211" spans="1:8" ht="30.75" customHeight="1">
      <c r="A211" s="1131"/>
      <c r="B211" s="611" t="s">
        <v>1505</v>
      </c>
      <c r="C211" s="28" t="s">
        <v>1506</v>
      </c>
      <c r="D211" s="726" t="s">
        <v>1496</v>
      </c>
      <c r="E211" s="726" t="s">
        <v>1497</v>
      </c>
      <c r="F211" s="727" t="s">
        <v>1498</v>
      </c>
      <c r="G211" s="558"/>
      <c r="H211" s="555"/>
    </row>
    <row r="212" spans="1:8" ht="15" customHeight="1">
      <c r="A212" s="43" t="s">
        <v>1507</v>
      </c>
      <c r="B212" s="979">
        <v>91113</v>
      </c>
      <c r="C212" s="601">
        <v>3367.6401500000061</v>
      </c>
      <c r="D212" s="601">
        <v>216.57162</v>
      </c>
      <c r="E212" s="603">
        <v>0</v>
      </c>
      <c r="F212" s="604">
        <v>0</v>
      </c>
      <c r="G212" s="558"/>
      <c r="H212" s="557">
        <f>C212+D212-E205</f>
        <v>-91112.529619999958</v>
      </c>
    </row>
    <row r="213" spans="1:8" ht="15" customHeight="1">
      <c r="A213" s="56" t="s">
        <v>1508</v>
      </c>
      <c r="B213" s="728">
        <v>0</v>
      </c>
      <c r="C213" s="602">
        <v>0</v>
      </c>
      <c r="D213" s="603">
        <v>0</v>
      </c>
      <c r="E213" s="603">
        <v>0</v>
      </c>
      <c r="F213" s="604">
        <v>0</v>
      </c>
      <c r="G213" s="558"/>
    </row>
    <row r="214" spans="1:8" ht="15" customHeight="1">
      <c r="A214" s="56" t="s">
        <v>1509</v>
      </c>
      <c r="B214" s="728">
        <v>0</v>
      </c>
      <c r="C214" s="603">
        <v>0</v>
      </c>
      <c r="D214" s="603">
        <v>0</v>
      </c>
      <c r="E214" s="603">
        <v>0</v>
      </c>
      <c r="F214" s="604">
        <v>0</v>
      </c>
      <c r="G214" s="558"/>
    </row>
    <row r="215" spans="1:8" ht="15" customHeight="1">
      <c r="A215" s="48" t="s">
        <v>1510</v>
      </c>
      <c r="B215" s="729">
        <v>0</v>
      </c>
      <c r="C215" s="605">
        <v>0</v>
      </c>
      <c r="D215" s="605">
        <v>0</v>
      </c>
      <c r="E215" s="605">
        <v>0</v>
      </c>
      <c r="F215" s="606">
        <v>0</v>
      </c>
      <c r="G215" s="558"/>
    </row>
    <row r="216" spans="1:8" ht="15" customHeight="1">
      <c r="A216" s="967"/>
      <c r="B216" s="968"/>
      <c r="C216" s="968"/>
      <c r="D216" s="967"/>
      <c r="E216" s="969"/>
      <c r="F216" s="969"/>
      <c r="G216" s="756"/>
      <c r="H216" s="614"/>
    </row>
    <row r="217" spans="1:8" ht="15" customHeight="1">
      <c r="A217" s="1151" t="s">
        <v>1511</v>
      </c>
      <c r="B217" s="1151"/>
      <c r="C217" s="1151"/>
      <c r="D217" s="1151"/>
      <c r="E217" s="1151"/>
      <c r="F217" s="1151"/>
      <c r="G217" s="1125"/>
      <c r="H217" s="1125"/>
    </row>
    <row r="218" spans="1:8" ht="15" customHeight="1">
      <c r="A218" s="1130" t="s">
        <v>16</v>
      </c>
      <c r="B218" s="1139" t="s">
        <v>1494</v>
      </c>
      <c r="C218" s="1140"/>
      <c r="D218" s="1140"/>
      <c r="E218" s="1140"/>
      <c r="F218" s="1141"/>
      <c r="G218" s="615"/>
      <c r="H218" s="613"/>
    </row>
    <row r="219" spans="1:8" ht="30" customHeight="1">
      <c r="A219" s="1131"/>
      <c r="B219" s="611" t="s">
        <v>1505</v>
      </c>
      <c r="C219" s="28" t="s">
        <v>1506</v>
      </c>
      <c r="D219" s="726" t="s">
        <v>1496</v>
      </c>
      <c r="E219" s="726" t="s">
        <v>1497</v>
      </c>
      <c r="F219" s="727" t="s">
        <v>1498</v>
      </c>
      <c r="G219" s="558"/>
    </row>
    <row r="220" spans="1:8" ht="15" customHeight="1">
      <c r="A220" s="730" t="s">
        <v>1507</v>
      </c>
      <c r="B220" s="601">
        <v>64751.193620000005</v>
      </c>
      <c r="C220" s="601">
        <v>4463.6689999999999</v>
      </c>
      <c r="D220" s="603">
        <v>0</v>
      </c>
      <c r="E220" s="603">
        <v>0</v>
      </c>
      <c r="F220" s="603">
        <v>0</v>
      </c>
      <c r="G220" s="558"/>
    </row>
    <row r="221" spans="1:8" ht="15" customHeight="1">
      <c r="A221" s="897" t="s">
        <v>1508</v>
      </c>
      <c r="B221" s="602">
        <v>0</v>
      </c>
      <c r="C221" s="602">
        <v>0</v>
      </c>
      <c r="D221" s="603">
        <v>0</v>
      </c>
      <c r="E221" s="603">
        <v>0</v>
      </c>
      <c r="F221" s="604">
        <v>0</v>
      </c>
    </row>
    <row r="222" spans="1:8" ht="15" customHeight="1">
      <c r="A222" s="897" t="s">
        <v>1509</v>
      </c>
      <c r="B222" s="603">
        <v>0</v>
      </c>
      <c r="C222" s="603">
        <v>0</v>
      </c>
      <c r="D222" s="603">
        <v>0</v>
      </c>
      <c r="E222" s="603">
        <v>0</v>
      </c>
      <c r="F222" s="604">
        <v>0</v>
      </c>
    </row>
    <row r="223" spans="1:8" ht="15" customHeight="1">
      <c r="A223" s="898" t="s">
        <v>1510</v>
      </c>
      <c r="B223" s="605">
        <v>0</v>
      </c>
      <c r="C223" s="605">
        <v>0</v>
      </c>
      <c r="D223" s="605">
        <v>0</v>
      </c>
      <c r="E223" s="605">
        <v>0</v>
      </c>
      <c r="F223" s="606">
        <v>0</v>
      </c>
    </row>
    <row r="224" spans="1:8" ht="15" customHeight="1">
      <c r="A224" s="685"/>
      <c r="B224" s="151"/>
      <c r="C224" s="151"/>
      <c r="D224" s="151"/>
      <c r="E224" s="533"/>
      <c r="F224" s="533"/>
    </row>
    <row r="225" spans="1:6" ht="15" customHeight="1">
      <c r="A225" s="930"/>
      <c r="E225" s="701"/>
      <c r="F225" s="701"/>
    </row>
    <row r="226" spans="1:6" ht="15" customHeight="1">
      <c r="A226" s="931" t="s">
        <v>9</v>
      </c>
    </row>
    <row r="227" spans="1:6" ht="15" customHeight="1">
      <c r="A227" s="894" t="s">
        <v>50</v>
      </c>
      <c r="B227" s="159"/>
      <c r="C227" s="159"/>
      <c r="D227" s="159"/>
      <c r="E227" s="673"/>
      <c r="F227" s="673"/>
    </row>
    <row r="228" spans="1:6" ht="29.25" customHeight="1">
      <c r="A228" s="677" t="s">
        <v>16</v>
      </c>
      <c r="B228" s="678"/>
      <c r="C228" s="678"/>
      <c r="D228" s="679"/>
      <c r="E228" s="665" t="str">
        <f>+$E$46</f>
        <v>As at March 31, 2022</v>
      </c>
      <c r="F228" s="665" t="str">
        <f>+$F$46</f>
        <v>As at March 31, 2021</v>
      </c>
    </row>
    <row r="229" spans="1:6">
      <c r="A229" s="976"/>
      <c r="D229" s="638"/>
      <c r="E229" s="668"/>
      <c r="F229" s="668"/>
    </row>
    <row r="230" spans="1:6" ht="15" customHeight="1">
      <c r="A230" s="845" t="s">
        <v>142</v>
      </c>
      <c r="D230" s="638"/>
      <c r="E230" s="531"/>
      <c r="F230" s="531"/>
    </row>
    <row r="231" spans="1:6" ht="15" customHeight="1">
      <c r="A231" s="845" t="s">
        <v>1136</v>
      </c>
      <c r="D231" s="638"/>
      <c r="E231" s="531"/>
      <c r="F231" s="531"/>
    </row>
    <row r="232" spans="1:6" ht="15" customHeight="1">
      <c r="A232" s="698" t="s">
        <v>645</v>
      </c>
      <c r="D232" s="638"/>
      <c r="E232" s="531">
        <f>'Link Sheet'!D353</f>
        <v>480.76165999999995</v>
      </c>
      <c r="F232" s="531">
        <v>108.36009</v>
      </c>
    </row>
    <row r="233" spans="1:6" ht="15" customHeight="1">
      <c r="A233" s="899" t="s">
        <v>926</v>
      </c>
      <c r="D233" s="638"/>
      <c r="E233" s="639">
        <f>SUM('Link Sheet'!D352)</f>
        <v>28.657689999999999</v>
      </c>
      <c r="F233" s="531">
        <v>12.266069999999999</v>
      </c>
    </row>
    <row r="234" spans="1:6" ht="15" customHeight="1">
      <c r="A234" s="844" t="s">
        <v>1137</v>
      </c>
      <c r="D234" s="638"/>
      <c r="E234" s="639"/>
      <c r="F234" s="531"/>
    </row>
    <row r="235" spans="1:6" ht="15" customHeight="1">
      <c r="A235" s="698" t="s">
        <v>645</v>
      </c>
      <c r="D235" s="638"/>
      <c r="E235" s="639">
        <f>SUM('Link Sheet'!B355:B356)</f>
        <v>8144.9650000000001</v>
      </c>
      <c r="F235" s="531">
        <v>2065.5169999999998</v>
      </c>
    </row>
    <row r="236" spans="1:6" ht="15" customHeight="1">
      <c r="A236" s="170" t="s">
        <v>1518</v>
      </c>
      <c r="D236" s="638"/>
      <c r="E236" s="531">
        <f>+SUM('Link Sheet'!B359:B360)</f>
        <v>19.251999999999999</v>
      </c>
      <c r="F236" s="531">
        <v>18.157</v>
      </c>
    </row>
    <row r="237" spans="1:6" ht="15" customHeight="1">
      <c r="A237" s="175"/>
      <c r="D237" s="638"/>
      <c r="E237" s="702"/>
      <c r="F237" s="530"/>
    </row>
    <row r="238" spans="1:6" ht="15" customHeight="1">
      <c r="A238" s="643" t="s">
        <v>93</v>
      </c>
      <c r="B238" s="678"/>
      <c r="C238" s="678"/>
      <c r="D238" s="679"/>
      <c r="E238" s="185">
        <f>SUM(E230:E236)</f>
        <v>8673.6363500000007</v>
      </c>
      <c r="F238" s="185">
        <f>SUM(F230:F236)</f>
        <v>2204.3001599999998</v>
      </c>
    </row>
    <row r="239" spans="1:6" ht="15" customHeight="1">
      <c r="A239" s="685"/>
      <c r="B239" s="151"/>
      <c r="C239" s="151"/>
      <c r="D239" s="151"/>
      <c r="E239" s="532"/>
      <c r="F239" s="532"/>
    </row>
    <row r="240" spans="1:6" ht="15" customHeight="1">
      <c r="A240" s="931" t="s">
        <v>10</v>
      </c>
      <c r="B240" s="154"/>
      <c r="C240" s="154"/>
      <c r="D240" s="154"/>
      <c r="E240" s="701"/>
      <c r="F240" s="701"/>
    </row>
    <row r="241" spans="1:6" ht="15" customHeight="1">
      <c r="A241" s="894" t="s">
        <v>1530</v>
      </c>
      <c r="B241" s="159"/>
      <c r="C241" s="159"/>
      <c r="D241" s="159"/>
      <c r="E241" s="673"/>
      <c r="F241" s="673"/>
    </row>
    <row r="242" spans="1:6">
      <c r="A242" s="677" t="s">
        <v>16</v>
      </c>
      <c r="B242" s="678"/>
      <c r="C242" s="678"/>
      <c r="D242" s="679"/>
      <c r="E242" s="665" t="str">
        <f>+$E$46</f>
        <v>As at March 31, 2022</v>
      </c>
      <c r="F242" s="665" t="str">
        <f>+$F$46</f>
        <v>As at March 31, 2021</v>
      </c>
    </row>
    <row r="243" spans="1:6" ht="15" customHeight="1">
      <c r="A243" s="649"/>
      <c r="B243" s="154"/>
      <c r="C243" s="154"/>
      <c r="D243" s="903"/>
      <c r="E243" s="691"/>
      <c r="F243" s="703"/>
    </row>
    <row r="244" spans="1:6" ht="15" hidden="1" customHeight="1">
      <c r="A244" s="704" t="s">
        <v>928</v>
      </c>
      <c r="B244" s="948"/>
      <c r="C244" s="948"/>
      <c r="D244" s="705"/>
      <c r="F244" s="177"/>
    </row>
    <row r="245" spans="1:6" ht="15" hidden="1" customHeight="1">
      <c r="A245" s="706" t="s">
        <v>202</v>
      </c>
      <c r="B245" s="948"/>
      <c r="C245" s="948"/>
      <c r="D245" s="705"/>
      <c r="E245" s="691">
        <f>'Link Sheet'!B364</f>
        <v>0</v>
      </c>
      <c r="F245" s="691">
        <v>0</v>
      </c>
    </row>
    <row r="246" spans="1:6" ht="15" hidden="1" customHeight="1">
      <c r="A246" s="706"/>
      <c r="B246" s="948"/>
      <c r="C246" s="948"/>
      <c r="D246" s="705"/>
      <c r="E246" s="691"/>
      <c r="F246" s="691"/>
    </row>
    <row r="247" spans="1:6" ht="15" hidden="1" customHeight="1">
      <c r="A247" s="704" t="s">
        <v>925</v>
      </c>
      <c r="B247" s="154"/>
      <c r="C247" s="154"/>
      <c r="D247" s="903"/>
      <c r="E247" s="691"/>
      <c r="F247" s="691"/>
    </row>
    <row r="248" spans="1:6" ht="15" customHeight="1">
      <c r="A248" s="704" t="s">
        <v>159</v>
      </c>
      <c r="B248" s="154"/>
      <c r="C248" s="154"/>
      <c r="D248" s="903"/>
      <c r="E248" s="691"/>
      <c r="F248" s="691"/>
    </row>
    <row r="249" spans="1:6" ht="15" customHeight="1">
      <c r="A249" s="706" t="s">
        <v>644</v>
      </c>
      <c r="B249" s="154"/>
      <c r="C249" s="154"/>
      <c r="D249" s="903"/>
      <c r="E249" s="691">
        <f>SUM('Link Sheet'!D371:D372)</f>
        <v>8991.4850000000006</v>
      </c>
      <c r="F249" s="691">
        <v>22558.654999999999</v>
      </c>
    </row>
    <row r="250" spans="1:6" ht="15" customHeight="1">
      <c r="A250" s="704" t="s">
        <v>991</v>
      </c>
      <c r="B250" s="154"/>
      <c r="C250" s="154"/>
      <c r="D250" s="903"/>
      <c r="E250" s="691"/>
      <c r="F250" s="691"/>
    </row>
    <row r="251" spans="1:6" ht="15" customHeight="1">
      <c r="A251" s="706" t="s">
        <v>158</v>
      </c>
      <c r="B251" s="154"/>
      <c r="C251" s="154"/>
      <c r="D251" s="903"/>
      <c r="E251" s="691">
        <f>'Link Sheet'!D374</f>
        <v>3000</v>
      </c>
      <c r="F251" s="691">
        <v>0</v>
      </c>
    </row>
    <row r="252" spans="1:6" ht="15" customHeight="1">
      <c r="A252" s="706" t="s">
        <v>1538</v>
      </c>
      <c r="B252" s="154"/>
      <c r="C252" s="154"/>
      <c r="D252" s="903"/>
      <c r="E252" s="691">
        <f>'Link Sheet'!B375</f>
        <v>1.6379999999999999</v>
      </c>
      <c r="F252" s="691">
        <v>0</v>
      </c>
    </row>
    <row r="253" spans="1:6" ht="15" customHeight="1">
      <c r="A253" s="706" t="s">
        <v>981</v>
      </c>
      <c r="B253" s="154"/>
      <c r="C253" s="154"/>
      <c r="D253" s="903"/>
      <c r="E253" s="735">
        <v>0</v>
      </c>
      <c r="F253" s="691">
        <v>1443.8770099999999</v>
      </c>
    </row>
    <row r="254" spans="1:6" ht="15" customHeight="1">
      <c r="A254" s="706" t="s">
        <v>431</v>
      </c>
      <c r="B254" s="154"/>
      <c r="C254" s="154"/>
      <c r="D254" s="903"/>
      <c r="E254" s="691">
        <f>SUM('Link Sheet'!D377:D379)</f>
        <v>635.75418999999999</v>
      </c>
      <c r="F254" s="691">
        <v>124.59987</v>
      </c>
    </row>
    <row r="255" spans="1:6" ht="15" customHeight="1">
      <c r="A255" s="706" t="s">
        <v>993</v>
      </c>
      <c r="B255" s="154"/>
      <c r="C255" s="154"/>
      <c r="D255" s="903"/>
      <c r="E255" s="691">
        <f>SUM('Link Sheet'!D381:D390)</f>
        <v>12956.533170000001</v>
      </c>
      <c r="F255" s="691">
        <v>11493.723179999999</v>
      </c>
    </row>
    <row r="256" spans="1:6" ht="15" customHeight="1">
      <c r="A256" s="704" t="s">
        <v>933</v>
      </c>
      <c r="B256" s="154"/>
      <c r="C256" s="154"/>
      <c r="D256" s="903"/>
      <c r="E256" s="691"/>
      <c r="F256" s="691"/>
    </row>
    <row r="257" spans="1:6" ht="15" customHeight="1">
      <c r="A257" s="706" t="s">
        <v>976</v>
      </c>
      <c r="B257" s="154"/>
      <c r="C257" s="154"/>
      <c r="D257" s="903"/>
      <c r="E257" s="691">
        <f>SUM('Link Sheet'!D398:D399)</f>
        <v>600</v>
      </c>
      <c r="F257" s="691">
        <v>1983.48</v>
      </c>
    </row>
    <row r="258" spans="1:6" ht="15" customHeight="1">
      <c r="A258" s="706" t="s">
        <v>935</v>
      </c>
      <c r="B258" s="154"/>
      <c r="C258" s="154"/>
      <c r="D258" s="903"/>
      <c r="E258" s="691">
        <f>SUM('Link Sheet'!D401:D428)</f>
        <v>1421.0420000000001</v>
      </c>
      <c r="F258" s="177">
        <v>127.121</v>
      </c>
    </row>
    <row r="259" spans="1:6" ht="15" customHeight="1">
      <c r="A259" s="706"/>
      <c r="B259" s="154"/>
      <c r="C259" s="154"/>
      <c r="D259" s="903"/>
      <c r="E259" s="691"/>
      <c r="F259" s="707"/>
    </row>
    <row r="260" spans="1:6" ht="15" customHeight="1">
      <c r="A260" s="643" t="s">
        <v>93</v>
      </c>
      <c r="B260" s="708"/>
      <c r="C260" s="708"/>
      <c r="D260" s="709"/>
      <c r="E260" s="185">
        <f>SUM(E245:E258)</f>
        <v>27606.452360000003</v>
      </c>
      <c r="F260" s="185">
        <f>SUM(F243:F258)</f>
        <v>37731.456059999997</v>
      </c>
    </row>
    <row r="261" spans="1:6" ht="15" customHeight="1">
      <c r="A261" s="174"/>
      <c r="D261" s="151"/>
      <c r="E261" s="710"/>
      <c r="F261" s="710"/>
    </row>
    <row r="262" spans="1:6" ht="15" hidden="1" customHeight="1">
      <c r="A262" s="170" t="s">
        <v>3</v>
      </c>
      <c r="B262" s="166"/>
      <c r="C262" s="166"/>
      <c r="D262" s="711"/>
      <c r="E262" s="712"/>
      <c r="F262" s="697"/>
    </row>
    <row r="263" spans="1:6" hidden="1">
      <c r="A263" s="196" t="s">
        <v>16</v>
      </c>
      <c r="B263" s="678"/>
      <c r="C263" s="678"/>
      <c r="D263" s="679"/>
      <c r="E263" s="665" t="str">
        <f>+$E$46</f>
        <v>As at March 31, 2022</v>
      </c>
      <c r="F263" s="665" t="str">
        <f>+$F$46</f>
        <v>As at March 31, 2021</v>
      </c>
    </row>
    <row r="264" spans="1:6" ht="15" hidden="1" customHeight="1">
      <c r="A264" s="698"/>
      <c r="D264" s="638"/>
      <c r="E264" s="530"/>
      <c r="F264" s="530"/>
    </row>
    <row r="265" spans="1:6" ht="15" hidden="1" customHeight="1">
      <c r="A265" s="698" t="s">
        <v>143</v>
      </c>
      <c r="D265" s="638"/>
      <c r="E265" s="530">
        <v>0</v>
      </c>
      <c r="F265" s="530">
        <v>0</v>
      </c>
    </row>
    <row r="266" spans="1:6" ht="15" hidden="1" customHeight="1">
      <c r="A266" s="698" t="s">
        <v>144</v>
      </c>
      <c r="D266" s="638"/>
      <c r="E266" s="530">
        <v>0</v>
      </c>
      <c r="F266" s="530">
        <v>0</v>
      </c>
    </row>
    <row r="267" spans="1:6" ht="15" hidden="1" customHeight="1">
      <c r="A267" s="649" t="s">
        <v>145</v>
      </c>
      <c r="B267" s="699"/>
      <c r="C267" s="699"/>
      <c r="D267" s="650"/>
      <c r="E267" s="530">
        <v>0</v>
      </c>
      <c r="F267" s="530">
        <v>0</v>
      </c>
    </row>
    <row r="268" spans="1:6" ht="15" hidden="1" customHeight="1">
      <c r="A268" s="649" t="s">
        <v>2</v>
      </c>
      <c r="B268" s="699"/>
      <c r="C268" s="699"/>
      <c r="D268" s="650"/>
      <c r="E268" s="691">
        <v>0</v>
      </c>
      <c r="F268" s="691">
        <v>0</v>
      </c>
    </row>
    <row r="269" spans="1:6" ht="15" hidden="1" customHeight="1">
      <c r="A269" s="643" t="s">
        <v>93</v>
      </c>
      <c r="B269" s="678"/>
      <c r="C269" s="678"/>
      <c r="D269" s="679"/>
      <c r="E269" s="700">
        <f>SUM(E265:E268)</f>
        <v>0</v>
      </c>
      <c r="F269" s="700">
        <f>SUM(F265:F268)</f>
        <v>0</v>
      </c>
    </row>
    <row r="270" spans="1:6" ht="15" hidden="1" customHeight="1">
      <c r="A270" s="713"/>
      <c r="B270" s="714"/>
      <c r="C270" s="714"/>
      <c r="D270" s="715"/>
      <c r="E270" s="716"/>
      <c r="F270" s="716"/>
    </row>
    <row r="271" spans="1:6" ht="15" hidden="1" customHeight="1"/>
  </sheetData>
  <mergeCells count="46">
    <mergeCell ref="C32:D32"/>
    <mergeCell ref="A32:B33"/>
    <mergeCell ref="A34:B34"/>
    <mergeCell ref="B218:F218"/>
    <mergeCell ref="A65:D65"/>
    <mergeCell ref="A129:B129"/>
    <mergeCell ref="A106:D106"/>
    <mergeCell ref="A125:F125"/>
    <mergeCell ref="C126:F126"/>
    <mergeCell ref="A105:D105"/>
    <mergeCell ref="A218:A219"/>
    <mergeCell ref="A217:F217"/>
    <mergeCell ref="A209:F209"/>
    <mergeCell ref="A133:F133"/>
    <mergeCell ref="A21:F21"/>
    <mergeCell ref="G217:H217"/>
    <mergeCell ref="A130:B130"/>
    <mergeCell ref="A131:B131"/>
    <mergeCell ref="A139:B139"/>
    <mergeCell ref="A128:B128"/>
    <mergeCell ref="A210:A211"/>
    <mergeCell ref="A134:B135"/>
    <mergeCell ref="A136:B136"/>
    <mergeCell ref="A137:B137"/>
    <mergeCell ref="A138:B138"/>
    <mergeCell ref="C134:F134"/>
    <mergeCell ref="B210:F210"/>
    <mergeCell ref="A64:D64"/>
    <mergeCell ref="A100:D100"/>
    <mergeCell ref="A126:B127"/>
    <mergeCell ref="A1:F1"/>
    <mergeCell ref="A2:F2"/>
    <mergeCell ref="A4:F4"/>
    <mergeCell ref="A3:F3"/>
    <mergeCell ref="A45:F45"/>
    <mergeCell ref="A8:A9"/>
    <mergeCell ref="E24:F24"/>
    <mergeCell ref="E32:F32"/>
    <mergeCell ref="A36:B36"/>
    <mergeCell ref="C24:D24"/>
    <mergeCell ref="A24:B25"/>
    <mergeCell ref="A26:B26"/>
    <mergeCell ref="A27:B27"/>
    <mergeCell ref="A28:B28"/>
    <mergeCell ref="A35:B35"/>
    <mergeCell ref="A29:B29"/>
  </mergeCells>
  <phoneticPr fontId="4" type="noConversion"/>
  <printOptions horizontalCentered="1"/>
  <pageMargins left="0.51181102362204722" right="0.51181102362204722" top="0.59055118110236227" bottom="0.59055118110236227" header="0.19685039370078741" footer="0.19685039370078741"/>
  <pageSetup paperSize="9" scale="75" orientation="portrait" r:id="rId1"/>
  <headerFooter alignWithMargins="0"/>
  <rowBreaks count="5" manualBreakCount="5">
    <brk id="57" max="5" man="1"/>
    <brk id="112" max="5" man="1"/>
    <brk id="167" max="5" man="1"/>
    <brk id="224" max="5" man="1"/>
    <brk id="270" max="4" man="1"/>
  </rowBreaks>
  <ignoredErrors>
    <ignoredError sqref="D35 D34 F34 F35"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4"/>
  <sheetViews>
    <sheetView view="pageBreakPreview" topLeftCell="A62" zoomScale="115" zoomScaleNormal="100" zoomScaleSheetLayoutView="115" workbookViewId="0">
      <selection activeCell="C71" sqref="C71"/>
    </sheetView>
  </sheetViews>
  <sheetFormatPr defaultColWidth="9.140625" defaultRowHeight="12.75"/>
  <cols>
    <col min="1" max="1" width="3" style="991" customWidth="1"/>
    <col min="2" max="2" width="45.7109375" style="991" customWidth="1"/>
    <col min="3" max="3" width="19.140625" style="13" customWidth="1"/>
    <col min="4" max="4" width="19.140625" style="991" customWidth="1"/>
    <col min="5" max="5" width="15.28515625" style="991" hidden="1" customWidth="1"/>
    <col min="6" max="6" width="13.28515625" style="991" hidden="1" customWidth="1"/>
    <col min="7" max="7" width="14" style="991" hidden="1" customWidth="1"/>
    <col min="8" max="8" width="0" style="991" hidden="1" customWidth="1"/>
    <col min="9" max="9" width="15.85546875" style="991" hidden="1" customWidth="1"/>
    <col min="10" max="10" width="15" style="991" bestFit="1" customWidth="1"/>
    <col min="11" max="11" width="11.140625" style="991" bestFit="1" customWidth="1"/>
    <col min="12" max="12" width="12.7109375" style="991" bestFit="1" customWidth="1"/>
    <col min="13" max="16384" width="9.140625" style="991"/>
  </cols>
  <sheetData>
    <row r="1" spans="1:10">
      <c r="A1" s="990"/>
      <c r="B1" s="1153" t="s">
        <v>946</v>
      </c>
      <c r="C1" s="1153"/>
      <c r="D1" s="1153"/>
    </row>
    <row r="2" spans="1:10">
      <c r="A2" s="992"/>
      <c r="B2" s="1152" t="s">
        <v>416</v>
      </c>
      <c r="C2" s="1152"/>
      <c r="D2" s="1152"/>
      <c r="F2" s="993"/>
    </row>
    <row r="3" spans="1:10">
      <c r="A3" s="983"/>
      <c r="B3" s="1152" t="s">
        <v>1622</v>
      </c>
      <c r="C3" s="1152"/>
      <c r="D3" s="1152"/>
    </row>
    <row r="4" spans="1:10">
      <c r="A4" s="983"/>
      <c r="B4" s="1154" t="str">
        <f>CFS!A5</f>
        <v>(All amounts are in Indian Rupees in thousands, except share data and as stated)</v>
      </c>
      <c r="C4" s="1154"/>
      <c r="D4" s="1154"/>
    </row>
    <row r="5" spans="1:10">
      <c r="A5" s="983"/>
      <c r="B5" s="994"/>
      <c r="C5" s="994"/>
      <c r="D5" s="994"/>
    </row>
    <row r="6" spans="1:10">
      <c r="A6" s="983"/>
      <c r="B6" s="1162" t="s">
        <v>11</v>
      </c>
      <c r="C6" s="1160"/>
      <c r="D6" s="1160"/>
    </row>
    <row r="7" spans="1:10">
      <c r="A7" s="983"/>
      <c r="B7" s="1158" t="s">
        <v>51</v>
      </c>
      <c r="C7" s="1158"/>
      <c r="D7" s="995"/>
    </row>
    <row r="8" spans="1:10" ht="25.5">
      <c r="A8" s="983"/>
      <c r="B8" s="996" t="s">
        <v>16</v>
      </c>
      <c r="C8" s="997" t="s">
        <v>1644</v>
      </c>
      <c r="D8" s="148" t="s">
        <v>1645</v>
      </c>
    </row>
    <row r="9" spans="1:10">
      <c r="A9" s="983"/>
      <c r="B9" s="998"/>
      <c r="C9" s="264"/>
      <c r="D9" s="999"/>
    </row>
    <row r="10" spans="1:10">
      <c r="A10" s="983"/>
      <c r="B10" s="983" t="s">
        <v>152</v>
      </c>
      <c r="C10" s="149">
        <f>-SUM('Link Sheet'!D432:D435)</f>
        <v>452531.78117999999</v>
      </c>
      <c r="D10" s="1000">
        <f>171696.54122</f>
        <v>171696.54122000001</v>
      </c>
      <c r="E10" s="991" t="s">
        <v>289</v>
      </c>
      <c r="G10" s="991">
        <v>4539462</v>
      </c>
      <c r="I10" s="1001" t="e">
        <f>C10-#REF!+C12</f>
        <v>#REF!</v>
      </c>
    </row>
    <row r="11" spans="1:10">
      <c r="A11" s="983"/>
      <c r="B11" s="1002" t="s">
        <v>272</v>
      </c>
      <c r="C11" s="1003">
        <f>-SUM('Link Sheet'!D437:D438)</f>
        <v>2570.4994999999999</v>
      </c>
      <c r="D11" s="1004">
        <v>914.80468000000008</v>
      </c>
    </row>
    <row r="12" spans="1:10">
      <c r="A12" s="983"/>
      <c r="B12" s="983" t="s">
        <v>728</v>
      </c>
      <c r="C12" s="149">
        <f>-SUM('Link Sheet'!D440:D441)</f>
        <v>40.567410000000002</v>
      </c>
      <c r="D12" s="1000">
        <v>71.609970000000004</v>
      </c>
      <c r="E12" s="991">
        <f>3145486+62909+31454</f>
        <v>3239849</v>
      </c>
      <c r="J12" s="1001"/>
    </row>
    <row r="13" spans="1:10">
      <c r="A13" s="983"/>
      <c r="B13" s="1002" t="s">
        <v>1142</v>
      </c>
      <c r="C13" s="1003">
        <f>'Link Sheet'!C443</f>
        <v>5650.3578799999996</v>
      </c>
      <c r="D13" s="1004">
        <v>3138.6674199999998</v>
      </c>
    </row>
    <row r="14" spans="1:10">
      <c r="A14" s="983"/>
      <c r="B14" s="1002"/>
      <c r="C14" s="1003"/>
      <c r="D14" s="1004"/>
    </row>
    <row r="15" spans="1:10">
      <c r="A15" s="983"/>
      <c r="B15" s="1005" t="s">
        <v>93</v>
      </c>
      <c r="C15" s="1006">
        <f>SUM(C10:C13)</f>
        <v>460793.20597000001</v>
      </c>
      <c r="D15" s="1007">
        <f>SUM(D10:D13)</f>
        <v>175821.62329000002</v>
      </c>
      <c r="E15" s="991">
        <v>3464166.04</v>
      </c>
    </row>
    <row r="16" spans="1:10">
      <c r="A16" s="983"/>
      <c r="B16" s="1008"/>
      <c r="C16" s="1009"/>
      <c r="D16" s="1010"/>
      <c r="E16" s="991">
        <v>42028.68</v>
      </c>
    </row>
    <row r="17" spans="1:7">
      <c r="A17" s="983"/>
      <c r="B17" s="1157" t="s">
        <v>186</v>
      </c>
      <c r="C17" s="1157"/>
      <c r="D17" s="1157"/>
      <c r="E17" s="991">
        <f>SUM(E13:E16)</f>
        <v>3506194.72</v>
      </c>
    </row>
    <row r="18" spans="1:7">
      <c r="A18" s="983"/>
      <c r="B18" s="1158" t="s">
        <v>52</v>
      </c>
      <c r="C18" s="1158"/>
      <c r="D18" s="1158"/>
    </row>
    <row r="19" spans="1:7" ht="25.5">
      <c r="A19" s="983"/>
      <c r="B19" s="996" t="s">
        <v>16</v>
      </c>
      <c r="C19" s="997" t="str">
        <f>+$C$8</f>
        <v>For the year ended 31 March, 2022</v>
      </c>
      <c r="D19" s="1011" t="str">
        <f>+$D$8</f>
        <v>For the year ended 31 March, 2021</v>
      </c>
    </row>
    <row r="20" spans="1:7">
      <c r="A20" s="983"/>
      <c r="B20" s="998"/>
      <c r="C20" s="1012"/>
      <c r="D20" s="1013"/>
    </row>
    <row r="21" spans="1:7">
      <c r="A21" s="983"/>
      <c r="B21" s="1002" t="s">
        <v>929</v>
      </c>
      <c r="C21" s="1003">
        <f>SUM('Link Sheet'!C447:C448)</f>
        <v>391.31399999999996</v>
      </c>
      <c r="D21" s="1014">
        <v>144.786</v>
      </c>
    </row>
    <row r="22" spans="1:7">
      <c r="A22" s="983"/>
      <c r="B22" s="1015" t="s">
        <v>52</v>
      </c>
      <c r="C22" s="1003">
        <f>-SUM('Link Sheet'!D450:D452)</f>
        <v>337.26551000000006</v>
      </c>
      <c r="D22" s="1004">
        <v>31.888000000000002</v>
      </c>
      <c r="F22" s="1001" t="e">
        <f>16577078.86-#REF!</f>
        <v>#REF!</v>
      </c>
    </row>
    <row r="23" spans="1:7">
      <c r="A23" s="983"/>
      <c r="B23" s="1015"/>
      <c r="C23" s="1003"/>
      <c r="D23" s="1004"/>
      <c r="F23" s="1001"/>
    </row>
    <row r="24" spans="1:7">
      <c r="A24" s="983"/>
      <c r="B24" s="1005" t="s">
        <v>93</v>
      </c>
      <c r="C24" s="1006">
        <f>SUM(C21:C22)</f>
        <v>728.57951000000003</v>
      </c>
      <c r="D24" s="1007">
        <f>SUM(D21:D22)</f>
        <v>176.67400000000001</v>
      </c>
    </row>
    <row r="25" spans="1:7">
      <c r="A25" s="983"/>
      <c r="B25" s="1016"/>
      <c r="C25" s="1009"/>
      <c r="D25" s="1010"/>
    </row>
    <row r="26" spans="1:7">
      <c r="A26" s="983"/>
      <c r="B26" s="1157" t="s">
        <v>187</v>
      </c>
      <c r="C26" s="1160"/>
      <c r="D26" s="1160"/>
    </row>
    <row r="27" spans="1:7">
      <c r="A27" s="983"/>
      <c r="B27" s="1158" t="s">
        <v>1232</v>
      </c>
      <c r="C27" s="1159"/>
      <c r="D27" s="1159"/>
    </row>
    <row r="28" spans="1:7" ht="25.5">
      <c r="A28" s="983"/>
      <c r="B28" s="996" t="s">
        <v>16</v>
      </c>
      <c r="C28" s="997" t="str">
        <f>+$C$8</f>
        <v>For the year ended 31 March, 2022</v>
      </c>
      <c r="D28" s="1011" t="str">
        <f>+$D$8</f>
        <v>For the year ended 31 March, 2021</v>
      </c>
    </row>
    <row r="29" spans="1:7">
      <c r="A29" s="983"/>
      <c r="B29" s="998"/>
      <c r="C29" s="1012"/>
      <c r="D29" s="1013"/>
    </row>
    <row r="30" spans="1:7">
      <c r="A30" s="983"/>
      <c r="B30" s="1017" t="s">
        <v>1230</v>
      </c>
      <c r="C30" s="1003">
        <f>SUM('Link Sheet'!D456:D468)</f>
        <v>298996.87847999996</v>
      </c>
      <c r="D30" s="1014">
        <v>78332.979000000007</v>
      </c>
      <c r="E30" s="1018">
        <f>C30+C31</f>
        <v>300805.80550999998</v>
      </c>
      <c r="G30" s="1019"/>
    </row>
    <row r="31" spans="1:7">
      <c r="A31" s="983"/>
      <c r="B31" s="983" t="s">
        <v>176</v>
      </c>
      <c r="C31" s="1003">
        <f>SUM('Link Sheet'!D471:D474)</f>
        <v>1808.9270299999998</v>
      </c>
      <c r="D31" s="1004">
        <v>732.88697999999999</v>
      </c>
      <c r="G31" s="1019"/>
    </row>
    <row r="32" spans="1:7">
      <c r="A32" s="983"/>
      <c r="B32" s="983" t="s">
        <v>177</v>
      </c>
      <c r="C32" s="1003">
        <f>SUM('Link Sheet'!D476:D477)</f>
        <v>1498.5</v>
      </c>
      <c r="D32" s="1004">
        <v>1868.25</v>
      </c>
    </row>
    <row r="33" spans="1:12">
      <c r="A33" s="983"/>
      <c r="B33" s="983" t="s">
        <v>178</v>
      </c>
      <c r="C33" s="1003">
        <f>SUM('Link Sheet'!D479:D480)</f>
        <v>6722.7659999999996</v>
      </c>
      <c r="D33" s="1004">
        <v>4763.0789999999997</v>
      </c>
    </row>
    <row r="34" spans="1:12">
      <c r="A34" s="983"/>
      <c r="B34" s="983" t="s">
        <v>637</v>
      </c>
      <c r="C34" s="1003">
        <f>SUM('Link Sheet'!D482:D490)</f>
        <v>34518.848790000004</v>
      </c>
      <c r="D34" s="1004">
        <v>20536.680629999999</v>
      </c>
    </row>
    <row r="35" spans="1:12">
      <c r="A35" s="983"/>
      <c r="B35" s="983"/>
      <c r="C35" s="1003"/>
      <c r="D35" s="1004"/>
    </row>
    <row r="36" spans="1:12">
      <c r="A36" s="983"/>
      <c r="B36" s="1005" t="s">
        <v>93</v>
      </c>
      <c r="C36" s="1006">
        <f>SUM(C30:C34)</f>
        <v>343545.9203</v>
      </c>
      <c r="D36" s="1007">
        <f>SUM(D30:D34)</f>
        <v>106233.87561</v>
      </c>
      <c r="E36" s="1001"/>
    </row>
    <row r="37" spans="1:12">
      <c r="A37" s="983"/>
      <c r="B37" s="1008"/>
      <c r="C37" s="1009"/>
      <c r="D37" s="1010"/>
    </row>
    <row r="38" spans="1:12">
      <c r="A38" s="983"/>
      <c r="B38" s="1157" t="s">
        <v>254</v>
      </c>
      <c r="C38" s="1157"/>
      <c r="D38" s="1157"/>
    </row>
    <row r="39" spans="1:12">
      <c r="A39" s="983"/>
      <c r="B39" s="1158" t="s">
        <v>153</v>
      </c>
      <c r="C39" s="1159"/>
      <c r="D39" s="1159"/>
    </row>
    <row r="40" spans="1:12" ht="25.5">
      <c r="A40" s="983"/>
      <c r="B40" s="996" t="s">
        <v>16</v>
      </c>
      <c r="C40" s="997" t="str">
        <f>+$C$8</f>
        <v>For the year ended 31 March, 2022</v>
      </c>
      <c r="D40" s="1011" t="str">
        <f>+$D$8</f>
        <v>For the year ended 31 March, 2021</v>
      </c>
    </row>
    <row r="41" spans="1:12">
      <c r="A41" s="983"/>
      <c r="B41" s="1002"/>
      <c r="C41" s="1003"/>
      <c r="D41" s="1004"/>
    </row>
    <row r="42" spans="1:12">
      <c r="A42" s="983"/>
      <c r="B42" s="1020" t="s">
        <v>118</v>
      </c>
      <c r="C42" s="1003"/>
      <c r="D42" s="1004"/>
    </row>
    <row r="43" spans="1:12" s="790" customFormat="1">
      <c r="A43" s="1021"/>
      <c r="B43" s="1022" t="s">
        <v>119</v>
      </c>
      <c r="C43" s="1023">
        <f>+D47</f>
        <v>9882.0529999999999</v>
      </c>
      <c r="D43" s="1024">
        <v>13369.828</v>
      </c>
    </row>
    <row r="44" spans="1:12" s="790" customFormat="1">
      <c r="A44" s="1021"/>
      <c r="B44" s="1022" t="s">
        <v>1018</v>
      </c>
      <c r="C44" s="1023">
        <f>D48</f>
        <v>35225.008000000002</v>
      </c>
      <c r="D44" s="1024">
        <v>23070</v>
      </c>
    </row>
    <row r="45" spans="1:12">
      <c r="A45" s="983"/>
      <c r="B45" s="1002"/>
      <c r="C45" s="1003"/>
      <c r="D45" s="1004"/>
    </row>
    <row r="46" spans="1:12">
      <c r="A46" s="983"/>
      <c r="B46" s="1020" t="s">
        <v>120</v>
      </c>
      <c r="C46" s="1003"/>
      <c r="D46" s="1004"/>
      <c r="L46" s="1025"/>
    </row>
    <row r="47" spans="1:12">
      <c r="A47" s="983"/>
      <c r="B47" s="1002" t="s">
        <v>646</v>
      </c>
      <c r="C47" s="1003">
        <f>'BS Notes'!E196</f>
        <v>25014.137999999999</v>
      </c>
      <c r="D47" s="1014">
        <v>9882.0529999999999</v>
      </c>
      <c r="L47" s="1025"/>
    </row>
    <row r="48" spans="1:12">
      <c r="A48" s="983"/>
      <c r="B48" s="1022" t="s">
        <v>1018</v>
      </c>
      <c r="C48" s="1003">
        <f>'BS Notes'!E197</f>
        <v>11313.05</v>
      </c>
      <c r="D48" s="1004">
        <v>35225.008000000002</v>
      </c>
      <c r="L48" s="1025"/>
    </row>
    <row r="49" spans="1:6">
      <c r="A49" s="983"/>
      <c r="B49" s="1002"/>
      <c r="C49" s="1003"/>
      <c r="D49" s="1004"/>
    </row>
    <row r="50" spans="1:6">
      <c r="A50" s="1026"/>
      <c r="B50" s="1005" t="s">
        <v>1560</v>
      </c>
      <c r="C50" s="1006">
        <f>SUM(C43:C44)-SUM(C47:C49)</f>
        <v>8779.8730000000069</v>
      </c>
      <c r="D50" s="1007">
        <f>SUM(D43:D44)-SUM(D47:D49)</f>
        <v>-8667.2330000000002</v>
      </c>
    </row>
    <row r="51" spans="1:6">
      <c r="A51" s="983"/>
      <c r="B51" s="1008"/>
      <c r="C51" s="1009"/>
      <c r="D51" s="1010"/>
    </row>
    <row r="52" spans="1:6">
      <c r="A52" s="983"/>
      <c r="B52" s="1027"/>
      <c r="C52" s="405"/>
      <c r="D52" s="1028"/>
    </row>
    <row r="53" spans="1:6">
      <c r="A53" s="983"/>
      <c r="B53" s="1029" t="s">
        <v>285</v>
      </c>
    </row>
    <row r="54" spans="1:6">
      <c r="A54" s="983"/>
      <c r="B54" s="1030" t="s">
        <v>12</v>
      </c>
      <c r="C54" s="49"/>
      <c r="D54" s="1031"/>
    </row>
    <row r="55" spans="1:6" ht="25.5">
      <c r="A55" s="983"/>
      <c r="B55" s="996" t="s">
        <v>16</v>
      </c>
      <c r="C55" s="997" t="str">
        <f>+$C$8</f>
        <v>For the year ended 31 March, 2022</v>
      </c>
      <c r="D55" s="1011" t="str">
        <f>+$D$8</f>
        <v>For the year ended 31 March, 2021</v>
      </c>
    </row>
    <row r="56" spans="1:6">
      <c r="A56" s="983"/>
      <c r="B56" s="998"/>
      <c r="C56" s="264"/>
      <c r="D56" s="1032"/>
    </row>
    <row r="57" spans="1:6">
      <c r="A57" s="983"/>
      <c r="B57" s="983" t="s">
        <v>13</v>
      </c>
      <c r="C57" s="149">
        <f>SUM('Link Sheet'!D504:D506)</f>
        <v>1889.8969999999999</v>
      </c>
      <c r="D57" s="1000">
        <v>1865.404</v>
      </c>
    </row>
    <row r="58" spans="1:6">
      <c r="A58" s="983"/>
      <c r="B58" s="983" t="s">
        <v>982</v>
      </c>
      <c r="C58" s="149">
        <f>SUM('Link Sheet'!D510)</f>
        <v>18000</v>
      </c>
      <c r="D58" s="1000">
        <v>600</v>
      </c>
    </row>
    <row r="59" spans="1:6">
      <c r="A59" s="983"/>
      <c r="B59" s="983" t="s">
        <v>1204</v>
      </c>
      <c r="C59" s="149">
        <f>SUM('Link Sheet'!D508)</f>
        <v>724.7876</v>
      </c>
      <c r="D59" s="1000">
        <v>415.52785</v>
      </c>
      <c r="E59" s="1001"/>
    </row>
    <row r="60" spans="1:6">
      <c r="A60" s="983"/>
      <c r="B60" s="983" t="s">
        <v>302</v>
      </c>
      <c r="C60" s="149">
        <f>SUM('Link Sheet'!D512:D514)</f>
        <v>186.05799999999999</v>
      </c>
      <c r="D60" s="1000">
        <v>180.32900000000001</v>
      </c>
    </row>
    <row r="61" spans="1:6">
      <c r="A61" s="983"/>
      <c r="B61" s="983" t="s">
        <v>1023</v>
      </c>
      <c r="C61" s="149">
        <f>'Link Sheet'!D516</f>
        <v>0</v>
      </c>
      <c r="D61" s="1000">
        <v>0</v>
      </c>
    </row>
    <row r="62" spans="1:6">
      <c r="A62" s="983"/>
      <c r="B62" s="983"/>
      <c r="C62" s="149"/>
      <c r="D62" s="1000"/>
    </row>
    <row r="63" spans="1:6">
      <c r="A63" s="983"/>
      <c r="B63" s="1005" t="s">
        <v>93</v>
      </c>
      <c r="C63" s="1006">
        <f>SUM(C57:C61)</f>
        <v>20800.742600000001</v>
      </c>
      <c r="D63" s="1007">
        <f>SUM(D57:D61)</f>
        <v>3061.2608500000001</v>
      </c>
      <c r="F63" s="1001">
        <f>C63-2002100.5</f>
        <v>-1981299.7574</v>
      </c>
    </row>
    <row r="64" spans="1:6">
      <c r="A64" s="983"/>
      <c r="B64" s="1008"/>
      <c r="C64" s="1033"/>
      <c r="D64" s="1010"/>
    </row>
    <row r="65" spans="1:11">
      <c r="A65" s="983"/>
      <c r="B65" s="1029" t="s">
        <v>1027</v>
      </c>
    </row>
    <row r="66" spans="1:11">
      <c r="A66" s="983"/>
      <c r="B66" s="1030" t="s">
        <v>184</v>
      </c>
      <c r="C66" s="49"/>
      <c r="D66" s="1031"/>
    </row>
    <row r="67" spans="1:11" ht="25.5">
      <c r="A67" s="983"/>
      <c r="B67" s="996" t="s">
        <v>16</v>
      </c>
      <c r="C67" s="997" t="str">
        <f>+$C$8</f>
        <v>For the year ended 31 March, 2022</v>
      </c>
      <c r="D67" s="1011" t="str">
        <f>+$D$8</f>
        <v>For the year ended 31 March, 2021</v>
      </c>
    </row>
    <row r="68" spans="1:11">
      <c r="A68" s="983"/>
      <c r="B68" s="998"/>
      <c r="C68" s="264"/>
      <c r="D68" s="1034"/>
    </row>
    <row r="69" spans="1:11">
      <c r="A69" s="983"/>
      <c r="B69" s="983" t="s">
        <v>1132</v>
      </c>
      <c r="C69" s="149">
        <f>SUM('Link Sheet'!D520:D521)</f>
        <v>196.11600000000001</v>
      </c>
      <c r="D69" s="1000">
        <v>0</v>
      </c>
    </row>
    <row r="70" spans="1:11">
      <c r="A70" s="983"/>
      <c r="B70" s="983" t="s">
        <v>1105</v>
      </c>
      <c r="C70" s="1003">
        <f>SUM('Link Sheet'!D525:D525)</f>
        <v>2461.5770000000002</v>
      </c>
      <c r="D70" s="1000">
        <v>731.81399999999996</v>
      </c>
    </row>
    <row r="71" spans="1:11">
      <c r="A71" s="983"/>
      <c r="B71" s="983" t="s">
        <v>1106</v>
      </c>
      <c r="C71" s="149">
        <f>SUM('Link Sheet'!D527:D536)</f>
        <v>22542.971469999997</v>
      </c>
      <c r="D71" s="1000">
        <v>23430.23114</v>
      </c>
      <c r="K71" s="1018"/>
    </row>
    <row r="72" spans="1:11">
      <c r="A72" s="983"/>
      <c r="B72" s="983" t="s">
        <v>1238</v>
      </c>
      <c r="C72" s="149">
        <f>SUM('Link Sheet'!D538:D539)</f>
        <v>51.084999999999994</v>
      </c>
      <c r="D72" s="1000">
        <v>65.543999999999997</v>
      </c>
    </row>
    <row r="73" spans="1:11">
      <c r="A73" s="983"/>
      <c r="B73" s="983"/>
      <c r="C73" s="315"/>
      <c r="D73" s="1000"/>
    </row>
    <row r="74" spans="1:11">
      <c r="A74" s="1026"/>
      <c r="B74" s="1005" t="s">
        <v>93</v>
      </c>
      <c r="C74" s="1006">
        <f>SUM(C69:C72)</f>
        <v>25251.749469999995</v>
      </c>
      <c r="D74" s="1007">
        <f>SUM(D69:D72)</f>
        <v>24227.58914</v>
      </c>
    </row>
    <row r="75" spans="1:11">
      <c r="A75" s="983"/>
      <c r="B75" s="1008"/>
      <c r="C75" s="1033"/>
      <c r="D75" s="1035"/>
    </row>
    <row r="76" spans="1:11">
      <c r="A76" s="983"/>
      <c r="B76" s="1161" t="s">
        <v>1441</v>
      </c>
      <c r="C76" s="1161"/>
      <c r="D76" s="1161"/>
    </row>
    <row r="77" spans="1:11">
      <c r="A77" s="983"/>
      <c r="B77" s="1155" t="s">
        <v>59</v>
      </c>
      <c r="C77" s="1156"/>
      <c r="D77" s="1156"/>
    </row>
    <row r="78" spans="1:11" ht="25.5">
      <c r="A78" s="983"/>
      <c r="B78" s="996" t="s">
        <v>16</v>
      </c>
      <c r="C78" s="997" t="str">
        <f>+$C$8</f>
        <v>For the year ended 31 March, 2022</v>
      </c>
      <c r="D78" s="1011" t="str">
        <f>+$D$8</f>
        <v>For the year ended 31 March, 2021</v>
      </c>
    </row>
    <row r="79" spans="1:11">
      <c r="A79" s="983"/>
      <c r="B79" s="1036" t="s">
        <v>249</v>
      </c>
      <c r="C79" s="1037"/>
      <c r="D79" s="1038"/>
    </row>
    <row r="80" spans="1:11">
      <c r="A80" s="983"/>
      <c r="B80" s="983" t="s">
        <v>181</v>
      </c>
      <c r="C80" s="1003">
        <f>SUM('Link Sheet'!D548:D548)</f>
        <v>23.731999999999999</v>
      </c>
      <c r="D80" s="1014">
        <v>13.5975</v>
      </c>
    </row>
    <row r="81" spans="1:10">
      <c r="A81" s="983"/>
      <c r="B81" s="983" t="s">
        <v>121</v>
      </c>
      <c r="C81" s="1003">
        <f>SUM('Link Sheet'!D550)</f>
        <v>181.23027999999999</v>
      </c>
      <c r="D81" s="1014">
        <v>118.45699999999999</v>
      </c>
      <c r="J81" s="1001"/>
    </row>
    <row r="82" spans="1:10">
      <c r="A82" s="983"/>
      <c r="B82" s="983" t="s">
        <v>182</v>
      </c>
      <c r="C82" s="1003">
        <f>SUM('Link Sheet'!D552:D554)</f>
        <v>183.55503999999996</v>
      </c>
      <c r="D82" s="1014">
        <v>216.08491000000001</v>
      </c>
    </row>
    <row r="83" spans="1:10">
      <c r="A83" s="983"/>
      <c r="B83" s="983" t="s">
        <v>411</v>
      </c>
      <c r="C83" s="1003">
        <f>SUM('Link Sheet'!D556:D557)</f>
        <v>349.99400000000003</v>
      </c>
      <c r="D83" s="1014">
        <v>196.99100000000001</v>
      </c>
      <c r="G83" s="991" t="s">
        <v>305</v>
      </c>
    </row>
    <row r="84" spans="1:10" ht="12.75" customHeight="1">
      <c r="A84" s="983"/>
      <c r="B84" s="983" t="s">
        <v>154</v>
      </c>
      <c r="C84" s="1003">
        <f>SUM('Link Sheet'!D559:D560)</f>
        <v>458.36900000000003</v>
      </c>
      <c r="D84" s="1014">
        <v>390.67399999999998</v>
      </c>
      <c r="E84" s="991" t="s">
        <v>303</v>
      </c>
      <c r="F84" s="1001"/>
      <c r="G84" s="1001" t="e">
        <f>#REF!</f>
        <v>#REF!</v>
      </c>
    </row>
    <row r="85" spans="1:10" ht="12.75" customHeight="1">
      <c r="A85" s="983"/>
      <c r="B85" s="983" t="s">
        <v>989</v>
      </c>
      <c r="C85" s="201"/>
      <c r="D85" s="1026"/>
      <c r="E85" s="991" t="s">
        <v>304</v>
      </c>
      <c r="G85" s="1001" t="e">
        <f>#REF!+#REF!+#REF!</f>
        <v>#REF!</v>
      </c>
    </row>
    <row r="86" spans="1:10" ht="12.75" customHeight="1">
      <c r="A86" s="983"/>
      <c r="B86" s="1039" t="s">
        <v>494</v>
      </c>
      <c r="C86" s="1003">
        <f>SUM('Link Sheet'!B562:B563)</f>
        <v>672.19344999999998</v>
      </c>
      <c r="D86" s="1014">
        <v>335.49157999999994</v>
      </c>
      <c r="G86" s="1001"/>
    </row>
    <row r="87" spans="1:10" ht="12.75" customHeight="1">
      <c r="A87" s="983"/>
      <c r="B87" s="1039" t="s">
        <v>935</v>
      </c>
      <c r="C87" s="1003">
        <f>SUM('Link Sheet'!B565:B570)</f>
        <v>4193.9667299999992</v>
      </c>
      <c r="D87" s="1014">
        <v>2356.8159799999999</v>
      </c>
      <c r="G87" s="1001"/>
    </row>
    <row r="88" spans="1:10" ht="12.75" customHeight="1">
      <c r="A88" s="983"/>
      <c r="B88" s="983" t="s">
        <v>810</v>
      </c>
      <c r="C88" s="1003">
        <f>SUM('Link Sheet'!D572)</f>
        <v>109.61</v>
      </c>
      <c r="D88" s="1014">
        <v>19.143999999999998</v>
      </c>
      <c r="G88" s="1001"/>
    </row>
    <row r="89" spans="1:10" ht="12.75" customHeight="1">
      <c r="A89" s="983"/>
      <c r="B89" s="983" t="s">
        <v>123</v>
      </c>
      <c r="C89" s="1003">
        <f>SUM('Link Sheet'!D574:D575)</f>
        <v>811.87800000000004</v>
      </c>
      <c r="D89" s="1014">
        <v>839.01</v>
      </c>
      <c r="G89" s="1001" t="e">
        <f>SUM(G84:G85)</f>
        <v>#REF!</v>
      </c>
    </row>
    <row r="90" spans="1:10" ht="12.75" customHeight="1">
      <c r="A90" s="983"/>
      <c r="B90" s="983" t="s">
        <v>247</v>
      </c>
      <c r="C90" s="1003">
        <f>SUM('Link Sheet'!D577:D578)</f>
        <v>62.5</v>
      </c>
      <c r="D90" s="1014">
        <v>29.551500000000001</v>
      </c>
      <c r="E90" s="1001"/>
    </row>
    <row r="91" spans="1:10" ht="12.75" customHeight="1">
      <c r="A91" s="983"/>
      <c r="B91" s="983" t="s">
        <v>196</v>
      </c>
      <c r="C91" s="1003">
        <f>SUM('Link Sheet'!D581:D598)</f>
        <v>3284.6641799999993</v>
      </c>
      <c r="D91" s="1014">
        <v>1584.4763799999998</v>
      </c>
      <c r="F91" s="1018"/>
    </row>
    <row r="92" spans="1:10" ht="12.75" customHeight="1">
      <c r="A92" s="983"/>
      <c r="B92" s="983" t="s">
        <v>185</v>
      </c>
      <c r="C92" s="1003">
        <f>SUM('Link Sheet'!D601:D603)</f>
        <v>500.45699999999999</v>
      </c>
      <c r="D92" s="1014">
        <v>708.24</v>
      </c>
    </row>
    <row r="93" spans="1:10" ht="12.75" customHeight="1">
      <c r="A93" s="983"/>
      <c r="B93" s="983" t="s">
        <v>1239</v>
      </c>
      <c r="C93" s="1003">
        <f>SUM('Link Sheet'!B605:B605)</f>
        <v>217.76</v>
      </c>
      <c r="D93" s="1014">
        <v>49.222999999999999</v>
      </c>
    </row>
    <row r="94" spans="1:10" ht="12.75" customHeight="1">
      <c r="A94" s="983"/>
      <c r="B94" s="983" t="s">
        <v>122</v>
      </c>
      <c r="C94" s="1003">
        <f>SUM('Link Sheet'!D610)</f>
        <v>3014.9695299999998</v>
      </c>
      <c r="D94" s="1014">
        <v>671.98201000000006</v>
      </c>
    </row>
    <row r="95" spans="1:10" ht="12.75" customHeight="1">
      <c r="A95" s="983"/>
      <c r="B95" s="1040" t="s">
        <v>14</v>
      </c>
      <c r="C95" s="1003"/>
      <c r="D95" s="1041"/>
    </row>
    <row r="96" spans="1:10" ht="12.75" customHeight="1">
      <c r="A96" s="983"/>
      <c r="B96" s="983" t="s">
        <v>15</v>
      </c>
      <c r="C96" s="1003">
        <f>SUM('Link Sheet'!D613)</f>
        <v>175</v>
      </c>
      <c r="D96" s="1014">
        <v>175</v>
      </c>
    </row>
    <row r="97" spans="1:4" ht="12.75" customHeight="1">
      <c r="A97" s="983"/>
      <c r="B97" s="983" t="s">
        <v>293</v>
      </c>
      <c r="C97" s="1042"/>
      <c r="D97" s="1043"/>
    </row>
    <row r="98" spans="1:4" ht="12.75" customHeight="1">
      <c r="A98" s="983"/>
      <c r="B98" s="1005" t="s">
        <v>251</v>
      </c>
      <c r="C98" s="1044">
        <f>SUM(C80:C97)</f>
        <v>14239.879209999999</v>
      </c>
      <c r="D98" s="1045">
        <f>SUM(D80:D97)</f>
        <v>7704.7388599999986</v>
      </c>
    </row>
    <row r="99" spans="1:4" ht="12.75" customHeight="1">
      <c r="A99" s="983"/>
      <c r="B99" s="1036" t="s">
        <v>250</v>
      </c>
      <c r="C99" s="1003"/>
      <c r="D99" s="1004"/>
    </row>
    <row r="100" spans="1:4" ht="12.75" customHeight="1">
      <c r="A100" s="983"/>
      <c r="B100" s="983" t="s">
        <v>180</v>
      </c>
      <c r="C100" s="1003">
        <f>SUM('Link Sheet'!D617)</f>
        <v>5461.5427800000007</v>
      </c>
      <c r="D100" s="1004">
        <v>1171.5899999999999</v>
      </c>
    </row>
    <row r="101" spans="1:4" ht="12.75" customHeight="1">
      <c r="A101" s="983"/>
      <c r="B101" s="1005" t="s">
        <v>252</v>
      </c>
      <c r="C101" s="1044">
        <f>SUM(C100:C100)</f>
        <v>5461.5427800000007</v>
      </c>
      <c r="D101" s="1045">
        <f>SUM(D100:D100)</f>
        <v>1171.5899999999999</v>
      </c>
    </row>
    <row r="102" spans="1:4">
      <c r="A102" s="983"/>
      <c r="B102" s="1046"/>
      <c r="C102" s="1047"/>
      <c r="D102" s="1048"/>
    </row>
    <row r="103" spans="1:4">
      <c r="A103" s="983"/>
      <c r="B103" s="1005" t="s">
        <v>253</v>
      </c>
      <c r="C103" s="1006">
        <f>+C101+C98</f>
        <v>19701.421989999999</v>
      </c>
      <c r="D103" s="1007">
        <f>+D101+D98</f>
        <v>8876.3288599999978</v>
      </c>
    </row>
    <row r="104" spans="1:4">
      <c r="A104" s="983"/>
    </row>
  </sheetData>
  <mergeCells count="14">
    <mergeCell ref="B2:D2"/>
    <mergeCell ref="B1:D1"/>
    <mergeCell ref="B4:D4"/>
    <mergeCell ref="B77:D77"/>
    <mergeCell ref="B38:D38"/>
    <mergeCell ref="B39:D39"/>
    <mergeCell ref="B26:D26"/>
    <mergeCell ref="B27:D27"/>
    <mergeCell ref="B7:C7"/>
    <mergeCell ref="B18:D18"/>
    <mergeCell ref="B3:D3"/>
    <mergeCell ref="B76:D76"/>
    <mergeCell ref="B6:D6"/>
    <mergeCell ref="B17:D17"/>
  </mergeCells>
  <phoneticPr fontId="4" type="noConversion"/>
  <conditionalFormatting sqref="C47:C48">
    <cfRule type="duplicateValues" dxfId="1" priority="910" stopIfTrue="1"/>
  </conditionalFormatting>
  <printOptions horizontalCentered="1"/>
  <pageMargins left="0.19685039370078741" right="0.19685039370078741" top="0.59055118110236227" bottom="0.19685039370078741" header="0.19685039370078741" footer="0.15748031496062992"/>
  <pageSetup scale="85" orientation="portrait" r:id="rId1"/>
  <headerFooter alignWithMargins="0"/>
  <rowBreaks count="1" manualBreakCount="1">
    <brk id="51" min="1" max="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9"/>
  <sheetViews>
    <sheetView view="pageBreakPreview" zoomScaleNormal="100" zoomScaleSheetLayoutView="100" workbookViewId="0">
      <selection activeCell="C17" sqref="C17"/>
    </sheetView>
  </sheetViews>
  <sheetFormatPr defaultColWidth="9.140625" defaultRowHeight="12.75"/>
  <cols>
    <col min="1" max="1" width="8.28515625" style="13" customWidth="1"/>
    <col min="2" max="2" width="26.140625" style="13" customWidth="1"/>
    <col min="3" max="3" width="46.85546875" style="13" customWidth="1"/>
    <col min="4" max="5" width="17.7109375" style="13" customWidth="1"/>
    <col min="6" max="6" width="15.85546875" style="13" bestFit="1" customWidth="1"/>
    <col min="7" max="7" width="14" style="13" customWidth="1"/>
    <col min="8" max="8" width="14" style="13" bestFit="1" customWidth="1"/>
    <col min="9" max="9" width="12.85546875" style="13" customWidth="1"/>
    <col min="10" max="16384" width="9.140625" style="13"/>
  </cols>
  <sheetData>
    <row r="1" spans="1:7">
      <c r="B1" s="215"/>
      <c r="C1" s="215"/>
      <c r="D1" s="215"/>
      <c r="E1" s="907"/>
    </row>
    <row r="2" spans="1:7">
      <c r="A2" s="1098" t="str">
        <f>BS!A1</f>
        <v>DYNAMIC AIR ENGINEERING INDIA PRIVATE LIMITED</v>
      </c>
      <c r="B2" s="1098"/>
      <c r="C2" s="1098"/>
      <c r="D2" s="1098"/>
      <c r="E2" s="1098"/>
    </row>
    <row r="3" spans="1:7" s="55" customFormat="1">
      <c r="A3" s="1098" t="str">
        <f>BS!A2</f>
        <v>CIN No. :  U29192TN2008PTC066303</v>
      </c>
      <c r="B3" s="1098"/>
      <c r="C3" s="1098"/>
      <c r="D3" s="1098"/>
      <c r="E3" s="1098"/>
    </row>
    <row r="4" spans="1:7" s="55" customFormat="1">
      <c r="A4" s="1098" t="s">
        <v>1636</v>
      </c>
      <c r="B4" s="1098"/>
      <c r="C4" s="1098"/>
      <c r="D4" s="1098"/>
      <c r="E4" s="1098"/>
      <c r="G4" s="55" t="s">
        <v>1635</v>
      </c>
    </row>
    <row r="5" spans="1:7">
      <c r="A5" s="1099" t="str">
        <f>BS!A4</f>
        <v>(All amounts are in Indian Rupees in thousands, except share data and as stated)</v>
      </c>
      <c r="B5" s="1099"/>
      <c r="C5" s="1099"/>
      <c r="D5" s="1099"/>
      <c r="E5" s="1099"/>
    </row>
    <row r="6" spans="1:7" ht="25.5">
      <c r="A6" s="39"/>
      <c r="B6" s="1163" t="s">
        <v>16</v>
      </c>
      <c r="C6" s="1164"/>
      <c r="D6" s="199" t="s">
        <v>1633</v>
      </c>
      <c r="E6" s="199" t="s">
        <v>1634</v>
      </c>
    </row>
    <row r="7" spans="1:7">
      <c r="A7" s="150" t="s">
        <v>0</v>
      </c>
      <c r="B7" s="308" t="s">
        <v>315</v>
      </c>
      <c r="C7" s="308"/>
      <c r="D7" s="200"/>
      <c r="E7" s="200"/>
    </row>
    <row r="8" spans="1:7">
      <c r="A8" s="201"/>
      <c r="B8" s="55" t="s">
        <v>316</v>
      </c>
      <c r="C8" s="55"/>
      <c r="D8" s="202">
        <f>PL!E18</f>
        <v>11220.478119358246</v>
      </c>
      <c r="E8" s="202">
        <v>3195.7789967751205</v>
      </c>
    </row>
    <row r="9" spans="1:7" ht="13.5" thickBot="1">
      <c r="A9" s="201"/>
      <c r="B9" s="55" t="s">
        <v>317</v>
      </c>
      <c r="C9" s="55"/>
      <c r="D9" s="203"/>
      <c r="E9" s="203">
        <v>0</v>
      </c>
    </row>
    <row r="10" spans="1:7">
      <c r="A10" s="201"/>
      <c r="B10" s="55" t="s">
        <v>318</v>
      </c>
      <c r="C10" s="55"/>
      <c r="D10" s="204">
        <f>SUM(D8:D9)</f>
        <v>11220.478119358246</v>
      </c>
      <c r="E10" s="204">
        <f>SUM(E8:E9)</f>
        <v>3195.7789967751205</v>
      </c>
    </row>
    <row r="11" spans="1:7">
      <c r="A11" s="201"/>
      <c r="B11" s="55" t="s">
        <v>319</v>
      </c>
      <c r="C11" s="55"/>
      <c r="D11" s="202">
        <v>0</v>
      </c>
      <c r="E11" s="202">
        <v>0</v>
      </c>
    </row>
    <row r="12" spans="1:7">
      <c r="A12" s="201"/>
      <c r="B12" s="55" t="s">
        <v>320</v>
      </c>
      <c r="C12" s="55"/>
      <c r="D12" s="202">
        <v>0</v>
      </c>
      <c r="E12" s="202">
        <v>0</v>
      </c>
      <c r="F12" s="13">
        <v>1000</v>
      </c>
    </row>
    <row r="13" spans="1:7">
      <c r="A13" s="201"/>
      <c r="B13" s="55" t="s">
        <v>321</v>
      </c>
      <c r="C13" s="55"/>
      <c r="D13" s="202">
        <f>PL!E15</f>
        <v>32221.600000641771</v>
      </c>
      <c r="E13" s="202">
        <v>39070.696833224858</v>
      </c>
    </row>
    <row r="14" spans="1:7">
      <c r="A14" s="201"/>
      <c r="B14" s="55" t="s">
        <v>322</v>
      </c>
      <c r="C14" s="55"/>
      <c r="D14" s="202">
        <v>0</v>
      </c>
      <c r="E14" s="202">
        <v>0</v>
      </c>
    </row>
    <row r="15" spans="1:7">
      <c r="A15" s="201"/>
      <c r="B15" s="1169" t="s">
        <v>323</v>
      </c>
      <c r="C15" s="1170"/>
      <c r="D15" s="202">
        <v>0</v>
      </c>
      <c r="E15" s="202">
        <v>0</v>
      </c>
    </row>
    <row r="16" spans="1:7">
      <c r="A16" s="201"/>
      <c r="B16" s="1169" t="s">
        <v>324</v>
      </c>
      <c r="C16" s="1170"/>
      <c r="D16" s="202">
        <v>0</v>
      </c>
      <c r="E16" s="202">
        <v>0</v>
      </c>
    </row>
    <row r="17" spans="1:5">
      <c r="A17" s="201"/>
      <c r="B17" s="55" t="s">
        <v>325</v>
      </c>
      <c r="C17" s="55"/>
      <c r="D17" s="202">
        <v>0</v>
      </c>
      <c r="E17" s="202">
        <v>0</v>
      </c>
    </row>
    <row r="18" spans="1:5">
      <c r="A18" s="201"/>
      <c r="B18" s="55" t="s">
        <v>326</v>
      </c>
      <c r="C18" s="55"/>
      <c r="D18" s="202">
        <v>0</v>
      </c>
      <c r="E18" s="202">
        <v>0</v>
      </c>
    </row>
    <row r="19" spans="1:5">
      <c r="A19" s="201"/>
      <c r="B19" s="55" t="s">
        <v>327</v>
      </c>
      <c r="C19" s="55"/>
      <c r="D19" s="202">
        <v>0</v>
      </c>
      <c r="E19" s="202">
        <v>0</v>
      </c>
    </row>
    <row r="20" spans="1:5">
      <c r="A20" s="201"/>
      <c r="B20" s="55" t="s">
        <v>328</v>
      </c>
      <c r="C20" s="55"/>
      <c r="D20" s="202">
        <v>0</v>
      </c>
      <c r="E20" s="202">
        <v>0</v>
      </c>
    </row>
    <row r="21" spans="1:5">
      <c r="A21" s="201"/>
      <c r="B21" s="55" t="s">
        <v>329</v>
      </c>
      <c r="C21" s="55"/>
      <c r="D21" s="202">
        <v>0</v>
      </c>
      <c r="E21" s="202">
        <v>0</v>
      </c>
    </row>
    <row r="22" spans="1:5">
      <c r="A22" s="201"/>
      <c r="B22" s="55" t="s">
        <v>330</v>
      </c>
      <c r="C22" s="55"/>
      <c r="D22" s="202">
        <v>0</v>
      </c>
      <c r="E22" s="202">
        <v>0</v>
      </c>
    </row>
    <row r="23" spans="1:5">
      <c r="A23" s="201"/>
      <c r="B23" s="55" t="s">
        <v>331</v>
      </c>
      <c r="C23" s="55"/>
      <c r="D23" s="202">
        <v>0</v>
      </c>
      <c r="E23" s="202">
        <v>0</v>
      </c>
    </row>
    <row r="24" spans="1:5">
      <c r="A24" s="201"/>
      <c r="B24" s="55" t="s">
        <v>332</v>
      </c>
      <c r="C24" s="55"/>
      <c r="D24" s="202">
        <v>0</v>
      </c>
      <c r="E24" s="202">
        <v>0</v>
      </c>
    </row>
    <row r="25" spans="1:5">
      <c r="A25" s="201"/>
      <c r="B25" s="55" t="s">
        <v>333</v>
      </c>
      <c r="C25" s="55"/>
      <c r="D25" s="202">
        <f>PL!E14</f>
        <v>25251.749469999995</v>
      </c>
      <c r="E25" s="202">
        <v>24227.58914</v>
      </c>
    </row>
    <row r="26" spans="1:5" ht="13.9" customHeight="1">
      <c r="A26" s="201"/>
      <c r="B26" s="205" t="s">
        <v>334</v>
      </c>
      <c r="C26" s="205"/>
      <c r="D26" s="202">
        <v>0</v>
      </c>
      <c r="E26" s="202">
        <v>0</v>
      </c>
    </row>
    <row r="27" spans="1:5">
      <c r="A27" s="201"/>
      <c r="B27" s="55" t="s">
        <v>335</v>
      </c>
      <c r="C27" s="55"/>
      <c r="D27" s="202">
        <f>-'PL Notes'!C21</f>
        <v>-391.31399999999996</v>
      </c>
      <c r="E27" s="202">
        <v>-144.786</v>
      </c>
    </row>
    <row r="28" spans="1:5" ht="13.5" thickBot="1">
      <c r="A28" s="201"/>
      <c r="B28" s="55" t="s">
        <v>336</v>
      </c>
      <c r="C28" s="55"/>
      <c r="D28" s="206">
        <v>0</v>
      </c>
      <c r="E28" s="206">
        <v>0</v>
      </c>
    </row>
    <row r="29" spans="1:5">
      <c r="A29" s="201"/>
      <c r="B29" s="55" t="s">
        <v>337</v>
      </c>
      <c r="C29" s="55"/>
      <c r="D29" s="207">
        <f>SUM(D10:D28)</f>
        <v>68302.513590000017</v>
      </c>
      <c r="E29" s="207">
        <f>SUM(E10:E28)</f>
        <v>66349.278969999985</v>
      </c>
    </row>
    <row r="30" spans="1:5">
      <c r="A30" s="201"/>
      <c r="B30" s="55"/>
      <c r="C30" s="55"/>
      <c r="D30" s="202"/>
      <c r="E30" s="202"/>
    </row>
    <row r="31" spans="1:5">
      <c r="A31" s="201"/>
      <c r="B31" s="208" t="s">
        <v>338</v>
      </c>
      <c r="C31" s="208"/>
      <c r="D31" s="202"/>
      <c r="E31" s="202"/>
    </row>
    <row r="32" spans="1:5">
      <c r="A32" s="201"/>
      <c r="B32" s="55" t="s">
        <v>339</v>
      </c>
      <c r="C32" s="55"/>
      <c r="D32" s="202">
        <f>BS!G23-BS!H23</f>
        <v>14501.334620000009</v>
      </c>
      <c r="E32" s="202">
        <v>-71502.144169999985</v>
      </c>
    </row>
    <row r="33" spans="1:6">
      <c r="A33" s="201"/>
      <c r="B33" s="55" t="s">
        <v>340</v>
      </c>
      <c r="C33" s="55"/>
      <c r="D33" s="202">
        <f>BS!G17-BS!H17</f>
        <v>0</v>
      </c>
      <c r="E33" s="202">
        <v>0</v>
      </c>
    </row>
    <row r="34" spans="1:6">
      <c r="A34" s="201"/>
      <c r="B34" s="55" t="s">
        <v>341</v>
      </c>
      <c r="C34" s="55"/>
      <c r="D34" s="202">
        <v>0</v>
      </c>
      <c r="E34" s="202">
        <v>0</v>
      </c>
    </row>
    <row r="35" spans="1:6">
      <c r="A35" s="201"/>
      <c r="B35" s="55" t="s">
        <v>342</v>
      </c>
      <c r="C35" s="55"/>
      <c r="D35" s="202">
        <f>BS!G24-BS!H24</f>
        <v>3215.1567699999978</v>
      </c>
      <c r="E35" s="202">
        <v>-1020.669150000006</v>
      </c>
    </row>
    <row r="36" spans="1:6">
      <c r="A36" s="201"/>
      <c r="B36" s="55" t="s">
        <v>343</v>
      </c>
      <c r="C36" s="55"/>
      <c r="D36" s="202">
        <v>0</v>
      </c>
      <c r="E36" s="202">
        <v>0</v>
      </c>
    </row>
    <row r="37" spans="1:6">
      <c r="A37" s="201"/>
      <c r="B37" s="55" t="s">
        <v>994</v>
      </c>
      <c r="C37" s="55"/>
      <c r="D37" s="202">
        <f>-PL!E25</f>
        <v>0</v>
      </c>
      <c r="E37" s="202">
        <v>0</v>
      </c>
    </row>
    <row r="38" spans="1:6">
      <c r="A38" s="201"/>
      <c r="B38" s="55" t="s">
        <v>344</v>
      </c>
      <c r="C38" s="55"/>
      <c r="D38" s="202">
        <f>BS!H40-BS!G40</f>
        <v>-25481.878769999967</v>
      </c>
      <c r="E38" s="202">
        <v>-13401.661710000017</v>
      </c>
    </row>
    <row r="39" spans="1:6">
      <c r="A39" s="201"/>
      <c r="B39" s="55" t="s">
        <v>345</v>
      </c>
      <c r="C39" s="55"/>
      <c r="D39" s="202">
        <f>BS!H39-BS!G39</f>
        <v>-37605.374000000011</v>
      </c>
      <c r="E39" s="202">
        <v>-10854.209000000001</v>
      </c>
    </row>
    <row r="40" spans="1:6">
      <c r="A40" s="201"/>
      <c r="B40" s="55" t="s">
        <v>346</v>
      </c>
      <c r="C40" s="55"/>
      <c r="D40" s="202">
        <f>BS!H36-BS!G36</f>
        <v>-8514.8160000000007</v>
      </c>
      <c r="E40" s="202">
        <v>0</v>
      </c>
    </row>
    <row r="41" spans="1:6">
      <c r="A41" s="201"/>
      <c r="B41" s="55" t="s">
        <v>347</v>
      </c>
      <c r="C41" s="55"/>
      <c r="D41" s="202">
        <f>BS!H42-BS!G42</f>
        <v>10125.003699999994</v>
      </c>
      <c r="E41" s="202">
        <v>37004.587590000003</v>
      </c>
    </row>
    <row r="42" spans="1:6">
      <c r="A42" s="201"/>
      <c r="B42" s="55" t="s">
        <v>348</v>
      </c>
      <c r="C42" s="55"/>
      <c r="D42" s="202">
        <v>0</v>
      </c>
      <c r="E42" s="202">
        <v>0</v>
      </c>
    </row>
    <row r="43" spans="1:6">
      <c r="A43" s="201"/>
      <c r="B43" s="55" t="s">
        <v>349</v>
      </c>
      <c r="C43" s="55"/>
      <c r="D43" s="209">
        <v>0</v>
      </c>
      <c r="E43" s="209">
        <v>0</v>
      </c>
    </row>
    <row r="44" spans="1:6">
      <c r="A44" s="201"/>
      <c r="B44" s="55" t="s">
        <v>350</v>
      </c>
      <c r="C44" s="55"/>
      <c r="D44" s="207">
        <f>SUM(D29:D43)</f>
        <v>24541.939910000045</v>
      </c>
      <c r="E44" s="207">
        <f>SUM(E29:E43)</f>
        <v>6575.1825299999764</v>
      </c>
    </row>
    <row r="45" spans="1:6">
      <c r="A45" s="201"/>
      <c r="B45" s="55" t="s">
        <v>351</v>
      </c>
      <c r="C45" s="55"/>
      <c r="D45" s="202">
        <f>'BS Notes'!E175</f>
        <v>3223.84</v>
      </c>
      <c r="E45" s="202">
        <v>5259.87</v>
      </c>
      <c r="F45" s="220"/>
    </row>
    <row r="46" spans="1:6" ht="13.5" thickBot="1">
      <c r="A46" s="201"/>
      <c r="B46" s="55" t="s">
        <v>68</v>
      </c>
      <c r="C46" s="55"/>
      <c r="D46" s="206">
        <v>0</v>
      </c>
      <c r="E46" s="206">
        <v>0</v>
      </c>
    </row>
    <row r="47" spans="1:6">
      <c r="A47" s="38"/>
      <c r="B47" s="210" t="s">
        <v>352</v>
      </c>
      <c r="C47" s="210"/>
      <c r="D47" s="211">
        <f>D44-D45</f>
        <v>21318.099910000044</v>
      </c>
      <c r="E47" s="211">
        <f>E44-E45</f>
        <v>1315.3125299999765</v>
      </c>
    </row>
    <row r="48" spans="1:6">
      <c r="A48" s="212"/>
      <c r="B48" s="213"/>
      <c r="C48" s="213"/>
      <c r="D48" s="214"/>
      <c r="E48" s="214"/>
    </row>
    <row r="49" spans="1:5">
      <c r="A49" s="150" t="s">
        <v>1</v>
      </c>
      <c r="B49" s="307" t="s">
        <v>353</v>
      </c>
      <c r="C49" s="307"/>
      <c r="D49" s="204"/>
      <c r="E49" s="204"/>
    </row>
    <row r="50" spans="1:5">
      <c r="A50" s="201"/>
      <c r="B50" s="215"/>
      <c r="C50" s="215"/>
      <c r="D50" s="216"/>
      <c r="E50" s="216"/>
    </row>
    <row r="51" spans="1:5">
      <c r="A51" s="201"/>
      <c r="B51" s="55" t="s">
        <v>354</v>
      </c>
      <c r="C51" s="55"/>
      <c r="D51" s="202">
        <f>-'Dep - co'!E26</f>
        <v>-10314.58236</v>
      </c>
      <c r="E51" s="202">
        <v>-163.15199999999999</v>
      </c>
    </row>
    <row r="52" spans="1:5">
      <c r="A52" s="201"/>
      <c r="B52" s="55" t="s">
        <v>1242</v>
      </c>
      <c r="C52" s="55"/>
      <c r="D52" s="202">
        <f>'Dep - co'!F15</f>
        <v>1500</v>
      </c>
      <c r="E52" s="202">
        <v>4500</v>
      </c>
    </row>
    <row r="53" spans="1:5">
      <c r="A53" s="201"/>
      <c r="B53" s="55" t="s">
        <v>355</v>
      </c>
      <c r="C53" s="55"/>
      <c r="D53" s="202">
        <v>0</v>
      </c>
      <c r="E53" s="202">
        <v>0</v>
      </c>
    </row>
    <row r="54" spans="1:5">
      <c r="A54" s="201"/>
      <c r="B54" s="55" t="s">
        <v>356</v>
      </c>
      <c r="C54" s="55"/>
      <c r="D54" s="202">
        <v>0</v>
      </c>
      <c r="E54" s="202">
        <v>0</v>
      </c>
    </row>
    <row r="55" spans="1:5">
      <c r="A55" s="201"/>
      <c r="B55" s="55" t="s">
        <v>357</v>
      </c>
      <c r="C55" s="55"/>
      <c r="D55" s="202">
        <v>0</v>
      </c>
      <c r="E55" s="202">
        <v>0</v>
      </c>
    </row>
    <row r="56" spans="1:5">
      <c r="A56" s="201"/>
      <c r="B56" s="55" t="s">
        <v>358</v>
      </c>
      <c r="C56" s="55"/>
      <c r="D56" s="202">
        <v>0</v>
      </c>
      <c r="E56" s="202">
        <v>0</v>
      </c>
    </row>
    <row r="57" spans="1:5">
      <c r="A57" s="201"/>
      <c r="B57" s="55" t="s">
        <v>359</v>
      </c>
      <c r="C57" s="55"/>
      <c r="D57" s="202">
        <v>0</v>
      </c>
      <c r="E57" s="202">
        <v>0</v>
      </c>
    </row>
    <row r="58" spans="1:5" ht="12.75" customHeight="1">
      <c r="A58" s="201"/>
      <c r="B58" s="55" t="s">
        <v>360</v>
      </c>
      <c r="C58" s="55"/>
      <c r="D58" s="202">
        <v>0</v>
      </c>
      <c r="E58" s="202">
        <v>0</v>
      </c>
    </row>
    <row r="59" spans="1:5" s="273" customFormat="1" ht="12.75" customHeight="1">
      <c r="A59" s="279"/>
      <c r="B59" s="1167" t="s">
        <v>361</v>
      </c>
      <c r="C59" s="1168"/>
      <c r="D59" s="280">
        <v>0</v>
      </c>
      <c r="E59" s="280">
        <v>0</v>
      </c>
    </row>
    <row r="60" spans="1:5">
      <c r="A60" s="201"/>
      <c r="B60" s="55" t="s">
        <v>362</v>
      </c>
      <c r="C60" s="55"/>
      <c r="D60" s="202">
        <v>0</v>
      </c>
      <c r="E60" s="202">
        <v>0</v>
      </c>
    </row>
    <row r="61" spans="1:5">
      <c r="A61" s="201"/>
      <c r="B61" s="55" t="s">
        <v>266</v>
      </c>
      <c r="C61" s="55"/>
      <c r="D61" s="202">
        <f>'PL Notes'!C21</f>
        <v>391.31399999999996</v>
      </c>
      <c r="E61" s="202">
        <v>144.786</v>
      </c>
    </row>
    <row r="62" spans="1:5">
      <c r="A62" s="201"/>
      <c r="B62" s="55" t="s">
        <v>363</v>
      </c>
      <c r="C62" s="55"/>
      <c r="D62" s="202">
        <v>0</v>
      </c>
      <c r="E62" s="202">
        <v>0</v>
      </c>
    </row>
    <row r="63" spans="1:5">
      <c r="A63" s="201"/>
      <c r="B63" s="55" t="s">
        <v>364</v>
      </c>
      <c r="C63" s="55"/>
      <c r="D63" s="209">
        <v>0</v>
      </c>
      <c r="E63" s="209">
        <v>0</v>
      </c>
    </row>
    <row r="64" spans="1:5">
      <c r="A64" s="38"/>
      <c r="B64" s="210" t="s">
        <v>365</v>
      </c>
      <c r="C64" s="210"/>
      <c r="D64" s="217">
        <f>SUM(D51:D63)</f>
        <v>-8423.26836</v>
      </c>
      <c r="E64" s="217">
        <f>SUM(E51:E63)</f>
        <v>4481.634</v>
      </c>
    </row>
    <row r="65" spans="1:5">
      <c r="A65" s="43"/>
      <c r="B65" s="223"/>
      <c r="C65" s="224"/>
      <c r="D65" s="911"/>
      <c r="E65" s="911"/>
    </row>
    <row r="66" spans="1:5">
      <c r="A66" s="150" t="s">
        <v>301</v>
      </c>
      <c r="B66" s="307" t="s">
        <v>366</v>
      </c>
      <c r="C66" s="307"/>
      <c r="D66" s="204"/>
      <c r="E66" s="204"/>
    </row>
    <row r="67" spans="1:5">
      <c r="A67" s="201"/>
      <c r="B67" s="55" t="s">
        <v>367</v>
      </c>
      <c r="C67" s="55"/>
      <c r="D67" s="202">
        <f>BS!G9-BS!H9</f>
        <v>0</v>
      </c>
      <c r="E67" s="202">
        <v>0</v>
      </c>
    </row>
    <row r="68" spans="1:5" ht="25.5">
      <c r="A68" s="201"/>
      <c r="B68" s="205" t="s">
        <v>368</v>
      </c>
      <c r="C68" s="205"/>
      <c r="D68" s="202">
        <v>0</v>
      </c>
      <c r="E68" s="202">
        <v>0</v>
      </c>
    </row>
    <row r="69" spans="1:5">
      <c r="A69" s="201"/>
      <c r="B69" s="205" t="s">
        <v>369</v>
      </c>
      <c r="C69" s="205"/>
      <c r="D69" s="202">
        <v>0</v>
      </c>
      <c r="E69" s="202">
        <v>0</v>
      </c>
    </row>
    <row r="70" spans="1:5">
      <c r="A70" s="201"/>
      <c r="B70" s="55" t="s">
        <v>370</v>
      </c>
      <c r="C70" s="55"/>
      <c r="D70" s="202">
        <v>0</v>
      </c>
      <c r="E70" s="202">
        <v>0</v>
      </c>
    </row>
    <row r="71" spans="1:5">
      <c r="A71" s="201"/>
      <c r="B71" s="55" t="s">
        <v>371</v>
      </c>
      <c r="C71" s="55"/>
      <c r="D71" s="202">
        <f>BS!G15-BS!H15</f>
        <v>-26980.759643306374</v>
      </c>
      <c r="E71" s="202">
        <v>15488.841529999971</v>
      </c>
    </row>
    <row r="72" spans="1:5">
      <c r="A72" s="201"/>
      <c r="B72" s="55" t="s">
        <v>372</v>
      </c>
      <c r="C72" s="55"/>
      <c r="D72" s="202">
        <v>0</v>
      </c>
      <c r="E72" s="202">
        <v>0</v>
      </c>
    </row>
    <row r="73" spans="1:5">
      <c r="A73" s="201"/>
      <c r="B73" s="55" t="s">
        <v>373</v>
      </c>
      <c r="C73" s="55"/>
      <c r="D73" s="202">
        <f>BS!G20-BS!H20</f>
        <v>45807.01375330639</v>
      </c>
      <c r="E73" s="202">
        <v>2806.6064999999999</v>
      </c>
    </row>
    <row r="74" spans="1:5">
      <c r="A74" s="201"/>
      <c r="B74" s="55" t="s">
        <v>374</v>
      </c>
      <c r="C74" s="55"/>
      <c r="D74" s="202">
        <v>0</v>
      </c>
      <c r="E74" s="202">
        <v>0</v>
      </c>
    </row>
    <row r="75" spans="1:5">
      <c r="A75" s="201"/>
      <c r="B75" s="55" t="s">
        <v>265</v>
      </c>
      <c r="C75" s="55"/>
      <c r="D75" s="202">
        <f>-PL!E14</f>
        <v>-25251.749469999995</v>
      </c>
      <c r="E75" s="202">
        <v>-24227.58914</v>
      </c>
    </row>
    <row r="76" spans="1:5">
      <c r="A76" s="201"/>
      <c r="B76" s="55" t="s">
        <v>375</v>
      </c>
      <c r="C76" s="55"/>
      <c r="D76" s="202">
        <v>0</v>
      </c>
      <c r="E76" s="202">
        <v>0</v>
      </c>
    </row>
    <row r="77" spans="1:5">
      <c r="A77" s="201"/>
      <c r="B77" s="55" t="s">
        <v>376</v>
      </c>
      <c r="C77" s="55"/>
      <c r="D77" s="202">
        <v>0</v>
      </c>
      <c r="E77" s="202">
        <v>0</v>
      </c>
    </row>
    <row r="78" spans="1:5">
      <c r="A78" s="201"/>
      <c r="B78" s="55" t="s">
        <v>377</v>
      </c>
      <c r="C78" s="55"/>
      <c r="D78" s="202">
        <v>0</v>
      </c>
      <c r="E78" s="202">
        <v>0</v>
      </c>
    </row>
    <row r="79" spans="1:5" ht="13.5" thickBot="1">
      <c r="A79" s="201"/>
      <c r="B79" s="55" t="s">
        <v>378</v>
      </c>
      <c r="C79" s="55"/>
      <c r="D79" s="206">
        <v>0</v>
      </c>
      <c r="E79" s="206">
        <v>0</v>
      </c>
    </row>
    <row r="80" spans="1:5">
      <c r="A80" s="201"/>
      <c r="B80" s="208" t="s">
        <v>379</v>
      </c>
      <c r="C80" s="208"/>
      <c r="D80" s="218">
        <f>SUM(D67:D79)</f>
        <v>-6425.495359999979</v>
      </c>
      <c r="E80" s="207">
        <f>SUM(E67:E79)</f>
        <v>-5932.1411100000296</v>
      </c>
    </row>
    <row r="81" spans="1:7">
      <c r="A81" s="201"/>
      <c r="B81" s="55"/>
      <c r="C81" s="55"/>
      <c r="D81" s="202"/>
      <c r="E81" s="202"/>
    </row>
    <row r="82" spans="1:7">
      <c r="A82" s="201"/>
      <c r="B82" s="208" t="s">
        <v>380</v>
      </c>
      <c r="C82" s="208"/>
      <c r="D82" s="207">
        <f>D80+D64+D47</f>
        <v>6469.3361900000655</v>
      </c>
      <c r="E82" s="207">
        <f>E80+E64+E47</f>
        <v>-135.19458000005307</v>
      </c>
    </row>
    <row r="83" spans="1:7">
      <c r="A83" s="201"/>
      <c r="B83" s="55" t="s">
        <v>381</v>
      </c>
      <c r="C83" s="55"/>
      <c r="D83" s="202">
        <v>0</v>
      </c>
      <c r="E83" s="202">
        <v>0</v>
      </c>
    </row>
    <row r="84" spans="1:7">
      <c r="A84" s="201"/>
      <c r="B84" s="55" t="s">
        <v>382</v>
      </c>
      <c r="C84" s="55"/>
      <c r="D84" s="202">
        <f>BS!H41</f>
        <v>2204.3001599999998</v>
      </c>
      <c r="E84" s="202">
        <v>2339.4947400000001</v>
      </c>
    </row>
    <row r="85" spans="1:7" ht="13.5" thickBot="1">
      <c r="A85" s="201"/>
      <c r="B85" s="55" t="s">
        <v>383</v>
      </c>
      <c r="C85" s="55"/>
      <c r="D85" s="219">
        <f>SUM(D82:D84)</f>
        <v>8673.6363500000662</v>
      </c>
      <c r="E85" s="219">
        <f>SUM(E82:E84)</f>
        <v>2204.300159999947</v>
      </c>
      <c r="F85" s="220"/>
      <c r="G85" s="220"/>
    </row>
    <row r="86" spans="1:7" ht="13.5" thickTop="1">
      <c r="A86" s="201"/>
      <c r="B86" s="55"/>
      <c r="C86" s="55"/>
      <c r="D86" s="202"/>
      <c r="E86" s="202"/>
      <c r="F86" s="220"/>
      <c r="G86" s="220"/>
    </row>
    <row r="87" spans="1:7">
      <c r="A87" s="201"/>
      <c r="B87" s="55" t="s">
        <v>384</v>
      </c>
      <c r="C87" s="55"/>
      <c r="D87" s="202"/>
      <c r="E87" s="202"/>
    </row>
    <row r="88" spans="1:7">
      <c r="A88" s="201"/>
      <c r="B88" s="55" t="s">
        <v>385</v>
      </c>
      <c r="C88" s="55"/>
      <c r="D88" s="202">
        <f>'BS Notes'!E236</f>
        <v>19.251999999999999</v>
      </c>
      <c r="E88" s="202">
        <v>18.157</v>
      </c>
    </row>
    <row r="89" spans="1:7">
      <c r="A89" s="201"/>
      <c r="B89" s="55" t="s">
        <v>386</v>
      </c>
      <c r="C89" s="55"/>
      <c r="D89" s="202">
        <v>0</v>
      </c>
      <c r="E89" s="202">
        <v>0</v>
      </c>
    </row>
    <row r="90" spans="1:7">
      <c r="A90" s="201"/>
      <c r="B90" s="55" t="s">
        <v>387</v>
      </c>
      <c r="C90" s="55"/>
      <c r="D90" s="202">
        <v>0</v>
      </c>
      <c r="E90" s="202">
        <v>0</v>
      </c>
    </row>
    <row r="91" spans="1:7">
      <c r="A91" s="201"/>
      <c r="B91" s="55" t="s">
        <v>388</v>
      </c>
      <c r="C91" s="55"/>
      <c r="D91" s="202">
        <f>SUM('BS Notes'!E232:E233)</f>
        <v>509.41934999999995</v>
      </c>
      <c r="E91" s="202">
        <v>120.62616</v>
      </c>
    </row>
    <row r="92" spans="1:7">
      <c r="A92" s="201"/>
      <c r="B92" s="55" t="s">
        <v>389</v>
      </c>
      <c r="C92" s="55"/>
      <c r="D92" s="202">
        <f>'BS Notes'!E235</f>
        <v>8144.9650000000001</v>
      </c>
      <c r="E92" s="202">
        <v>2065.5169999999998</v>
      </c>
    </row>
    <row r="93" spans="1:7">
      <c r="A93" s="201"/>
      <c r="B93" s="55" t="s">
        <v>390</v>
      </c>
      <c r="C93" s="55"/>
      <c r="D93" s="202">
        <v>0</v>
      </c>
      <c r="E93" s="202">
        <v>0</v>
      </c>
    </row>
    <row r="94" spans="1:7">
      <c r="A94" s="201"/>
      <c r="B94" s="55" t="s">
        <v>391</v>
      </c>
      <c r="C94" s="55"/>
      <c r="D94" s="202">
        <v>0</v>
      </c>
      <c r="E94" s="202">
        <v>0</v>
      </c>
    </row>
    <row r="95" spans="1:7">
      <c r="A95" s="201"/>
      <c r="B95" s="55" t="s">
        <v>392</v>
      </c>
      <c r="C95" s="55"/>
      <c r="D95" s="202">
        <v>0</v>
      </c>
      <c r="E95" s="202">
        <v>0</v>
      </c>
    </row>
    <row r="96" spans="1:7" ht="13.5" thickBot="1">
      <c r="A96" s="201"/>
      <c r="B96" s="55" t="s">
        <v>393</v>
      </c>
      <c r="C96" s="55"/>
      <c r="D96" s="219">
        <f>SUM(D88:D95)</f>
        <v>8673.6363500000007</v>
      </c>
      <c r="E96" s="219">
        <f>SUM(E88:E95)</f>
        <v>2204.3001599999998</v>
      </c>
      <c r="F96" s="220">
        <f>D85-D96</f>
        <v>6.5483618527650833E-11</v>
      </c>
      <c r="G96" s="220">
        <f>E85-E96</f>
        <v>-5.2750692702829838E-11</v>
      </c>
    </row>
    <row r="97" spans="1:8" ht="13.5" thickTop="1">
      <c r="A97" s="38"/>
      <c r="B97" s="221"/>
      <c r="C97" s="221"/>
      <c r="D97" s="222"/>
      <c r="E97" s="222"/>
      <c r="F97" s="220"/>
    </row>
    <row r="98" spans="1:8">
      <c r="A98" s="224" t="s">
        <v>1233</v>
      </c>
      <c r="B98" s="224"/>
      <c r="C98" s="224"/>
      <c r="D98" s="1166" t="s">
        <v>297</v>
      </c>
      <c r="E98" s="1166"/>
      <c r="F98" s="513"/>
    </row>
    <row r="99" spans="1:8">
      <c r="A99" s="55" t="s">
        <v>946</v>
      </c>
      <c r="B99" s="55"/>
      <c r="C99" s="55"/>
      <c r="D99" s="1165" t="s">
        <v>298</v>
      </c>
      <c r="E99" s="1165"/>
      <c r="F99" s="13" t="s">
        <v>1432</v>
      </c>
    </row>
    <row r="100" spans="1:8">
      <c r="A100" s="55"/>
      <c r="B100" s="55"/>
      <c r="C100" s="55"/>
      <c r="D100" s="1165" t="s">
        <v>296</v>
      </c>
      <c r="E100" s="1165"/>
      <c r="F100" s="13" t="s">
        <v>1433</v>
      </c>
      <c r="G100" s="13" t="s">
        <v>1434</v>
      </c>
      <c r="H100" s="70">
        <f>10314582.36</f>
        <v>10314582.359999999</v>
      </c>
    </row>
    <row r="101" spans="1:8">
      <c r="A101" s="55"/>
      <c r="B101" s="54"/>
      <c r="C101" s="54"/>
      <c r="D101" s="1165" t="s">
        <v>255</v>
      </c>
      <c r="E101" s="1165"/>
      <c r="G101" s="13" t="s">
        <v>1435</v>
      </c>
      <c r="H101" s="262">
        <f>'Dep - co'!E26</f>
        <v>10314.58236</v>
      </c>
    </row>
    <row r="102" spans="1:8">
      <c r="A102" s="55"/>
      <c r="B102" s="909"/>
      <c r="C102" s="909"/>
      <c r="D102" s="55"/>
      <c r="E102" s="55"/>
      <c r="G102" s="13" t="s">
        <v>481</v>
      </c>
      <c r="H102" s="513">
        <f>H100-H101</f>
        <v>10304267.77764</v>
      </c>
    </row>
    <row r="103" spans="1:8">
      <c r="A103" s="55" t="s">
        <v>243</v>
      </c>
      <c r="B103" s="910"/>
      <c r="C103" s="910"/>
      <c r="D103" s="55" t="s">
        <v>243</v>
      </c>
      <c r="E103" s="55"/>
    </row>
    <row r="104" spans="1:8" s="55" customFormat="1">
      <c r="A104" s="55" t="s">
        <v>956</v>
      </c>
      <c r="C104" s="55" t="s">
        <v>439</v>
      </c>
      <c r="D104" s="1085" t="s">
        <v>129</v>
      </c>
      <c r="E104" s="1085"/>
      <c r="F104" s="208"/>
      <c r="H104" s="579"/>
    </row>
    <row r="105" spans="1:8" s="55" customFormat="1">
      <c r="A105" s="55" t="s">
        <v>957</v>
      </c>
      <c r="C105" s="55" t="s">
        <v>952</v>
      </c>
      <c r="D105" s="55" t="s">
        <v>130</v>
      </c>
      <c r="E105" s="909"/>
      <c r="F105" s="208"/>
    </row>
    <row r="106" spans="1:8" s="55" customFormat="1">
      <c r="A106" s="154" t="s">
        <v>958</v>
      </c>
      <c r="C106" s="55" t="s">
        <v>949</v>
      </c>
      <c r="D106" s="55" t="s">
        <v>256</v>
      </c>
      <c r="E106" s="909"/>
      <c r="F106" s="208"/>
    </row>
    <row r="107" spans="1:8" s="55" customFormat="1">
      <c r="E107" s="910"/>
      <c r="F107" s="208"/>
    </row>
    <row r="108" spans="1:8" s="55" customFormat="1">
      <c r="A108" s="55" t="s">
        <v>257</v>
      </c>
      <c r="E108" s="910"/>
      <c r="F108" s="208"/>
    </row>
    <row r="109" spans="1:8" s="55" customFormat="1">
      <c r="A109" s="1085" t="str">
        <f>PL!A48</f>
        <v>DATE: 02-09-2022</v>
      </c>
      <c r="B109" s="1085"/>
      <c r="E109" s="910"/>
      <c r="F109" s="208"/>
    </row>
  </sheetData>
  <mergeCells count="14">
    <mergeCell ref="B6:C6"/>
    <mergeCell ref="D101:E101"/>
    <mergeCell ref="A109:B109"/>
    <mergeCell ref="A2:E2"/>
    <mergeCell ref="A5:E5"/>
    <mergeCell ref="A3:E3"/>
    <mergeCell ref="D104:E104"/>
    <mergeCell ref="D98:E98"/>
    <mergeCell ref="B59:C59"/>
    <mergeCell ref="B16:C16"/>
    <mergeCell ref="B15:C15"/>
    <mergeCell ref="D99:E99"/>
    <mergeCell ref="D100:E100"/>
    <mergeCell ref="A4:E4"/>
  </mergeCells>
  <printOptions horizontalCentered="1"/>
  <pageMargins left="0.35433070866141736" right="0.43307086614173229" top="0.9055118110236221" bottom="0.74803149606299213" header="0.19685039370078741" footer="0.31496062992125984"/>
  <pageSetup scale="78" orientation="portrait" r:id="rId1"/>
  <rowBreaks count="1" manualBreakCount="1">
    <brk id="64" max="4" man="1"/>
  </rowBreaks>
  <colBreaks count="1" manualBreakCount="1">
    <brk id="5"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51"/>
  <sheetViews>
    <sheetView view="pageBreakPreview" zoomScaleNormal="100" zoomScaleSheetLayoutView="100" workbookViewId="0">
      <selection sqref="A1:M1"/>
    </sheetView>
  </sheetViews>
  <sheetFormatPr defaultColWidth="9.140625" defaultRowHeight="12.75"/>
  <cols>
    <col min="1" max="1" width="3.42578125" style="157" customWidth="1"/>
    <col min="2" max="2" width="23.7109375" style="157" customWidth="1"/>
    <col min="3" max="3" width="7.28515625" style="157" hidden="1" customWidth="1"/>
    <col min="4" max="4" width="14.85546875" style="157" bestFit="1" customWidth="1"/>
    <col min="5" max="5" width="16.140625" style="157" customWidth="1"/>
    <col min="6" max="6" width="14.85546875" style="154" customWidth="1"/>
    <col min="7" max="7" width="14.85546875" style="158" customWidth="1"/>
    <col min="8" max="9" width="14.85546875" style="154" customWidth="1"/>
    <col min="10" max="10" width="14.85546875" style="154" hidden="1" customWidth="1"/>
    <col min="11" max="13" width="14.85546875" style="154" customWidth="1"/>
    <col min="14" max="14" width="15.7109375" style="154" bestFit="1" customWidth="1"/>
    <col min="15" max="15" width="15" style="154" bestFit="1" customWidth="1"/>
    <col min="16" max="16384" width="9.140625" style="154"/>
  </cols>
  <sheetData>
    <row r="1" spans="1:16">
      <c r="A1" s="1102" t="s">
        <v>946</v>
      </c>
      <c r="B1" s="1102"/>
      <c r="C1" s="1102"/>
      <c r="D1" s="1102"/>
      <c r="E1" s="1102"/>
      <c r="F1" s="1102"/>
      <c r="G1" s="1102"/>
      <c r="H1" s="1102"/>
      <c r="I1" s="1102"/>
      <c r="J1" s="1102"/>
      <c r="K1" s="1102"/>
      <c r="L1" s="1102"/>
      <c r="M1" s="1102"/>
    </row>
    <row r="2" spans="1:16">
      <c r="A2" s="1102" t="s">
        <v>416</v>
      </c>
      <c r="B2" s="1102"/>
      <c r="C2" s="1102"/>
      <c r="D2" s="1102"/>
      <c r="E2" s="1102"/>
      <c r="F2" s="1102"/>
      <c r="G2" s="1102"/>
      <c r="H2" s="1102"/>
      <c r="I2" s="1102"/>
      <c r="J2" s="1102"/>
      <c r="K2" s="1102"/>
      <c r="L2" s="1102"/>
      <c r="M2" s="1102"/>
    </row>
    <row r="3" spans="1:16">
      <c r="A3" s="1102" t="str">
        <f>'PL Notes'!B3</f>
        <v>NOTES TO THE FINANCIAL STATEMENTS FOR THE YEAR ENDED 31 MARCH 2022</v>
      </c>
      <c r="B3" s="1102"/>
      <c r="C3" s="1102"/>
      <c r="D3" s="1102"/>
      <c r="E3" s="1102"/>
      <c r="F3" s="1102"/>
      <c r="G3" s="1102"/>
      <c r="H3" s="1102"/>
      <c r="I3" s="1102"/>
      <c r="J3" s="1102"/>
      <c r="K3" s="1102"/>
      <c r="L3" s="1102"/>
      <c r="M3" s="1102"/>
    </row>
    <row r="4" spans="1:16">
      <c r="A4" s="930"/>
      <c r="B4" s="930"/>
      <c r="C4" s="930"/>
      <c r="D4" s="930"/>
      <c r="E4" s="930"/>
      <c r="F4" s="930"/>
      <c r="G4" s="930"/>
      <c r="H4" s="930"/>
      <c r="I4" s="930"/>
      <c r="J4" s="930"/>
      <c r="K4" s="930"/>
      <c r="L4" s="930"/>
      <c r="M4" s="930"/>
    </row>
    <row r="5" spans="1:16">
      <c r="A5" s="1171" t="s">
        <v>1522</v>
      </c>
      <c r="B5" s="1171"/>
      <c r="C5" s="1171"/>
      <c r="D5" s="1171"/>
      <c r="E5" s="1171"/>
      <c r="F5" s="1171"/>
      <c r="G5" s="1171"/>
      <c r="H5" s="1171"/>
      <c r="I5" s="1171"/>
      <c r="J5" s="1171"/>
      <c r="K5" s="1171"/>
      <c r="L5" s="1171"/>
      <c r="M5" s="1171"/>
    </row>
    <row r="6" spans="1:16" ht="14.45" customHeight="1">
      <c r="A6" s="914" t="str">
        <f>CFS!A5</f>
        <v>(All amounts are in Indian Rupees in thousands, except share data and as stated)</v>
      </c>
      <c r="B6" s="914"/>
      <c r="C6" s="914"/>
      <c r="D6" s="914"/>
      <c r="E6" s="914"/>
      <c r="F6" s="901"/>
      <c r="G6" s="160"/>
      <c r="H6" s="901"/>
      <c r="I6" s="901"/>
      <c r="J6" s="901"/>
      <c r="K6" s="901"/>
      <c r="L6" s="901"/>
      <c r="M6" s="917"/>
    </row>
    <row r="7" spans="1:16" s="166" customFormat="1" ht="23.25" customHeight="1">
      <c r="A7" s="162"/>
      <c r="B7" s="1175" t="s">
        <v>111</v>
      </c>
      <c r="C7" s="163"/>
      <c r="D7" s="1092" t="s">
        <v>113</v>
      </c>
      <c r="E7" s="1174"/>
      <c r="F7" s="1174"/>
      <c r="G7" s="1174"/>
      <c r="H7" s="1174" t="s">
        <v>114</v>
      </c>
      <c r="I7" s="1174"/>
      <c r="J7" s="1174"/>
      <c r="K7" s="1174"/>
      <c r="L7" s="1174" t="s">
        <v>115</v>
      </c>
      <c r="M7" s="1174"/>
    </row>
    <row r="8" spans="1:16" s="166" customFormat="1" ht="45" customHeight="1">
      <c r="A8" s="167"/>
      <c r="B8" s="1176"/>
      <c r="C8" s="168"/>
      <c r="D8" s="165" t="s">
        <v>1150</v>
      </c>
      <c r="E8" s="165" t="s">
        <v>421</v>
      </c>
      <c r="F8" s="165" t="s">
        <v>1191</v>
      </c>
      <c r="G8" s="165" t="s">
        <v>1250</v>
      </c>
      <c r="H8" s="164" t="str">
        <f>D8</f>
        <v>Balance as at 
31 March 2021</v>
      </c>
      <c r="I8" s="165" t="s">
        <v>420</v>
      </c>
      <c r="J8" s="165" t="s">
        <v>1191</v>
      </c>
      <c r="K8" s="165" t="str">
        <f>G8</f>
        <v>Balance as at 
31 March 2022</v>
      </c>
      <c r="L8" s="165" t="str">
        <f>H8</f>
        <v>Balance as at 
31 March 2021</v>
      </c>
      <c r="M8" s="165" t="str">
        <f>K8</f>
        <v>Balance as at 
31 March 2022</v>
      </c>
    </row>
    <row r="9" spans="1:16">
      <c r="A9" s="169" t="s">
        <v>146</v>
      </c>
      <c r="B9" s="170" t="s">
        <v>1523</v>
      </c>
      <c r="C9" s="170"/>
      <c r="D9" s="171"/>
      <c r="E9" s="171"/>
      <c r="F9" s="171"/>
      <c r="G9" s="171"/>
      <c r="H9" s="171"/>
      <c r="I9" s="171"/>
      <c r="J9" s="171"/>
      <c r="K9" s="171"/>
      <c r="L9" s="171"/>
      <c r="M9" s="171"/>
    </row>
    <row r="10" spans="1:16">
      <c r="A10" s="169"/>
      <c r="B10" s="170"/>
      <c r="C10" s="172"/>
      <c r="D10" s="173"/>
      <c r="E10" s="173"/>
      <c r="F10" s="173"/>
      <c r="G10" s="173"/>
      <c r="H10" s="173"/>
      <c r="I10" s="173"/>
      <c r="J10" s="173"/>
      <c r="K10" s="173"/>
      <c r="L10" s="173"/>
      <c r="M10" s="173"/>
    </row>
    <row r="11" spans="1:16">
      <c r="A11" s="174" t="s">
        <v>112</v>
      </c>
      <c r="B11" s="175" t="s">
        <v>433</v>
      </c>
      <c r="C11" s="176">
        <v>0</v>
      </c>
      <c r="D11" s="177">
        <v>24942.539250000002</v>
      </c>
      <c r="E11" s="177">
        <v>0</v>
      </c>
      <c r="F11" s="180">
        <v>0</v>
      </c>
      <c r="G11" s="177">
        <f t="shared" ref="G11:G21" si="0">SUM(D11:F11)</f>
        <v>24942.539250000002</v>
      </c>
      <c r="H11" s="177">
        <v>0</v>
      </c>
      <c r="I11" s="177">
        <v>0</v>
      </c>
      <c r="J11" s="177">
        <v>0</v>
      </c>
      <c r="K11" s="177">
        <f t="shared" ref="K11:K21" si="1">SUM(H11:J11)</f>
        <v>0</v>
      </c>
      <c r="L11" s="177">
        <v>24942.539250000002</v>
      </c>
      <c r="M11" s="177">
        <f t="shared" ref="M11:M21" si="2">+G11-K11</f>
        <v>24942.539250000002</v>
      </c>
    </row>
    <row r="12" spans="1:16">
      <c r="A12" s="174" t="s">
        <v>160</v>
      </c>
      <c r="B12" s="179" t="s">
        <v>161</v>
      </c>
      <c r="C12" s="176">
        <v>0.1</v>
      </c>
      <c r="D12" s="177">
        <v>82773.607350000006</v>
      </c>
      <c r="E12" s="177">
        <v>0</v>
      </c>
      <c r="F12" s="180">
        <v>0</v>
      </c>
      <c r="G12" s="177">
        <f t="shared" si="0"/>
        <v>82773.607350000006</v>
      </c>
      <c r="H12" s="720">
        <v>22264.800819795066</v>
      </c>
      <c r="I12" s="721">
        <f>('FA  Register'!BS59)/1000</f>
        <v>5747.5526574209316</v>
      </c>
      <c r="J12" s="180">
        <v>0</v>
      </c>
      <c r="K12" s="177">
        <f t="shared" si="1"/>
        <v>28012.353477215998</v>
      </c>
      <c r="L12" s="177">
        <f>+D12-H12</f>
        <v>60508.806530204936</v>
      </c>
      <c r="M12" s="623">
        <f t="shared" si="2"/>
        <v>54761.253872784007</v>
      </c>
      <c r="N12" s="181">
        <f>'FA  Register'!BT59</f>
        <v>54761255.236907862</v>
      </c>
      <c r="O12" s="261">
        <f>M12-N12</f>
        <v>-54706493.98303508</v>
      </c>
    </row>
    <row r="13" spans="1:16">
      <c r="A13" s="174" t="s">
        <v>162</v>
      </c>
      <c r="B13" s="179" t="s">
        <v>497</v>
      </c>
      <c r="C13" s="176">
        <v>0.4</v>
      </c>
      <c r="D13" s="177">
        <f>(1400345.65)/1000</f>
        <v>1400.34565</v>
      </c>
      <c r="E13" s="177">
        <f>('FA Additions'!F18)/1000</f>
        <v>272.83893</v>
      </c>
      <c r="F13" s="180">
        <v>0</v>
      </c>
      <c r="G13" s="177">
        <f t="shared" si="0"/>
        <v>1673.1845800000001</v>
      </c>
      <c r="H13" s="720">
        <v>1129.4033832932987</v>
      </c>
      <c r="I13" s="721">
        <f>('FA  Register'!BS95/1000-I24)</f>
        <v>190.29024734189991</v>
      </c>
      <c r="J13" s="180">
        <v>0</v>
      </c>
      <c r="K13" s="177">
        <f t="shared" si="1"/>
        <v>1319.6936306351986</v>
      </c>
      <c r="L13" s="177">
        <f>+D13-H13</f>
        <v>270.94226670670128</v>
      </c>
      <c r="M13" s="177">
        <f t="shared" si="2"/>
        <v>353.49094936480151</v>
      </c>
      <c r="N13" s="181">
        <f>'FA  Register'!BT95-'FA  Register'!BT93</f>
        <v>353490.25949482433</v>
      </c>
      <c r="O13" s="261">
        <f t="shared" ref="O13:O24" si="3">M13-N13</f>
        <v>-353136.76854545955</v>
      </c>
    </row>
    <row r="14" spans="1:16">
      <c r="A14" s="174" t="s">
        <v>164</v>
      </c>
      <c r="B14" s="179" t="s">
        <v>165</v>
      </c>
      <c r="C14" s="176">
        <v>0.1391</v>
      </c>
      <c r="D14" s="177">
        <v>199.78399999999999</v>
      </c>
      <c r="E14" s="177">
        <v>0</v>
      </c>
      <c r="F14" s="180">
        <v>0</v>
      </c>
      <c r="G14" s="177">
        <f t="shared" si="0"/>
        <v>199.78399999999999</v>
      </c>
      <c r="H14" s="720">
        <v>131.83881934258201</v>
      </c>
      <c r="I14" s="721">
        <f>(SUM('FA  Register'!BS97:BS102))/1000</f>
        <v>52.946854434811513</v>
      </c>
      <c r="J14" s="180">
        <v>0</v>
      </c>
      <c r="K14" s="177">
        <f t="shared" si="1"/>
        <v>184.78567377739353</v>
      </c>
      <c r="L14" s="177">
        <f>+D14-H14</f>
        <v>67.945180657417978</v>
      </c>
      <c r="M14" s="177">
        <f t="shared" si="2"/>
        <v>14.998326222606465</v>
      </c>
      <c r="N14" s="181">
        <f>SUM('FA  Register'!BT97:BT102)</f>
        <v>14998.05</v>
      </c>
      <c r="O14" s="261">
        <f t="shared" si="3"/>
        <v>-14983.051673777392</v>
      </c>
    </row>
    <row r="15" spans="1:16" s="399" customFormat="1">
      <c r="A15" s="174" t="s">
        <v>166</v>
      </c>
      <c r="B15" s="179" t="s">
        <v>167</v>
      </c>
      <c r="C15" s="176">
        <v>0.1391</v>
      </c>
      <c r="D15" s="177">
        <v>206210.06642000002</v>
      </c>
      <c r="E15" s="177">
        <f>('FA Additions'!F28)/1000</f>
        <v>7302.5</v>
      </c>
      <c r="F15" s="180">
        <f>('FA Additions'!F45)/1000</f>
        <v>1500</v>
      </c>
      <c r="G15" s="177">
        <f>SUM(D15:E15)-F15</f>
        <v>212012.56642000002</v>
      </c>
      <c r="H15" s="720">
        <v>79634.740489667805</v>
      </c>
      <c r="I15" s="721">
        <f>('FA  Register'!BS301)/1000</f>
        <v>22748.460846252303</v>
      </c>
      <c r="J15" s="180">
        <v>0</v>
      </c>
      <c r="K15" s="177">
        <f>SUM(H15:J15)+13767</f>
        <v>116150.20133592011</v>
      </c>
      <c r="L15" s="177">
        <f t="shared" ref="L15:L21" si="4">+D15-H15</f>
        <v>126575.32593033221</v>
      </c>
      <c r="M15" s="177">
        <f t="shared" si="2"/>
        <v>95862.365084079909</v>
      </c>
      <c r="N15" s="182">
        <f>'FA  Register'!BT301</f>
        <v>109614790.31090018</v>
      </c>
      <c r="O15" s="261">
        <f t="shared" si="3"/>
        <v>-109518927.9458161</v>
      </c>
      <c r="P15" s="398"/>
    </row>
    <row r="16" spans="1:16">
      <c r="A16" s="174" t="s">
        <v>168</v>
      </c>
      <c r="B16" s="179" t="s">
        <v>169</v>
      </c>
      <c r="C16" s="176">
        <v>0.1391</v>
      </c>
      <c r="D16" s="177">
        <v>25.5</v>
      </c>
      <c r="E16" s="180">
        <v>0</v>
      </c>
      <c r="F16" s="180">
        <v>0</v>
      </c>
      <c r="G16" s="177">
        <f t="shared" si="0"/>
        <v>25.5</v>
      </c>
      <c r="H16" s="720">
        <v>23.709110952089773</v>
      </c>
      <c r="I16" s="721">
        <f>('FA  Register'!BS104)/1000</f>
        <v>0.51515903822673248</v>
      </c>
      <c r="J16" s="180">
        <v>0</v>
      </c>
      <c r="K16" s="177">
        <f t="shared" si="1"/>
        <v>24.224269990316504</v>
      </c>
      <c r="L16" s="177">
        <f t="shared" si="4"/>
        <v>1.7908890479102269</v>
      </c>
      <c r="M16" s="177">
        <f t="shared" si="2"/>
        <v>1.275730009683496</v>
      </c>
      <c r="N16" s="154">
        <f>'FA  Register'!BT104</f>
        <v>1275</v>
      </c>
      <c r="O16" s="261">
        <f t="shared" si="3"/>
        <v>-1273.7242699903165</v>
      </c>
      <c r="P16" s="182"/>
    </row>
    <row r="17" spans="1:16" s="399" customFormat="1">
      <c r="A17" s="174" t="s">
        <v>170</v>
      </c>
      <c r="B17" s="179" t="s">
        <v>171</v>
      </c>
      <c r="C17" s="176">
        <v>0.1391</v>
      </c>
      <c r="D17" s="177">
        <v>20.948</v>
      </c>
      <c r="E17" s="180">
        <v>0</v>
      </c>
      <c r="F17" s="180">
        <v>0</v>
      </c>
      <c r="G17" s="177">
        <f t="shared" si="0"/>
        <v>20.948</v>
      </c>
      <c r="H17" s="720">
        <v>20.546226402182299</v>
      </c>
      <c r="I17" s="721">
        <f>(SUM('FA  Register'!BS106:BS110))/1000</f>
        <v>0</v>
      </c>
      <c r="J17" s="180">
        <v>0</v>
      </c>
      <c r="K17" s="177">
        <f t="shared" si="1"/>
        <v>20.546226402182299</v>
      </c>
      <c r="L17" s="177">
        <f t="shared" si="4"/>
        <v>0.4017735978177015</v>
      </c>
      <c r="M17" s="177">
        <f t="shared" si="2"/>
        <v>0.4017735978177015</v>
      </c>
      <c r="N17" s="182">
        <f>'FA  Register'!BT106+'FA  Register'!BT107+'FA  Register'!BT108+'FA  Register'!BT109+'FA  Register'!BT110</f>
        <v>401.77218872263347</v>
      </c>
      <c r="O17" s="261">
        <f t="shared" si="3"/>
        <v>-401.37041512481579</v>
      </c>
      <c r="P17" s="398"/>
    </row>
    <row r="18" spans="1:16" s="399" customFormat="1">
      <c r="A18" s="174" t="s">
        <v>172</v>
      </c>
      <c r="B18" s="179" t="s">
        <v>173</v>
      </c>
      <c r="C18" s="176">
        <v>0.1391</v>
      </c>
      <c r="D18" s="177">
        <v>768.84622000000002</v>
      </c>
      <c r="E18" s="180">
        <f>('FA Additions'!F35)/1000</f>
        <v>82.583430000000007</v>
      </c>
      <c r="F18" s="180">
        <v>0</v>
      </c>
      <c r="G18" s="177">
        <f t="shared" si="0"/>
        <v>851.42965000000004</v>
      </c>
      <c r="H18" s="720">
        <v>480.04157893520437</v>
      </c>
      <c r="I18" s="721">
        <f>(SUM('FA  Register'!BS112:BS131))/1000</f>
        <v>175.97502847627345</v>
      </c>
      <c r="J18" s="180">
        <v>0</v>
      </c>
      <c r="K18" s="177">
        <f>SUM(H18:J18)-13767</f>
        <v>-13110.983392588521</v>
      </c>
      <c r="L18" s="177">
        <f t="shared" si="4"/>
        <v>288.80464106479565</v>
      </c>
      <c r="M18" s="177">
        <f t="shared" si="2"/>
        <v>13962.413042588521</v>
      </c>
      <c r="N18" s="182">
        <f>SUM('FA  Register'!BT112:BT132)</f>
        <v>209180.10889905301</v>
      </c>
      <c r="O18" s="261">
        <f t="shared" si="3"/>
        <v>-195217.6958564645</v>
      </c>
      <c r="P18" s="398"/>
    </row>
    <row r="19" spans="1:16">
      <c r="A19" s="174" t="s">
        <v>174</v>
      </c>
      <c r="B19" s="179" t="s">
        <v>509</v>
      </c>
      <c r="C19" s="176">
        <v>0.25890000000000002</v>
      </c>
      <c r="D19" s="177">
        <v>7298.3146699999998</v>
      </c>
      <c r="E19" s="178">
        <f>('FA Additions'!F40)/1000</f>
        <v>2135.21</v>
      </c>
      <c r="F19" s="177">
        <v>0</v>
      </c>
      <c r="G19" s="177">
        <f t="shared" si="0"/>
        <v>9433.5246699999989</v>
      </c>
      <c r="H19" s="720">
        <v>5872.3232036959671</v>
      </c>
      <c r="I19" s="721">
        <f>('FA  Register'!BS158)/1000</f>
        <v>537.10014930370733</v>
      </c>
      <c r="J19" s="180">
        <v>0</v>
      </c>
      <c r="K19" s="177">
        <f t="shared" si="1"/>
        <v>6409.4233529996745</v>
      </c>
      <c r="L19" s="177">
        <f t="shared" si="4"/>
        <v>1425.9914663040327</v>
      </c>
      <c r="M19" s="177">
        <f t="shared" si="2"/>
        <v>3024.1013170003243</v>
      </c>
      <c r="N19" s="182">
        <f>'FA  Register'!BT158</f>
        <v>3024099.4836962926</v>
      </c>
      <c r="O19" s="261">
        <f t="shared" si="3"/>
        <v>-3021075.3823792925</v>
      </c>
      <c r="P19" s="182"/>
    </row>
    <row r="20" spans="1:16">
      <c r="A20" s="174" t="s">
        <v>432</v>
      </c>
      <c r="B20" s="179" t="s">
        <v>923</v>
      </c>
      <c r="C20" s="176"/>
      <c r="D20" s="177">
        <v>19682.886990000003</v>
      </c>
      <c r="E20" s="178">
        <v>0</v>
      </c>
      <c r="F20" s="177">
        <v>0</v>
      </c>
      <c r="G20" s="177">
        <f t="shared" si="0"/>
        <v>19682.886990000003</v>
      </c>
      <c r="H20" s="720">
        <v>10263.618</v>
      </c>
      <c r="I20" s="721">
        <f>('FA  Register'!BS138)/1000</f>
        <v>2438.3240000000001</v>
      </c>
      <c r="J20" s="180">
        <v>0</v>
      </c>
      <c r="K20" s="177">
        <f t="shared" si="1"/>
        <v>12701.942000000001</v>
      </c>
      <c r="L20" s="177">
        <f>+D20-H20</f>
        <v>9419.2689900000023</v>
      </c>
      <c r="M20" s="177">
        <f>+G20-K20</f>
        <v>6980.9449900000018</v>
      </c>
      <c r="N20" s="182">
        <f>'FA  Register'!BT138</f>
        <v>6980944.9900000012</v>
      </c>
      <c r="O20" s="261">
        <f t="shared" si="3"/>
        <v>-6973964.0450100014</v>
      </c>
      <c r="P20" s="182"/>
    </row>
    <row r="21" spans="1:16">
      <c r="A21" s="174" t="s">
        <v>834</v>
      </c>
      <c r="B21" s="179" t="s">
        <v>581</v>
      </c>
      <c r="C21" s="176"/>
      <c r="D21" s="177">
        <v>1677.3564699999999</v>
      </c>
      <c r="E21" s="258">
        <f>('FA Additions'!F30)/1000</f>
        <v>41.45</v>
      </c>
      <c r="F21" s="177">
        <v>0</v>
      </c>
      <c r="G21" s="177">
        <f t="shared" si="0"/>
        <v>1718.80647</v>
      </c>
      <c r="H21" s="720">
        <v>892.99219767236775</v>
      </c>
      <c r="I21" s="721">
        <f>('FA  Register'!BS330)/1000</f>
        <v>205.01549755757637</v>
      </c>
      <c r="J21" s="180">
        <v>0</v>
      </c>
      <c r="K21" s="177">
        <f t="shared" si="1"/>
        <v>1098.0076952299441</v>
      </c>
      <c r="L21" s="177">
        <f t="shared" si="4"/>
        <v>784.36427232763219</v>
      </c>
      <c r="M21" s="177">
        <f t="shared" si="2"/>
        <v>620.79877477005584</v>
      </c>
      <c r="N21" s="182">
        <f>'FA  Register'!BT330</f>
        <v>620798.77477005566</v>
      </c>
      <c r="O21" s="261">
        <f t="shared" si="3"/>
        <v>-620177.97599528555</v>
      </c>
      <c r="P21" s="182"/>
    </row>
    <row r="22" spans="1:16">
      <c r="A22" s="174"/>
      <c r="B22" s="179"/>
      <c r="C22" s="176"/>
      <c r="D22" s="177"/>
      <c r="E22" s="258"/>
      <c r="F22" s="177"/>
      <c r="G22" s="177"/>
      <c r="H22" s="720"/>
      <c r="I22" s="721"/>
      <c r="J22" s="180"/>
      <c r="K22" s="177"/>
      <c r="L22" s="177"/>
      <c r="M22" s="177"/>
      <c r="N22" s="182"/>
      <c r="O22" s="261">
        <f t="shared" si="3"/>
        <v>0</v>
      </c>
      <c r="P22" s="182"/>
    </row>
    <row r="23" spans="1:16">
      <c r="A23" s="169" t="s">
        <v>147</v>
      </c>
      <c r="B23" s="170" t="s">
        <v>116</v>
      </c>
      <c r="C23" s="176"/>
      <c r="D23" s="177"/>
      <c r="E23" s="258"/>
      <c r="F23" s="177"/>
      <c r="G23" s="177"/>
      <c r="H23" s="720"/>
      <c r="I23" s="721"/>
      <c r="J23" s="180"/>
      <c r="K23" s="177"/>
      <c r="L23" s="177"/>
      <c r="M23" s="177"/>
      <c r="N23" s="182"/>
      <c r="O23" s="261">
        <f t="shared" si="3"/>
        <v>0</v>
      </c>
      <c r="P23" s="182"/>
    </row>
    <row r="24" spans="1:16">
      <c r="A24" s="174" t="s">
        <v>112</v>
      </c>
      <c r="B24" s="179" t="s">
        <v>1520</v>
      </c>
      <c r="C24" s="176"/>
      <c r="D24" s="177"/>
      <c r="E24" s="258">
        <f>('FA Additions'!F12)/1000</f>
        <v>480</v>
      </c>
      <c r="F24" s="177"/>
      <c r="G24" s="177">
        <f>SUM(D24:F24)</f>
        <v>480</v>
      </c>
      <c r="H24" s="720">
        <v>0</v>
      </c>
      <c r="I24" s="721">
        <f>('FA  Register'!BS93)/1000</f>
        <v>125.41956081603965</v>
      </c>
      <c r="J24" s="180"/>
      <c r="K24" s="177">
        <f>SUM(H24:J24)</f>
        <v>125.41956081603965</v>
      </c>
      <c r="L24" s="177">
        <f>+D24-H24</f>
        <v>0</v>
      </c>
      <c r="M24" s="177">
        <f>+G24-K24</f>
        <v>354.58043918396038</v>
      </c>
      <c r="N24" s="182">
        <f>'FA  Register'!BT93</f>
        <v>354580.43918396032</v>
      </c>
      <c r="O24" s="261">
        <f t="shared" si="3"/>
        <v>-354225.85874477634</v>
      </c>
      <c r="P24" s="182"/>
    </row>
    <row r="25" spans="1:16">
      <c r="A25" s="174"/>
      <c r="B25" s="179"/>
      <c r="C25" s="176"/>
      <c r="D25" s="177"/>
      <c r="E25" s="258"/>
      <c r="F25" s="177"/>
      <c r="G25" s="177"/>
      <c r="H25" s="180"/>
      <c r="I25" s="623"/>
      <c r="J25" s="180"/>
      <c r="K25" s="177"/>
      <c r="L25" s="177"/>
      <c r="M25" s="177"/>
      <c r="N25" s="182"/>
      <c r="O25" s="182">
        <f>SUM(O12:O24)</f>
        <v>-175759877.8017413</v>
      </c>
      <c r="P25" s="182"/>
    </row>
    <row r="26" spans="1:16">
      <c r="A26" s="183"/>
      <c r="B26" s="184" t="s">
        <v>93</v>
      </c>
      <c r="C26" s="184"/>
      <c r="D26" s="185">
        <f>SUM(D11:D24)</f>
        <v>345000.19502000004</v>
      </c>
      <c r="E26" s="185">
        <f t="shared" ref="E26:M26" si="5">SUM(E11:E24)</f>
        <v>10314.58236</v>
      </c>
      <c r="F26" s="185">
        <f t="shared" si="5"/>
        <v>1500</v>
      </c>
      <c r="G26" s="185">
        <f t="shared" si="5"/>
        <v>353814.77738000004</v>
      </c>
      <c r="H26" s="185">
        <f t="shared" si="5"/>
        <v>120714.01382975654</v>
      </c>
      <c r="I26" s="185">
        <f t="shared" si="5"/>
        <v>32221.600000641771</v>
      </c>
      <c r="J26" s="185">
        <f t="shared" si="5"/>
        <v>0</v>
      </c>
      <c r="K26" s="185">
        <f t="shared" si="5"/>
        <v>152935.61383039836</v>
      </c>
      <c r="L26" s="185">
        <f t="shared" si="5"/>
        <v>224286.18119024346</v>
      </c>
      <c r="M26" s="185">
        <f t="shared" si="5"/>
        <v>200879.16354960162</v>
      </c>
      <c r="N26" s="182"/>
      <c r="O26" s="182"/>
      <c r="P26" s="182"/>
    </row>
    <row r="27" spans="1:16" hidden="1">
      <c r="A27" s="309"/>
      <c r="B27" s="309"/>
      <c r="C27" s="161"/>
      <c r="D27" s="197"/>
      <c r="E27" s="310"/>
      <c r="F27" s="309"/>
      <c r="G27" s="309"/>
      <c r="H27" s="309"/>
      <c r="I27" s="309"/>
      <c r="J27" s="309"/>
      <c r="K27" s="309"/>
      <c r="L27" s="309"/>
      <c r="M27" s="309"/>
      <c r="N27" s="181"/>
    </row>
    <row r="28" spans="1:16" hidden="1">
      <c r="A28" s="186" t="s">
        <v>147</v>
      </c>
      <c r="B28" s="187" t="s">
        <v>116</v>
      </c>
      <c r="C28" s="188"/>
      <c r="D28" s="174"/>
      <c r="E28" s="257"/>
      <c r="F28" s="186"/>
      <c r="G28" s="186"/>
      <c r="H28" s="186"/>
      <c r="I28" s="186"/>
      <c r="J28" s="186"/>
      <c r="K28" s="186"/>
      <c r="L28" s="189"/>
      <c r="M28" s="186"/>
      <c r="N28" s="181"/>
    </row>
    <row r="29" spans="1:16" hidden="1">
      <c r="A29" s="186"/>
      <c r="B29" s="190"/>
      <c r="C29" s="179"/>
      <c r="D29" s="174"/>
      <c r="E29" s="186"/>
      <c r="F29" s="186"/>
      <c r="G29" s="186"/>
      <c r="H29" s="186"/>
      <c r="I29" s="186"/>
      <c r="J29" s="186"/>
      <c r="K29" s="186"/>
      <c r="L29" s="186"/>
      <c r="M29" s="186"/>
    </row>
    <row r="30" spans="1:16" ht="13.5" hidden="1" thickBot="1">
      <c r="A30" s="191"/>
      <c r="B30" s="192" t="s">
        <v>93</v>
      </c>
      <c r="C30" s="192"/>
      <c r="D30" s="193">
        <v>0</v>
      </c>
      <c r="E30" s="193">
        <v>0</v>
      </c>
      <c r="F30" s="193">
        <v>0</v>
      </c>
      <c r="G30" s="193">
        <v>0</v>
      </c>
      <c r="H30" s="193">
        <v>0</v>
      </c>
      <c r="I30" s="193">
        <v>0</v>
      </c>
      <c r="J30" s="193">
        <v>0</v>
      </c>
      <c r="K30" s="193">
        <v>0</v>
      </c>
      <c r="L30" s="193">
        <v>0</v>
      </c>
      <c r="M30" s="193">
        <v>0</v>
      </c>
    </row>
    <row r="31" spans="1:16" ht="13.5" hidden="1" thickTop="1">
      <c r="A31" s="186" t="s">
        <v>148</v>
      </c>
      <c r="B31" s="187" t="s">
        <v>117</v>
      </c>
      <c r="C31" s="188"/>
      <c r="D31" s="194"/>
      <c r="E31" s="189"/>
      <c r="F31" s="186"/>
      <c r="G31" s="177"/>
      <c r="H31" s="177"/>
      <c r="I31" s="177"/>
      <c r="J31" s="177"/>
      <c r="K31" s="177"/>
      <c r="L31" s="194"/>
      <c r="M31" s="177"/>
    </row>
    <row r="32" spans="1:16" hidden="1">
      <c r="A32" s="186" t="s">
        <v>112</v>
      </c>
      <c r="B32" s="190" t="s">
        <v>433</v>
      </c>
      <c r="C32" s="188"/>
      <c r="D32" s="194"/>
      <c r="E32" s="177"/>
      <c r="F32" s="177">
        <v>0</v>
      </c>
      <c r="G32" s="177">
        <f>SUM(D32:F32)</f>
        <v>0</v>
      </c>
      <c r="H32" s="177">
        <v>0</v>
      </c>
      <c r="I32" s="177">
        <v>0</v>
      </c>
      <c r="J32" s="177">
        <v>0</v>
      </c>
      <c r="K32" s="177">
        <v>0</v>
      </c>
      <c r="L32" s="194">
        <f>+D32-H32</f>
        <v>0</v>
      </c>
      <c r="M32" s="177">
        <f>+G32-K32</f>
        <v>0</v>
      </c>
    </row>
    <row r="33" spans="1:14" hidden="1">
      <c r="A33" s="186" t="s">
        <v>160</v>
      </c>
      <c r="B33" s="190" t="s">
        <v>494</v>
      </c>
      <c r="C33" s="188"/>
      <c r="D33" s="194"/>
      <c r="E33" s="177"/>
      <c r="F33" s="177">
        <v>0</v>
      </c>
      <c r="G33" s="177">
        <f>SUM(D33:F33)</f>
        <v>0</v>
      </c>
      <c r="H33" s="177">
        <v>0</v>
      </c>
      <c r="I33" s="177">
        <v>0</v>
      </c>
      <c r="J33" s="177">
        <v>0</v>
      </c>
      <c r="K33" s="177">
        <v>0</v>
      </c>
      <c r="L33" s="194">
        <f>+D33-H33</f>
        <v>0</v>
      </c>
      <c r="M33" s="177">
        <f>+G33-K33</f>
        <v>0</v>
      </c>
    </row>
    <row r="34" spans="1:14" hidden="1">
      <c r="A34" s="186" t="s">
        <v>162</v>
      </c>
      <c r="B34" s="190" t="s">
        <v>518</v>
      </c>
      <c r="C34" s="188"/>
      <c r="D34" s="194"/>
      <c r="E34" s="177"/>
      <c r="F34" s="177">
        <v>0</v>
      </c>
      <c r="G34" s="177">
        <f>SUM(D34:F34)</f>
        <v>0</v>
      </c>
      <c r="H34" s="177">
        <v>0</v>
      </c>
      <c r="I34" s="177">
        <v>0</v>
      </c>
      <c r="J34" s="177">
        <v>0</v>
      </c>
      <c r="K34" s="177">
        <v>0</v>
      </c>
      <c r="L34" s="194">
        <f>+D34-H34</f>
        <v>0</v>
      </c>
      <c r="M34" s="177">
        <f>+G34-K34</f>
        <v>0</v>
      </c>
    </row>
    <row r="35" spans="1:14" hidden="1">
      <c r="A35" s="186"/>
      <c r="B35" s="190"/>
      <c r="C35" s="179"/>
      <c r="D35" s="174"/>
      <c r="E35" s="186"/>
      <c r="F35" s="186"/>
      <c r="G35" s="186"/>
      <c r="H35" s="186"/>
      <c r="I35" s="186"/>
      <c r="J35" s="186"/>
      <c r="K35" s="186"/>
      <c r="L35" s="186"/>
      <c r="M35" s="186"/>
    </row>
    <row r="36" spans="1:14" hidden="1">
      <c r="A36" s="191"/>
      <c r="B36" s="192" t="s">
        <v>93</v>
      </c>
      <c r="C36" s="192"/>
      <c r="D36" s="674">
        <f t="shared" ref="D36:L36" si="6">SUM(D30:D35)</f>
        <v>0</v>
      </c>
      <c r="E36" s="674">
        <f t="shared" si="6"/>
        <v>0</v>
      </c>
      <c r="F36" s="674">
        <f t="shared" si="6"/>
        <v>0</v>
      </c>
      <c r="G36" s="674">
        <f t="shared" si="6"/>
        <v>0</v>
      </c>
      <c r="H36" s="674">
        <f t="shared" si="6"/>
        <v>0</v>
      </c>
      <c r="I36" s="674">
        <f t="shared" si="6"/>
        <v>0</v>
      </c>
      <c r="J36" s="674">
        <f t="shared" si="6"/>
        <v>0</v>
      </c>
      <c r="K36" s="674">
        <f t="shared" si="6"/>
        <v>0</v>
      </c>
      <c r="L36" s="927">
        <f t="shared" si="6"/>
        <v>0</v>
      </c>
      <c r="M36" s="927">
        <f>SUM(M31:M35)</f>
        <v>0</v>
      </c>
      <c r="N36" s="182"/>
    </row>
    <row r="37" spans="1:14">
      <c r="A37" s="151"/>
      <c r="B37" s="151"/>
      <c r="C37" s="151"/>
      <c r="D37" s="151"/>
      <c r="E37" s="151"/>
      <c r="F37" s="152"/>
      <c r="G37" s="153"/>
      <c r="H37" s="152"/>
      <c r="I37" s="152"/>
      <c r="J37" s="152"/>
      <c r="K37" s="152"/>
      <c r="L37" s="152"/>
      <c r="M37" s="152"/>
    </row>
    <row r="39" spans="1:14">
      <c r="A39" s="154"/>
      <c r="B39" s="154"/>
      <c r="C39" s="154"/>
      <c r="D39" s="154"/>
      <c r="E39" s="156"/>
      <c r="L39" s="1173" t="s">
        <v>297</v>
      </c>
      <c r="M39" s="1173"/>
    </row>
    <row r="40" spans="1:14">
      <c r="A40" s="154" t="s">
        <v>1234</v>
      </c>
      <c r="B40" s="154"/>
      <c r="C40" s="154"/>
      <c r="D40" s="154"/>
      <c r="E40" s="156"/>
      <c r="L40" s="1173" t="s">
        <v>298</v>
      </c>
      <c r="M40" s="1173"/>
    </row>
    <row r="41" spans="1:14">
      <c r="A41" s="154" t="s">
        <v>946</v>
      </c>
      <c r="B41" s="154"/>
      <c r="C41" s="154"/>
      <c r="D41" s="154"/>
      <c r="E41" s="156"/>
      <c r="L41" s="1173" t="s">
        <v>296</v>
      </c>
      <c r="M41" s="1173"/>
    </row>
    <row r="42" spans="1:14">
      <c r="B42" s="154"/>
      <c r="C42" s="154"/>
      <c r="D42" s="154"/>
      <c r="E42" s="156"/>
      <c r="F42" s="261"/>
      <c r="H42" s="261"/>
      <c r="I42" s="261"/>
      <c r="L42" s="1173" t="s">
        <v>255</v>
      </c>
      <c r="M42" s="1173"/>
    </row>
    <row r="43" spans="1:14">
      <c r="A43" s="154"/>
      <c r="B43" s="154"/>
      <c r="C43" s="154"/>
      <c r="D43" s="154"/>
      <c r="E43" s="156"/>
      <c r="F43" s="261"/>
      <c r="H43" s="261"/>
      <c r="I43" s="261"/>
      <c r="L43" s="928"/>
      <c r="M43" s="928"/>
    </row>
    <row r="44" spans="1:14">
      <c r="A44" s="154"/>
      <c r="B44" s="154"/>
      <c r="C44" s="154"/>
      <c r="D44" s="156"/>
      <c r="E44" s="156"/>
      <c r="L44" s="928"/>
    </row>
    <row r="45" spans="1:14">
      <c r="A45" s="154"/>
      <c r="B45" s="154"/>
      <c r="C45" s="154"/>
      <c r="D45" s="156"/>
      <c r="E45" s="154"/>
    </row>
    <row r="46" spans="1:14">
      <c r="A46" s="154" t="s">
        <v>979</v>
      </c>
      <c r="B46" s="154"/>
      <c r="C46" s="154"/>
      <c r="D46" s="928" t="s">
        <v>439</v>
      </c>
      <c r="E46" s="227"/>
      <c r="L46" s="1172" t="s">
        <v>129</v>
      </c>
      <c r="M46" s="1172"/>
    </row>
    <row r="47" spans="1:14">
      <c r="A47" s="154" t="s">
        <v>980</v>
      </c>
      <c r="B47" s="154"/>
      <c r="C47" s="154"/>
      <c r="D47" s="928" t="s">
        <v>952</v>
      </c>
      <c r="E47" s="227"/>
      <c r="L47" s="1172" t="s">
        <v>130</v>
      </c>
      <c r="M47" s="1172"/>
    </row>
    <row r="48" spans="1:14">
      <c r="A48" s="154" t="s">
        <v>948</v>
      </c>
      <c r="B48" s="154"/>
      <c r="C48" s="154"/>
      <c r="D48" s="928" t="s">
        <v>949</v>
      </c>
      <c r="E48" s="227"/>
      <c r="L48" s="1172" t="s">
        <v>256</v>
      </c>
      <c r="M48" s="1172"/>
    </row>
    <row r="49" spans="1:5">
      <c r="A49" s="154"/>
      <c r="B49" s="154"/>
      <c r="C49" s="154"/>
      <c r="D49" s="227"/>
      <c r="E49" s="227"/>
    </row>
    <row r="50" spans="1:5">
      <c r="A50" s="154" t="s">
        <v>257</v>
      </c>
      <c r="B50" s="154"/>
      <c r="C50" s="154"/>
      <c r="D50" s="154"/>
      <c r="E50" s="156"/>
    </row>
    <row r="51" spans="1:5">
      <c r="A51" s="1172" t="str">
        <f>+PL!A48</f>
        <v>DATE: 02-09-2022</v>
      </c>
      <c r="B51" s="1172"/>
      <c r="C51" s="1172"/>
      <c r="D51" s="1172"/>
      <c r="E51" s="156"/>
    </row>
  </sheetData>
  <mergeCells count="16">
    <mergeCell ref="A5:M5"/>
    <mergeCell ref="A1:M1"/>
    <mergeCell ref="A2:M2"/>
    <mergeCell ref="A3:M3"/>
    <mergeCell ref="A51:D51"/>
    <mergeCell ref="L40:M40"/>
    <mergeCell ref="L41:M41"/>
    <mergeCell ref="L42:M42"/>
    <mergeCell ref="L46:M46"/>
    <mergeCell ref="L47:M47"/>
    <mergeCell ref="L48:M48"/>
    <mergeCell ref="L39:M39"/>
    <mergeCell ref="L7:M7"/>
    <mergeCell ref="B7:B8"/>
    <mergeCell ref="D7:G7"/>
    <mergeCell ref="H7:K7"/>
  </mergeCells>
  <phoneticPr fontId="4" type="noConversion"/>
  <printOptions horizontalCentered="1"/>
  <pageMargins left="0.19685039370078741" right="0.19685039370078741" top="0.39370078740157483" bottom="0.19685039370078741" header="0.31496062992125984" footer="0.31496062992125984"/>
  <pageSetup paperSize="9" scale="7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9"/>
  <sheetViews>
    <sheetView view="pageBreakPreview" zoomScaleNormal="100" zoomScaleSheetLayoutView="100" workbookViewId="0">
      <selection activeCell="B10" sqref="B10"/>
    </sheetView>
  </sheetViews>
  <sheetFormatPr defaultColWidth="9.140625" defaultRowHeight="12.75"/>
  <cols>
    <col min="1" max="1" width="3.5703125" style="112" customWidth="1"/>
    <col min="2" max="2" width="55.5703125" style="113" customWidth="1"/>
    <col min="3" max="3" width="14.140625" style="112" bestFit="1" customWidth="1"/>
    <col min="4" max="4" width="13.42578125" style="112" customWidth="1"/>
    <col min="5" max="5" width="19.5703125" style="112" bestFit="1" customWidth="1"/>
    <col min="6" max="6" width="29.5703125" style="113" bestFit="1" customWidth="1"/>
    <col min="7" max="7" width="14.42578125" style="114" customWidth="1"/>
    <col min="8" max="8" width="12.85546875" style="112" customWidth="1"/>
    <col min="9" max="9" width="11.140625" style="112" customWidth="1"/>
    <col min="10" max="10" width="10.85546875" style="112" customWidth="1"/>
    <col min="11" max="16384" width="9.140625" style="112"/>
  </cols>
  <sheetData>
    <row r="1" spans="1:7">
      <c r="A1" s="1178" t="str">
        <f>'Dep - co'!A1</f>
        <v>DYNAMIC AIR ENGINEERING INDIA PRIVATE LIMITED</v>
      </c>
      <c r="B1" s="1178"/>
      <c r="C1" s="1178"/>
      <c r="D1" s="1178"/>
    </row>
    <row r="2" spans="1:7">
      <c r="A2" s="1178" t="str">
        <f>'Dep - co'!A2</f>
        <v>CIN No. :  U29192TN2008PTC066303</v>
      </c>
      <c r="B2" s="1178"/>
      <c r="C2" s="1178"/>
      <c r="D2" s="1178"/>
    </row>
    <row r="3" spans="1:7">
      <c r="A3" s="1177" t="s">
        <v>736</v>
      </c>
      <c r="B3" s="1177"/>
      <c r="C3" s="1177"/>
      <c r="D3" s="1177"/>
    </row>
    <row r="4" spans="1:7">
      <c r="A4" s="302"/>
      <c r="B4" s="303" t="s">
        <v>1251</v>
      </c>
      <c r="C4" s="115"/>
      <c r="D4" s="116"/>
    </row>
    <row r="5" spans="1:7">
      <c r="A5" s="117"/>
      <c r="B5" s="118"/>
      <c r="C5" s="119" t="s">
        <v>1380</v>
      </c>
      <c r="D5" s="119" t="s">
        <v>1152</v>
      </c>
    </row>
    <row r="6" spans="1:7">
      <c r="A6" s="117"/>
      <c r="B6" s="118"/>
      <c r="C6" s="119"/>
      <c r="D6" s="119"/>
    </row>
    <row r="7" spans="1:7">
      <c r="A7" s="117"/>
      <c r="B7" s="118" t="s">
        <v>308</v>
      </c>
      <c r="C7" s="120">
        <v>0.25</v>
      </c>
      <c r="D7" s="120">
        <v>0.25</v>
      </c>
    </row>
    <row r="8" spans="1:7">
      <c r="A8" s="117"/>
      <c r="B8" s="118" t="s">
        <v>441</v>
      </c>
      <c r="C8" s="120">
        <f>+IF('STI '!F41&gt;10000000,C7*7%,0)</f>
        <v>1.7500000000000002E-2</v>
      </c>
      <c r="D8" s="120">
        <v>0</v>
      </c>
    </row>
    <row r="9" spans="1:7" hidden="1">
      <c r="A9" s="117"/>
      <c r="B9" s="118" t="s">
        <v>1115</v>
      </c>
      <c r="C9" s="120">
        <v>0</v>
      </c>
      <c r="D9" s="120">
        <v>0</v>
      </c>
    </row>
    <row r="10" spans="1:7">
      <c r="A10" s="117"/>
      <c r="B10" s="118" t="s">
        <v>739</v>
      </c>
      <c r="C10" s="121">
        <f>+(C7+C8)*4%</f>
        <v>1.0700000000000001E-2</v>
      </c>
      <c r="D10" s="121">
        <v>0.01</v>
      </c>
    </row>
    <row r="11" spans="1:7">
      <c r="A11" s="117"/>
      <c r="B11" s="122" t="s">
        <v>35</v>
      </c>
      <c r="C11" s="123">
        <f>SUM(C7:C10)</f>
        <v>0.2782</v>
      </c>
      <c r="D11" s="123">
        <f>SUM(D7:D10)</f>
        <v>0.26</v>
      </c>
    </row>
    <row r="12" spans="1:7">
      <c r="A12" s="117"/>
      <c r="B12" s="118"/>
      <c r="C12" s="118"/>
      <c r="D12" s="124"/>
    </row>
    <row r="13" spans="1:7">
      <c r="A13" s="117"/>
      <c r="B13" s="122" t="s">
        <v>960</v>
      </c>
      <c r="C13" s="118"/>
      <c r="D13" s="124"/>
    </row>
    <row r="14" spans="1:7">
      <c r="A14" s="117"/>
      <c r="B14" s="118"/>
      <c r="C14" s="118"/>
      <c r="D14" s="124"/>
    </row>
    <row r="15" spans="1:7">
      <c r="A15" s="126">
        <v>1</v>
      </c>
      <c r="B15" s="127" t="s">
        <v>961</v>
      </c>
      <c r="C15" s="125"/>
      <c r="D15" s="124"/>
      <c r="F15" s="113">
        <v>16644174</v>
      </c>
      <c r="G15" s="114">
        <f>F15*D11</f>
        <v>4327485.24</v>
      </c>
    </row>
    <row r="16" spans="1:7">
      <c r="A16" s="128"/>
      <c r="B16" s="304" t="s">
        <v>1240</v>
      </c>
      <c r="C16" s="129">
        <f>'Dep IT'!K39</f>
        <v>189778582.39427501</v>
      </c>
      <c r="D16" s="130"/>
    </row>
    <row r="17" spans="1:5">
      <c r="A17" s="128"/>
      <c r="B17" s="304" t="s">
        <v>1241</v>
      </c>
      <c r="C17" s="131">
        <f>'Dep - co'!M26*1000</f>
        <v>200879163.54960161</v>
      </c>
      <c r="D17" s="130"/>
    </row>
    <row r="18" spans="1:5">
      <c r="A18" s="128"/>
      <c r="B18" s="304" t="s">
        <v>962</v>
      </c>
      <c r="C18" s="132">
        <f>+C16-C17</f>
        <v>-11100581.155326605</v>
      </c>
      <c r="D18" s="134">
        <f>+C18*C11</f>
        <v>-3088181.6774118617</v>
      </c>
      <c r="E18" s="112" t="s">
        <v>963</v>
      </c>
    </row>
    <row r="19" spans="1:5">
      <c r="A19" s="128"/>
      <c r="B19" s="118"/>
      <c r="C19" s="133"/>
      <c r="D19" s="130"/>
    </row>
    <row r="20" spans="1:5">
      <c r="A20" s="126">
        <v>2</v>
      </c>
      <c r="B20" s="127" t="s">
        <v>935</v>
      </c>
      <c r="C20" s="135"/>
      <c r="D20" s="130"/>
    </row>
    <row r="21" spans="1:5">
      <c r="A21" s="126"/>
      <c r="B21" s="118" t="s">
        <v>1026</v>
      </c>
      <c r="C21" s="281">
        <f>BS!G17*1000</f>
        <v>742962</v>
      </c>
      <c r="D21" s="134">
        <f>C21*C11</f>
        <v>206692.02840000001</v>
      </c>
      <c r="E21" s="112" t="s">
        <v>963</v>
      </c>
    </row>
    <row r="22" spans="1:5">
      <c r="A22" s="126"/>
      <c r="B22" s="118"/>
      <c r="C22" s="281"/>
      <c r="D22" s="134"/>
    </row>
    <row r="23" spans="1:5">
      <c r="A23" s="126"/>
      <c r="B23" s="118"/>
      <c r="C23" s="135"/>
      <c r="D23" s="130"/>
    </row>
    <row r="24" spans="1:5" ht="13.5" thickBot="1">
      <c r="A24" s="117"/>
      <c r="B24" s="122" t="s">
        <v>309</v>
      </c>
      <c r="C24" s="301"/>
      <c r="D24" s="136">
        <f>SUM(D18:D21)</f>
        <v>-2881489.6490118615</v>
      </c>
    </row>
    <row r="25" spans="1:5" ht="13.5" thickTop="1">
      <c r="A25" s="117"/>
      <c r="B25" s="118"/>
      <c r="C25" s="135"/>
      <c r="D25" s="130"/>
    </row>
    <row r="26" spans="1:5">
      <c r="A26" s="117"/>
      <c r="B26" s="127" t="s">
        <v>310</v>
      </c>
      <c r="C26" s="135"/>
      <c r="D26" s="130"/>
    </row>
    <row r="27" spans="1:5">
      <c r="A27" s="117"/>
      <c r="B27" s="118"/>
      <c r="C27" s="138" t="s">
        <v>311</v>
      </c>
      <c r="D27" s="137" t="s">
        <v>312</v>
      </c>
    </row>
    <row r="28" spans="1:5">
      <c r="A28" s="117"/>
      <c r="B28" s="118" t="s">
        <v>1116</v>
      </c>
      <c r="C28" s="563"/>
      <c r="D28" s="564">
        <f>-+BS!H16*1000</f>
        <v>-4666306.853339429</v>
      </c>
      <c r="E28" s="112">
        <v>6754.99</v>
      </c>
    </row>
    <row r="29" spans="1:5">
      <c r="A29" s="139"/>
      <c r="B29" s="118" t="s">
        <v>313</v>
      </c>
      <c r="C29" s="563"/>
      <c r="D29" s="390">
        <f>D24-D28</f>
        <v>1784817.2043275675</v>
      </c>
      <c r="E29" s="112">
        <v>-2088.6799999999998</v>
      </c>
    </row>
    <row r="30" spans="1:5">
      <c r="A30" s="139"/>
      <c r="B30" s="118" t="s">
        <v>314</v>
      </c>
      <c r="C30" s="563"/>
      <c r="D30" s="565">
        <f>D24</f>
        <v>-2881489.6490118615</v>
      </c>
      <c r="E30" s="112">
        <f>SUM(E28:E29)</f>
        <v>4666.3099999999995</v>
      </c>
    </row>
    <row r="31" spans="1:5">
      <c r="A31" s="139"/>
      <c r="B31" s="118"/>
      <c r="C31" s="566"/>
      <c r="D31" s="567"/>
    </row>
    <row r="32" spans="1:5" ht="13.5" thickBot="1">
      <c r="A32" s="139"/>
      <c r="B32" s="122" t="s">
        <v>1252</v>
      </c>
      <c r="C32" s="563"/>
      <c r="D32" s="568">
        <f>D24</f>
        <v>-2881489.6490118615</v>
      </c>
    </row>
    <row r="33" spans="1:4" ht="13.5" thickTop="1">
      <c r="A33" s="139"/>
      <c r="B33" s="118"/>
      <c r="C33" s="135"/>
      <c r="D33" s="130"/>
    </row>
    <row r="34" spans="1:4">
      <c r="A34" s="117"/>
      <c r="B34" s="127" t="s">
        <v>1253</v>
      </c>
      <c r="C34" s="135"/>
      <c r="D34" s="130"/>
    </row>
    <row r="35" spans="1:4">
      <c r="A35" s="117"/>
      <c r="B35" s="118" t="s">
        <v>1236</v>
      </c>
      <c r="C35" s="564">
        <f>D29</f>
        <v>1784817.2043275675</v>
      </c>
      <c r="D35" s="569"/>
    </row>
    <row r="36" spans="1:4">
      <c r="A36" s="117"/>
      <c r="B36" s="140" t="s">
        <v>1189</v>
      </c>
      <c r="C36" s="564"/>
      <c r="D36" s="569">
        <f>+C35</f>
        <v>1784817.2043275675</v>
      </c>
    </row>
    <row r="37" spans="1:4">
      <c r="A37" s="117"/>
      <c r="B37" s="141"/>
      <c r="C37" s="564"/>
      <c r="D37" s="569"/>
    </row>
    <row r="38" spans="1:4">
      <c r="A38" s="142"/>
      <c r="B38" s="143"/>
      <c r="C38" s="570">
        <f>SUM(C35:C36)</f>
        <v>1784817.2043275675</v>
      </c>
      <c r="D38" s="570">
        <f>SUM(D35:D36)</f>
        <v>1784817.2043275675</v>
      </c>
    </row>
    <row r="39" spans="1:4">
      <c r="A39" s="142"/>
      <c r="B39" s="144"/>
      <c r="C39" s="145"/>
      <c r="D39" s="146"/>
    </row>
  </sheetData>
  <mergeCells count="3">
    <mergeCell ref="A3:D3"/>
    <mergeCell ref="A1:D1"/>
    <mergeCell ref="A2:D2"/>
  </mergeCells>
  <phoneticPr fontId="25" type="noConversion"/>
  <hyperlinks>
    <hyperlink ref="A1" location="Index!A1" display="Index" xr:uid="{00000000-0004-0000-0D00-000000000000}"/>
    <hyperlink ref="A2" location="Index!A1" display="Index" xr:uid="{00000000-0004-0000-0D00-000001000000}"/>
  </hyperlinks>
  <printOptions horizontalCentered="1"/>
  <pageMargins left="0.19685039370078741" right="0.19685039370078741" top="0.39370078740157483" bottom="0.19685039370078741" header="0.51181102362204722" footer="0.51181102362204722"/>
  <pageSetup paperSize="9" scale="87"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X345"/>
  <sheetViews>
    <sheetView topLeftCell="A4" zoomScale="87" zoomScaleNormal="87" workbookViewId="0">
      <pane xSplit="3" ySplit="3" topLeftCell="D7" activePane="bottomRight" state="frozen"/>
      <selection activeCell="F41" sqref="F41"/>
      <selection pane="topRight" activeCell="F41" sqref="F41"/>
      <selection pane="bottomLeft" activeCell="F41" sqref="F41"/>
      <selection pane="bottomRight" activeCell="D7" sqref="D7"/>
    </sheetView>
  </sheetViews>
  <sheetFormatPr defaultColWidth="43" defaultRowHeight="12.75" outlineLevelCol="1"/>
  <cols>
    <col min="1" max="1" width="4.28515625" style="413" customWidth="1"/>
    <col min="2" max="2" width="34.7109375" style="413" customWidth="1"/>
    <col min="3" max="3" width="18.140625" style="413" customWidth="1"/>
    <col min="4" max="4" width="10.85546875" style="413" bestFit="1" customWidth="1"/>
    <col min="5" max="5" width="14.28515625" style="413" bestFit="1" customWidth="1"/>
    <col min="6" max="6" width="13.42578125" style="414" bestFit="1" customWidth="1"/>
    <col min="7" max="7" width="14.42578125" style="413" bestFit="1" customWidth="1"/>
    <col min="8" max="8" width="13.7109375" style="413" customWidth="1"/>
    <col min="9" max="9" width="14.85546875" style="413" customWidth="1"/>
    <col min="10" max="10" width="16.85546875" style="413" bestFit="1" customWidth="1"/>
    <col min="11" max="11" width="15.85546875" style="413" customWidth="1"/>
    <col min="12" max="12" width="14.5703125" style="413" customWidth="1"/>
    <col min="13" max="13" width="10.7109375" style="413" hidden="1" customWidth="1" outlineLevel="1"/>
    <col min="14" max="14" width="10.28515625" style="413" hidden="1" customWidth="1" outlineLevel="1"/>
    <col min="15" max="15" width="11.85546875" style="413" hidden="1" customWidth="1" outlineLevel="1"/>
    <col min="16" max="16" width="10.7109375" style="413" hidden="1" customWidth="1" outlineLevel="1"/>
    <col min="17" max="17" width="11.85546875" style="413" hidden="1" customWidth="1" outlineLevel="1"/>
    <col min="18" max="18" width="19.85546875" style="413" hidden="1" customWidth="1" outlineLevel="1"/>
    <col min="19" max="19" width="10.7109375" style="413" hidden="1" customWidth="1" outlineLevel="1"/>
    <col min="20" max="20" width="11.85546875" style="413" hidden="1" customWidth="1" outlineLevel="1"/>
    <col min="21" max="21" width="19.85546875" style="413" hidden="1" customWidth="1" outlineLevel="1"/>
    <col min="22" max="22" width="10.7109375" style="413" hidden="1" customWidth="1" outlineLevel="1"/>
    <col min="23" max="23" width="11.85546875" style="413" hidden="1" customWidth="1" outlineLevel="1"/>
    <col min="24" max="24" width="19.85546875" style="413" hidden="1" customWidth="1" outlineLevel="1"/>
    <col min="25" max="25" width="10.7109375" style="413" hidden="1" customWidth="1" outlineLevel="1"/>
    <col min="26" max="26" width="11.85546875" style="413" hidden="1" customWidth="1" outlineLevel="1"/>
    <col min="27" max="27" width="12.85546875" style="413" hidden="1" customWidth="1" outlineLevel="1"/>
    <col min="28" max="28" width="10.7109375" style="413" hidden="1" customWidth="1" outlineLevel="1"/>
    <col min="29" max="29" width="11.85546875" style="413" hidden="1" customWidth="1" outlineLevel="1"/>
    <col min="30" max="31" width="12.85546875" style="413" hidden="1" customWidth="1" outlineLevel="1"/>
    <col min="32" max="32" width="13" style="413" hidden="1" customWidth="1" outlineLevel="1"/>
    <col min="33" max="33" width="15.7109375" style="413" hidden="1" customWidth="1" outlineLevel="1"/>
    <col min="34" max="34" width="15.85546875" style="413" hidden="1" customWidth="1" outlineLevel="1"/>
    <col min="35" max="35" width="17.7109375" style="413" hidden="1" customWidth="1" outlineLevel="1"/>
    <col min="36" max="36" width="11" style="413" hidden="1" customWidth="1" outlineLevel="1"/>
    <col min="37" max="37" width="16.85546875" style="413" bestFit="1" customWidth="1" outlineLevel="1"/>
    <col min="38" max="38" width="15.140625" style="413" hidden="1" customWidth="1" outlineLevel="1"/>
    <col min="39" max="39" width="11.140625" style="413" hidden="1" customWidth="1" outlineLevel="1"/>
    <col min="40" max="40" width="18.7109375" style="413" hidden="1" customWidth="1" outlineLevel="1"/>
    <col min="41" max="41" width="18" style="413" hidden="1" customWidth="1" outlineLevel="1"/>
    <col min="42" max="42" width="19.140625" style="413" hidden="1" customWidth="1" outlineLevel="1"/>
    <col min="43" max="43" width="14.42578125" style="413" hidden="1" customWidth="1" outlineLevel="1"/>
    <col min="44" max="44" width="6.5703125" style="413" hidden="1" customWidth="1" outlineLevel="1"/>
    <col min="45" max="45" width="17.7109375" style="413" hidden="1" customWidth="1" outlineLevel="1"/>
    <col min="46" max="46" width="16.7109375" style="413" hidden="1" customWidth="1" outlineLevel="1"/>
    <col min="47" max="47" width="18.7109375" style="413" hidden="1" customWidth="1" outlineLevel="1"/>
    <col min="48" max="48" width="5" style="413" hidden="1" customWidth="1" outlineLevel="1"/>
    <col min="49" max="49" width="10.7109375" style="413" hidden="1" customWidth="1" outlineLevel="1"/>
    <col min="50" max="50" width="11.85546875" style="413" hidden="1" customWidth="1" outlineLevel="1"/>
    <col min="51" max="51" width="12.85546875" style="413" hidden="1" customWidth="1" outlineLevel="1"/>
    <col min="52" max="52" width="10.7109375" style="413" hidden="1" customWidth="1"/>
    <col min="53" max="53" width="11.85546875" style="413" hidden="1" customWidth="1"/>
    <col min="54" max="55" width="12.85546875" style="413" hidden="1" customWidth="1"/>
    <col min="56" max="56" width="13.7109375" style="413" hidden="1" customWidth="1"/>
    <col min="57" max="57" width="11.85546875" style="413" hidden="1" customWidth="1"/>
    <col min="58" max="58" width="10.7109375" style="413" hidden="1" customWidth="1"/>
    <col min="59" max="59" width="11.85546875" style="413" hidden="1" customWidth="1"/>
    <col min="60" max="61" width="12.85546875" style="413" hidden="1" customWidth="1"/>
    <col min="62" max="62" width="15.42578125" style="413" hidden="1" customWidth="1"/>
    <col min="63" max="63" width="12.85546875" style="413" hidden="1" customWidth="1"/>
    <col min="64" max="75" width="15.7109375" style="413" customWidth="1"/>
    <col min="76" max="76" width="14.28515625" style="413" customWidth="1"/>
    <col min="77" max="77" width="12.85546875" style="413" customWidth="1"/>
    <col min="78" max="78" width="14.28515625" style="413" customWidth="1"/>
    <col min="79" max="79" width="12.85546875" style="413" customWidth="1"/>
    <col min="80" max="80" width="14.28515625" style="413" customWidth="1"/>
    <col min="81" max="81" width="12.85546875" style="413" customWidth="1"/>
    <col min="82" max="82" width="14.28515625" style="413" customWidth="1"/>
    <col min="83" max="83" width="12.85546875" style="413" customWidth="1"/>
    <col min="84" max="84" width="14.28515625" style="413" customWidth="1"/>
    <col min="85" max="85" width="12.85546875" style="413" customWidth="1"/>
    <col min="86" max="86" width="14.28515625" style="413" customWidth="1"/>
    <col min="87" max="87" width="12.85546875" style="413" customWidth="1"/>
    <col min="88" max="88" width="14.28515625" style="413" customWidth="1"/>
    <col min="89" max="89" width="12.85546875" style="413" customWidth="1"/>
    <col min="90" max="90" width="14.28515625" style="413" customWidth="1"/>
    <col min="91" max="91" width="12.85546875" style="413" customWidth="1"/>
    <col min="92" max="92" width="14.28515625" style="413" customWidth="1"/>
    <col min="93" max="93" width="12.85546875" style="413" customWidth="1"/>
    <col min="94" max="94" width="14.28515625" style="413" customWidth="1"/>
    <col min="95" max="95" width="12.85546875" style="413" customWidth="1"/>
    <col min="96" max="96" width="14.28515625" style="413" customWidth="1"/>
    <col min="97" max="97" width="12.85546875" style="413" customWidth="1"/>
    <col min="98" max="98" width="14.28515625" style="413" customWidth="1"/>
    <col min="99" max="99" width="12.85546875" style="413" customWidth="1"/>
    <col min="100" max="100" width="14.28515625" style="413" customWidth="1"/>
    <col min="101" max="101" width="12.85546875" style="413" customWidth="1"/>
    <col min="102" max="102" width="14.28515625" style="413" customWidth="1"/>
    <col min="103" max="103" width="12.85546875" style="413" customWidth="1"/>
    <col min="104" max="104" width="14.28515625" style="413" customWidth="1"/>
    <col min="105" max="105" width="12.85546875" style="413" customWidth="1"/>
    <col min="106" max="106" width="14.28515625" style="413" customWidth="1"/>
    <col min="107" max="107" width="11.5703125" style="413" customWidth="1"/>
    <col min="108" max="108" width="12.85546875" style="413" customWidth="1"/>
    <col min="109" max="109" width="11.5703125" style="413" customWidth="1"/>
    <col min="110" max="110" width="12.85546875" style="413" customWidth="1"/>
    <col min="111" max="111" width="11.5703125" style="413" customWidth="1"/>
    <col min="112" max="112" width="12.85546875" style="413" customWidth="1"/>
    <col min="113" max="113" width="11.5703125" style="413" customWidth="1"/>
    <col min="114" max="114" width="12.85546875" style="413" customWidth="1"/>
    <col min="115" max="115" width="11.5703125" style="413" customWidth="1"/>
    <col min="116" max="116" width="12.85546875" style="413" customWidth="1"/>
    <col min="117" max="117" width="11.5703125" style="413" customWidth="1"/>
    <col min="118" max="118" width="12.85546875" style="413" customWidth="1"/>
    <col min="119" max="119" width="11.5703125" style="413" customWidth="1"/>
    <col min="120" max="120" width="12.85546875" style="413" customWidth="1"/>
    <col min="121" max="121" width="11.5703125" style="413" customWidth="1"/>
    <col min="122" max="122" width="12.85546875" style="413" customWidth="1"/>
    <col min="123" max="123" width="11.5703125" style="413" customWidth="1"/>
    <col min="124" max="124" width="12.85546875" style="413" customWidth="1"/>
    <col min="125" max="125" width="11.5703125" style="413" customWidth="1"/>
    <col min="126" max="126" width="12.85546875" style="413" customWidth="1"/>
    <col min="127" max="127" width="15.28515625" style="323" bestFit="1" customWidth="1"/>
    <col min="128" max="128" width="12.85546875" style="413" bestFit="1" customWidth="1"/>
    <col min="129" max="16384" width="43" style="413"/>
  </cols>
  <sheetData>
    <row r="1" spans="1:128">
      <c r="A1" s="411" t="s">
        <v>443</v>
      </c>
      <c r="B1" s="412"/>
    </row>
    <row r="2" spans="1:128">
      <c r="A2" s="415"/>
      <c r="B2" s="412"/>
    </row>
    <row r="3" spans="1:128">
      <c r="A3" s="416" t="s">
        <v>444</v>
      </c>
      <c r="B3" s="412"/>
    </row>
    <row r="4" spans="1:128">
      <c r="A4" s="417" t="s">
        <v>445</v>
      </c>
      <c r="B4" s="412"/>
      <c r="D4" s="418"/>
      <c r="U4" s="1"/>
      <c r="AI4" s="413" t="s">
        <v>446</v>
      </c>
      <c r="AJ4" s="419">
        <v>0.05</v>
      </c>
    </row>
    <row r="5" spans="1:128" ht="56.25" customHeight="1">
      <c r="A5" s="420" t="s">
        <v>447</v>
      </c>
      <c r="B5" s="420" t="s">
        <v>448</v>
      </c>
      <c r="C5" s="420" t="s">
        <v>449</v>
      </c>
      <c r="D5" s="420" t="s">
        <v>450</v>
      </c>
      <c r="E5" s="420" t="s">
        <v>451</v>
      </c>
      <c r="F5" s="420" t="s">
        <v>922</v>
      </c>
      <c r="G5" s="420" t="s">
        <v>452</v>
      </c>
      <c r="H5" s="420" t="s">
        <v>1000</v>
      </c>
      <c r="I5" s="420" t="s">
        <v>817</v>
      </c>
      <c r="J5" s="420" t="s">
        <v>818</v>
      </c>
      <c r="K5" s="420" t="s">
        <v>819</v>
      </c>
      <c r="L5" s="420" t="s">
        <v>688</v>
      </c>
      <c r="M5" s="420" t="s">
        <v>453</v>
      </c>
      <c r="N5" s="420" t="s">
        <v>454</v>
      </c>
      <c r="O5" s="420" t="s">
        <v>455</v>
      </c>
      <c r="P5" s="420" t="s">
        <v>453</v>
      </c>
      <c r="Q5" s="420" t="s">
        <v>454</v>
      </c>
      <c r="R5" s="420" t="s">
        <v>456</v>
      </c>
      <c r="S5" s="420" t="s">
        <v>453</v>
      </c>
      <c r="T5" s="420" t="s">
        <v>454</v>
      </c>
      <c r="U5" s="420" t="s">
        <v>457</v>
      </c>
      <c r="V5" s="420" t="s">
        <v>453</v>
      </c>
      <c r="W5" s="420" t="s">
        <v>454</v>
      </c>
      <c r="X5" s="420" t="s">
        <v>458</v>
      </c>
      <c r="Y5" s="420" t="s">
        <v>453</v>
      </c>
      <c r="Z5" s="420" t="s">
        <v>454</v>
      </c>
      <c r="AA5" s="420" t="s">
        <v>459</v>
      </c>
      <c r="AB5" s="420" t="s">
        <v>453</v>
      </c>
      <c r="AC5" s="420" t="s">
        <v>454</v>
      </c>
      <c r="AD5" s="420" t="s">
        <v>460</v>
      </c>
      <c r="AE5" s="420" t="s">
        <v>461</v>
      </c>
      <c r="AF5" s="420" t="s">
        <v>462</v>
      </c>
      <c r="AG5" s="420" t="s">
        <v>463</v>
      </c>
      <c r="AH5" s="420" t="s">
        <v>464</v>
      </c>
      <c r="AI5" s="420" t="s">
        <v>999</v>
      </c>
      <c r="AJ5" s="420" t="s">
        <v>465</v>
      </c>
      <c r="AK5" s="421" t="s">
        <v>466</v>
      </c>
      <c r="AL5" s="325" t="s">
        <v>467</v>
      </c>
      <c r="AM5" s="325" t="s">
        <v>453</v>
      </c>
      <c r="AN5" s="325" t="s">
        <v>468</v>
      </c>
      <c r="AO5" s="420" t="s">
        <v>469</v>
      </c>
      <c r="AP5" s="420" t="s">
        <v>470</v>
      </c>
      <c r="AQ5" s="420" t="s">
        <v>471</v>
      </c>
      <c r="AR5" s="420" t="s">
        <v>472</v>
      </c>
      <c r="AS5" s="420" t="s">
        <v>473</v>
      </c>
      <c r="AT5" s="325" t="s">
        <v>474</v>
      </c>
      <c r="AU5" s="325" t="s">
        <v>475</v>
      </c>
      <c r="AV5" s="325"/>
      <c r="AW5" s="325" t="s">
        <v>476</v>
      </c>
      <c r="AX5" s="325" t="s">
        <v>477</v>
      </c>
      <c r="AY5" s="325" t="s">
        <v>478</v>
      </c>
      <c r="AZ5" s="325"/>
      <c r="BA5" s="325" t="s">
        <v>479</v>
      </c>
      <c r="BB5" s="325" t="s">
        <v>480</v>
      </c>
      <c r="BC5" s="325" t="s">
        <v>551</v>
      </c>
      <c r="BD5" s="325" t="s">
        <v>552</v>
      </c>
      <c r="BE5" s="325" t="s">
        <v>553</v>
      </c>
      <c r="BF5" s="325"/>
      <c r="BG5" s="325" t="s">
        <v>548</v>
      </c>
      <c r="BH5" s="325" t="s">
        <v>549</v>
      </c>
      <c r="BI5" s="325" t="s">
        <v>667</v>
      </c>
      <c r="BJ5" s="325" t="s">
        <v>668</v>
      </c>
      <c r="BK5" s="325" t="s">
        <v>669</v>
      </c>
      <c r="BL5" s="325" t="s">
        <v>670</v>
      </c>
      <c r="BM5" s="325" t="s">
        <v>1191</v>
      </c>
      <c r="BN5" s="325" t="s">
        <v>1192</v>
      </c>
      <c r="BO5" s="325" t="s">
        <v>671</v>
      </c>
      <c r="BP5" s="325" t="s">
        <v>672</v>
      </c>
      <c r="BQ5" s="325" t="s">
        <v>1191</v>
      </c>
      <c r="BR5" s="325" t="s">
        <v>1528</v>
      </c>
      <c r="BS5" s="325" t="s">
        <v>673</v>
      </c>
      <c r="BT5" s="325" t="s">
        <v>674</v>
      </c>
      <c r="BU5" s="325" t="s">
        <v>675</v>
      </c>
      <c r="BV5" s="325" t="s">
        <v>676</v>
      </c>
      <c r="BW5" s="325" t="s">
        <v>677</v>
      </c>
      <c r="BX5" s="325" t="s">
        <v>678</v>
      </c>
      <c r="BY5" s="325" t="s">
        <v>679</v>
      </c>
      <c r="BZ5" s="325" t="s">
        <v>680</v>
      </c>
      <c r="CA5" s="325" t="s">
        <v>681</v>
      </c>
      <c r="CB5" s="325" t="s">
        <v>682</v>
      </c>
      <c r="CC5" s="325" t="s">
        <v>683</v>
      </c>
      <c r="CD5" s="325" t="s">
        <v>684</v>
      </c>
      <c r="CE5" s="328" t="s">
        <v>685</v>
      </c>
      <c r="CF5" s="328" t="s">
        <v>686</v>
      </c>
      <c r="CG5" s="328" t="s">
        <v>687</v>
      </c>
      <c r="CH5" s="328" t="s">
        <v>689</v>
      </c>
      <c r="CI5" s="328" t="s">
        <v>690</v>
      </c>
      <c r="CJ5" s="328" t="s">
        <v>691</v>
      </c>
      <c r="CK5" s="328" t="s">
        <v>692</v>
      </c>
      <c r="CL5" s="328" t="s">
        <v>693</v>
      </c>
      <c r="CM5" s="328" t="s">
        <v>694</v>
      </c>
      <c r="CN5" s="328" t="s">
        <v>695</v>
      </c>
      <c r="CO5" s="328" t="s">
        <v>696</v>
      </c>
      <c r="CP5" s="328" t="s">
        <v>697</v>
      </c>
      <c r="CQ5" s="328" t="s">
        <v>698</v>
      </c>
      <c r="CR5" s="328" t="s">
        <v>699</v>
      </c>
      <c r="CS5" s="328" t="s">
        <v>700</v>
      </c>
      <c r="CT5" s="328" t="s">
        <v>701</v>
      </c>
      <c r="CU5" s="328" t="s">
        <v>702</v>
      </c>
      <c r="CV5" s="328" t="s">
        <v>703</v>
      </c>
      <c r="CW5" s="328" t="s">
        <v>704</v>
      </c>
      <c r="CX5" s="328" t="s">
        <v>706</v>
      </c>
      <c r="CY5" s="328" t="s">
        <v>707</v>
      </c>
      <c r="CZ5" s="328" t="s">
        <v>705</v>
      </c>
      <c r="DA5" s="328" t="s">
        <v>708</v>
      </c>
      <c r="DB5" s="328" t="s">
        <v>709</v>
      </c>
      <c r="DC5" s="328" t="s">
        <v>710</v>
      </c>
      <c r="DD5" s="328" t="s">
        <v>711</v>
      </c>
      <c r="DE5" s="328" t="s">
        <v>712</v>
      </c>
      <c r="DF5" s="328" t="s">
        <v>713</v>
      </c>
      <c r="DG5" s="328" t="s">
        <v>714</v>
      </c>
      <c r="DH5" s="328" t="s">
        <v>715</v>
      </c>
      <c r="DI5" s="328" t="s">
        <v>820</v>
      </c>
      <c r="DJ5" s="328" t="s">
        <v>821</v>
      </c>
      <c r="DK5" s="328" t="s">
        <v>822</v>
      </c>
      <c r="DL5" s="328" t="s">
        <v>823</v>
      </c>
      <c r="DM5" s="328" t="s">
        <v>824</v>
      </c>
      <c r="DN5" s="328" t="s">
        <v>825</v>
      </c>
      <c r="DO5" s="328" t="s">
        <v>826</v>
      </c>
      <c r="DP5" s="328" t="s">
        <v>827</v>
      </c>
      <c r="DQ5" s="328" t="s">
        <v>828</v>
      </c>
      <c r="DR5" s="328" t="s">
        <v>829</v>
      </c>
      <c r="DS5" s="328" t="s">
        <v>830</v>
      </c>
      <c r="DT5" s="328" t="s">
        <v>831</v>
      </c>
      <c r="DU5" s="328" t="s">
        <v>832</v>
      </c>
      <c r="DV5" s="328" t="s">
        <v>833</v>
      </c>
      <c r="DW5" s="266"/>
    </row>
    <row r="6" spans="1:128">
      <c r="A6" s="422"/>
      <c r="B6" s="422"/>
      <c r="C6" s="423"/>
      <c r="D6" s="424"/>
      <c r="E6" s="425"/>
      <c r="F6" s="426"/>
      <c r="G6" s="422"/>
      <c r="H6" s="422"/>
      <c r="I6" s="422"/>
      <c r="J6" s="422"/>
      <c r="K6" s="422"/>
      <c r="L6" s="422"/>
      <c r="M6" s="427">
        <v>39903</v>
      </c>
      <c r="N6" s="422" t="s">
        <v>482</v>
      </c>
      <c r="O6" s="422"/>
      <c r="P6" s="428">
        <v>40268</v>
      </c>
      <c r="Q6" s="422" t="s">
        <v>483</v>
      </c>
      <c r="R6" s="424"/>
      <c r="S6" s="428">
        <v>40633</v>
      </c>
      <c r="T6" s="422" t="s">
        <v>484</v>
      </c>
      <c r="U6" s="422"/>
      <c r="V6" s="427">
        <v>40999</v>
      </c>
      <c r="W6" s="422" t="s">
        <v>485</v>
      </c>
      <c r="X6" s="422"/>
      <c r="Y6" s="427">
        <v>41364</v>
      </c>
      <c r="Z6" s="422" t="s">
        <v>486</v>
      </c>
      <c r="AA6" s="422"/>
      <c r="AB6" s="427">
        <v>41729</v>
      </c>
      <c r="AC6" s="422" t="s">
        <v>487</v>
      </c>
      <c r="AD6" s="422"/>
      <c r="AE6" s="422" t="s">
        <v>488</v>
      </c>
      <c r="AF6" s="422" t="s">
        <v>489</v>
      </c>
      <c r="AG6" s="422"/>
      <c r="AH6" s="429">
        <v>41729</v>
      </c>
      <c r="AI6" s="429" t="s">
        <v>490</v>
      </c>
      <c r="AJ6" s="429" t="s">
        <v>490</v>
      </c>
      <c r="AK6" s="430"/>
      <c r="AL6" s="326"/>
      <c r="AM6" s="429">
        <v>42094</v>
      </c>
      <c r="AN6" s="429" t="s">
        <v>491</v>
      </c>
      <c r="AO6" s="429"/>
      <c r="AP6" s="429"/>
      <c r="AQ6" s="429"/>
      <c r="AR6" s="422"/>
      <c r="AS6" s="426"/>
      <c r="AT6" s="327">
        <v>42094</v>
      </c>
      <c r="AU6" s="327" t="s">
        <v>472</v>
      </c>
      <c r="AV6" s="326"/>
      <c r="AW6" s="429">
        <v>42460</v>
      </c>
      <c r="AX6" s="327" t="s">
        <v>492</v>
      </c>
      <c r="AY6" s="327"/>
      <c r="AZ6" s="429">
        <v>42825</v>
      </c>
      <c r="BA6" s="327"/>
      <c r="BB6" s="327"/>
      <c r="BC6" s="326"/>
      <c r="BD6" s="429">
        <v>42825</v>
      </c>
      <c r="BE6" s="429"/>
      <c r="BF6" s="429">
        <v>43190</v>
      </c>
      <c r="BG6" s="429"/>
      <c r="BH6" s="327"/>
      <c r="BI6" s="429">
        <v>43555</v>
      </c>
      <c r="BJ6" s="326"/>
      <c r="BK6" s="429">
        <v>43921</v>
      </c>
      <c r="BL6" s="326"/>
      <c r="BM6" s="326"/>
      <c r="BN6" s="326"/>
      <c r="BO6" s="429">
        <v>44286</v>
      </c>
      <c r="BP6" s="326"/>
      <c r="BQ6" s="326"/>
      <c r="BR6" s="326"/>
      <c r="BS6" s="429">
        <v>44651</v>
      </c>
      <c r="BT6" s="326"/>
      <c r="BU6" s="326"/>
      <c r="BV6" s="326"/>
      <c r="BW6" s="326"/>
      <c r="BX6" s="326"/>
      <c r="BY6" s="326"/>
      <c r="BZ6" s="326"/>
      <c r="CA6" s="326"/>
      <c r="CB6" s="326"/>
      <c r="CC6" s="326"/>
      <c r="CD6" s="326"/>
      <c r="CE6" s="326"/>
      <c r="CF6" s="326"/>
      <c r="CG6" s="326"/>
      <c r="CH6" s="326"/>
      <c r="CI6" s="326"/>
      <c r="CJ6" s="326"/>
      <c r="CK6" s="326"/>
      <c r="CL6" s="326"/>
      <c r="CM6" s="326"/>
      <c r="CN6" s="326"/>
      <c r="CO6" s="326"/>
      <c r="CP6" s="326"/>
      <c r="CQ6" s="326"/>
      <c r="CR6" s="326"/>
      <c r="CS6" s="326"/>
      <c r="CT6" s="326"/>
      <c r="CU6" s="326"/>
      <c r="CV6" s="326"/>
      <c r="CW6" s="326"/>
      <c r="CX6" s="326"/>
      <c r="CY6" s="326"/>
      <c r="CZ6" s="326"/>
      <c r="DA6" s="326"/>
      <c r="DB6" s="326"/>
      <c r="DC6" s="326"/>
      <c r="DD6" s="326"/>
      <c r="DE6" s="326"/>
      <c r="DF6" s="326"/>
      <c r="DG6" s="326"/>
      <c r="DH6" s="326"/>
      <c r="DI6" s="326"/>
      <c r="DJ6" s="326"/>
      <c r="DK6" s="326"/>
      <c r="DL6" s="326"/>
      <c r="DM6" s="326"/>
      <c r="DN6" s="326"/>
      <c r="DO6" s="326"/>
      <c r="DP6" s="326"/>
      <c r="DQ6" s="326"/>
      <c r="DR6" s="326"/>
      <c r="DS6" s="326"/>
      <c r="DT6" s="326"/>
      <c r="DU6" s="326"/>
      <c r="DV6" s="326"/>
      <c r="DW6" s="329" t="s">
        <v>550</v>
      </c>
      <c r="DX6" s="431" t="s">
        <v>472</v>
      </c>
    </row>
    <row r="7" spans="1:128">
      <c r="A7" s="422"/>
      <c r="B7" s="422"/>
      <c r="C7" s="423"/>
      <c r="D7" s="424"/>
      <c r="E7" s="425"/>
      <c r="F7" s="424"/>
      <c r="G7" s="422"/>
      <c r="H7" s="422"/>
      <c r="I7" s="424"/>
      <c r="J7" s="424"/>
      <c r="K7" s="424"/>
      <c r="L7" s="424"/>
      <c r="M7" s="428"/>
      <c r="N7" s="432"/>
      <c r="O7" s="432"/>
      <c r="P7" s="427"/>
      <c r="Q7" s="432"/>
      <c r="R7" s="433"/>
      <c r="S7" s="427"/>
      <c r="T7" s="433"/>
      <c r="U7" s="422"/>
      <c r="V7" s="427"/>
      <c r="W7" s="422"/>
      <c r="X7" s="422"/>
      <c r="Y7" s="427"/>
      <c r="Z7" s="422"/>
      <c r="AA7" s="422"/>
      <c r="AB7" s="427"/>
      <c r="AC7" s="422"/>
      <c r="AD7" s="422"/>
      <c r="AE7" s="422"/>
      <c r="AF7" s="422"/>
      <c r="AG7" s="422"/>
      <c r="AH7" s="429"/>
      <c r="AI7" s="429"/>
      <c r="AJ7" s="429"/>
      <c r="AK7" s="430"/>
      <c r="AL7" s="326"/>
      <c r="AM7" s="429"/>
      <c r="AN7" s="429"/>
      <c r="AO7" s="429"/>
      <c r="AP7" s="429"/>
      <c r="AQ7" s="429"/>
      <c r="AR7" s="433"/>
      <c r="AS7" s="422"/>
      <c r="AT7" s="326"/>
      <c r="AU7" s="326"/>
      <c r="AV7" s="326"/>
      <c r="AW7" s="326"/>
      <c r="AX7" s="326"/>
      <c r="AY7" s="326"/>
      <c r="AZ7" s="326"/>
      <c r="BA7" s="326"/>
      <c r="BB7" s="326"/>
      <c r="BC7" s="326"/>
      <c r="BD7" s="326"/>
      <c r="BE7" s="326"/>
      <c r="BF7" s="326"/>
      <c r="BG7" s="326"/>
      <c r="BH7" s="326"/>
      <c r="BI7" s="326"/>
      <c r="BJ7" s="326"/>
      <c r="BK7" s="326"/>
      <c r="BL7" s="326"/>
      <c r="BM7" s="326"/>
      <c r="BN7" s="326"/>
      <c r="BO7" s="326"/>
      <c r="BP7" s="326"/>
      <c r="BQ7" s="326"/>
      <c r="BR7" s="326"/>
      <c r="BS7" s="326"/>
      <c r="BT7" s="326"/>
      <c r="BU7" s="326"/>
      <c r="BV7" s="326"/>
      <c r="BW7" s="326"/>
      <c r="BX7" s="326"/>
      <c r="BY7" s="326"/>
      <c r="BZ7" s="326"/>
      <c r="CA7" s="326"/>
      <c r="CB7" s="326"/>
      <c r="CC7" s="326"/>
      <c r="CD7" s="326"/>
      <c r="CE7" s="326"/>
      <c r="CF7" s="326"/>
      <c r="CG7" s="326"/>
      <c r="CH7" s="326"/>
      <c r="CI7" s="326"/>
      <c r="CJ7" s="326"/>
      <c r="CK7" s="326"/>
      <c r="CL7" s="326"/>
      <c r="CM7" s="326"/>
      <c r="CN7" s="326"/>
      <c r="CO7" s="326"/>
      <c r="CP7" s="326"/>
      <c r="CQ7" s="326"/>
      <c r="CR7" s="326"/>
      <c r="CS7" s="326"/>
      <c r="CT7" s="326"/>
      <c r="CU7" s="326"/>
      <c r="CV7" s="326"/>
      <c r="CW7" s="326"/>
      <c r="CX7" s="326"/>
      <c r="CY7" s="326"/>
      <c r="CZ7" s="326"/>
      <c r="DA7" s="326"/>
      <c r="DB7" s="326"/>
      <c r="DC7" s="326"/>
      <c r="DD7" s="326"/>
      <c r="DE7" s="326"/>
      <c r="DF7" s="326"/>
      <c r="DG7" s="326"/>
      <c r="DH7" s="326"/>
      <c r="DI7" s="326"/>
      <c r="DJ7" s="326"/>
      <c r="DK7" s="326"/>
      <c r="DL7" s="326"/>
      <c r="DM7" s="326"/>
      <c r="DN7" s="326"/>
      <c r="DO7" s="326"/>
      <c r="DP7" s="326"/>
      <c r="DQ7" s="326"/>
      <c r="DR7" s="326"/>
      <c r="DS7" s="326"/>
      <c r="DT7" s="326"/>
      <c r="DU7" s="326"/>
      <c r="DV7" s="326"/>
      <c r="DW7" s="266"/>
    </row>
    <row r="8" spans="1:128">
      <c r="A8" s="433">
        <v>1</v>
      </c>
      <c r="B8" s="433" t="s">
        <v>838</v>
      </c>
      <c r="C8" s="434" t="s">
        <v>494</v>
      </c>
      <c r="D8" s="435">
        <v>0.1</v>
      </c>
      <c r="E8" s="436">
        <v>845555</v>
      </c>
      <c r="F8" s="437" t="s">
        <v>1001</v>
      </c>
      <c r="G8" s="438">
        <v>39547</v>
      </c>
      <c r="H8" s="438"/>
      <c r="I8" s="438"/>
      <c r="J8" s="438"/>
      <c r="K8" s="438"/>
      <c r="L8" s="438"/>
      <c r="M8" s="439">
        <f>$M$6-G8+1-6</f>
        <v>351</v>
      </c>
      <c r="N8" s="436">
        <f>ROUND(E8*M8/365*D8,0)</f>
        <v>81312</v>
      </c>
      <c r="O8" s="436">
        <f>E8-N8</f>
        <v>764243</v>
      </c>
      <c r="P8" s="433">
        <f>IF(($P$6-G8+1)&gt;365,365,($P$6-G8+1))</f>
        <v>365</v>
      </c>
      <c r="Q8" s="436">
        <f>ROUND(O8*13.91%/365*P8,0)</f>
        <v>106306</v>
      </c>
      <c r="R8" s="436">
        <f>O8-Q8</f>
        <v>657937</v>
      </c>
      <c r="S8" s="433">
        <f>IF(($S$6-G8+1)&gt;365,365,($Y$6-G8+1))</f>
        <v>365</v>
      </c>
      <c r="T8" s="436">
        <f t="shared" ref="T8:T18" si="0">ROUND(R8*13.91%/365*S8,0)</f>
        <v>91519</v>
      </c>
      <c r="U8" s="436">
        <f>R8-T8</f>
        <v>566418</v>
      </c>
      <c r="V8" s="433">
        <f>IF(($V$6-G8+1)&gt;365,365,($V$6-G8+1))</f>
        <v>365</v>
      </c>
      <c r="W8" s="436">
        <f>186694/(U59+825639)*U8</f>
        <v>31018.672505488928</v>
      </c>
      <c r="X8" s="436">
        <f>IF((U8-W8)&gt;0,U8-W8,E8-W8)</f>
        <v>535399.32749451103</v>
      </c>
      <c r="Y8" s="433">
        <f>IF(($Y$6-G8+1)&gt;365,365,($Y$6-G8+1))</f>
        <v>365</v>
      </c>
      <c r="Z8" s="436">
        <f>ROUND(IF(X8&gt;0,X8*$D8/365*Y8,($E8*$D8*Y8/365)),0)</f>
        <v>53540</v>
      </c>
      <c r="AA8" s="436">
        <f>IF((X8-Z8)&gt;0,X8-Z8,$E8-Z8)</f>
        <v>481859.32749451103</v>
      </c>
      <c r="AB8" s="433">
        <f>IF(($AB$6-G8+1)&gt;365,365,($AB$6-G8+1))</f>
        <v>365</v>
      </c>
      <c r="AC8" s="436">
        <f>ROUND(IF(AA8&gt;0,AA8*$D8/365*AB8,($E8*$D8*AB8/365)),0)</f>
        <v>48186</v>
      </c>
      <c r="AD8" s="436">
        <f>IF((AA8-AC8)&gt;0,AA8-AC8,$E8-AC8)</f>
        <v>433673.32749451103</v>
      </c>
      <c r="AE8" s="436">
        <f>T8+W8+Z8+AC8+Q8+N8</f>
        <v>411881.67250548891</v>
      </c>
      <c r="AF8" s="436">
        <f>E8-AE8</f>
        <v>433673.32749451109</v>
      </c>
      <c r="AG8" s="436">
        <f t="shared" ref="AG8:AG56" si="1">AD8-AF8</f>
        <v>0</v>
      </c>
      <c r="AH8" s="436">
        <f>($AH$6-G8+1)/365</f>
        <v>5.9808219178082194</v>
      </c>
      <c r="AI8" s="439">
        <v>30</v>
      </c>
      <c r="AJ8" s="436">
        <f t="shared" ref="AJ8:AJ58" si="2">AI8-AH8</f>
        <v>24.019178082191779</v>
      </c>
      <c r="AK8" s="440">
        <f>IF(AJ8&gt;0,1-(((E8*$AJ$4)/AF8)^(1/AJ8)),0)</f>
        <v>9.2374857891615259E-2</v>
      </c>
      <c r="AL8" s="2">
        <f>IF(AJ8&lt;0,AF8-(E8*5%),0)</f>
        <v>0</v>
      </c>
      <c r="AM8" s="433">
        <f>IF(($AM$6-$G8+1)&gt;365,365,($AM$6-$G8+1))</f>
        <v>365</v>
      </c>
      <c r="AN8" s="436">
        <f>ROUND(IF(AF8&gt;0,AF8*$D8/365*AM8,($E8*$D8*AM8/365)),0)</f>
        <v>43367</v>
      </c>
      <c r="AO8" s="436">
        <f>MIN(ROUND(IF(AL8&gt;0,0,(AK8*AF8)*AM8/365),0),AF8-(E8*5%))</f>
        <v>40061</v>
      </c>
      <c r="AP8" s="436">
        <f>ROUND(+IF(AJ8&lt;1,(E8*5%),IF(AF8&gt;0,AF8-AO8,E8-AO8)),0)</f>
        <v>393612</v>
      </c>
      <c r="AQ8" s="436">
        <f>AF8-AO8-AL8</f>
        <v>393612.32749451109</v>
      </c>
      <c r="AR8" s="436">
        <f>$AF8-($AL8+$AO8+$AP8)</f>
        <v>0.32749451108975336</v>
      </c>
      <c r="AS8" s="436">
        <f>AO8-AN8</f>
        <v>-3306</v>
      </c>
      <c r="AT8" s="2">
        <f>AF8-AN8</f>
        <v>390306.32749451109</v>
      </c>
      <c r="AU8" s="2">
        <f t="shared" ref="AU8:AU56" si="3">AT8-AS8-AL8</f>
        <v>393612.32749451109</v>
      </c>
      <c r="AV8" s="2">
        <f t="shared" ref="AV8:AV56" si="4">AU8-AQ8</f>
        <v>0</v>
      </c>
      <c r="AW8" s="433">
        <f>IF(($AW$6-$G8+1)&gt;365,365,($AW$6-$G8+1))</f>
        <v>365</v>
      </c>
      <c r="AX8" s="2">
        <f>AU8*AK8</f>
        <v>36359.882816693389</v>
      </c>
      <c r="AY8" s="2">
        <f>AU8-AX8</f>
        <v>357252.44467781769</v>
      </c>
      <c r="AZ8" s="433">
        <f>IF(($AZ$6-$G8+1)&gt;365,365,($AZ$6-$G8+1))</f>
        <v>365</v>
      </c>
      <c r="BA8" s="2">
        <f>AY8*AK8</f>
        <v>33001.143808545552</v>
      </c>
      <c r="BB8" s="2">
        <f>AY8-BA8</f>
        <v>324251.30086927215</v>
      </c>
      <c r="BC8" s="2">
        <f>60*365</f>
        <v>21900</v>
      </c>
      <c r="BD8" s="433">
        <f>+$BD$6-G8</f>
        <v>3278</v>
      </c>
      <c r="BE8" s="439">
        <f>+BC8-BD8</f>
        <v>18622</v>
      </c>
      <c r="BF8" s="433">
        <f>IF(($BF$6-$G8+1)&gt;365,365,($BF$6-$G8+1))</f>
        <v>365</v>
      </c>
      <c r="BG8" s="2">
        <f>IF(BE8&gt;365,IF(BF8=365,BB8*AK8,BB8*AK8*BF8/365),0)</f>
        <v>29952.667838970399</v>
      </c>
      <c r="BH8" s="2">
        <f>+BB8-BG8</f>
        <v>294298.63303030177</v>
      </c>
      <c r="BI8" s="2">
        <f t="shared" ref="BI8:BI56" si="5">+BH8*AK8</f>
        <v>27185.794403870754</v>
      </c>
      <c r="BJ8" s="2">
        <f t="shared" ref="BJ8:BJ56" si="6">+BH8-BI8</f>
        <v>267112.83862643101</v>
      </c>
      <c r="BK8" s="2">
        <f>+ROUND(BJ8*AK8,2)</f>
        <v>24674.51</v>
      </c>
      <c r="BL8" s="2">
        <f t="shared" ref="BL8:BL58" si="7">+BJ8-BK8</f>
        <v>242438.328626431</v>
      </c>
      <c r="BM8" s="2"/>
      <c r="BN8" s="2">
        <f>BL8-BM8</f>
        <v>242438.328626431</v>
      </c>
      <c r="BO8" s="2">
        <f t="shared" ref="BO8:BO56" si="8">+BL8*AK8</f>
        <v>22395.206154347285</v>
      </c>
      <c r="BP8" s="2">
        <f>+BL8-BO8</f>
        <v>220043.12247208372</v>
      </c>
      <c r="BQ8" s="2"/>
      <c r="BR8" s="2">
        <f t="shared" ref="BR8:BR58" si="9">BP8-BQ8</f>
        <v>220043.12247208372</v>
      </c>
      <c r="BS8" s="2">
        <f>+BR8*AK8</f>
        <v>20326.452168386026</v>
      </c>
      <c r="BT8" s="2">
        <f>+BP8-BS8</f>
        <v>199716.6703036977</v>
      </c>
      <c r="BU8" s="2">
        <f t="shared" ref="BU8:BU56" si="10">+BT8*AK8</f>
        <v>18448.799037890651</v>
      </c>
      <c r="BV8" s="2">
        <f>+BT8-BU8</f>
        <v>181267.87126580704</v>
      </c>
      <c r="BW8" s="2">
        <f t="shared" ref="BW8:BW56" si="11">+BV8*AK8</f>
        <v>16744.593848494533</v>
      </c>
      <c r="BX8" s="2">
        <f>+BV8-BW8</f>
        <v>164523.27741731252</v>
      </c>
      <c r="BY8" s="2">
        <f t="shared" ref="BY8:BY56" si="12">+BX8*AK8</f>
        <v>15197.814371287039</v>
      </c>
      <c r="BZ8" s="2">
        <f>+BX8-BY8</f>
        <v>149325.46304602548</v>
      </c>
      <c r="CA8" s="2">
        <f t="shared" ref="CA8:CA56" si="13">+BZ8*AK8</f>
        <v>13793.91842847625</v>
      </c>
      <c r="CB8" s="2">
        <f>+BZ8-CA8</f>
        <v>135531.54461754923</v>
      </c>
      <c r="CC8" s="2">
        <f t="shared" ref="CC8:CC56" si="14">+CB8*AK8</f>
        <v>12519.707173877223</v>
      </c>
      <c r="CD8" s="2">
        <f>+CB8-CC8</f>
        <v>123011.837443672</v>
      </c>
      <c r="CE8" s="2">
        <f t="shared" ref="CE8:CE56" si="15">+CD8*AK8</f>
        <v>11363.201002845679</v>
      </c>
      <c r="CF8" s="2">
        <f>+CD8-CE8</f>
        <v>111648.63644082632</v>
      </c>
      <c r="CG8" s="2">
        <f t="shared" ref="CG8:CG56" si="16">+CF8*AK8</f>
        <v>10313.526925013948</v>
      </c>
      <c r="CH8" s="2">
        <f>+CF8-CG8</f>
        <v>101335.10951581236</v>
      </c>
      <c r="CI8" s="2">
        <f t="shared" ref="CI8:CI56" si="17">+CH8*AK8</f>
        <v>9360.8163409544359</v>
      </c>
      <c r="CJ8" s="2">
        <f>+CH8-CI8</f>
        <v>91974.293174857929</v>
      </c>
      <c r="CK8" s="2">
        <f t="shared" ref="CK8:CK56" si="18">+CJ8*AK8</f>
        <v>8496.1122617092606</v>
      </c>
      <c r="CL8" s="2">
        <f>+CJ8-CK8</f>
        <v>83478.180913148666</v>
      </c>
      <c r="CM8" s="2">
        <f t="shared" ref="CM8:CM56" si="19">+CL8*AK8</f>
        <v>7711.2850989026574</v>
      </c>
      <c r="CN8" s="2">
        <f>+CL8-CM8</f>
        <v>75766.895814246003</v>
      </c>
      <c r="CO8" s="2">
        <f t="shared" ref="CO8:CO56" si="20">+CN8*AK8</f>
        <v>6998.9562337297939</v>
      </c>
      <c r="CP8" s="2">
        <f>+CN8-CO8</f>
        <v>68767.939580516206</v>
      </c>
      <c r="CQ8" s="2">
        <f t="shared" ref="CQ8:CQ56" si="21">+CP8*AK8</f>
        <v>6352.4286462493683</v>
      </c>
      <c r="CR8" s="2">
        <f>+CP8-CQ8</f>
        <v>62415.510934266837</v>
      </c>
      <c r="CS8" s="2">
        <f t="shared" ref="CS8:CS56" si="22">+CR8*AK8</f>
        <v>5765.6239527854577</v>
      </c>
      <c r="CT8" s="2">
        <f>+CR8-CS8</f>
        <v>56649.886981481381</v>
      </c>
      <c r="CU8" s="2">
        <f t="shared" ref="CU8:CU56" si="23">+CT8*AK8</f>
        <v>5233.0252594904077</v>
      </c>
      <c r="CV8" s="2">
        <f>+CT8-CU8</f>
        <v>51416.861721990972</v>
      </c>
      <c r="CW8" s="2">
        <f t="shared" ref="CW8:CW56" si="24">+CV8*AK8</f>
        <v>4749.6252948017482</v>
      </c>
      <c r="CX8" s="2">
        <f>+CV8-CW8</f>
        <v>46667.236427189222</v>
      </c>
      <c r="CY8" s="2">
        <f t="shared" ref="CY8:CY56" si="25">+CX8*AK8</f>
        <v>4310.8793331560155</v>
      </c>
      <c r="CZ8" s="2">
        <f>+CX8-CY8</f>
        <v>42356.357094033207</v>
      </c>
      <c r="DA8" s="2">
        <f>+CZ8-E8*5%</f>
        <v>78.607094033206522</v>
      </c>
      <c r="DB8" s="2">
        <f>+CZ8-DA8</f>
        <v>42277.75</v>
      </c>
      <c r="DC8" s="2">
        <v>0</v>
      </c>
      <c r="DD8" s="2">
        <f>+DB8-DC8</f>
        <v>42277.75</v>
      </c>
      <c r="DE8" s="2">
        <v>0</v>
      </c>
      <c r="DF8" s="2">
        <f>+DD8-DE8</f>
        <v>42277.75</v>
      </c>
      <c r="DG8" s="2">
        <v>0</v>
      </c>
      <c r="DH8" s="2">
        <f>+DF8-DG8</f>
        <v>42277.75</v>
      </c>
      <c r="DI8" s="2"/>
      <c r="DJ8" s="2">
        <f>+DH8-DI8</f>
        <v>42277.75</v>
      </c>
      <c r="DK8" s="2"/>
      <c r="DL8" s="2">
        <f>+DJ8-DK8</f>
        <v>42277.75</v>
      </c>
      <c r="DM8" s="2"/>
      <c r="DN8" s="2">
        <f>+DL8-DM8</f>
        <v>42277.75</v>
      </c>
      <c r="DO8" s="2"/>
      <c r="DP8" s="2">
        <f>+DN8-DO8</f>
        <v>42277.75</v>
      </c>
      <c r="DQ8" s="2"/>
      <c r="DR8" s="2">
        <f>+DP8-DQ8</f>
        <v>42277.75</v>
      </c>
      <c r="DS8" s="2"/>
      <c r="DT8" s="2">
        <f t="shared" ref="DT8:DT58" si="26">+DR8-DS8</f>
        <v>42277.75</v>
      </c>
      <c r="DU8" s="2"/>
      <c r="DV8" s="2"/>
      <c r="DW8" s="266">
        <f t="shared" ref="DW8:DW58" si="27">+E8*5%</f>
        <v>42277.75</v>
      </c>
      <c r="DX8" s="441">
        <f>+DW8-DR8</f>
        <v>0</v>
      </c>
    </row>
    <row r="9" spans="1:128">
      <c r="A9" s="433">
        <f t="shared" ref="A9:A57" si="28">A8+1</f>
        <v>2</v>
      </c>
      <c r="B9" s="433" t="s">
        <v>493</v>
      </c>
      <c r="C9" s="434" t="s">
        <v>494</v>
      </c>
      <c r="D9" s="435">
        <v>0.1</v>
      </c>
      <c r="E9" s="442">
        <v>23500</v>
      </c>
      <c r="F9" s="437" t="s">
        <v>1001</v>
      </c>
      <c r="G9" s="438">
        <v>39969</v>
      </c>
      <c r="H9" s="438"/>
      <c r="I9" s="438"/>
      <c r="J9" s="438"/>
      <c r="K9" s="438"/>
      <c r="L9" s="438"/>
      <c r="M9" s="439"/>
      <c r="N9" s="439"/>
      <c r="O9" s="439"/>
      <c r="P9" s="433">
        <f>IF(($P$6-G9+1)&gt;365,365,($P$6-G9+1))</f>
        <v>300</v>
      </c>
      <c r="Q9" s="436">
        <f t="shared" ref="Q9:Q18" si="29">ROUND(E9*P9/365*D9,0)</f>
        <v>1932</v>
      </c>
      <c r="R9" s="436">
        <f t="shared" ref="R9:R18" si="30">E9-Q9</f>
        <v>21568</v>
      </c>
      <c r="S9" s="433">
        <f t="shared" ref="S9:S18" si="31">IF(($S$6-G9+1)&gt;365,365,($Y$6-G9+1))</f>
        <v>365</v>
      </c>
      <c r="T9" s="436">
        <f t="shared" si="0"/>
        <v>3000</v>
      </c>
      <c r="U9" s="436">
        <f t="shared" ref="U9:U18" si="32">R9-T9</f>
        <v>18568</v>
      </c>
      <c r="V9" s="433">
        <f t="shared" ref="V9:V56" si="33">IF(($V$6-G9+1)&gt;365,365,($V$6-G9+1))</f>
        <v>365</v>
      </c>
      <c r="W9" s="436">
        <f>186694/(U59+825639)*U9</f>
        <v>1016.8368785630372</v>
      </c>
      <c r="X9" s="436">
        <f t="shared" ref="X9:X56" si="34">IF((U9-W9)&gt;0,U9-W9,E9-W9)</f>
        <v>17551.163121436963</v>
      </c>
      <c r="Y9" s="433">
        <f t="shared" ref="Y9:Y56" si="35">IF(($Y$6-G9+1)&gt;365,365,($Y$6-G9+1))</f>
        <v>365</v>
      </c>
      <c r="Z9" s="436">
        <f>ROUND(IF(X9&gt;0,X9*$D9/365*Y9,($E9*$D9*Y9/365)),0)</f>
        <v>1755</v>
      </c>
      <c r="AA9" s="436">
        <f>IF((X9-Z9)&gt;0,X9-Z9,$E9-Z9)</f>
        <v>15796.163121436963</v>
      </c>
      <c r="AB9" s="433">
        <f t="shared" ref="AB9:AB56" si="36">IF(($AB$6-G9+1)&gt;365,365,($AB$6-G9+1))</f>
        <v>365</v>
      </c>
      <c r="AC9" s="436">
        <f t="shared" ref="AC9:AC56" si="37">ROUND(IF(AA9&gt;0,AA9*$D9/365*AB9,($E9*$D9*AB9/365)),0)</f>
        <v>1580</v>
      </c>
      <c r="AD9" s="436">
        <f t="shared" ref="AD9:AD56" si="38">IF((AA9-AC9)&gt;0,AA9-AC9,$E9-AC9)</f>
        <v>14216.163121436963</v>
      </c>
      <c r="AE9" s="436">
        <f t="shared" ref="AE9:AE56" si="39">T9+W9+Z9+AC9+Q9+N9</f>
        <v>9283.8368785630373</v>
      </c>
      <c r="AF9" s="436">
        <f t="shared" ref="AF9:AF56" si="40">E9-AE9</f>
        <v>14216.163121436963</v>
      </c>
      <c r="AG9" s="436">
        <f t="shared" si="1"/>
        <v>0</v>
      </c>
      <c r="AH9" s="436">
        <f t="shared" ref="AH9:AH56" si="41">($AH$6-G9+1)/365</f>
        <v>4.8246575342465752</v>
      </c>
      <c r="AI9" s="439">
        <v>30</v>
      </c>
      <c r="AJ9" s="436">
        <f t="shared" si="2"/>
        <v>25.175342465753424</v>
      </c>
      <c r="AK9" s="440">
        <f t="shared" ref="AK9:AK56" si="42">IF(AJ9&gt;0,1-(((E9*$AJ$4)/AF9)^(1/AJ9)),0)</f>
        <v>9.4284365034125073E-2</v>
      </c>
      <c r="AL9" s="2">
        <f t="shared" ref="AL9:AL56" si="43">IF(AJ9&lt;0,AF9-(E9*5%),0)</f>
        <v>0</v>
      </c>
      <c r="AM9" s="433">
        <f t="shared" ref="AM9:AM56" si="44">IF(($AM$6-$G9+1)&gt;365,365,($AM$6-$G9+1))</f>
        <v>365</v>
      </c>
      <c r="AN9" s="436">
        <f>ROUND(IF(AF9&gt;0,AF9*$D9/365*AM9,($E9*$D9*AM9/365)),0)</f>
        <v>1422</v>
      </c>
      <c r="AO9" s="436">
        <f t="shared" ref="AO9:AO56" si="45">MIN(ROUND(IF(AL9&gt;0,0,(AK9*AF9)*AM9/365),0),AF9-(E9*5%))</f>
        <v>1340</v>
      </c>
      <c r="AP9" s="436">
        <f t="shared" ref="AP9:AP56" si="46">ROUND(+IF(AJ9&lt;1,(E9*5%),IF(AF9&gt;0,AF9-AO9,E9-AO9)),0)</f>
        <v>12876</v>
      </c>
      <c r="AQ9" s="436">
        <f>AF9-AO9-AL9</f>
        <v>12876.163121436963</v>
      </c>
      <c r="AR9" s="436">
        <f>$AF9-($AL9+$AO9+$AP9)</f>
        <v>0.16312143696268322</v>
      </c>
      <c r="AS9" s="436">
        <f>AO9-AN9</f>
        <v>-82</v>
      </c>
      <c r="AT9" s="2">
        <f>AF9-AN9</f>
        <v>12794.163121436963</v>
      </c>
      <c r="AU9" s="2">
        <f t="shared" si="3"/>
        <v>12876.163121436963</v>
      </c>
      <c r="AV9" s="2">
        <f t="shared" si="4"/>
        <v>0</v>
      </c>
      <c r="AW9" s="433">
        <f t="shared" ref="AW9:AW56" si="47">IF(($AW$6-$G9+1)&gt;365,365,($AW$6-$G9+1))</f>
        <v>365</v>
      </c>
      <c r="AX9" s="2">
        <f t="shared" ref="AX9:AX56" si="48">AU9*AK9</f>
        <v>1214.0208639805019</v>
      </c>
      <c r="AY9" s="2">
        <f t="shared" ref="AY9:AY56" si="49">AU9-AX9</f>
        <v>11662.14225745646</v>
      </c>
      <c r="AZ9" s="433">
        <f t="shared" ref="AZ9:AZ56" si="50">IF(($AZ$6-$G9+1)&gt;365,365,($AZ$6-$G9+1))</f>
        <v>365</v>
      </c>
      <c r="BA9" s="2">
        <f t="shared" ref="BA9:BA56" si="51">AY9*AK9</f>
        <v>1099.5576776819203</v>
      </c>
      <c r="BB9" s="2">
        <f t="shared" ref="BB9:BB56" si="52">AY9-BA9</f>
        <v>10562.584579774541</v>
      </c>
      <c r="BC9" s="2">
        <f t="shared" ref="BC9:BC56" si="53">60*365</f>
        <v>21900</v>
      </c>
      <c r="BD9" s="433">
        <f t="shared" ref="BD9:BD56" si="54">+$BD$6-G9</f>
        <v>2856</v>
      </c>
      <c r="BE9" s="439">
        <f t="shared" ref="BE9:BE56" si="55">+BC9-BD9</f>
        <v>19044</v>
      </c>
      <c r="BF9" s="433">
        <f t="shared" ref="BF9:BF56" si="56">IF(($BF$6-$G9+1)&gt;365,365,($BF$6-$G9+1))</f>
        <v>365</v>
      </c>
      <c r="BG9" s="2">
        <f t="shared" ref="BG9:BG55" si="57">IF(BE9&gt;365,IF(BF9=365,BB9*AK9,BB9*AK9*BF9/365),0)</f>
        <v>995.88658022328332</v>
      </c>
      <c r="BH9" s="2">
        <f t="shared" ref="BH9:BH56" si="58">+BB9-BG9</f>
        <v>9566.6979995512575</v>
      </c>
      <c r="BI9" s="2">
        <f t="shared" si="5"/>
        <v>901.99004636092491</v>
      </c>
      <c r="BJ9" s="2">
        <f t="shared" si="6"/>
        <v>8664.7079531903328</v>
      </c>
      <c r="BK9" s="2">
        <f t="shared" ref="BK9:BK58" si="59">+ROUND(BJ9*AK9,2)</f>
        <v>816.95</v>
      </c>
      <c r="BL9" s="2">
        <f t="shared" si="7"/>
        <v>7847.757953190333</v>
      </c>
      <c r="BM9" s="2"/>
      <c r="BN9" s="2">
        <f t="shared" ref="BN9:BN72" si="60">BL9-BM9</f>
        <v>7847.757953190333</v>
      </c>
      <c r="BO9" s="2">
        <f t="shared" si="8"/>
        <v>739.92087555805563</v>
      </c>
      <c r="BP9" s="2">
        <f t="shared" ref="BP9:BP58" si="61">+BL9-BO9</f>
        <v>7107.8370776322772</v>
      </c>
      <c r="BQ9" s="2"/>
      <c r="BR9" s="2">
        <f t="shared" si="9"/>
        <v>7107.8370776322772</v>
      </c>
      <c r="BS9" s="2">
        <f t="shared" ref="BS9:BS58" si="62">+BR9*AK9</f>
        <v>670.15790563057044</v>
      </c>
      <c r="BT9" s="2">
        <f t="shared" ref="BT9:BT58" si="63">+BP9-BS9</f>
        <v>6437.6791720017063</v>
      </c>
      <c r="BU9" s="2">
        <f t="shared" si="10"/>
        <v>606.97249302559294</v>
      </c>
      <c r="BV9" s="2">
        <f t="shared" ref="BV9:BV58" si="64">+BT9-BU9</f>
        <v>5830.7066789761138</v>
      </c>
      <c r="BW9" s="2">
        <f t="shared" si="11"/>
        <v>549.74447692749504</v>
      </c>
      <c r="BX9" s="2">
        <f t="shared" ref="BX9:BX58" si="65">+BV9-BW9</f>
        <v>5280.9622020486186</v>
      </c>
      <c r="BY9" s="2">
        <f t="shared" si="12"/>
        <v>497.91216798936892</v>
      </c>
      <c r="BZ9" s="2">
        <f t="shared" ref="BZ9:BZ58" si="66">+BX9-BY9</f>
        <v>4783.0500340592498</v>
      </c>
      <c r="CA9" s="2">
        <f t="shared" si="13"/>
        <v>450.96683538772669</v>
      </c>
      <c r="CB9" s="2">
        <f t="shared" ref="CB9:CB58" si="67">+BZ9-CA9</f>
        <v>4332.083198671523</v>
      </c>
      <c r="CC9" s="2">
        <f t="shared" si="14"/>
        <v>408.44771366174604</v>
      </c>
      <c r="CD9" s="2">
        <f t="shared" ref="CD9:CD58" si="68">+CB9-CC9</f>
        <v>3923.6354850097769</v>
      </c>
      <c r="CE9" s="2">
        <f t="shared" si="15"/>
        <v>369.93748032950816</v>
      </c>
      <c r="CF9" s="2">
        <f t="shared" ref="CF9:CF58" si="69">+CD9-CE9</f>
        <v>3553.6980046802687</v>
      </c>
      <c r="CG9" s="2">
        <f t="shared" si="16"/>
        <v>335.05815989431636</v>
      </c>
      <c r="CH9" s="2">
        <f t="shared" ref="CH9:CH58" si="70">+CF9-CG9</f>
        <v>3218.6398447859524</v>
      </c>
      <c r="CI9" s="2">
        <f t="shared" si="17"/>
        <v>303.46741403917838</v>
      </c>
      <c r="CJ9" s="2">
        <f t="shared" ref="CJ9:CJ58" si="71">+CH9-CI9</f>
        <v>2915.1724307467739</v>
      </c>
      <c r="CK9" s="2">
        <f t="shared" si="18"/>
        <v>274.85518159794651</v>
      </c>
      <c r="CL9" s="2">
        <f t="shared" ref="CL9:CL58" si="72">+CJ9-CK9</f>
        <v>2640.3172491488276</v>
      </c>
      <c r="CM9" s="2">
        <f t="shared" si="19"/>
        <v>248.94063532464503</v>
      </c>
      <c r="CN9" s="2">
        <f t="shared" ref="CN9:CN58" si="73">+CL9-CM9</f>
        <v>2391.3766138241826</v>
      </c>
      <c r="CO9" s="2">
        <f t="shared" si="20"/>
        <v>225.4694255918692</v>
      </c>
      <c r="CP9" s="2">
        <f t="shared" ref="CP9:CP58" si="74">+CN9-CO9</f>
        <v>2165.9071882323133</v>
      </c>
      <c r="CQ9" s="2">
        <f t="shared" si="21"/>
        <v>204.21118396533086</v>
      </c>
      <c r="CR9" s="2">
        <f t="shared" ref="CR9:CR58" si="75">+CP9-CQ9</f>
        <v>1961.6960042669825</v>
      </c>
      <c r="CS9" s="2">
        <f t="shared" si="22"/>
        <v>184.95726215229277</v>
      </c>
      <c r="CT9" s="2">
        <f t="shared" ref="CT9:CT58" si="76">+CR9-CS9</f>
        <v>1776.7387421146898</v>
      </c>
      <c r="CU9" s="2">
        <f t="shared" si="23"/>
        <v>167.51868413181361</v>
      </c>
      <c r="CV9" s="2">
        <f t="shared" ref="CV9:CV58" si="77">+CT9-CU9</f>
        <v>1609.2200579828761</v>
      </c>
      <c r="CW9" s="2">
        <f t="shared" si="24"/>
        <v>151.7242913670934</v>
      </c>
      <c r="CX9" s="2">
        <f t="shared" ref="CX9:CX58" si="78">+CV9-CW9</f>
        <v>1457.4957666157827</v>
      </c>
      <c r="CY9" s="2">
        <f t="shared" si="25"/>
        <v>137.41906289529442</v>
      </c>
      <c r="CZ9" s="2">
        <f t="shared" ref="CZ9:CZ58" si="79">+CX9-CY9</f>
        <v>1320.0767037204882</v>
      </c>
      <c r="DA9" s="2">
        <f t="shared" ref="DA9:DA56" si="80">+CZ9*AK9</f>
        <v>124.46259380662708</v>
      </c>
      <c r="DB9" s="2">
        <f>+CZ9-DA9</f>
        <v>1195.6141099138611</v>
      </c>
      <c r="DC9" s="2">
        <f t="shared" ref="DC9:DC18" si="81">+DB9-E9*5%</f>
        <v>20.614109913861057</v>
      </c>
      <c r="DD9" s="2">
        <f>+DB9-DC9</f>
        <v>1175</v>
      </c>
      <c r="DE9" s="2">
        <v>0</v>
      </c>
      <c r="DF9" s="2">
        <f>+DD9-DE9</f>
        <v>1175</v>
      </c>
      <c r="DG9" s="2">
        <v>0</v>
      </c>
      <c r="DH9" s="2">
        <f>+DF9-DG9</f>
        <v>1175</v>
      </c>
      <c r="DI9" s="2"/>
      <c r="DJ9" s="2">
        <f t="shared" ref="DJ9:DJ58" si="82">+DH9-DI9</f>
        <v>1175</v>
      </c>
      <c r="DK9" s="2"/>
      <c r="DL9" s="2">
        <f t="shared" ref="DL9:DL58" si="83">+DJ9-DK9</f>
        <v>1175</v>
      </c>
      <c r="DM9" s="2"/>
      <c r="DN9" s="2">
        <f t="shared" ref="DN9:DN58" si="84">+DL9-DM9</f>
        <v>1175</v>
      </c>
      <c r="DO9" s="2"/>
      <c r="DP9" s="2">
        <f t="shared" ref="DP9:DP58" si="85">+DN9-DO9</f>
        <v>1175</v>
      </c>
      <c r="DQ9" s="2"/>
      <c r="DR9" s="2">
        <f t="shared" ref="DR9:DR58" si="86">+DP9-DQ9</f>
        <v>1175</v>
      </c>
      <c r="DS9" s="2"/>
      <c r="DT9" s="2">
        <f t="shared" si="26"/>
        <v>1175</v>
      </c>
      <c r="DU9" s="2"/>
      <c r="DV9" s="2"/>
      <c r="DW9" s="266">
        <f t="shared" si="27"/>
        <v>1175</v>
      </c>
      <c r="DX9" s="441">
        <f t="shared" ref="DX9:DX56" si="87">+DW9-DR9</f>
        <v>0</v>
      </c>
    </row>
    <row r="10" spans="1:128">
      <c r="A10" s="433">
        <f t="shared" si="28"/>
        <v>3</v>
      </c>
      <c r="B10" s="433" t="s">
        <v>493</v>
      </c>
      <c r="C10" s="434" t="s">
        <v>494</v>
      </c>
      <c r="D10" s="435">
        <v>0.1</v>
      </c>
      <c r="E10" s="442">
        <v>5500</v>
      </c>
      <c r="F10" s="437" t="s">
        <v>1001</v>
      </c>
      <c r="G10" s="438">
        <v>40033</v>
      </c>
      <c r="H10" s="438"/>
      <c r="I10" s="438"/>
      <c r="J10" s="438"/>
      <c r="K10" s="438"/>
      <c r="L10" s="438"/>
      <c r="M10" s="439"/>
      <c r="N10" s="439"/>
      <c r="O10" s="439"/>
      <c r="P10" s="433">
        <f>IF(($P$6-G10+1)&gt;365,365,($P$6-G10+1))+1</f>
        <v>237</v>
      </c>
      <c r="Q10" s="436">
        <f t="shared" si="29"/>
        <v>357</v>
      </c>
      <c r="R10" s="436">
        <f t="shared" si="30"/>
        <v>5143</v>
      </c>
      <c r="S10" s="433">
        <f t="shared" si="31"/>
        <v>365</v>
      </c>
      <c r="T10" s="436">
        <f t="shared" si="0"/>
        <v>715</v>
      </c>
      <c r="U10" s="436">
        <f t="shared" si="32"/>
        <v>4428</v>
      </c>
      <c r="V10" s="433">
        <f t="shared" si="33"/>
        <v>365</v>
      </c>
      <c r="W10" s="436">
        <f>186694/(U59+825639)*U10</f>
        <v>242.48996651643304</v>
      </c>
      <c r="X10" s="436">
        <f t="shared" si="34"/>
        <v>4185.510033483567</v>
      </c>
      <c r="Y10" s="433">
        <f t="shared" si="35"/>
        <v>365</v>
      </c>
      <c r="Z10" s="436">
        <f t="shared" ref="Z10:Z56" si="88">ROUND(IF(X10&gt;0,X10*$D10/365*Y10,($E10*$D10*Y10/365)),0)</f>
        <v>419</v>
      </c>
      <c r="AA10" s="436">
        <f t="shared" ref="AA10:AA56" si="89">IF((X10-Z10)&gt;0,X10-Z10,$E10-Z10)</f>
        <v>3766.510033483567</v>
      </c>
      <c r="AB10" s="433">
        <f t="shared" si="36"/>
        <v>365</v>
      </c>
      <c r="AC10" s="436">
        <f t="shared" si="37"/>
        <v>377</v>
      </c>
      <c r="AD10" s="436">
        <f t="shared" si="38"/>
        <v>3389.510033483567</v>
      </c>
      <c r="AE10" s="436">
        <f t="shared" si="39"/>
        <v>2110.489966516433</v>
      </c>
      <c r="AF10" s="436">
        <f t="shared" si="40"/>
        <v>3389.510033483567</v>
      </c>
      <c r="AG10" s="436">
        <f t="shared" si="1"/>
        <v>0</v>
      </c>
      <c r="AH10" s="436">
        <f t="shared" si="41"/>
        <v>4.6493150684931503</v>
      </c>
      <c r="AI10" s="439">
        <v>30</v>
      </c>
      <c r="AJ10" s="436">
        <f t="shared" si="2"/>
        <v>25.350684931506848</v>
      </c>
      <c r="AK10" s="440">
        <f t="shared" si="42"/>
        <v>9.4327022491623502E-2</v>
      </c>
      <c r="AL10" s="2">
        <f t="shared" si="43"/>
        <v>0</v>
      </c>
      <c r="AM10" s="433">
        <f t="shared" si="44"/>
        <v>365</v>
      </c>
      <c r="AN10" s="436">
        <f t="shared" ref="AN10:AN56" si="90">ROUND(IF(AF10&gt;0,AF10*$D10/365*AM10,($E10*$D10*AM10/365)),0)</f>
        <v>339</v>
      </c>
      <c r="AO10" s="436">
        <f t="shared" si="45"/>
        <v>320</v>
      </c>
      <c r="AP10" s="436">
        <f t="shared" si="46"/>
        <v>3070</v>
      </c>
      <c r="AQ10" s="436">
        <f t="shared" ref="AQ10:AQ56" si="91">AF10-AO10-AL10</f>
        <v>3069.510033483567</v>
      </c>
      <c r="AR10" s="436">
        <f t="shared" ref="AR10:AR56" si="92">$AF10-($AL10+$AO10+$AP10)</f>
        <v>-0.48996651643301448</v>
      </c>
      <c r="AS10" s="436">
        <f t="shared" ref="AS10:AS56" si="93">AO10-AN10</f>
        <v>-19</v>
      </c>
      <c r="AT10" s="2">
        <f t="shared" ref="AT10:AT56" si="94">AF10-AN10</f>
        <v>3050.510033483567</v>
      </c>
      <c r="AU10" s="2">
        <f t="shared" si="3"/>
        <v>3069.510033483567</v>
      </c>
      <c r="AV10" s="2">
        <f t="shared" si="4"/>
        <v>0</v>
      </c>
      <c r="AW10" s="433">
        <f t="shared" si="47"/>
        <v>365</v>
      </c>
      <c r="AX10" s="2">
        <f t="shared" si="48"/>
        <v>289.53774196666842</v>
      </c>
      <c r="AY10" s="2">
        <f t="shared" si="49"/>
        <v>2779.9722915168986</v>
      </c>
      <c r="AZ10" s="433">
        <f t="shared" si="50"/>
        <v>365</v>
      </c>
      <c r="BA10" s="2">
        <f t="shared" si="51"/>
        <v>262.2265088680046</v>
      </c>
      <c r="BB10" s="2">
        <f t="shared" si="52"/>
        <v>2517.745782648894</v>
      </c>
      <c r="BC10" s="2">
        <f t="shared" si="53"/>
        <v>21900</v>
      </c>
      <c r="BD10" s="433">
        <f t="shared" si="54"/>
        <v>2792</v>
      </c>
      <c r="BE10" s="439">
        <f t="shared" si="55"/>
        <v>19108</v>
      </c>
      <c r="BF10" s="433">
        <f t="shared" si="56"/>
        <v>365</v>
      </c>
      <c r="BG10" s="2">
        <f t="shared" si="57"/>
        <v>237.49146306811244</v>
      </c>
      <c r="BH10" s="2">
        <f t="shared" si="58"/>
        <v>2280.2543195807816</v>
      </c>
      <c r="BI10" s="2">
        <f t="shared" si="5"/>
        <v>215.08960048971804</v>
      </c>
      <c r="BJ10" s="2">
        <f t="shared" si="6"/>
        <v>2065.1647190910635</v>
      </c>
      <c r="BK10" s="2">
        <f t="shared" si="59"/>
        <v>194.8</v>
      </c>
      <c r="BL10" s="2">
        <f t="shared" si="7"/>
        <v>1870.3647190910635</v>
      </c>
      <c r="BM10" s="2"/>
      <c r="BN10" s="2">
        <f t="shared" si="60"/>
        <v>1870.3647190910635</v>
      </c>
      <c r="BO10" s="2">
        <f t="shared" si="8"/>
        <v>176.42593492524182</v>
      </c>
      <c r="BP10" s="2">
        <f t="shared" si="61"/>
        <v>1693.9387841658217</v>
      </c>
      <c r="BQ10" s="2"/>
      <c r="BR10" s="2">
        <f t="shared" si="9"/>
        <v>1693.9387841658217</v>
      </c>
      <c r="BS10" s="2">
        <f t="shared" si="62"/>
        <v>159.78420179344283</v>
      </c>
      <c r="BT10" s="2">
        <f t="shared" si="63"/>
        <v>1534.1545823723789</v>
      </c>
      <c r="BU10" s="2">
        <f t="shared" si="10"/>
        <v>144.71223379706663</v>
      </c>
      <c r="BV10" s="2">
        <f t="shared" si="64"/>
        <v>1389.4423485753123</v>
      </c>
      <c r="BW10" s="2">
        <f t="shared" si="11"/>
        <v>131.06195966487766</v>
      </c>
      <c r="BX10" s="2">
        <f t="shared" si="65"/>
        <v>1258.3803889104347</v>
      </c>
      <c r="BY10" s="2">
        <f t="shared" si="12"/>
        <v>118.6992752477725</v>
      </c>
      <c r="BZ10" s="2">
        <f t="shared" si="66"/>
        <v>1139.6811136626623</v>
      </c>
      <c r="CA10" s="2">
        <f t="shared" si="13"/>
        <v>107.50272604173647</v>
      </c>
      <c r="CB10" s="2">
        <f t="shared" si="67"/>
        <v>1032.1783876209258</v>
      </c>
      <c r="CC10" s="2">
        <f t="shared" si="14"/>
        <v>97.362313984486747</v>
      </c>
      <c r="CD10" s="2">
        <f t="shared" si="68"/>
        <v>934.81607363643911</v>
      </c>
      <c r="CE10" s="2">
        <f t="shared" si="15"/>
        <v>88.178416803435567</v>
      </c>
      <c r="CF10" s="2">
        <f t="shared" si="69"/>
        <v>846.63765683300358</v>
      </c>
      <c r="CG10" s="2">
        <f t="shared" si="16"/>
        <v>79.860809298342147</v>
      </c>
      <c r="CH10" s="2">
        <f t="shared" si="70"/>
        <v>766.77684753466144</v>
      </c>
      <c r="CI10" s="2">
        <f t="shared" si="17"/>
        <v>72.327776943458176</v>
      </c>
      <c r="CJ10" s="2">
        <f t="shared" si="71"/>
        <v>694.44907059120328</v>
      </c>
      <c r="CK10" s="2">
        <f t="shared" si="18"/>
        <v>65.505313100943468</v>
      </c>
      <c r="CL10" s="2">
        <f t="shared" si="72"/>
        <v>628.94375749025983</v>
      </c>
      <c r="CM10" s="2">
        <f t="shared" si="19"/>
        <v>59.326391958749937</v>
      </c>
      <c r="CN10" s="2">
        <f t="shared" si="73"/>
        <v>569.6173655315099</v>
      </c>
      <c r="CO10" s="2">
        <f t="shared" si="20"/>
        <v>53.730310050110063</v>
      </c>
      <c r="CP10" s="2">
        <f t="shared" si="74"/>
        <v>515.88705548139978</v>
      </c>
      <c r="CQ10" s="2">
        <f t="shared" si="21"/>
        <v>48.662089885531422</v>
      </c>
      <c r="CR10" s="2">
        <f t="shared" si="75"/>
        <v>467.22496559586835</v>
      </c>
      <c r="CS10" s="2">
        <f t="shared" si="22"/>
        <v>44.071939838409492</v>
      </c>
      <c r="CT10" s="2">
        <f t="shared" si="76"/>
        <v>423.15302575745886</v>
      </c>
      <c r="CU10" s="2">
        <f t="shared" si="23"/>
        <v>39.914764978022362</v>
      </c>
      <c r="CV10" s="2">
        <f t="shared" si="77"/>
        <v>383.23826077943647</v>
      </c>
      <c r="CW10" s="2">
        <f t="shared" si="24"/>
        <v>36.149724044192574</v>
      </c>
      <c r="CX10" s="2">
        <f t="shared" si="78"/>
        <v>347.08853673524391</v>
      </c>
      <c r="CY10" s="2">
        <f t="shared" si="25"/>
        <v>32.739828211210039</v>
      </c>
      <c r="CZ10" s="2">
        <f t="shared" si="79"/>
        <v>314.3487085240339</v>
      </c>
      <c r="DA10" s="2">
        <f t="shared" si="80"/>
        <v>29.651577699159347</v>
      </c>
      <c r="DB10" s="2">
        <f t="shared" ref="DB10:DB58" si="95">+CZ10-DA10</f>
        <v>284.69713082487453</v>
      </c>
      <c r="DC10" s="2">
        <f t="shared" si="81"/>
        <v>9.6971308248745345</v>
      </c>
      <c r="DD10" s="2">
        <f t="shared" ref="DD10:DD58" si="96">+DB10-DC10</f>
        <v>275</v>
      </c>
      <c r="DE10" s="2">
        <v>0</v>
      </c>
      <c r="DF10" s="2">
        <f t="shared" ref="DF10:DF58" si="97">+DD10-DE10</f>
        <v>275</v>
      </c>
      <c r="DG10" s="2">
        <v>0</v>
      </c>
      <c r="DH10" s="2">
        <f t="shared" ref="DH10:DH58" si="98">+DF10-DG10</f>
        <v>275</v>
      </c>
      <c r="DI10" s="2"/>
      <c r="DJ10" s="2">
        <f t="shared" si="82"/>
        <v>275</v>
      </c>
      <c r="DK10" s="2"/>
      <c r="DL10" s="2">
        <f t="shared" si="83"/>
        <v>275</v>
      </c>
      <c r="DM10" s="2"/>
      <c r="DN10" s="2">
        <f t="shared" si="84"/>
        <v>275</v>
      </c>
      <c r="DO10" s="2"/>
      <c r="DP10" s="2">
        <f t="shared" si="85"/>
        <v>275</v>
      </c>
      <c r="DQ10" s="2"/>
      <c r="DR10" s="2">
        <f t="shared" si="86"/>
        <v>275</v>
      </c>
      <c r="DS10" s="2"/>
      <c r="DT10" s="2">
        <f t="shared" si="26"/>
        <v>275</v>
      </c>
      <c r="DU10" s="2"/>
      <c r="DV10" s="2"/>
      <c r="DW10" s="266">
        <f t="shared" si="27"/>
        <v>275</v>
      </c>
      <c r="DX10" s="441">
        <f t="shared" si="87"/>
        <v>0</v>
      </c>
    </row>
    <row r="11" spans="1:128">
      <c r="A11" s="433">
        <f t="shared" si="28"/>
        <v>4</v>
      </c>
      <c r="B11" s="433" t="s">
        <v>493</v>
      </c>
      <c r="C11" s="434" t="s">
        <v>494</v>
      </c>
      <c r="D11" s="435">
        <v>0.1</v>
      </c>
      <c r="E11" s="442">
        <v>37400</v>
      </c>
      <c r="F11" s="437" t="s">
        <v>1001</v>
      </c>
      <c r="G11" s="438">
        <v>40039</v>
      </c>
      <c r="H11" s="438"/>
      <c r="I11" s="438"/>
      <c r="J11" s="438"/>
      <c r="K11" s="438"/>
      <c r="L11" s="438"/>
      <c r="M11" s="439"/>
      <c r="N11" s="439"/>
      <c r="O11" s="439"/>
      <c r="P11" s="433">
        <f>IF(($P$6-G11+1)&gt;365,365,($P$6-G11+1))+1</f>
        <v>231</v>
      </c>
      <c r="Q11" s="436">
        <f t="shared" si="29"/>
        <v>2367</v>
      </c>
      <c r="R11" s="436">
        <f t="shared" si="30"/>
        <v>35033</v>
      </c>
      <c r="S11" s="433">
        <f t="shared" si="31"/>
        <v>365</v>
      </c>
      <c r="T11" s="436">
        <f t="shared" si="0"/>
        <v>4873</v>
      </c>
      <c r="U11" s="436">
        <f t="shared" si="32"/>
        <v>30160</v>
      </c>
      <c r="V11" s="433">
        <f t="shared" si="33"/>
        <v>365</v>
      </c>
      <c r="W11" s="436">
        <f>186694/(U59+825639)*U11</f>
        <v>1651.6480104190653</v>
      </c>
      <c r="X11" s="436">
        <f t="shared" si="34"/>
        <v>28508.351989580933</v>
      </c>
      <c r="Y11" s="433">
        <f t="shared" si="35"/>
        <v>365</v>
      </c>
      <c r="Z11" s="436">
        <f t="shared" si="88"/>
        <v>2851</v>
      </c>
      <c r="AA11" s="436">
        <f t="shared" si="89"/>
        <v>25657.351989580933</v>
      </c>
      <c r="AB11" s="433">
        <f t="shared" si="36"/>
        <v>365</v>
      </c>
      <c r="AC11" s="436">
        <f t="shared" si="37"/>
        <v>2566</v>
      </c>
      <c r="AD11" s="436">
        <f t="shared" si="38"/>
        <v>23091.351989580933</v>
      </c>
      <c r="AE11" s="436">
        <f t="shared" si="39"/>
        <v>14308.648010419065</v>
      </c>
      <c r="AF11" s="436">
        <f t="shared" si="40"/>
        <v>23091.351989580937</v>
      </c>
      <c r="AG11" s="436">
        <f t="shared" si="1"/>
        <v>0</v>
      </c>
      <c r="AH11" s="436">
        <f t="shared" si="41"/>
        <v>4.6328767123287671</v>
      </c>
      <c r="AI11" s="439">
        <v>30</v>
      </c>
      <c r="AJ11" s="436">
        <f t="shared" si="2"/>
        <v>25.367123287671234</v>
      </c>
      <c r="AK11" s="440">
        <f t="shared" si="42"/>
        <v>9.4334931360610441E-2</v>
      </c>
      <c r="AL11" s="2">
        <f t="shared" si="43"/>
        <v>0</v>
      </c>
      <c r="AM11" s="433">
        <f t="shared" si="44"/>
        <v>365</v>
      </c>
      <c r="AN11" s="436">
        <f t="shared" si="90"/>
        <v>2309</v>
      </c>
      <c r="AO11" s="436">
        <f t="shared" si="45"/>
        <v>2178</v>
      </c>
      <c r="AP11" s="436">
        <f t="shared" si="46"/>
        <v>20913</v>
      </c>
      <c r="AQ11" s="436">
        <f t="shared" si="91"/>
        <v>20913.351989580937</v>
      </c>
      <c r="AR11" s="436">
        <f t="shared" si="92"/>
        <v>0.35198958093678812</v>
      </c>
      <c r="AS11" s="436">
        <f t="shared" si="93"/>
        <v>-131</v>
      </c>
      <c r="AT11" s="2">
        <f t="shared" si="94"/>
        <v>20782.351989580937</v>
      </c>
      <c r="AU11" s="2">
        <f t="shared" si="3"/>
        <v>20913.351989580937</v>
      </c>
      <c r="AV11" s="2">
        <f t="shared" si="4"/>
        <v>0</v>
      </c>
      <c r="AW11" s="433">
        <f t="shared" si="47"/>
        <v>365</v>
      </c>
      <c r="AX11" s="2">
        <f t="shared" si="48"/>
        <v>1972.8596244574035</v>
      </c>
      <c r="AY11" s="2">
        <f t="shared" si="49"/>
        <v>18940.492365123533</v>
      </c>
      <c r="AZ11" s="433">
        <f t="shared" si="50"/>
        <v>365</v>
      </c>
      <c r="BA11" s="2">
        <f t="shared" si="51"/>
        <v>1786.7500472000945</v>
      </c>
      <c r="BB11" s="2">
        <f t="shared" si="52"/>
        <v>17153.742317923439</v>
      </c>
      <c r="BC11" s="2">
        <f t="shared" si="53"/>
        <v>21900</v>
      </c>
      <c r="BD11" s="433">
        <f t="shared" si="54"/>
        <v>2786</v>
      </c>
      <c r="BE11" s="439">
        <f t="shared" si="55"/>
        <v>19114</v>
      </c>
      <c r="BF11" s="433">
        <f t="shared" si="56"/>
        <v>365</v>
      </c>
      <c r="BG11" s="2">
        <f t="shared" si="57"/>
        <v>1618.1971041389063</v>
      </c>
      <c r="BH11" s="2">
        <f t="shared" si="58"/>
        <v>15535.545213784533</v>
      </c>
      <c r="BI11" s="2">
        <f t="shared" si="5"/>
        <v>1465.5445913920239</v>
      </c>
      <c r="BJ11" s="2">
        <f t="shared" si="6"/>
        <v>14070.000622392508</v>
      </c>
      <c r="BK11" s="2">
        <f t="shared" si="59"/>
        <v>1327.29</v>
      </c>
      <c r="BL11" s="2">
        <f t="shared" si="7"/>
        <v>12742.710622392508</v>
      </c>
      <c r="BM11" s="2"/>
      <c r="BN11" s="2">
        <f t="shared" si="60"/>
        <v>12742.710622392508</v>
      </c>
      <c r="BO11" s="2">
        <f t="shared" si="8"/>
        <v>1202.0827319115187</v>
      </c>
      <c r="BP11" s="2">
        <f t="shared" si="61"/>
        <v>11540.627890480988</v>
      </c>
      <c r="BQ11" s="2"/>
      <c r="BR11" s="2">
        <f t="shared" si="9"/>
        <v>11540.627890480988</v>
      </c>
      <c r="BS11" s="2">
        <f t="shared" si="62"/>
        <v>1088.6843399068705</v>
      </c>
      <c r="BT11" s="2">
        <f t="shared" si="63"/>
        <v>10451.943550574117</v>
      </c>
      <c r="BU11" s="2">
        <f t="shared" si="10"/>
        <v>985.9833774283843</v>
      </c>
      <c r="BV11" s="2">
        <f t="shared" si="64"/>
        <v>9465.9601731457333</v>
      </c>
      <c r="BW11" s="2">
        <f t="shared" si="11"/>
        <v>892.97070319597492</v>
      </c>
      <c r="BX11" s="2">
        <f t="shared" si="65"/>
        <v>8572.9894699497581</v>
      </c>
      <c r="BY11" s="2">
        <f t="shared" si="12"/>
        <v>808.73237320294652</v>
      </c>
      <c r="BZ11" s="2">
        <f t="shared" si="66"/>
        <v>7764.2570967468118</v>
      </c>
      <c r="CA11" s="2">
        <f t="shared" si="13"/>
        <v>732.44066028774296</v>
      </c>
      <c r="CB11" s="2">
        <f t="shared" si="67"/>
        <v>7031.8164364590684</v>
      </c>
      <c r="CC11" s="2">
        <f t="shared" si="14"/>
        <v>663.34592087377848</v>
      </c>
      <c r="CD11" s="2">
        <f t="shared" si="68"/>
        <v>6368.4705155852898</v>
      </c>
      <c r="CE11" s="2">
        <f t="shared" si="15"/>
        <v>600.76922895980965</v>
      </c>
      <c r="CF11" s="2">
        <f t="shared" si="69"/>
        <v>5767.70128662548</v>
      </c>
      <c r="CG11" s="2">
        <f t="shared" si="16"/>
        <v>544.09570498231915</v>
      </c>
      <c r="CH11" s="2">
        <f t="shared" si="70"/>
        <v>5223.6055816431608</v>
      </c>
      <c r="CI11" s="2">
        <f t="shared" si="17"/>
        <v>492.76847399920916</v>
      </c>
      <c r="CJ11" s="2">
        <f t="shared" si="71"/>
        <v>4730.8371076439516</v>
      </c>
      <c r="CK11" s="2">
        <f t="shared" si="18"/>
        <v>446.28319382782098</v>
      </c>
      <c r="CL11" s="2">
        <f t="shared" si="72"/>
        <v>4284.5539138161303</v>
      </c>
      <c r="CM11" s="2">
        <f t="shared" si="19"/>
        <v>404.18309937067949</v>
      </c>
      <c r="CN11" s="2">
        <f t="shared" si="73"/>
        <v>3880.3708144454508</v>
      </c>
      <c r="CO11" s="2">
        <f t="shared" si="20"/>
        <v>366.05451443442763</v>
      </c>
      <c r="CP11" s="2">
        <f t="shared" si="74"/>
        <v>3514.316300011023</v>
      </c>
      <c r="CQ11" s="2">
        <f t="shared" si="21"/>
        <v>331.52278694101432</v>
      </c>
      <c r="CR11" s="2">
        <f t="shared" si="75"/>
        <v>3182.7935130700089</v>
      </c>
      <c r="CS11" s="2">
        <f t="shared" si="22"/>
        <v>300.24860759045544</v>
      </c>
      <c r="CT11" s="2">
        <f t="shared" si="76"/>
        <v>2882.5449054795536</v>
      </c>
      <c r="CU11" s="2">
        <f t="shared" si="23"/>
        <v>271.92467580229101</v>
      </c>
      <c r="CV11" s="2">
        <f t="shared" si="77"/>
        <v>2610.6202296772626</v>
      </c>
      <c r="CW11" s="2">
        <f t="shared" si="24"/>
        <v>246.27268017522564</v>
      </c>
      <c r="CX11" s="2">
        <f t="shared" si="78"/>
        <v>2364.3475495020371</v>
      </c>
      <c r="CY11" s="2">
        <f t="shared" si="25"/>
        <v>223.04056379490217</v>
      </c>
      <c r="CZ11" s="2">
        <f t="shared" si="79"/>
        <v>2141.306985707135</v>
      </c>
      <c r="DA11" s="2">
        <f t="shared" si="80"/>
        <v>202.00004751867823</v>
      </c>
      <c r="DB11" s="2">
        <f t="shared" si="95"/>
        <v>1939.3069381884568</v>
      </c>
      <c r="DC11" s="2">
        <f t="shared" si="81"/>
        <v>69.306938188456797</v>
      </c>
      <c r="DD11" s="2">
        <f t="shared" si="96"/>
        <v>1870</v>
      </c>
      <c r="DE11" s="2">
        <v>0</v>
      </c>
      <c r="DF11" s="2">
        <f t="shared" si="97"/>
        <v>1870</v>
      </c>
      <c r="DG11" s="2">
        <v>0</v>
      </c>
      <c r="DH11" s="2">
        <f t="shared" si="98"/>
        <v>1870</v>
      </c>
      <c r="DI11" s="2"/>
      <c r="DJ11" s="2">
        <f t="shared" si="82"/>
        <v>1870</v>
      </c>
      <c r="DK11" s="2"/>
      <c r="DL11" s="2">
        <f t="shared" si="83"/>
        <v>1870</v>
      </c>
      <c r="DM11" s="2"/>
      <c r="DN11" s="2">
        <f t="shared" si="84"/>
        <v>1870</v>
      </c>
      <c r="DO11" s="2"/>
      <c r="DP11" s="2">
        <f t="shared" si="85"/>
        <v>1870</v>
      </c>
      <c r="DQ11" s="2"/>
      <c r="DR11" s="2">
        <f t="shared" si="86"/>
        <v>1870</v>
      </c>
      <c r="DS11" s="2"/>
      <c r="DT11" s="2">
        <f t="shared" si="26"/>
        <v>1870</v>
      </c>
      <c r="DU11" s="2"/>
      <c r="DV11" s="2"/>
      <c r="DW11" s="266">
        <f t="shared" si="27"/>
        <v>1870</v>
      </c>
      <c r="DX11" s="441">
        <f t="shared" si="87"/>
        <v>0</v>
      </c>
    </row>
    <row r="12" spans="1:128">
      <c r="A12" s="433">
        <f t="shared" si="28"/>
        <v>5</v>
      </c>
      <c r="B12" s="433" t="s">
        <v>493</v>
      </c>
      <c r="C12" s="434" t="s">
        <v>494</v>
      </c>
      <c r="D12" s="435">
        <v>0.1</v>
      </c>
      <c r="E12" s="442">
        <v>50000</v>
      </c>
      <c r="F12" s="437" t="s">
        <v>1001</v>
      </c>
      <c r="G12" s="438">
        <v>40052</v>
      </c>
      <c r="H12" s="438"/>
      <c r="I12" s="438"/>
      <c r="J12" s="438"/>
      <c r="K12" s="438"/>
      <c r="L12" s="438"/>
      <c r="M12" s="439"/>
      <c r="N12" s="439"/>
      <c r="O12" s="439"/>
      <c r="P12" s="433">
        <f>IF(($P$6-G12+1)&gt;365,365,($P$6-G12+1))+1</f>
        <v>218</v>
      </c>
      <c r="Q12" s="436">
        <f t="shared" si="29"/>
        <v>2986</v>
      </c>
      <c r="R12" s="436">
        <f t="shared" si="30"/>
        <v>47014</v>
      </c>
      <c r="S12" s="433">
        <f t="shared" si="31"/>
        <v>365</v>
      </c>
      <c r="T12" s="436">
        <f t="shared" si="0"/>
        <v>6540</v>
      </c>
      <c r="U12" s="436">
        <f t="shared" si="32"/>
        <v>40474</v>
      </c>
      <c r="V12" s="433">
        <f t="shared" si="33"/>
        <v>365</v>
      </c>
      <c r="W12" s="436">
        <f>186694/(U59+825639)*U12</f>
        <v>2216.4722007195373</v>
      </c>
      <c r="X12" s="436">
        <f t="shared" si="34"/>
        <v>38257.527799280462</v>
      </c>
      <c r="Y12" s="433">
        <f t="shared" si="35"/>
        <v>365</v>
      </c>
      <c r="Z12" s="436">
        <f t="shared" si="88"/>
        <v>3826</v>
      </c>
      <c r="AA12" s="436">
        <f t="shared" si="89"/>
        <v>34431.527799280462</v>
      </c>
      <c r="AB12" s="433">
        <f t="shared" si="36"/>
        <v>365</v>
      </c>
      <c r="AC12" s="436">
        <f t="shared" si="37"/>
        <v>3443</v>
      </c>
      <c r="AD12" s="436">
        <f t="shared" si="38"/>
        <v>30988.527799280462</v>
      </c>
      <c r="AE12" s="436">
        <f t="shared" si="39"/>
        <v>19011.472200719538</v>
      </c>
      <c r="AF12" s="436">
        <f t="shared" si="40"/>
        <v>30988.527799280462</v>
      </c>
      <c r="AG12" s="436">
        <f t="shared" si="1"/>
        <v>0</v>
      </c>
      <c r="AH12" s="436">
        <f t="shared" si="41"/>
        <v>4.5972602739726032</v>
      </c>
      <c r="AI12" s="439">
        <v>30</v>
      </c>
      <c r="AJ12" s="436">
        <f t="shared" si="2"/>
        <v>25.402739726027399</v>
      </c>
      <c r="AK12" s="440">
        <f t="shared" si="42"/>
        <v>9.4344825121300269E-2</v>
      </c>
      <c r="AL12" s="2">
        <f t="shared" si="43"/>
        <v>0</v>
      </c>
      <c r="AM12" s="433">
        <f t="shared" si="44"/>
        <v>365</v>
      </c>
      <c r="AN12" s="436">
        <f t="shared" si="90"/>
        <v>3099</v>
      </c>
      <c r="AO12" s="436">
        <f t="shared" si="45"/>
        <v>2924</v>
      </c>
      <c r="AP12" s="436">
        <f t="shared" si="46"/>
        <v>28065</v>
      </c>
      <c r="AQ12" s="436">
        <f t="shared" si="91"/>
        <v>28064.527799280462</v>
      </c>
      <c r="AR12" s="436">
        <f t="shared" si="92"/>
        <v>-0.47220071953779552</v>
      </c>
      <c r="AS12" s="436">
        <f t="shared" si="93"/>
        <v>-175</v>
      </c>
      <c r="AT12" s="2">
        <f t="shared" si="94"/>
        <v>27889.527799280462</v>
      </c>
      <c r="AU12" s="2">
        <f t="shared" si="3"/>
        <v>28064.527799280462</v>
      </c>
      <c r="AV12" s="2">
        <f t="shared" si="4"/>
        <v>0</v>
      </c>
      <c r="AW12" s="433">
        <f t="shared" si="47"/>
        <v>365</v>
      </c>
      <c r="AX12" s="2">
        <f t="shared" si="48"/>
        <v>2647.7429673349852</v>
      </c>
      <c r="AY12" s="2">
        <f t="shared" si="49"/>
        <v>25416.784831945479</v>
      </c>
      <c r="AZ12" s="433">
        <f t="shared" si="50"/>
        <v>365</v>
      </c>
      <c r="BA12" s="2">
        <f t="shared" si="51"/>
        <v>2397.9421201156133</v>
      </c>
      <c r="BB12" s="2">
        <f t="shared" si="52"/>
        <v>23018.842711829864</v>
      </c>
      <c r="BC12" s="2">
        <f t="shared" si="53"/>
        <v>21900</v>
      </c>
      <c r="BD12" s="433">
        <f t="shared" si="54"/>
        <v>2773</v>
      </c>
      <c r="BE12" s="439">
        <f t="shared" si="55"/>
        <v>19127</v>
      </c>
      <c r="BF12" s="433">
        <f t="shared" si="56"/>
        <v>365</v>
      </c>
      <c r="BG12" s="2">
        <f t="shared" si="57"/>
        <v>2171.7086901423058</v>
      </c>
      <c r="BH12" s="2">
        <f t="shared" si="58"/>
        <v>20847.134021687558</v>
      </c>
      <c r="BI12" s="2">
        <f t="shared" si="5"/>
        <v>1966.8192135564218</v>
      </c>
      <c r="BJ12" s="2">
        <f t="shared" si="6"/>
        <v>18880.314808131137</v>
      </c>
      <c r="BK12" s="2">
        <f t="shared" si="59"/>
        <v>1781.26</v>
      </c>
      <c r="BL12" s="2">
        <f t="shared" si="7"/>
        <v>17099.054808131139</v>
      </c>
      <c r="BM12" s="2"/>
      <c r="BN12" s="2">
        <f t="shared" si="60"/>
        <v>17099.054808131139</v>
      </c>
      <c r="BO12" s="2">
        <f t="shared" si="8"/>
        <v>1613.2073356126609</v>
      </c>
      <c r="BP12" s="2">
        <f t="shared" si="61"/>
        <v>15485.847472518479</v>
      </c>
      <c r="BQ12" s="2"/>
      <c r="BR12" s="2">
        <f t="shared" si="9"/>
        <v>15485.847472518479</v>
      </c>
      <c r="BS12" s="2">
        <f t="shared" si="62"/>
        <v>1461.0095716498856</v>
      </c>
      <c r="BT12" s="2">
        <f t="shared" si="63"/>
        <v>14024.837900868593</v>
      </c>
      <c r="BU12" s="2">
        <f t="shared" si="10"/>
        <v>1323.1708791120313</v>
      </c>
      <c r="BV12" s="2">
        <f t="shared" si="64"/>
        <v>12701.667021756562</v>
      </c>
      <c r="BW12" s="2">
        <f t="shared" si="11"/>
        <v>1198.3365539166098</v>
      </c>
      <c r="BX12" s="2">
        <f t="shared" si="65"/>
        <v>11503.330467839953</v>
      </c>
      <c r="BY12" s="2">
        <f t="shared" si="12"/>
        <v>1085.2797013008856</v>
      </c>
      <c r="BZ12" s="2">
        <f t="shared" si="66"/>
        <v>10418.050766539067</v>
      </c>
      <c r="CA12" s="2">
        <f t="shared" si="13"/>
        <v>982.88917767395651</v>
      </c>
      <c r="CB12" s="2">
        <f t="shared" si="67"/>
        <v>9435.1615888651104</v>
      </c>
      <c r="CC12" s="2">
        <f t="shared" si="14"/>
        <v>890.15867009268845</v>
      </c>
      <c r="CD12" s="2">
        <f t="shared" si="68"/>
        <v>8545.0029187724213</v>
      </c>
      <c r="CE12" s="2">
        <f t="shared" si="15"/>
        <v>806.17680603258441</v>
      </c>
      <c r="CF12" s="2">
        <f t="shared" si="69"/>
        <v>7738.8261127398364</v>
      </c>
      <c r="CG12" s="2">
        <f t="shared" si="16"/>
        <v>730.11819625059184</v>
      </c>
      <c r="CH12" s="2">
        <f t="shared" si="70"/>
        <v>7008.7079164892448</v>
      </c>
      <c r="CI12" s="2">
        <f t="shared" si="17"/>
        <v>661.23532270745056</v>
      </c>
      <c r="CJ12" s="2">
        <f t="shared" si="71"/>
        <v>6347.4725937817939</v>
      </c>
      <c r="CK12" s="2">
        <f t="shared" si="18"/>
        <v>598.85119182258961</v>
      </c>
      <c r="CL12" s="2">
        <f t="shared" si="72"/>
        <v>5748.6214019592044</v>
      </c>
      <c r="CM12" s="2">
        <f t="shared" si="19"/>
        <v>542.35268085640507</v>
      </c>
      <c r="CN12" s="2">
        <f t="shared" si="73"/>
        <v>5206.2687211027996</v>
      </c>
      <c r="CO12" s="2">
        <f t="shared" si="20"/>
        <v>491.18451202693922</v>
      </c>
      <c r="CP12" s="2">
        <f t="shared" si="74"/>
        <v>4715.0842090758606</v>
      </c>
      <c r="CQ12" s="2">
        <f t="shared" si="21"/>
        <v>444.84379513746649</v>
      </c>
      <c r="CR12" s="2">
        <f t="shared" si="75"/>
        <v>4270.2404139383943</v>
      </c>
      <c r="CS12" s="2">
        <f t="shared" si="22"/>
        <v>402.8750850789267</v>
      </c>
      <c r="CT12" s="2">
        <f t="shared" si="76"/>
        <v>3867.3653288594678</v>
      </c>
      <c r="CU12" s="2">
        <f t="shared" si="23"/>
        <v>364.86590563142641</v>
      </c>
      <c r="CV12" s="2">
        <f t="shared" si="77"/>
        <v>3502.4994232280415</v>
      </c>
      <c r="CW12" s="2">
        <f t="shared" si="24"/>
        <v>330.44269557190461</v>
      </c>
      <c r="CX12" s="2">
        <f t="shared" si="78"/>
        <v>3172.0567276561369</v>
      </c>
      <c r="CY12" s="2">
        <f t="shared" si="25"/>
        <v>299.26713724556225</v>
      </c>
      <c r="CZ12" s="2">
        <f t="shared" si="79"/>
        <v>2872.7895904105744</v>
      </c>
      <c r="DA12" s="2">
        <f t="shared" si="80"/>
        <v>271.03283151757745</v>
      </c>
      <c r="DB12" s="2">
        <f t="shared" si="95"/>
        <v>2601.7567588929969</v>
      </c>
      <c r="DC12" s="2">
        <f t="shared" si="81"/>
        <v>101.75675889299691</v>
      </c>
      <c r="DD12" s="2">
        <f t="shared" si="96"/>
        <v>2500</v>
      </c>
      <c r="DE12" s="2">
        <v>0</v>
      </c>
      <c r="DF12" s="2">
        <f t="shared" si="97"/>
        <v>2500</v>
      </c>
      <c r="DG12" s="2">
        <v>0</v>
      </c>
      <c r="DH12" s="2">
        <f t="shared" si="98"/>
        <v>2500</v>
      </c>
      <c r="DI12" s="2"/>
      <c r="DJ12" s="2">
        <f t="shared" si="82"/>
        <v>2500</v>
      </c>
      <c r="DK12" s="2"/>
      <c r="DL12" s="2">
        <f t="shared" si="83"/>
        <v>2500</v>
      </c>
      <c r="DM12" s="2"/>
      <c r="DN12" s="2">
        <f t="shared" si="84"/>
        <v>2500</v>
      </c>
      <c r="DO12" s="2"/>
      <c r="DP12" s="2">
        <f t="shared" si="85"/>
        <v>2500</v>
      </c>
      <c r="DQ12" s="2"/>
      <c r="DR12" s="2">
        <f t="shared" si="86"/>
        <v>2500</v>
      </c>
      <c r="DS12" s="2"/>
      <c r="DT12" s="2">
        <f t="shared" si="26"/>
        <v>2500</v>
      </c>
      <c r="DU12" s="2"/>
      <c r="DV12" s="2"/>
      <c r="DW12" s="266">
        <f t="shared" si="27"/>
        <v>2500</v>
      </c>
      <c r="DX12" s="441">
        <f t="shared" si="87"/>
        <v>0</v>
      </c>
    </row>
    <row r="13" spans="1:128">
      <c r="A13" s="433">
        <f t="shared" si="28"/>
        <v>6</v>
      </c>
      <c r="B13" s="433" t="s">
        <v>493</v>
      </c>
      <c r="C13" s="434" t="s">
        <v>494</v>
      </c>
      <c r="D13" s="435">
        <v>0.1</v>
      </c>
      <c r="E13" s="442">
        <v>40000</v>
      </c>
      <c r="F13" s="437" t="s">
        <v>1001</v>
      </c>
      <c r="G13" s="438">
        <v>40080</v>
      </c>
      <c r="H13" s="438"/>
      <c r="I13" s="438"/>
      <c r="J13" s="438"/>
      <c r="K13" s="438"/>
      <c r="L13" s="438"/>
      <c r="M13" s="439"/>
      <c r="N13" s="439"/>
      <c r="O13" s="439"/>
      <c r="P13" s="433">
        <f>IF(($P$6-G13+1)&gt;365,365,($P$6-G13+1))+3-1</f>
        <v>191</v>
      </c>
      <c r="Q13" s="436">
        <f t="shared" si="29"/>
        <v>2093</v>
      </c>
      <c r="R13" s="436">
        <f t="shared" si="30"/>
        <v>37907</v>
      </c>
      <c r="S13" s="433">
        <f t="shared" si="31"/>
        <v>365</v>
      </c>
      <c r="T13" s="436">
        <f t="shared" si="0"/>
        <v>5273</v>
      </c>
      <c r="U13" s="436">
        <f t="shared" si="32"/>
        <v>32634</v>
      </c>
      <c r="V13" s="433">
        <f t="shared" si="33"/>
        <v>365</v>
      </c>
      <c r="W13" s="436">
        <f>186694/(U59+825639)*U13</f>
        <v>1787.1313385946873</v>
      </c>
      <c r="X13" s="436">
        <f t="shared" si="34"/>
        <v>30846.868661405311</v>
      </c>
      <c r="Y13" s="433">
        <f t="shared" si="35"/>
        <v>365</v>
      </c>
      <c r="Z13" s="436">
        <f t="shared" si="88"/>
        <v>3085</v>
      </c>
      <c r="AA13" s="436">
        <f t="shared" si="89"/>
        <v>27761.868661405311</v>
      </c>
      <c r="AB13" s="433">
        <f t="shared" si="36"/>
        <v>365</v>
      </c>
      <c r="AC13" s="436">
        <f t="shared" si="37"/>
        <v>2776</v>
      </c>
      <c r="AD13" s="436">
        <f t="shared" si="38"/>
        <v>24985.868661405311</v>
      </c>
      <c r="AE13" s="436">
        <f t="shared" si="39"/>
        <v>15014.131338594687</v>
      </c>
      <c r="AF13" s="436">
        <f t="shared" si="40"/>
        <v>24985.868661405315</v>
      </c>
      <c r="AG13" s="436">
        <f t="shared" si="1"/>
        <v>0</v>
      </c>
      <c r="AH13" s="436">
        <f t="shared" si="41"/>
        <v>4.5205479452054798</v>
      </c>
      <c r="AI13" s="439">
        <v>30</v>
      </c>
      <c r="AJ13" s="436">
        <f t="shared" si="2"/>
        <v>25.479452054794521</v>
      </c>
      <c r="AK13" s="440">
        <f t="shared" si="42"/>
        <v>9.435317674140653E-2</v>
      </c>
      <c r="AL13" s="2">
        <f t="shared" si="43"/>
        <v>0</v>
      </c>
      <c r="AM13" s="433">
        <f t="shared" si="44"/>
        <v>365</v>
      </c>
      <c r="AN13" s="436">
        <f t="shared" si="90"/>
        <v>2499</v>
      </c>
      <c r="AO13" s="436">
        <f t="shared" si="45"/>
        <v>2357</v>
      </c>
      <c r="AP13" s="436">
        <f t="shared" si="46"/>
        <v>22629</v>
      </c>
      <c r="AQ13" s="436">
        <f t="shared" si="91"/>
        <v>22628.868661405315</v>
      </c>
      <c r="AR13" s="436">
        <f t="shared" si="92"/>
        <v>-0.1313385946850758</v>
      </c>
      <c r="AS13" s="436">
        <f t="shared" si="93"/>
        <v>-142</v>
      </c>
      <c r="AT13" s="2">
        <f t="shared" si="94"/>
        <v>22486.868661405315</v>
      </c>
      <c r="AU13" s="2">
        <f t="shared" si="3"/>
        <v>22628.868661405315</v>
      </c>
      <c r="AV13" s="2">
        <f t="shared" si="4"/>
        <v>0</v>
      </c>
      <c r="AW13" s="433">
        <f t="shared" si="47"/>
        <v>365</v>
      </c>
      <c r="AX13" s="2">
        <f t="shared" si="48"/>
        <v>2135.1056442676509</v>
      </c>
      <c r="AY13" s="2">
        <f t="shared" si="49"/>
        <v>20493.763017137666</v>
      </c>
      <c r="AZ13" s="433">
        <f t="shared" si="50"/>
        <v>365</v>
      </c>
      <c r="BA13" s="2">
        <f t="shared" si="51"/>
        <v>1933.6516440524908</v>
      </c>
      <c r="BB13" s="2">
        <f t="shared" si="52"/>
        <v>18560.111373085176</v>
      </c>
      <c r="BC13" s="2">
        <f t="shared" si="53"/>
        <v>21900</v>
      </c>
      <c r="BD13" s="433">
        <f t="shared" si="54"/>
        <v>2745</v>
      </c>
      <c r="BE13" s="439">
        <f t="shared" si="55"/>
        <v>19155</v>
      </c>
      <c r="BF13" s="433">
        <f t="shared" si="56"/>
        <v>365</v>
      </c>
      <c r="BG13" s="2">
        <f t="shared" si="57"/>
        <v>1751.2054687248951</v>
      </c>
      <c r="BH13" s="2">
        <f t="shared" si="58"/>
        <v>16808.905904360279</v>
      </c>
      <c r="BI13" s="2">
        <f t="shared" si="5"/>
        <v>1585.9736696237771</v>
      </c>
      <c r="BJ13" s="2">
        <f t="shared" si="6"/>
        <v>15222.932234736501</v>
      </c>
      <c r="BK13" s="2">
        <f t="shared" si="59"/>
        <v>1436.33</v>
      </c>
      <c r="BL13" s="2">
        <f t="shared" si="7"/>
        <v>13786.602234736501</v>
      </c>
      <c r="BM13" s="2"/>
      <c r="BN13" s="2">
        <f t="shared" si="60"/>
        <v>13786.602234736501</v>
      </c>
      <c r="BO13" s="2">
        <f t="shared" si="8"/>
        <v>1300.8097173175634</v>
      </c>
      <c r="BP13" s="2">
        <f t="shared" si="61"/>
        <v>12485.792517418939</v>
      </c>
      <c r="BQ13" s="2"/>
      <c r="BR13" s="2">
        <f t="shared" si="9"/>
        <v>12485.792517418939</v>
      </c>
      <c r="BS13" s="2">
        <f t="shared" si="62"/>
        <v>1178.0741881525603</v>
      </c>
      <c r="BT13" s="2">
        <f t="shared" si="63"/>
        <v>11307.718329266378</v>
      </c>
      <c r="BU13" s="2">
        <f t="shared" si="10"/>
        <v>1066.9191460633126</v>
      </c>
      <c r="BV13" s="2">
        <f t="shared" si="64"/>
        <v>10240.799183203066</v>
      </c>
      <c r="BW13" s="2">
        <f t="shared" si="11"/>
        <v>966.25193530601052</v>
      </c>
      <c r="BX13" s="2">
        <f t="shared" si="65"/>
        <v>9274.5472478970551</v>
      </c>
      <c r="BY13" s="2">
        <f t="shared" si="12"/>
        <v>875.08299567735639</v>
      </c>
      <c r="BZ13" s="2">
        <f t="shared" si="66"/>
        <v>8399.4642522196991</v>
      </c>
      <c r="CA13" s="2">
        <f t="shared" si="13"/>
        <v>792.51613512281131</v>
      </c>
      <c r="CB13" s="2">
        <f t="shared" si="67"/>
        <v>7606.9481170968875</v>
      </c>
      <c r="CC13" s="2">
        <f t="shared" si="14"/>
        <v>717.73972015515221</v>
      </c>
      <c r="CD13" s="2">
        <f t="shared" si="68"/>
        <v>6889.2083969417354</v>
      </c>
      <c r="CE13" s="2">
        <f t="shared" si="15"/>
        <v>650.01869748502554</v>
      </c>
      <c r="CF13" s="2">
        <f t="shared" si="69"/>
        <v>6239.1896994567096</v>
      </c>
      <c r="CG13" s="2">
        <f t="shared" si="16"/>
        <v>588.68736843600198</v>
      </c>
      <c r="CH13" s="2">
        <f t="shared" si="70"/>
        <v>5650.502331020708</v>
      </c>
      <c r="CI13" s="2">
        <f t="shared" si="17"/>
        <v>533.14284511652647</v>
      </c>
      <c r="CJ13" s="2">
        <f t="shared" si="71"/>
        <v>5117.3594859041814</v>
      </c>
      <c r="CK13" s="2">
        <f t="shared" si="18"/>
        <v>482.8391240228305</v>
      </c>
      <c r="CL13" s="2">
        <f t="shared" si="72"/>
        <v>4634.5203618813512</v>
      </c>
      <c r="CM13" s="2">
        <f t="shared" si="19"/>
        <v>437.28171881623848</v>
      </c>
      <c r="CN13" s="2">
        <f t="shared" si="73"/>
        <v>4197.2386430651131</v>
      </c>
      <c r="CO13" s="2">
        <f t="shared" si="20"/>
        <v>396.02279951498394</v>
      </c>
      <c r="CP13" s="2">
        <f t="shared" si="74"/>
        <v>3801.2158435501292</v>
      </c>
      <c r="CQ13" s="2">
        <f t="shared" si="21"/>
        <v>358.65679031872003</v>
      </c>
      <c r="CR13" s="2">
        <f t="shared" si="75"/>
        <v>3442.5590532314091</v>
      </c>
      <c r="CS13" s="2">
        <f t="shared" si="22"/>
        <v>324.81638279227229</v>
      </c>
      <c r="CT13" s="2">
        <f t="shared" si="76"/>
        <v>3117.7426704391369</v>
      </c>
      <c r="CU13" s="2">
        <f t="shared" si="23"/>
        <v>294.16892521816868</v>
      </c>
      <c r="CV13" s="2">
        <f t="shared" si="77"/>
        <v>2823.5737452209682</v>
      </c>
      <c r="CW13" s="2">
        <f t="shared" si="24"/>
        <v>266.4131526252292</v>
      </c>
      <c r="CX13" s="2">
        <f t="shared" si="78"/>
        <v>2557.1605925957392</v>
      </c>
      <c r="CY13" s="2">
        <f t="shared" si="25"/>
        <v>241.27622534934565</v>
      </c>
      <c r="CZ13" s="2">
        <f t="shared" si="79"/>
        <v>2315.8843672463936</v>
      </c>
      <c r="DA13" s="2">
        <f t="shared" si="80"/>
        <v>218.51104701545941</v>
      </c>
      <c r="DB13" s="2">
        <f t="shared" si="95"/>
        <v>2097.373320230934</v>
      </c>
      <c r="DC13" s="2">
        <f t="shared" si="81"/>
        <v>97.373320230934041</v>
      </c>
      <c r="DD13" s="2">
        <f t="shared" si="96"/>
        <v>2000</v>
      </c>
      <c r="DE13" s="2">
        <v>0</v>
      </c>
      <c r="DF13" s="2">
        <f t="shared" si="97"/>
        <v>2000</v>
      </c>
      <c r="DG13" s="2">
        <v>0</v>
      </c>
      <c r="DH13" s="2">
        <f t="shared" si="98"/>
        <v>2000</v>
      </c>
      <c r="DI13" s="2"/>
      <c r="DJ13" s="2">
        <f t="shared" si="82"/>
        <v>2000</v>
      </c>
      <c r="DK13" s="2"/>
      <c r="DL13" s="2">
        <f t="shared" si="83"/>
        <v>2000</v>
      </c>
      <c r="DM13" s="2"/>
      <c r="DN13" s="2">
        <f t="shared" si="84"/>
        <v>2000</v>
      </c>
      <c r="DO13" s="2"/>
      <c r="DP13" s="2">
        <f t="shared" si="85"/>
        <v>2000</v>
      </c>
      <c r="DQ13" s="2"/>
      <c r="DR13" s="2">
        <f t="shared" si="86"/>
        <v>2000</v>
      </c>
      <c r="DS13" s="2"/>
      <c r="DT13" s="2">
        <f t="shared" si="26"/>
        <v>2000</v>
      </c>
      <c r="DU13" s="2"/>
      <c r="DV13" s="2"/>
      <c r="DW13" s="266">
        <f t="shared" si="27"/>
        <v>2000</v>
      </c>
      <c r="DX13" s="441">
        <f t="shared" si="87"/>
        <v>0</v>
      </c>
    </row>
    <row r="14" spans="1:128">
      <c r="A14" s="433">
        <f t="shared" si="28"/>
        <v>7</v>
      </c>
      <c r="B14" s="433" t="s">
        <v>493</v>
      </c>
      <c r="C14" s="434" t="s">
        <v>494</v>
      </c>
      <c r="D14" s="435">
        <v>0.1</v>
      </c>
      <c r="E14" s="442">
        <v>20000</v>
      </c>
      <c r="F14" s="437" t="s">
        <v>1001</v>
      </c>
      <c r="G14" s="438">
        <v>40182</v>
      </c>
      <c r="H14" s="438"/>
      <c r="I14" s="438"/>
      <c r="J14" s="438"/>
      <c r="K14" s="438"/>
      <c r="L14" s="438"/>
      <c r="M14" s="439"/>
      <c r="N14" s="439"/>
      <c r="O14" s="439"/>
      <c r="P14" s="433">
        <f>IF(($P$6-G14+1)&gt;365,365,($P$6-G14+1))+3+1</f>
        <v>91</v>
      </c>
      <c r="Q14" s="436">
        <f t="shared" si="29"/>
        <v>499</v>
      </c>
      <c r="R14" s="436">
        <f t="shared" si="30"/>
        <v>19501</v>
      </c>
      <c r="S14" s="433">
        <f t="shared" si="31"/>
        <v>365</v>
      </c>
      <c r="T14" s="436">
        <f t="shared" si="0"/>
        <v>2713</v>
      </c>
      <c r="U14" s="436">
        <f t="shared" si="32"/>
        <v>16788</v>
      </c>
      <c r="V14" s="433">
        <f t="shared" si="33"/>
        <v>365</v>
      </c>
      <c r="W14" s="436">
        <f>186694/(U59+825639)*U14</f>
        <v>919.3589787438749</v>
      </c>
      <c r="X14" s="436">
        <f t="shared" si="34"/>
        <v>15868.641021256126</v>
      </c>
      <c r="Y14" s="433">
        <f t="shared" si="35"/>
        <v>365</v>
      </c>
      <c r="Z14" s="436">
        <f t="shared" si="88"/>
        <v>1587</v>
      </c>
      <c r="AA14" s="436">
        <f t="shared" si="89"/>
        <v>14281.641021256126</v>
      </c>
      <c r="AB14" s="433">
        <f t="shared" si="36"/>
        <v>365</v>
      </c>
      <c r="AC14" s="436">
        <f t="shared" si="37"/>
        <v>1428</v>
      </c>
      <c r="AD14" s="436">
        <f t="shared" si="38"/>
        <v>12853.641021256126</v>
      </c>
      <c r="AE14" s="436">
        <f t="shared" si="39"/>
        <v>7146.358978743875</v>
      </c>
      <c r="AF14" s="436">
        <f t="shared" si="40"/>
        <v>12853.641021256124</v>
      </c>
      <c r="AG14" s="436">
        <f t="shared" si="1"/>
        <v>0</v>
      </c>
      <c r="AH14" s="436">
        <f t="shared" si="41"/>
        <v>4.2410958904109588</v>
      </c>
      <c r="AI14" s="439">
        <v>30</v>
      </c>
      <c r="AJ14" s="436">
        <f t="shared" si="2"/>
        <v>25.758904109589039</v>
      </c>
      <c r="AK14" s="440">
        <f t="shared" si="42"/>
        <v>9.4380197459166149E-2</v>
      </c>
      <c r="AL14" s="2">
        <f t="shared" si="43"/>
        <v>0</v>
      </c>
      <c r="AM14" s="433">
        <f t="shared" si="44"/>
        <v>365</v>
      </c>
      <c r="AN14" s="436">
        <f t="shared" si="90"/>
        <v>1285</v>
      </c>
      <c r="AO14" s="436">
        <f t="shared" si="45"/>
        <v>1213</v>
      </c>
      <c r="AP14" s="436">
        <f t="shared" si="46"/>
        <v>11641</v>
      </c>
      <c r="AQ14" s="436">
        <f t="shared" si="91"/>
        <v>11640.641021256124</v>
      </c>
      <c r="AR14" s="436">
        <f t="shared" si="92"/>
        <v>-0.3589787438759231</v>
      </c>
      <c r="AS14" s="436">
        <f t="shared" si="93"/>
        <v>-72</v>
      </c>
      <c r="AT14" s="2">
        <f t="shared" si="94"/>
        <v>11568.641021256124</v>
      </c>
      <c r="AU14" s="2">
        <f t="shared" si="3"/>
        <v>11640.641021256124</v>
      </c>
      <c r="AV14" s="2">
        <f t="shared" si="4"/>
        <v>0</v>
      </c>
      <c r="AW14" s="433">
        <f t="shared" si="47"/>
        <v>365</v>
      </c>
      <c r="AX14" s="2">
        <f t="shared" si="48"/>
        <v>1098.6459981374226</v>
      </c>
      <c r="AY14" s="2">
        <f t="shared" si="49"/>
        <v>10541.995023118701</v>
      </c>
      <c r="AZ14" s="433">
        <f t="shared" si="50"/>
        <v>365</v>
      </c>
      <c r="BA14" s="2">
        <f t="shared" si="51"/>
        <v>994.95557189548981</v>
      </c>
      <c r="BB14" s="2">
        <f t="shared" si="52"/>
        <v>9547.0394512232124</v>
      </c>
      <c r="BC14" s="2">
        <f t="shared" si="53"/>
        <v>21900</v>
      </c>
      <c r="BD14" s="433">
        <f t="shared" si="54"/>
        <v>2643</v>
      </c>
      <c r="BE14" s="439">
        <f t="shared" si="55"/>
        <v>19257</v>
      </c>
      <c r="BF14" s="433">
        <f t="shared" si="56"/>
        <v>365</v>
      </c>
      <c r="BG14" s="2">
        <f t="shared" si="57"/>
        <v>901.051468556896</v>
      </c>
      <c r="BH14" s="2">
        <f t="shared" si="58"/>
        <v>8645.9879826663164</v>
      </c>
      <c r="BI14" s="2">
        <f t="shared" si="5"/>
        <v>816.01005303362456</v>
      </c>
      <c r="BJ14" s="2">
        <f t="shared" si="6"/>
        <v>7829.9779296326915</v>
      </c>
      <c r="BK14" s="2">
        <f t="shared" si="59"/>
        <v>738.99</v>
      </c>
      <c r="BL14" s="2">
        <f t="shared" si="7"/>
        <v>7090.9879296326917</v>
      </c>
      <c r="BM14" s="2"/>
      <c r="BN14" s="2">
        <f t="shared" si="60"/>
        <v>7090.9879296326917</v>
      </c>
      <c r="BO14" s="2">
        <f t="shared" si="8"/>
        <v>669.24884097929714</v>
      </c>
      <c r="BP14" s="2">
        <f t="shared" si="61"/>
        <v>6421.7390886533949</v>
      </c>
      <c r="BQ14" s="2"/>
      <c r="BR14" s="2">
        <f t="shared" si="9"/>
        <v>6421.7390886533949</v>
      </c>
      <c r="BS14" s="2">
        <f t="shared" si="62"/>
        <v>606.08500321835311</v>
      </c>
      <c r="BT14" s="2">
        <f t="shared" si="63"/>
        <v>5815.6540854350415</v>
      </c>
      <c r="BU14" s="2">
        <f t="shared" si="10"/>
        <v>548.88258093756554</v>
      </c>
      <c r="BV14" s="2">
        <f t="shared" si="64"/>
        <v>5266.7715044974757</v>
      </c>
      <c r="BW14" s="2">
        <f t="shared" si="11"/>
        <v>497.07893456678136</v>
      </c>
      <c r="BX14" s="2">
        <f t="shared" si="65"/>
        <v>4769.6925699306939</v>
      </c>
      <c r="BY14" s="2">
        <f t="shared" si="12"/>
        <v>450.16452656957654</v>
      </c>
      <c r="BZ14" s="2">
        <f t="shared" si="66"/>
        <v>4319.5280433611169</v>
      </c>
      <c r="CA14" s="2">
        <f t="shared" si="13"/>
        <v>407.6779096628278</v>
      </c>
      <c r="CB14" s="2">
        <f t="shared" si="67"/>
        <v>3911.850133698289</v>
      </c>
      <c r="CC14" s="2">
        <f t="shared" si="14"/>
        <v>369.20118804911004</v>
      </c>
      <c r="CD14" s="2">
        <f t="shared" si="68"/>
        <v>3542.648945649179</v>
      </c>
      <c r="CE14" s="2">
        <f t="shared" si="15"/>
        <v>334.35590701887628</v>
      </c>
      <c r="CF14" s="2">
        <f t="shared" si="69"/>
        <v>3208.2930386303028</v>
      </c>
      <c r="CG14" s="2">
        <f t="shared" si="16"/>
        <v>302.79933049279617</v>
      </c>
      <c r="CH14" s="2">
        <f t="shared" si="70"/>
        <v>2905.4937081375065</v>
      </c>
      <c r="CI14" s="2">
        <f t="shared" si="17"/>
        <v>274.22106989038269</v>
      </c>
      <c r="CJ14" s="2">
        <f t="shared" si="71"/>
        <v>2631.2726382471237</v>
      </c>
      <c r="CK14" s="2">
        <f t="shared" si="18"/>
        <v>248.3400311666646</v>
      </c>
      <c r="CL14" s="2">
        <f t="shared" si="72"/>
        <v>2382.9326070804591</v>
      </c>
      <c r="CM14" s="2">
        <f t="shared" si="19"/>
        <v>224.9016499881393</v>
      </c>
      <c r="CN14" s="2">
        <f t="shared" si="73"/>
        <v>2158.03095709232</v>
      </c>
      <c r="CO14" s="2">
        <f t="shared" si="20"/>
        <v>203.67538785336649</v>
      </c>
      <c r="CP14" s="2">
        <f t="shared" si="74"/>
        <v>1954.3555692389536</v>
      </c>
      <c r="CQ14" s="2">
        <f t="shared" si="21"/>
        <v>184.45246453019351</v>
      </c>
      <c r="CR14" s="2">
        <f t="shared" si="75"/>
        <v>1769.9031047087601</v>
      </c>
      <c r="CS14" s="2">
        <f t="shared" si="22"/>
        <v>167.04380450600399</v>
      </c>
      <c r="CT14" s="2">
        <f t="shared" si="76"/>
        <v>1602.859300202756</v>
      </c>
      <c r="CU14" s="2">
        <f t="shared" si="23"/>
        <v>151.27817725239697</v>
      </c>
      <c r="CV14" s="2">
        <f t="shared" si="77"/>
        <v>1451.581122950359</v>
      </c>
      <c r="CW14" s="2">
        <f t="shared" si="24"/>
        <v>137.00051301205303</v>
      </c>
      <c r="CX14" s="2">
        <f t="shared" si="78"/>
        <v>1314.580609938306</v>
      </c>
      <c r="CY14" s="2">
        <f t="shared" si="25"/>
        <v>124.0703775419684</v>
      </c>
      <c r="CZ14" s="2">
        <f t="shared" si="79"/>
        <v>1190.5102323963376</v>
      </c>
      <c r="DA14" s="2">
        <f t="shared" si="80"/>
        <v>112.36059081072413</v>
      </c>
      <c r="DB14" s="2">
        <f t="shared" si="95"/>
        <v>1078.1496415856136</v>
      </c>
      <c r="DC14" s="2">
        <f t="shared" si="81"/>
        <v>78.149641585613608</v>
      </c>
      <c r="DD14" s="2">
        <f t="shared" si="96"/>
        <v>1000</v>
      </c>
      <c r="DE14" s="2">
        <v>0</v>
      </c>
      <c r="DF14" s="2">
        <f t="shared" si="97"/>
        <v>1000</v>
      </c>
      <c r="DG14" s="2">
        <v>0</v>
      </c>
      <c r="DH14" s="2">
        <f t="shared" si="98"/>
        <v>1000</v>
      </c>
      <c r="DI14" s="2"/>
      <c r="DJ14" s="2">
        <f t="shared" si="82"/>
        <v>1000</v>
      </c>
      <c r="DK14" s="2"/>
      <c r="DL14" s="2">
        <f t="shared" si="83"/>
        <v>1000</v>
      </c>
      <c r="DM14" s="2"/>
      <c r="DN14" s="2">
        <f t="shared" si="84"/>
        <v>1000</v>
      </c>
      <c r="DO14" s="2"/>
      <c r="DP14" s="2">
        <f t="shared" si="85"/>
        <v>1000</v>
      </c>
      <c r="DQ14" s="2"/>
      <c r="DR14" s="2">
        <f t="shared" si="86"/>
        <v>1000</v>
      </c>
      <c r="DS14" s="2"/>
      <c r="DT14" s="2">
        <f t="shared" si="26"/>
        <v>1000</v>
      </c>
      <c r="DU14" s="2"/>
      <c r="DV14" s="2"/>
      <c r="DW14" s="266">
        <f t="shared" si="27"/>
        <v>1000</v>
      </c>
      <c r="DX14" s="441">
        <f t="shared" si="87"/>
        <v>0</v>
      </c>
    </row>
    <row r="15" spans="1:128">
      <c r="A15" s="433">
        <f t="shared" si="28"/>
        <v>8</v>
      </c>
      <c r="B15" s="433" t="s">
        <v>493</v>
      </c>
      <c r="C15" s="434" t="s">
        <v>494</v>
      </c>
      <c r="D15" s="435">
        <v>0.1</v>
      </c>
      <c r="E15" s="442">
        <v>20000</v>
      </c>
      <c r="F15" s="437" t="s">
        <v>1001</v>
      </c>
      <c r="G15" s="438">
        <v>40183</v>
      </c>
      <c r="H15" s="438"/>
      <c r="I15" s="438"/>
      <c r="J15" s="438"/>
      <c r="K15" s="438"/>
      <c r="L15" s="438"/>
      <c r="M15" s="439"/>
      <c r="N15" s="439"/>
      <c r="O15" s="439"/>
      <c r="P15" s="433">
        <f>IF(($P$6-G15+1)&gt;365,365,($P$6-G15+1))+3+1</f>
        <v>90</v>
      </c>
      <c r="Q15" s="436">
        <f t="shared" si="29"/>
        <v>493</v>
      </c>
      <c r="R15" s="436">
        <f t="shared" si="30"/>
        <v>19507</v>
      </c>
      <c r="S15" s="433">
        <f t="shared" si="31"/>
        <v>365</v>
      </c>
      <c r="T15" s="436">
        <f t="shared" si="0"/>
        <v>2713</v>
      </c>
      <c r="U15" s="436">
        <f t="shared" si="32"/>
        <v>16794</v>
      </c>
      <c r="V15" s="433">
        <f t="shared" si="33"/>
        <v>365</v>
      </c>
      <c r="W15" s="436">
        <f>186694/(U59+825639)*U15</f>
        <v>919.68755593427647</v>
      </c>
      <c r="X15" s="436">
        <f t="shared" si="34"/>
        <v>15874.312444065723</v>
      </c>
      <c r="Y15" s="433">
        <f t="shared" si="35"/>
        <v>365</v>
      </c>
      <c r="Z15" s="436">
        <f t="shared" si="88"/>
        <v>1587</v>
      </c>
      <c r="AA15" s="436">
        <f t="shared" si="89"/>
        <v>14287.312444065723</v>
      </c>
      <c r="AB15" s="433">
        <f t="shared" si="36"/>
        <v>365</v>
      </c>
      <c r="AC15" s="436">
        <f t="shared" si="37"/>
        <v>1429</v>
      </c>
      <c r="AD15" s="436">
        <f t="shared" si="38"/>
        <v>12858.312444065723</v>
      </c>
      <c r="AE15" s="436">
        <f t="shared" si="39"/>
        <v>7141.687555934277</v>
      </c>
      <c r="AF15" s="436">
        <f t="shared" si="40"/>
        <v>12858.312444065723</v>
      </c>
      <c r="AG15" s="436">
        <f t="shared" si="1"/>
        <v>0</v>
      </c>
      <c r="AH15" s="436">
        <f t="shared" si="41"/>
        <v>4.2383561643835614</v>
      </c>
      <c r="AI15" s="439">
        <v>30</v>
      </c>
      <c r="AJ15" s="436">
        <f t="shared" si="2"/>
        <v>25.761643835616439</v>
      </c>
      <c r="AK15" s="440">
        <f t="shared" si="42"/>
        <v>9.4383423207858197E-2</v>
      </c>
      <c r="AL15" s="2">
        <f t="shared" si="43"/>
        <v>0</v>
      </c>
      <c r="AM15" s="433">
        <f t="shared" si="44"/>
        <v>365</v>
      </c>
      <c r="AN15" s="436">
        <f t="shared" si="90"/>
        <v>1286</v>
      </c>
      <c r="AO15" s="436">
        <f t="shared" si="45"/>
        <v>1214</v>
      </c>
      <c r="AP15" s="436">
        <f t="shared" si="46"/>
        <v>11644</v>
      </c>
      <c r="AQ15" s="436">
        <f t="shared" si="91"/>
        <v>11644.312444065723</v>
      </c>
      <c r="AR15" s="436">
        <f t="shared" si="92"/>
        <v>0.31244406572295702</v>
      </c>
      <c r="AS15" s="436">
        <f t="shared" si="93"/>
        <v>-72</v>
      </c>
      <c r="AT15" s="2">
        <f t="shared" si="94"/>
        <v>11572.312444065723</v>
      </c>
      <c r="AU15" s="2">
        <f t="shared" si="3"/>
        <v>11644.312444065723</v>
      </c>
      <c r="AV15" s="2">
        <f t="shared" si="4"/>
        <v>0</v>
      </c>
      <c r="AW15" s="433">
        <f t="shared" si="47"/>
        <v>365</v>
      </c>
      <c r="AX15" s="2">
        <f t="shared" si="48"/>
        <v>1099.0300693727847</v>
      </c>
      <c r="AY15" s="2">
        <f t="shared" si="49"/>
        <v>10545.282374692939</v>
      </c>
      <c r="AZ15" s="433">
        <f t="shared" si="50"/>
        <v>365</v>
      </c>
      <c r="BA15" s="2">
        <f t="shared" si="51"/>
        <v>995.29984921701157</v>
      </c>
      <c r="BB15" s="2">
        <f t="shared" si="52"/>
        <v>9549.9825254759271</v>
      </c>
      <c r="BC15" s="2">
        <f t="shared" si="53"/>
        <v>21900</v>
      </c>
      <c r="BD15" s="433">
        <f t="shared" si="54"/>
        <v>2642</v>
      </c>
      <c r="BE15" s="439">
        <f t="shared" si="55"/>
        <v>19258</v>
      </c>
      <c r="BF15" s="433">
        <f t="shared" si="56"/>
        <v>365</v>
      </c>
      <c r="BG15" s="2">
        <f t="shared" si="57"/>
        <v>901.3600423296449</v>
      </c>
      <c r="BH15" s="2">
        <f t="shared" si="58"/>
        <v>8648.6224831462823</v>
      </c>
      <c r="BI15" s="2">
        <f t="shared" si="5"/>
        <v>816.28659599179298</v>
      </c>
      <c r="BJ15" s="2">
        <f t="shared" si="6"/>
        <v>7832.3358871544897</v>
      </c>
      <c r="BK15" s="2">
        <f t="shared" si="59"/>
        <v>739.24</v>
      </c>
      <c r="BL15" s="2">
        <f t="shared" si="7"/>
        <v>7093.0958871544899</v>
      </c>
      <c r="BM15" s="2"/>
      <c r="BN15" s="2">
        <f t="shared" si="60"/>
        <v>7093.0958871544899</v>
      </c>
      <c r="BO15" s="2">
        <f t="shared" si="8"/>
        <v>669.47067097122056</v>
      </c>
      <c r="BP15" s="2">
        <f t="shared" si="61"/>
        <v>6423.625216183269</v>
      </c>
      <c r="BQ15" s="2"/>
      <c r="BR15" s="2">
        <f t="shared" si="9"/>
        <v>6423.625216183269</v>
      </c>
      <c r="BS15" s="2">
        <f t="shared" si="62"/>
        <v>606.28373730769511</v>
      </c>
      <c r="BT15" s="2">
        <f t="shared" si="63"/>
        <v>5817.3414788755736</v>
      </c>
      <c r="BU15" s="2">
        <f t="shared" si="10"/>
        <v>549.06060274534093</v>
      </c>
      <c r="BV15" s="2">
        <f t="shared" si="64"/>
        <v>5268.2808761302331</v>
      </c>
      <c r="BW15" s="2">
        <f t="shared" si="11"/>
        <v>497.23838350966577</v>
      </c>
      <c r="BX15" s="2">
        <f t="shared" si="65"/>
        <v>4771.0424926205669</v>
      </c>
      <c r="BY15" s="2">
        <f t="shared" si="12"/>
        <v>450.30732272368164</v>
      </c>
      <c r="BZ15" s="2">
        <f t="shared" si="66"/>
        <v>4320.7351698968851</v>
      </c>
      <c r="CA15" s="2">
        <f t="shared" si="13"/>
        <v>407.80577610945477</v>
      </c>
      <c r="CB15" s="2">
        <f t="shared" si="67"/>
        <v>3912.9293937874304</v>
      </c>
      <c r="CC15" s="2">
        <f t="shared" si="14"/>
        <v>369.31567095630709</v>
      </c>
      <c r="CD15" s="2">
        <f t="shared" si="68"/>
        <v>3543.6137228311231</v>
      </c>
      <c r="CE15" s="2">
        <f t="shared" si="15"/>
        <v>334.45839368714383</v>
      </c>
      <c r="CF15" s="2">
        <f t="shared" si="69"/>
        <v>3209.1553291439795</v>
      </c>
      <c r="CG15" s="2">
        <f t="shared" si="16"/>
        <v>302.89106557034967</v>
      </c>
      <c r="CH15" s="2">
        <f t="shared" si="70"/>
        <v>2906.2642635736297</v>
      </c>
      <c r="CI15" s="2">
        <f t="shared" si="17"/>
        <v>274.30316994274426</v>
      </c>
      <c r="CJ15" s="2">
        <f t="shared" si="71"/>
        <v>2631.9610936308854</v>
      </c>
      <c r="CK15" s="2">
        <f t="shared" si="18"/>
        <v>248.41349776678115</v>
      </c>
      <c r="CL15" s="2">
        <f t="shared" si="72"/>
        <v>2383.5475958641041</v>
      </c>
      <c r="CM15" s="2">
        <f t="shared" si="19"/>
        <v>224.9673814765147</v>
      </c>
      <c r="CN15" s="2">
        <f t="shared" si="73"/>
        <v>2158.5802143875894</v>
      </c>
      <c r="CO15" s="2">
        <f t="shared" si="20"/>
        <v>203.73418990265313</v>
      </c>
      <c r="CP15" s="2">
        <f t="shared" si="74"/>
        <v>1954.8460244849364</v>
      </c>
      <c r="CQ15" s="2">
        <f t="shared" si="21"/>
        <v>184.50505963516088</v>
      </c>
      <c r="CR15" s="2">
        <f t="shared" si="75"/>
        <v>1770.3409648497754</v>
      </c>
      <c r="CS15" s="2">
        <f t="shared" si="22"/>
        <v>167.09084050762436</v>
      </c>
      <c r="CT15" s="2">
        <f t="shared" si="76"/>
        <v>1603.2501243421511</v>
      </c>
      <c r="CU15" s="2">
        <f t="shared" si="23"/>
        <v>151.32023499383652</v>
      </c>
      <c r="CV15" s="2">
        <f t="shared" si="77"/>
        <v>1451.9298893483146</v>
      </c>
      <c r="CW15" s="2">
        <f t="shared" si="24"/>
        <v>137.0381132145007</v>
      </c>
      <c r="CX15" s="2">
        <f t="shared" si="78"/>
        <v>1314.8917761338139</v>
      </c>
      <c r="CY15" s="2">
        <f t="shared" si="25"/>
        <v>124.10398697937009</v>
      </c>
      <c r="CZ15" s="2">
        <f t="shared" si="79"/>
        <v>1190.7877891544438</v>
      </c>
      <c r="DA15" s="2">
        <f t="shared" si="80"/>
        <v>112.39062785451368</v>
      </c>
      <c r="DB15" s="2">
        <f t="shared" si="95"/>
        <v>1078.3971612999301</v>
      </c>
      <c r="DC15" s="2">
        <f t="shared" si="81"/>
        <v>78.397161299930076</v>
      </c>
      <c r="DD15" s="2">
        <f t="shared" si="96"/>
        <v>1000</v>
      </c>
      <c r="DE15" s="2">
        <v>0</v>
      </c>
      <c r="DF15" s="2">
        <f t="shared" si="97"/>
        <v>1000</v>
      </c>
      <c r="DG15" s="2">
        <v>0</v>
      </c>
      <c r="DH15" s="2">
        <f t="shared" si="98"/>
        <v>1000</v>
      </c>
      <c r="DI15" s="2"/>
      <c r="DJ15" s="2">
        <f t="shared" si="82"/>
        <v>1000</v>
      </c>
      <c r="DK15" s="2"/>
      <c r="DL15" s="2">
        <f t="shared" si="83"/>
        <v>1000</v>
      </c>
      <c r="DM15" s="2"/>
      <c r="DN15" s="2">
        <f t="shared" si="84"/>
        <v>1000</v>
      </c>
      <c r="DO15" s="2"/>
      <c r="DP15" s="2">
        <f t="shared" si="85"/>
        <v>1000</v>
      </c>
      <c r="DQ15" s="2"/>
      <c r="DR15" s="2">
        <f t="shared" si="86"/>
        <v>1000</v>
      </c>
      <c r="DS15" s="2"/>
      <c r="DT15" s="2">
        <f t="shared" si="26"/>
        <v>1000</v>
      </c>
      <c r="DU15" s="2"/>
      <c r="DV15" s="2"/>
      <c r="DW15" s="266">
        <f t="shared" si="27"/>
        <v>1000</v>
      </c>
      <c r="DX15" s="441">
        <f t="shared" si="87"/>
        <v>0</v>
      </c>
    </row>
    <row r="16" spans="1:128">
      <c r="A16" s="433">
        <f t="shared" si="28"/>
        <v>9</v>
      </c>
      <c r="B16" s="433" t="s">
        <v>493</v>
      </c>
      <c r="C16" s="434" t="s">
        <v>494</v>
      </c>
      <c r="D16" s="435">
        <v>0.1</v>
      </c>
      <c r="E16" s="442">
        <v>30000</v>
      </c>
      <c r="F16" s="437" t="s">
        <v>1001</v>
      </c>
      <c r="G16" s="438">
        <v>40231</v>
      </c>
      <c r="H16" s="438"/>
      <c r="I16" s="438"/>
      <c r="J16" s="438"/>
      <c r="K16" s="438"/>
      <c r="L16" s="438"/>
      <c r="M16" s="439"/>
      <c r="N16" s="439"/>
      <c r="O16" s="439"/>
      <c r="P16" s="433">
        <f>IF(($P$6-G16+1)&gt;365,365,($P$6-G16+1))+3+2</f>
        <v>43</v>
      </c>
      <c r="Q16" s="436">
        <f t="shared" si="29"/>
        <v>353</v>
      </c>
      <c r="R16" s="436">
        <f t="shared" si="30"/>
        <v>29647</v>
      </c>
      <c r="S16" s="433">
        <f t="shared" si="31"/>
        <v>365</v>
      </c>
      <c r="T16" s="436">
        <f t="shared" si="0"/>
        <v>4124</v>
      </c>
      <c r="U16" s="436">
        <f t="shared" si="32"/>
        <v>25523</v>
      </c>
      <c r="V16" s="433">
        <f t="shared" si="33"/>
        <v>365</v>
      </c>
      <c r="W16" s="436">
        <f>186694/(U59+825639)*U16</f>
        <v>1397.7126051036405</v>
      </c>
      <c r="X16" s="436">
        <f t="shared" si="34"/>
        <v>24125.287394896361</v>
      </c>
      <c r="Y16" s="433">
        <f t="shared" si="35"/>
        <v>365</v>
      </c>
      <c r="Z16" s="436">
        <f t="shared" si="88"/>
        <v>2413</v>
      </c>
      <c r="AA16" s="436">
        <f t="shared" si="89"/>
        <v>21712.287394896361</v>
      </c>
      <c r="AB16" s="433">
        <f t="shared" si="36"/>
        <v>365</v>
      </c>
      <c r="AC16" s="436">
        <f t="shared" si="37"/>
        <v>2171</v>
      </c>
      <c r="AD16" s="436">
        <f t="shared" si="38"/>
        <v>19541.287394896361</v>
      </c>
      <c r="AE16" s="436">
        <f t="shared" si="39"/>
        <v>10458.712605103639</v>
      </c>
      <c r="AF16" s="436">
        <f t="shared" si="40"/>
        <v>19541.287394896361</v>
      </c>
      <c r="AG16" s="436">
        <f t="shared" si="1"/>
        <v>0</v>
      </c>
      <c r="AH16" s="436">
        <f t="shared" si="41"/>
        <v>4.1068493150684935</v>
      </c>
      <c r="AI16" s="439">
        <v>30</v>
      </c>
      <c r="AJ16" s="436">
        <f t="shared" si="2"/>
        <v>25.893150684931506</v>
      </c>
      <c r="AK16" s="440">
        <f t="shared" si="42"/>
        <v>9.4384697833639675E-2</v>
      </c>
      <c r="AL16" s="2">
        <f t="shared" si="43"/>
        <v>0</v>
      </c>
      <c r="AM16" s="433">
        <f t="shared" si="44"/>
        <v>365</v>
      </c>
      <c r="AN16" s="436">
        <f t="shared" si="90"/>
        <v>1954</v>
      </c>
      <c r="AO16" s="436">
        <f t="shared" si="45"/>
        <v>1844</v>
      </c>
      <c r="AP16" s="436">
        <f t="shared" si="46"/>
        <v>17697</v>
      </c>
      <c r="AQ16" s="436">
        <f t="shared" si="91"/>
        <v>17697.287394896361</v>
      </c>
      <c r="AR16" s="436">
        <f t="shared" si="92"/>
        <v>0.28739489636063809</v>
      </c>
      <c r="AS16" s="436">
        <f t="shared" si="93"/>
        <v>-110</v>
      </c>
      <c r="AT16" s="2">
        <f t="shared" si="94"/>
        <v>17587.287394896361</v>
      </c>
      <c r="AU16" s="2">
        <f t="shared" si="3"/>
        <v>17697.287394896361</v>
      </c>
      <c r="AV16" s="2">
        <f t="shared" si="4"/>
        <v>0</v>
      </c>
      <c r="AW16" s="433">
        <f t="shared" si="47"/>
        <v>365</v>
      </c>
      <c r="AX16" s="2">
        <f t="shared" si="48"/>
        <v>1670.3531232423732</v>
      </c>
      <c r="AY16" s="2">
        <f t="shared" si="49"/>
        <v>16026.934271653987</v>
      </c>
      <c r="AZ16" s="433">
        <f t="shared" si="50"/>
        <v>365</v>
      </c>
      <c r="BA16" s="2">
        <f t="shared" si="51"/>
        <v>1512.6973484296655</v>
      </c>
      <c r="BB16" s="2">
        <f t="shared" si="52"/>
        <v>14514.236923224322</v>
      </c>
      <c r="BC16" s="2">
        <f t="shared" si="53"/>
        <v>21900</v>
      </c>
      <c r="BD16" s="433">
        <f t="shared" si="54"/>
        <v>2594</v>
      </c>
      <c r="BE16" s="439">
        <f t="shared" si="55"/>
        <v>19306</v>
      </c>
      <c r="BF16" s="433">
        <f t="shared" si="56"/>
        <v>365</v>
      </c>
      <c r="BG16" s="2">
        <f t="shared" si="57"/>
        <v>1369.9218662843837</v>
      </c>
      <c r="BH16" s="2">
        <f t="shared" si="58"/>
        <v>13144.315056939939</v>
      </c>
      <c r="BI16" s="2">
        <f t="shared" si="5"/>
        <v>1240.6222048794364</v>
      </c>
      <c r="BJ16" s="2">
        <f t="shared" si="6"/>
        <v>11903.692852060502</v>
      </c>
      <c r="BK16" s="2">
        <f t="shared" si="59"/>
        <v>1123.53</v>
      </c>
      <c r="BL16" s="2">
        <f t="shared" si="7"/>
        <v>10780.162852060501</v>
      </c>
      <c r="BM16" s="2"/>
      <c r="BN16" s="2">
        <f t="shared" si="60"/>
        <v>10780.162852060501</v>
      </c>
      <c r="BO16" s="2">
        <f t="shared" si="8"/>
        <v>1017.4824133891576</v>
      </c>
      <c r="BP16" s="2">
        <f t="shared" si="61"/>
        <v>9762.6804386713429</v>
      </c>
      <c r="BQ16" s="2"/>
      <c r="BR16" s="2">
        <f t="shared" si="9"/>
        <v>9762.6804386713429</v>
      </c>
      <c r="BS16" s="2">
        <f t="shared" si="62"/>
        <v>921.44764325037954</v>
      </c>
      <c r="BT16" s="2">
        <f t="shared" si="63"/>
        <v>8841.2327954209632</v>
      </c>
      <c r="BU16" s="2">
        <f t="shared" si="10"/>
        <v>834.477085872673</v>
      </c>
      <c r="BV16" s="2">
        <f t="shared" si="64"/>
        <v>8006.7557095482898</v>
      </c>
      <c r="BW16" s="2">
        <f t="shared" si="11"/>
        <v>755.71521827348454</v>
      </c>
      <c r="BX16" s="2">
        <f t="shared" si="65"/>
        <v>7251.0404912748054</v>
      </c>
      <c r="BY16" s="2">
        <f t="shared" si="12"/>
        <v>684.38726574845873</v>
      </c>
      <c r="BZ16" s="2">
        <f t="shared" si="66"/>
        <v>6566.6532255263464</v>
      </c>
      <c r="CA16" s="2">
        <f t="shared" si="13"/>
        <v>619.79158046959958</v>
      </c>
      <c r="CB16" s="2">
        <f t="shared" si="67"/>
        <v>5946.861645056747</v>
      </c>
      <c r="CC16" s="2">
        <f t="shared" si="14"/>
        <v>561.29273942714246</v>
      </c>
      <c r="CD16" s="2">
        <f t="shared" si="68"/>
        <v>5385.5689056296042</v>
      </c>
      <c r="CE16" s="2">
        <f t="shared" si="15"/>
        <v>508.31529382009569</v>
      </c>
      <c r="CF16" s="2">
        <f t="shared" si="69"/>
        <v>4877.2536118095086</v>
      </c>
      <c r="CG16" s="2">
        <f t="shared" si="16"/>
        <v>460.33810840866818</v>
      </c>
      <c r="CH16" s="2">
        <f t="shared" si="70"/>
        <v>4416.91550340084</v>
      </c>
      <c r="CI16" s="2">
        <f t="shared" si="17"/>
        <v>416.88923514520673</v>
      </c>
      <c r="CJ16" s="2">
        <f t="shared" si="71"/>
        <v>4000.0262682556331</v>
      </c>
      <c r="CK16" s="2">
        <f t="shared" si="18"/>
        <v>377.54127065592922</v>
      </c>
      <c r="CL16" s="2">
        <f t="shared" si="72"/>
        <v>3622.484997599704</v>
      </c>
      <c r="CM16" s="2">
        <f t="shared" si="19"/>
        <v>341.90715190534098</v>
      </c>
      <c r="CN16" s="2">
        <f t="shared" si="73"/>
        <v>3280.5778456943631</v>
      </c>
      <c r="CO16" s="2">
        <f t="shared" si="20"/>
        <v>309.63634868559507</v>
      </c>
      <c r="CP16" s="2">
        <f t="shared" si="74"/>
        <v>2970.9414970087682</v>
      </c>
      <c r="CQ16" s="2">
        <f t="shared" si="21"/>
        <v>280.41141547659367</v>
      </c>
      <c r="CR16" s="2">
        <f t="shared" si="75"/>
        <v>2690.5300815321743</v>
      </c>
      <c r="CS16" s="2">
        <f t="shared" si="22"/>
        <v>253.94486875773219</v>
      </c>
      <c r="CT16" s="2">
        <f t="shared" si="76"/>
        <v>2436.585212774442</v>
      </c>
      <c r="CU16" s="2">
        <f t="shared" si="23"/>
        <v>229.97635905363035</v>
      </c>
      <c r="CV16" s="2">
        <f t="shared" si="77"/>
        <v>2206.6088537208116</v>
      </c>
      <c r="CW16" s="2">
        <f t="shared" si="24"/>
        <v>208.27010989547281</v>
      </c>
      <c r="CX16" s="2">
        <f t="shared" si="78"/>
        <v>1998.3387438253387</v>
      </c>
      <c r="CY16" s="2">
        <f t="shared" si="25"/>
        <v>188.61259850520969</v>
      </c>
      <c r="CZ16" s="2">
        <f t="shared" si="79"/>
        <v>1809.726145320129</v>
      </c>
      <c r="DA16" s="2">
        <f t="shared" si="80"/>
        <v>170.81045538767785</v>
      </c>
      <c r="DB16" s="2">
        <f t="shared" si="95"/>
        <v>1638.9156899324512</v>
      </c>
      <c r="DC16" s="2">
        <f t="shared" si="81"/>
        <v>138.91568993245119</v>
      </c>
      <c r="DD16" s="2">
        <f t="shared" si="96"/>
        <v>1500</v>
      </c>
      <c r="DE16" s="2">
        <v>0</v>
      </c>
      <c r="DF16" s="2">
        <f t="shared" si="97"/>
        <v>1500</v>
      </c>
      <c r="DG16" s="2">
        <v>0</v>
      </c>
      <c r="DH16" s="2">
        <f t="shared" si="98"/>
        <v>1500</v>
      </c>
      <c r="DI16" s="2"/>
      <c r="DJ16" s="2">
        <f t="shared" si="82"/>
        <v>1500</v>
      </c>
      <c r="DK16" s="2"/>
      <c r="DL16" s="2">
        <f t="shared" si="83"/>
        <v>1500</v>
      </c>
      <c r="DM16" s="2"/>
      <c r="DN16" s="2">
        <f t="shared" si="84"/>
        <v>1500</v>
      </c>
      <c r="DO16" s="2"/>
      <c r="DP16" s="2">
        <f t="shared" si="85"/>
        <v>1500</v>
      </c>
      <c r="DQ16" s="2"/>
      <c r="DR16" s="2">
        <f t="shared" si="86"/>
        <v>1500</v>
      </c>
      <c r="DS16" s="2"/>
      <c r="DT16" s="2">
        <f t="shared" si="26"/>
        <v>1500</v>
      </c>
      <c r="DU16" s="2"/>
      <c r="DV16" s="2"/>
      <c r="DW16" s="266">
        <f t="shared" si="27"/>
        <v>1500</v>
      </c>
      <c r="DX16" s="441">
        <f t="shared" si="87"/>
        <v>0</v>
      </c>
    </row>
    <row r="17" spans="1:128">
      <c r="A17" s="433">
        <f t="shared" si="28"/>
        <v>10</v>
      </c>
      <c r="B17" s="433" t="s">
        <v>493</v>
      </c>
      <c r="C17" s="434" t="s">
        <v>494</v>
      </c>
      <c r="D17" s="435">
        <v>0.1</v>
      </c>
      <c r="E17" s="442">
        <v>150000</v>
      </c>
      <c r="F17" s="437" t="s">
        <v>1001</v>
      </c>
      <c r="G17" s="438">
        <v>40254</v>
      </c>
      <c r="H17" s="438"/>
      <c r="I17" s="438"/>
      <c r="J17" s="438"/>
      <c r="K17" s="438"/>
      <c r="L17" s="438"/>
      <c r="M17" s="439"/>
      <c r="N17" s="439"/>
      <c r="O17" s="439"/>
      <c r="P17" s="433">
        <f>IF(($P$6-G17+1)&gt;365,365,($P$6-G17+1))+3</f>
        <v>18</v>
      </c>
      <c r="Q17" s="436">
        <f t="shared" si="29"/>
        <v>740</v>
      </c>
      <c r="R17" s="436">
        <f t="shared" si="30"/>
        <v>149260</v>
      </c>
      <c r="S17" s="433">
        <f t="shared" si="31"/>
        <v>365</v>
      </c>
      <c r="T17" s="436">
        <f t="shared" si="0"/>
        <v>20762</v>
      </c>
      <c r="U17" s="436">
        <f t="shared" si="32"/>
        <v>128498</v>
      </c>
      <c r="V17" s="433">
        <f t="shared" si="33"/>
        <v>365</v>
      </c>
      <c r="W17" s="436">
        <f>186694/(U59+825639)*U17</f>
        <v>7036.9186353723153</v>
      </c>
      <c r="X17" s="436">
        <f t="shared" si="34"/>
        <v>121461.08136462768</v>
      </c>
      <c r="Y17" s="433">
        <f t="shared" si="35"/>
        <v>365</v>
      </c>
      <c r="Z17" s="436">
        <f t="shared" si="88"/>
        <v>12146</v>
      </c>
      <c r="AA17" s="436">
        <f t="shared" si="89"/>
        <v>109315.08136462768</v>
      </c>
      <c r="AB17" s="433">
        <f t="shared" si="36"/>
        <v>365</v>
      </c>
      <c r="AC17" s="436">
        <f t="shared" si="37"/>
        <v>10932</v>
      </c>
      <c r="AD17" s="436">
        <f t="shared" si="38"/>
        <v>98383.08136462768</v>
      </c>
      <c r="AE17" s="436">
        <f t="shared" si="39"/>
        <v>51616.91863537232</v>
      </c>
      <c r="AF17" s="436">
        <f t="shared" si="40"/>
        <v>98383.08136462768</v>
      </c>
      <c r="AG17" s="436">
        <f t="shared" si="1"/>
        <v>0</v>
      </c>
      <c r="AH17" s="436">
        <f t="shared" si="41"/>
        <v>4.043835616438356</v>
      </c>
      <c r="AI17" s="439">
        <v>30</v>
      </c>
      <c r="AJ17" s="436">
        <f t="shared" si="2"/>
        <v>25.956164383561642</v>
      </c>
      <c r="AK17" s="440">
        <f t="shared" si="42"/>
        <v>9.4407522332060734E-2</v>
      </c>
      <c r="AL17" s="2">
        <f t="shared" si="43"/>
        <v>0</v>
      </c>
      <c r="AM17" s="433">
        <f t="shared" si="44"/>
        <v>365</v>
      </c>
      <c r="AN17" s="436">
        <f t="shared" si="90"/>
        <v>9838</v>
      </c>
      <c r="AO17" s="436">
        <f t="shared" si="45"/>
        <v>9288</v>
      </c>
      <c r="AP17" s="436">
        <f t="shared" si="46"/>
        <v>89095</v>
      </c>
      <c r="AQ17" s="436">
        <f t="shared" si="91"/>
        <v>89095.08136462768</v>
      </c>
      <c r="AR17" s="436">
        <f t="shared" si="92"/>
        <v>8.1364627680159174E-2</v>
      </c>
      <c r="AS17" s="436">
        <f t="shared" si="93"/>
        <v>-550</v>
      </c>
      <c r="AT17" s="2">
        <f t="shared" si="94"/>
        <v>88545.08136462768</v>
      </c>
      <c r="AU17" s="2">
        <f t="shared" si="3"/>
        <v>89095.08136462768</v>
      </c>
      <c r="AV17" s="2">
        <f t="shared" si="4"/>
        <v>0</v>
      </c>
      <c r="AW17" s="433">
        <f t="shared" si="47"/>
        <v>365</v>
      </c>
      <c r="AX17" s="2">
        <f t="shared" si="48"/>
        <v>8411.2458836078549</v>
      </c>
      <c r="AY17" s="2">
        <f t="shared" si="49"/>
        <v>80683.835481019822</v>
      </c>
      <c r="AZ17" s="433">
        <f t="shared" si="50"/>
        <v>365</v>
      </c>
      <c r="BA17" s="2">
        <f t="shared" si="51"/>
        <v>7617.161000010693</v>
      </c>
      <c r="BB17" s="2">
        <f t="shared" si="52"/>
        <v>73066.674481009133</v>
      </c>
      <c r="BC17" s="2">
        <f t="shared" si="53"/>
        <v>21900</v>
      </c>
      <c r="BD17" s="433">
        <f t="shared" si="54"/>
        <v>2571</v>
      </c>
      <c r="BE17" s="439">
        <f t="shared" si="55"/>
        <v>19329</v>
      </c>
      <c r="BF17" s="433">
        <f t="shared" si="56"/>
        <v>365</v>
      </c>
      <c r="BG17" s="2">
        <f t="shared" si="57"/>
        <v>6898.0437027952821</v>
      </c>
      <c r="BH17" s="2">
        <f t="shared" si="58"/>
        <v>66168.630778213846</v>
      </c>
      <c r="BI17" s="2">
        <f t="shared" si="5"/>
        <v>6246.8164878761045</v>
      </c>
      <c r="BJ17" s="2">
        <f t="shared" si="6"/>
        <v>59921.814290337745</v>
      </c>
      <c r="BK17" s="2">
        <f t="shared" si="59"/>
        <v>5657.07</v>
      </c>
      <c r="BL17" s="2">
        <f t="shared" si="7"/>
        <v>54264.744290337745</v>
      </c>
      <c r="BM17" s="2"/>
      <c r="BN17" s="2">
        <f t="shared" si="60"/>
        <v>54264.744290337745</v>
      </c>
      <c r="BO17" s="2">
        <f t="shared" si="8"/>
        <v>5123.0000584336258</v>
      </c>
      <c r="BP17" s="2">
        <f t="shared" si="61"/>
        <v>49141.744231904122</v>
      </c>
      <c r="BQ17" s="2"/>
      <c r="BR17" s="2">
        <f t="shared" si="9"/>
        <v>49141.744231904122</v>
      </c>
      <c r="BS17" s="2">
        <f t="shared" si="62"/>
        <v>4639.3503160099053</v>
      </c>
      <c r="BT17" s="2">
        <f t="shared" si="63"/>
        <v>44502.393915894216</v>
      </c>
      <c r="BU17" s="2">
        <f t="shared" si="10"/>
        <v>4201.3607474449473</v>
      </c>
      <c r="BV17" s="2">
        <f t="shared" si="64"/>
        <v>40301.03316844927</v>
      </c>
      <c r="BW17" s="2">
        <f t="shared" si="11"/>
        <v>3804.7206888554947</v>
      </c>
      <c r="BX17" s="2">
        <f t="shared" si="65"/>
        <v>36496.312479593777</v>
      </c>
      <c r="BY17" s="2">
        <f t="shared" si="12"/>
        <v>3445.5264354551164</v>
      </c>
      <c r="BZ17" s="2">
        <f t="shared" si="66"/>
        <v>33050.786044138658</v>
      </c>
      <c r="CA17" s="2">
        <f t="shared" si="13"/>
        <v>3120.2428215541818</v>
      </c>
      <c r="CB17" s="2">
        <f t="shared" si="67"/>
        <v>29930.543222584478</v>
      </c>
      <c r="CC17" s="2">
        <f t="shared" si="14"/>
        <v>2825.6684276968531</v>
      </c>
      <c r="CD17" s="2">
        <f t="shared" si="68"/>
        <v>27104.874794887626</v>
      </c>
      <c r="CE17" s="2">
        <f t="shared" si="15"/>
        <v>2558.9040725060636</v>
      </c>
      <c r="CF17" s="2">
        <f t="shared" si="69"/>
        <v>24545.970722381564</v>
      </c>
      <c r="CG17" s="2">
        <f t="shared" si="16"/>
        <v>2317.3242791353464</v>
      </c>
      <c r="CH17" s="2">
        <f t="shared" si="70"/>
        <v>22228.646443246216</v>
      </c>
      <c r="CI17" s="2">
        <f t="shared" si="17"/>
        <v>2098.5514355022497</v>
      </c>
      <c r="CJ17" s="2">
        <f t="shared" si="71"/>
        <v>20130.095007743967</v>
      </c>
      <c r="CK17" s="2">
        <f t="shared" si="18"/>
        <v>1900.4323939900928</v>
      </c>
      <c r="CL17" s="2">
        <f t="shared" si="72"/>
        <v>18229.662613753873</v>
      </c>
      <c r="CM17" s="2">
        <f t="shared" si="19"/>
        <v>1721.0172803139014</v>
      </c>
      <c r="CN17" s="2">
        <f t="shared" si="73"/>
        <v>16508.64533343997</v>
      </c>
      <c r="CO17" s="2">
        <f t="shared" si="20"/>
        <v>1558.5403029888041</v>
      </c>
      <c r="CP17" s="2">
        <f t="shared" si="74"/>
        <v>14950.105030451166</v>
      </c>
      <c r="CQ17" s="2">
        <f t="shared" si="21"/>
        <v>1411.4023745289719</v>
      </c>
      <c r="CR17" s="2">
        <f t="shared" si="75"/>
        <v>13538.702655922194</v>
      </c>
      <c r="CS17" s="2">
        <f t="shared" si="22"/>
        <v>1278.1553733361045</v>
      </c>
      <c r="CT17" s="2">
        <f t="shared" si="76"/>
        <v>12260.547282586089</v>
      </c>
      <c r="CU17" s="2">
        <f t="shared" si="23"/>
        <v>1157.4878913840328</v>
      </c>
      <c r="CV17" s="2">
        <f t="shared" si="77"/>
        <v>11103.059391202056</v>
      </c>
      <c r="CW17" s="2">
        <f t="shared" si="24"/>
        <v>1048.2123274291048</v>
      </c>
      <c r="CX17" s="2">
        <f t="shared" si="78"/>
        <v>10054.847063772952</v>
      </c>
      <c r="CY17" s="2">
        <f t="shared" si="25"/>
        <v>949.25319871860017</v>
      </c>
      <c r="CZ17" s="2">
        <f t="shared" si="79"/>
        <v>9105.5938650543521</v>
      </c>
      <c r="DA17" s="2">
        <f t="shared" si="80"/>
        <v>859.63655616179392</v>
      </c>
      <c r="DB17" s="2">
        <f t="shared" si="95"/>
        <v>8245.957308892559</v>
      </c>
      <c r="DC17" s="2">
        <f t="shared" si="81"/>
        <v>745.95730889255901</v>
      </c>
      <c r="DD17" s="2">
        <f t="shared" si="96"/>
        <v>7500</v>
      </c>
      <c r="DE17" s="2">
        <v>0</v>
      </c>
      <c r="DF17" s="2">
        <f t="shared" si="97"/>
        <v>7500</v>
      </c>
      <c r="DG17" s="2">
        <v>0</v>
      </c>
      <c r="DH17" s="2">
        <f t="shared" si="98"/>
        <v>7500</v>
      </c>
      <c r="DI17" s="2"/>
      <c r="DJ17" s="2">
        <f t="shared" si="82"/>
        <v>7500</v>
      </c>
      <c r="DK17" s="2"/>
      <c r="DL17" s="2">
        <f t="shared" si="83"/>
        <v>7500</v>
      </c>
      <c r="DM17" s="2"/>
      <c r="DN17" s="2">
        <f t="shared" si="84"/>
        <v>7500</v>
      </c>
      <c r="DO17" s="2"/>
      <c r="DP17" s="2">
        <f t="shared" si="85"/>
        <v>7500</v>
      </c>
      <c r="DQ17" s="2"/>
      <c r="DR17" s="2">
        <f t="shared" si="86"/>
        <v>7500</v>
      </c>
      <c r="DS17" s="2"/>
      <c r="DT17" s="2">
        <f t="shared" si="26"/>
        <v>7500</v>
      </c>
      <c r="DU17" s="2"/>
      <c r="DV17" s="2"/>
      <c r="DW17" s="266">
        <f t="shared" si="27"/>
        <v>7500</v>
      </c>
      <c r="DX17" s="441">
        <f t="shared" si="87"/>
        <v>0</v>
      </c>
    </row>
    <row r="18" spans="1:128">
      <c r="A18" s="433">
        <f t="shared" si="28"/>
        <v>11</v>
      </c>
      <c r="B18" s="433" t="s">
        <v>493</v>
      </c>
      <c r="C18" s="434" t="s">
        <v>494</v>
      </c>
      <c r="D18" s="435">
        <v>0.1</v>
      </c>
      <c r="E18" s="442">
        <v>150000</v>
      </c>
      <c r="F18" s="437" t="s">
        <v>1001</v>
      </c>
      <c r="G18" s="438">
        <v>40255</v>
      </c>
      <c r="H18" s="438"/>
      <c r="I18" s="438"/>
      <c r="J18" s="438"/>
      <c r="K18" s="438"/>
      <c r="L18" s="438"/>
      <c r="M18" s="439"/>
      <c r="N18" s="439"/>
      <c r="O18" s="439"/>
      <c r="P18" s="433">
        <f>IF(($P$6-G18+1)&gt;365,365,($P$6-G18+1))+3</f>
        <v>17</v>
      </c>
      <c r="Q18" s="436">
        <f t="shared" si="29"/>
        <v>699</v>
      </c>
      <c r="R18" s="436">
        <f t="shared" si="30"/>
        <v>149301</v>
      </c>
      <c r="S18" s="433">
        <f t="shared" si="31"/>
        <v>365</v>
      </c>
      <c r="T18" s="436">
        <f t="shared" si="0"/>
        <v>20768</v>
      </c>
      <c r="U18" s="436">
        <f t="shared" si="32"/>
        <v>128533</v>
      </c>
      <c r="V18" s="433">
        <f t="shared" si="33"/>
        <v>365</v>
      </c>
      <c r="W18" s="436">
        <f>186694/(U59+825639)*U18</f>
        <v>7038.8353356496582</v>
      </c>
      <c r="X18" s="436">
        <f t="shared" si="34"/>
        <v>121494.16466435035</v>
      </c>
      <c r="Y18" s="433">
        <f t="shared" si="35"/>
        <v>365</v>
      </c>
      <c r="Z18" s="436">
        <f t="shared" si="88"/>
        <v>12149</v>
      </c>
      <c r="AA18" s="436">
        <f t="shared" si="89"/>
        <v>109345.16466435035</v>
      </c>
      <c r="AB18" s="433">
        <f t="shared" si="36"/>
        <v>365</v>
      </c>
      <c r="AC18" s="436">
        <f t="shared" si="37"/>
        <v>10935</v>
      </c>
      <c r="AD18" s="436">
        <f t="shared" si="38"/>
        <v>98410.164664350348</v>
      </c>
      <c r="AE18" s="436">
        <f t="shared" si="39"/>
        <v>51589.835335649659</v>
      </c>
      <c r="AF18" s="436">
        <f t="shared" si="40"/>
        <v>98410.164664350334</v>
      </c>
      <c r="AG18" s="436">
        <f t="shared" si="1"/>
        <v>0</v>
      </c>
      <c r="AH18" s="436">
        <f t="shared" si="41"/>
        <v>4.0410958904109586</v>
      </c>
      <c r="AI18" s="439">
        <v>30</v>
      </c>
      <c r="AJ18" s="436">
        <f t="shared" si="2"/>
        <v>25.958904109589042</v>
      </c>
      <c r="AK18" s="440">
        <f t="shared" si="42"/>
        <v>9.4407646486369567E-2</v>
      </c>
      <c r="AL18" s="2">
        <f t="shared" si="43"/>
        <v>0</v>
      </c>
      <c r="AM18" s="433">
        <f t="shared" si="44"/>
        <v>365</v>
      </c>
      <c r="AN18" s="436">
        <f t="shared" si="90"/>
        <v>9841</v>
      </c>
      <c r="AO18" s="436">
        <f t="shared" si="45"/>
        <v>9291</v>
      </c>
      <c r="AP18" s="436">
        <f t="shared" si="46"/>
        <v>89119</v>
      </c>
      <c r="AQ18" s="436">
        <f t="shared" si="91"/>
        <v>89119.164664350334</v>
      </c>
      <c r="AR18" s="436">
        <f t="shared" si="92"/>
        <v>0.16466435033362359</v>
      </c>
      <c r="AS18" s="436">
        <f t="shared" si="93"/>
        <v>-550</v>
      </c>
      <c r="AT18" s="2">
        <f t="shared" si="94"/>
        <v>88569.164664350334</v>
      </c>
      <c r="AU18" s="2">
        <f t="shared" si="3"/>
        <v>89119.164664350334</v>
      </c>
      <c r="AV18" s="2">
        <f t="shared" si="4"/>
        <v>0</v>
      </c>
      <c r="AW18" s="433">
        <f t="shared" si="47"/>
        <v>365</v>
      </c>
      <c r="AX18" s="2">
        <f t="shared" si="48"/>
        <v>8413.5305927925456</v>
      </c>
      <c r="AY18" s="2">
        <f t="shared" si="49"/>
        <v>80705.634071557783</v>
      </c>
      <c r="AZ18" s="433">
        <f t="shared" si="50"/>
        <v>365</v>
      </c>
      <c r="BA18" s="2">
        <f t="shared" si="51"/>
        <v>7619.2289708859298</v>
      </c>
      <c r="BB18" s="2">
        <f t="shared" si="52"/>
        <v>73086.405100671851</v>
      </c>
      <c r="BC18" s="2">
        <f t="shared" si="53"/>
        <v>21900</v>
      </c>
      <c r="BD18" s="433">
        <f t="shared" si="54"/>
        <v>2570</v>
      </c>
      <c r="BE18" s="439">
        <f t="shared" si="55"/>
        <v>19330</v>
      </c>
      <c r="BF18" s="433">
        <f t="shared" si="56"/>
        <v>365</v>
      </c>
      <c r="BG18" s="2">
        <f t="shared" si="57"/>
        <v>6899.9154957038254</v>
      </c>
      <c r="BH18" s="2">
        <f t="shared" si="58"/>
        <v>66186.489604968025</v>
      </c>
      <c r="BI18" s="2">
        <f t="shared" si="5"/>
        <v>6248.5107127995952</v>
      </c>
      <c r="BJ18" s="2">
        <f t="shared" si="6"/>
        <v>59937.97889216843</v>
      </c>
      <c r="BK18" s="2">
        <f t="shared" si="59"/>
        <v>5658.6</v>
      </c>
      <c r="BL18" s="2">
        <f t="shared" si="7"/>
        <v>54279.378892168432</v>
      </c>
      <c r="BM18" s="2"/>
      <c r="BN18" s="2">
        <f t="shared" si="60"/>
        <v>54279.378892168432</v>
      </c>
      <c r="BO18" s="2">
        <f t="shared" si="8"/>
        <v>5124.3884139515476</v>
      </c>
      <c r="BP18" s="2">
        <f t="shared" si="61"/>
        <v>49154.990478216881</v>
      </c>
      <c r="BQ18" s="2"/>
      <c r="BR18" s="2">
        <f t="shared" si="9"/>
        <v>49154.990478216881</v>
      </c>
      <c r="BS18" s="2">
        <f t="shared" si="62"/>
        <v>4640.6069641083614</v>
      </c>
      <c r="BT18" s="2">
        <f t="shared" si="63"/>
        <v>44514.383514108522</v>
      </c>
      <c r="BU18" s="2">
        <f t="shared" si="10"/>
        <v>4202.4981823586349</v>
      </c>
      <c r="BV18" s="2">
        <f t="shared" si="64"/>
        <v>40311.885331749887</v>
      </c>
      <c r="BW18" s="2">
        <f t="shared" si="11"/>
        <v>3805.75021959891</v>
      </c>
      <c r="BX18" s="2">
        <f t="shared" si="65"/>
        <v>36506.13511215098</v>
      </c>
      <c r="BY18" s="2">
        <f t="shared" si="12"/>
        <v>3446.4582982515931</v>
      </c>
      <c r="BZ18" s="2">
        <f t="shared" si="66"/>
        <v>33059.676813899387</v>
      </c>
      <c r="CA18" s="2">
        <f t="shared" si="13"/>
        <v>3121.0862816002418</v>
      </c>
      <c r="CB18" s="2">
        <f t="shared" si="67"/>
        <v>29938.590532299146</v>
      </c>
      <c r="CC18" s="2">
        <f t="shared" si="14"/>
        <v>2826.4318712734685</v>
      </c>
      <c r="CD18" s="2">
        <f t="shared" si="68"/>
        <v>27112.158661025678</v>
      </c>
      <c r="CE18" s="2">
        <f t="shared" si="15"/>
        <v>2559.5950903524749</v>
      </c>
      <c r="CF18" s="2">
        <f t="shared" si="69"/>
        <v>24552.563570673203</v>
      </c>
      <c r="CG18" s="2">
        <f t="shared" si="16"/>
        <v>2317.9497419142313</v>
      </c>
      <c r="CH18" s="2">
        <f t="shared" si="70"/>
        <v>22234.613828758971</v>
      </c>
      <c r="CI18" s="2">
        <f t="shared" si="17"/>
        <v>2099.1175621064212</v>
      </c>
      <c r="CJ18" s="2">
        <f t="shared" si="71"/>
        <v>20135.49626665255</v>
      </c>
      <c r="CK18" s="2">
        <f t="shared" si="18"/>
        <v>1900.9448133697481</v>
      </c>
      <c r="CL18" s="2">
        <f t="shared" si="72"/>
        <v>18234.551453282802</v>
      </c>
      <c r="CM18" s="2">
        <f t="shared" si="19"/>
        <v>1721.4810874390391</v>
      </c>
      <c r="CN18" s="2">
        <f t="shared" si="73"/>
        <v>16513.070365843763</v>
      </c>
      <c r="CO18" s="2">
        <f t="shared" si="20"/>
        <v>1558.9601095031235</v>
      </c>
      <c r="CP18" s="2">
        <f t="shared" si="74"/>
        <v>14954.11025634064</v>
      </c>
      <c r="CQ18" s="2">
        <f t="shared" si="21"/>
        <v>1411.7823545988006</v>
      </c>
      <c r="CR18" s="2">
        <f t="shared" si="75"/>
        <v>13542.327901741839</v>
      </c>
      <c r="CS18" s="2">
        <f t="shared" si="22"/>
        <v>1278.4993051501424</v>
      </c>
      <c r="CT18" s="2">
        <f t="shared" si="76"/>
        <v>12263.828596591697</v>
      </c>
      <c r="CU18" s="2">
        <f t="shared" si="23"/>
        <v>1157.7991947164587</v>
      </c>
      <c r="CV18" s="2">
        <f t="shared" si="77"/>
        <v>11106.029401875237</v>
      </c>
      <c r="CW18" s="2">
        <f t="shared" si="24"/>
        <v>1048.4940976394639</v>
      </c>
      <c r="CX18" s="2">
        <f t="shared" si="78"/>
        <v>10057.535304235773</v>
      </c>
      <c r="CY18" s="2">
        <f t="shared" si="25"/>
        <v>949.50823752647227</v>
      </c>
      <c r="CZ18" s="2">
        <f t="shared" si="79"/>
        <v>9108.0270667093009</v>
      </c>
      <c r="DA18" s="2">
        <f t="shared" si="80"/>
        <v>859.86739950217725</v>
      </c>
      <c r="DB18" s="2">
        <f t="shared" si="95"/>
        <v>8248.1596672071246</v>
      </c>
      <c r="DC18" s="2">
        <f t="shared" si="81"/>
        <v>748.15966720712458</v>
      </c>
      <c r="DD18" s="2">
        <f t="shared" si="96"/>
        <v>7500</v>
      </c>
      <c r="DE18" s="2">
        <v>0</v>
      </c>
      <c r="DF18" s="2">
        <f t="shared" si="97"/>
        <v>7500</v>
      </c>
      <c r="DG18" s="2">
        <v>0</v>
      </c>
      <c r="DH18" s="2">
        <f t="shared" si="98"/>
        <v>7500</v>
      </c>
      <c r="DI18" s="2"/>
      <c r="DJ18" s="2">
        <f t="shared" si="82"/>
        <v>7500</v>
      </c>
      <c r="DK18" s="2"/>
      <c r="DL18" s="2">
        <f t="shared" si="83"/>
        <v>7500</v>
      </c>
      <c r="DM18" s="2"/>
      <c r="DN18" s="2">
        <f t="shared" si="84"/>
        <v>7500</v>
      </c>
      <c r="DO18" s="2"/>
      <c r="DP18" s="2">
        <f t="shared" si="85"/>
        <v>7500</v>
      </c>
      <c r="DQ18" s="2"/>
      <c r="DR18" s="2">
        <f t="shared" si="86"/>
        <v>7500</v>
      </c>
      <c r="DS18" s="2"/>
      <c r="DT18" s="2">
        <f t="shared" si="26"/>
        <v>7500</v>
      </c>
      <c r="DU18" s="2"/>
      <c r="DV18" s="2"/>
      <c r="DW18" s="266">
        <f t="shared" si="27"/>
        <v>7500</v>
      </c>
      <c r="DX18" s="441">
        <f t="shared" si="87"/>
        <v>0</v>
      </c>
    </row>
    <row r="19" spans="1:128">
      <c r="A19" s="433">
        <f t="shared" si="28"/>
        <v>12</v>
      </c>
      <c r="B19" s="433" t="s">
        <v>493</v>
      </c>
      <c r="C19" s="434" t="s">
        <v>494</v>
      </c>
      <c r="D19" s="435">
        <v>0.1</v>
      </c>
      <c r="E19" s="442">
        <v>4450</v>
      </c>
      <c r="F19" s="437" t="s">
        <v>1001</v>
      </c>
      <c r="G19" s="438">
        <v>40770</v>
      </c>
      <c r="H19" s="438"/>
      <c r="I19" s="438"/>
      <c r="J19" s="438"/>
      <c r="K19" s="438"/>
      <c r="L19" s="438"/>
      <c r="M19" s="439"/>
      <c r="N19" s="439"/>
      <c r="O19" s="439"/>
      <c r="P19" s="433"/>
      <c r="Q19" s="436"/>
      <c r="R19" s="436"/>
      <c r="S19" s="2">
        <v>0</v>
      </c>
      <c r="T19" s="2">
        <v>0</v>
      </c>
      <c r="U19" s="436">
        <f t="shared" ref="U19:U44" si="99">E19-T19</f>
        <v>4450</v>
      </c>
      <c r="V19" s="433">
        <f t="shared" si="33"/>
        <v>230</v>
      </c>
      <c r="W19" s="436">
        <f>186694/(U59+825639)*U19</f>
        <v>243.69474954790584</v>
      </c>
      <c r="X19" s="436">
        <f t="shared" si="34"/>
        <v>4206.3052504520938</v>
      </c>
      <c r="Y19" s="433">
        <f t="shared" si="35"/>
        <v>365</v>
      </c>
      <c r="Z19" s="436">
        <f t="shared" si="88"/>
        <v>421</v>
      </c>
      <c r="AA19" s="436">
        <f t="shared" si="89"/>
        <v>3785.3052504520938</v>
      </c>
      <c r="AB19" s="433">
        <f t="shared" si="36"/>
        <v>365</v>
      </c>
      <c r="AC19" s="436">
        <f t="shared" si="37"/>
        <v>379</v>
      </c>
      <c r="AD19" s="436">
        <f t="shared" si="38"/>
        <v>3406.3052504520938</v>
      </c>
      <c r="AE19" s="436">
        <f t="shared" si="39"/>
        <v>1043.6947495479058</v>
      </c>
      <c r="AF19" s="436">
        <f t="shared" si="40"/>
        <v>3406.3052504520942</v>
      </c>
      <c r="AG19" s="436">
        <f t="shared" si="1"/>
        <v>0</v>
      </c>
      <c r="AH19" s="436">
        <f t="shared" si="41"/>
        <v>2.6301369863013697</v>
      </c>
      <c r="AI19" s="439">
        <v>30</v>
      </c>
      <c r="AJ19" s="436">
        <f t="shared" si="2"/>
        <v>27.36986301369863</v>
      </c>
      <c r="AK19" s="440">
        <f t="shared" si="42"/>
        <v>9.4880541912331084E-2</v>
      </c>
      <c r="AL19" s="2">
        <f t="shared" si="43"/>
        <v>0</v>
      </c>
      <c r="AM19" s="433">
        <f t="shared" si="44"/>
        <v>365</v>
      </c>
      <c r="AN19" s="436">
        <f t="shared" si="90"/>
        <v>341</v>
      </c>
      <c r="AO19" s="436">
        <f t="shared" si="45"/>
        <v>323</v>
      </c>
      <c r="AP19" s="436">
        <f t="shared" si="46"/>
        <v>3083</v>
      </c>
      <c r="AQ19" s="436">
        <f t="shared" si="91"/>
        <v>3083.3052504520942</v>
      </c>
      <c r="AR19" s="436">
        <f t="shared" si="92"/>
        <v>0.30525045209424206</v>
      </c>
      <c r="AS19" s="436">
        <f t="shared" si="93"/>
        <v>-18</v>
      </c>
      <c r="AT19" s="2">
        <f t="shared" si="94"/>
        <v>3065.3052504520942</v>
      </c>
      <c r="AU19" s="2">
        <f t="shared" si="3"/>
        <v>3083.3052504520942</v>
      </c>
      <c r="AV19" s="2">
        <f t="shared" si="4"/>
        <v>0</v>
      </c>
      <c r="AW19" s="433">
        <f t="shared" si="47"/>
        <v>365</v>
      </c>
      <c r="AX19" s="2">
        <f t="shared" si="48"/>
        <v>292.54567304403042</v>
      </c>
      <c r="AY19" s="2">
        <f t="shared" si="49"/>
        <v>2790.7595774080637</v>
      </c>
      <c r="AZ19" s="433">
        <f t="shared" si="50"/>
        <v>365</v>
      </c>
      <c r="BA19" s="2">
        <f t="shared" si="51"/>
        <v>264.78878105150517</v>
      </c>
      <c r="BB19" s="2">
        <f t="shared" si="52"/>
        <v>2525.9707963565584</v>
      </c>
      <c r="BC19" s="2">
        <f t="shared" si="53"/>
        <v>21900</v>
      </c>
      <c r="BD19" s="433">
        <f t="shared" si="54"/>
        <v>2055</v>
      </c>
      <c r="BE19" s="439">
        <f t="shared" si="55"/>
        <v>19845</v>
      </c>
      <c r="BF19" s="433">
        <f t="shared" si="56"/>
        <v>365</v>
      </c>
      <c r="BG19" s="2">
        <f t="shared" si="57"/>
        <v>239.66547801303275</v>
      </c>
      <c r="BH19" s="2">
        <f t="shared" si="58"/>
        <v>2286.3053183435254</v>
      </c>
      <c r="BI19" s="2">
        <f t="shared" si="5"/>
        <v>216.92588758147832</v>
      </c>
      <c r="BJ19" s="2">
        <f t="shared" si="6"/>
        <v>2069.3794307620469</v>
      </c>
      <c r="BK19" s="2">
        <f t="shared" si="59"/>
        <v>196.34</v>
      </c>
      <c r="BL19" s="2">
        <f t="shared" si="7"/>
        <v>1873.039430762047</v>
      </c>
      <c r="BM19" s="2"/>
      <c r="BN19" s="2">
        <f t="shared" si="60"/>
        <v>1873.039430762047</v>
      </c>
      <c r="BO19" s="2">
        <f t="shared" si="8"/>
        <v>177.71499621386715</v>
      </c>
      <c r="BP19" s="2">
        <f t="shared" si="61"/>
        <v>1695.3244345481799</v>
      </c>
      <c r="BQ19" s="2"/>
      <c r="BR19" s="2">
        <f t="shared" si="9"/>
        <v>1695.3244345481799</v>
      </c>
      <c r="BS19" s="2">
        <f t="shared" si="62"/>
        <v>160.85330106714758</v>
      </c>
      <c r="BT19" s="2">
        <f t="shared" si="63"/>
        <v>1534.4711334810322</v>
      </c>
      <c r="BU19" s="2">
        <f t="shared" si="10"/>
        <v>145.59145269350927</v>
      </c>
      <c r="BV19" s="2">
        <f t="shared" si="64"/>
        <v>1388.8796807875228</v>
      </c>
      <c r="BW19" s="2">
        <f t="shared" si="11"/>
        <v>131.77765676414558</v>
      </c>
      <c r="BX19" s="2">
        <f t="shared" si="65"/>
        <v>1257.1020240233772</v>
      </c>
      <c r="BY19" s="2">
        <f t="shared" si="12"/>
        <v>119.27452127842628</v>
      </c>
      <c r="BZ19" s="2">
        <f t="shared" si="66"/>
        <v>1137.8275027449508</v>
      </c>
      <c r="CA19" s="2">
        <f t="shared" si="13"/>
        <v>107.95769006319532</v>
      </c>
      <c r="CB19" s="2">
        <f t="shared" si="67"/>
        <v>1029.8698126817555</v>
      </c>
      <c r="CC19" s="2">
        <f t="shared" si="14"/>
        <v>97.714605926395876</v>
      </c>
      <c r="CD19" s="2">
        <f t="shared" si="68"/>
        <v>932.1552067553597</v>
      </c>
      <c r="CE19" s="2">
        <f t="shared" si="15"/>
        <v>88.44339116334956</v>
      </c>
      <c r="CF19" s="2">
        <f t="shared" si="69"/>
        <v>843.71181559201011</v>
      </c>
      <c r="CG19" s="2">
        <f t="shared" si="16"/>
        <v>80.051834281206666</v>
      </c>
      <c r="CH19" s="2">
        <f t="shared" si="70"/>
        <v>763.65998131080346</v>
      </c>
      <c r="CI19" s="2">
        <f t="shared" si="17"/>
        <v>72.456472863529655</v>
      </c>
      <c r="CJ19" s="2">
        <f t="shared" si="71"/>
        <v>691.20350844727386</v>
      </c>
      <c r="CK19" s="2">
        <f t="shared" si="18"/>
        <v>65.581763453181864</v>
      </c>
      <c r="CL19" s="2">
        <f t="shared" si="72"/>
        <v>625.62174499409196</v>
      </c>
      <c r="CM19" s="2">
        <f t="shared" si="19"/>
        <v>59.359330197177648</v>
      </c>
      <c r="CN19" s="2">
        <f t="shared" si="73"/>
        <v>566.2624147969143</v>
      </c>
      <c r="CO19" s="2">
        <f t="shared" si="20"/>
        <v>53.727284780516435</v>
      </c>
      <c r="CP19" s="2">
        <f t="shared" si="74"/>
        <v>512.53513001639783</v>
      </c>
      <c r="CQ19" s="2">
        <f t="shared" si="21"/>
        <v>48.629610885062895</v>
      </c>
      <c r="CR19" s="2">
        <f t="shared" si="75"/>
        <v>463.90551913133493</v>
      </c>
      <c r="CS19" s="2">
        <f t="shared" si="22"/>
        <v>44.015607051302332</v>
      </c>
      <c r="CT19" s="2">
        <f t="shared" si="76"/>
        <v>419.88991208003262</v>
      </c>
      <c r="CU19" s="2">
        <f t="shared" si="23"/>
        <v>39.839382401674548</v>
      </c>
      <c r="CV19" s="2">
        <f t="shared" si="77"/>
        <v>380.05052967835809</v>
      </c>
      <c r="CW19" s="2">
        <f t="shared" si="24"/>
        <v>36.059400209951086</v>
      </c>
      <c r="CX19" s="2">
        <f t="shared" si="78"/>
        <v>343.991129468407</v>
      </c>
      <c r="CY19" s="2">
        <f t="shared" si="25"/>
        <v>32.638064776997297</v>
      </c>
      <c r="CZ19" s="2">
        <f t="shared" si="79"/>
        <v>311.35306469140971</v>
      </c>
      <c r="DA19" s="2">
        <f t="shared" si="80"/>
        <v>29.541347503986032</v>
      </c>
      <c r="DB19" s="2">
        <f t="shared" si="95"/>
        <v>281.81171718742371</v>
      </c>
      <c r="DC19" s="2">
        <f t="shared" ref="DC19:DC32" si="100">+DB19*AK19</f>
        <v>26.738448443987348</v>
      </c>
      <c r="DD19" s="2">
        <f t="shared" si="96"/>
        <v>255.07326874343636</v>
      </c>
      <c r="DE19" s="2">
        <f t="shared" ref="DE19:DE32" si="101">+DD19*AK19</f>
        <v>24.201489965726903</v>
      </c>
      <c r="DF19" s="2">
        <f t="shared" si="97"/>
        <v>230.87177877770947</v>
      </c>
      <c r="DG19" s="2">
        <f t="shared" ref="DG19:DG31" si="102">+DF19-E19*5%</f>
        <v>8.3717787777094657</v>
      </c>
      <c r="DH19" s="2">
        <f t="shared" si="98"/>
        <v>222.5</v>
      </c>
      <c r="DI19" s="2"/>
      <c r="DJ19" s="2">
        <f t="shared" si="82"/>
        <v>222.5</v>
      </c>
      <c r="DK19" s="2"/>
      <c r="DL19" s="2">
        <f t="shared" si="83"/>
        <v>222.5</v>
      </c>
      <c r="DM19" s="2"/>
      <c r="DN19" s="2">
        <f t="shared" si="84"/>
        <v>222.5</v>
      </c>
      <c r="DO19" s="2"/>
      <c r="DP19" s="2">
        <f t="shared" si="85"/>
        <v>222.5</v>
      </c>
      <c r="DQ19" s="2"/>
      <c r="DR19" s="2">
        <f t="shared" si="86"/>
        <v>222.5</v>
      </c>
      <c r="DS19" s="2"/>
      <c r="DT19" s="2">
        <f t="shared" si="26"/>
        <v>222.5</v>
      </c>
      <c r="DU19" s="2"/>
      <c r="DV19" s="2"/>
      <c r="DW19" s="266">
        <f t="shared" si="27"/>
        <v>222.5</v>
      </c>
      <c r="DX19" s="441">
        <f t="shared" si="87"/>
        <v>0</v>
      </c>
    </row>
    <row r="20" spans="1:128">
      <c r="A20" s="433">
        <f t="shared" si="28"/>
        <v>13</v>
      </c>
      <c r="B20" s="433" t="s">
        <v>493</v>
      </c>
      <c r="C20" s="434" t="s">
        <v>494</v>
      </c>
      <c r="D20" s="435">
        <v>0.1</v>
      </c>
      <c r="E20" s="442">
        <v>10567</v>
      </c>
      <c r="F20" s="437" t="s">
        <v>1001</v>
      </c>
      <c r="G20" s="438">
        <v>40770</v>
      </c>
      <c r="H20" s="438"/>
      <c r="I20" s="438"/>
      <c r="J20" s="438"/>
      <c r="K20" s="438"/>
      <c r="L20" s="438"/>
      <c r="M20" s="439"/>
      <c r="N20" s="439"/>
      <c r="O20" s="439"/>
      <c r="P20" s="433"/>
      <c r="Q20" s="436"/>
      <c r="R20" s="436"/>
      <c r="S20" s="2">
        <v>0</v>
      </c>
      <c r="T20" s="2">
        <v>0</v>
      </c>
      <c r="U20" s="436">
        <f t="shared" si="99"/>
        <v>10567</v>
      </c>
      <c r="V20" s="433">
        <f t="shared" si="33"/>
        <v>230</v>
      </c>
      <c r="W20" s="436">
        <f>186694/(U59+825639)*U20</f>
        <v>578.6791951624092</v>
      </c>
      <c r="X20" s="436">
        <f t="shared" si="34"/>
        <v>9988.3208048375909</v>
      </c>
      <c r="Y20" s="433">
        <f t="shared" si="35"/>
        <v>365</v>
      </c>
      <c r="Z20" s="436">
        <f t="shared" si="88"/>
        <v>999</v>
      </c>
      <c r="AA20" s="436">
        <f t="shared" si="89"/>
        <v>8989.3208048375909</v>
      </c>
      <c r="AB20" s="433">
        <f t="shared" si="36"/>
        <v>365</v>
      </c>
      <c r="AC20" s="436">
        <f t="shared" si="37"/>
        <v>899</v>
      </c>
      <c r="AD20" s="436">
        <f t="shared" si="38"/>
        <v>8090.3208048375909</v>
      </c>
      <c r="AE20" s="436">
        <f t="shared" si="39"/>
        <v>2476.6791951624091</v>
      </c>
      <c r="AF20" s="436">
        <f t="shared" si="40"/>
        <v>8090.3208048375909</v>
      </c>
      <c r="AG20" s="436">
        <f t="shared" si="1"/>
        <v>0</v>
      </c>
      <c r="AH20" s="436">
        <f t="shared" si="41"/>
        <v>2.6301369863013697</v>
      </c>
      <c r="AI20" s="439">
        <v>30</v>
      </c>
      <c r="AJ20" s="436">
        <f t="shared" si="2"/>
        <v>27.36986301369863</v>
      </c>
      <c r="AK20" s="440">
        <f t="shared" si="42"/>
        <v>9.4887431803700184E-2</v>
      </c>
      <c r="AL20" s="2">
        <f t="shared" si="43"/>
        <v>0</v>
      </c>
      <c r="AM20" s="433">
        <f t="shared" si="44"/>
        <v>365</v>
      </c>
      <c r="AN20" s="436">
        <f t="shared" si="90"/>
        <v>809</v>
      </c>
      <c r="AO20" s="436">
        <f t="shared" si="45"/>
        <v>768</v>
      </c>
      <c r="AP20" s="436">
        <f t="shared" si="46"/>
        <v>7322</v>
      </c>
      <c r="AQ20" s="436">
        <f t="shared" si="91"/>
        <v>7322.3208048375909</v>
      </c>
      <c r="AR20" s="436">
        <f t="shared" si="92"/>
        <v>0.32080483759091294</v>
      </c>
      <c r="AS20" s="436">
        <f t="shared" si="93"/>
        <v>-41</v>
      </c>
      <c r="AT20" s="2">
        <f t="shared" si="94"/>
        <v>7281.3208048375909</v>
      </c>
      <c r="AU20" s="2">
        <f t="shared" si="3"/>
        <v>7322.3208048375909</v>
      </c>
      <c r="AV20" s="2">
        <f t="shared" si="4"/>
        <v>0</v>
      </c>
      <c r="AW20" s="433">
        <f t="shared" si="47"/>
        <v>365</v>
      </c>
      <c r="AX20" s="2">
        <f t="shared" si="48"/>
        <v>694.7962160138419</v>
      </c>
      <c r="AY20" s="2">
        <f t="shared" si="49"/>
        <v>6627.5245888237487</v>
      </c>
      <c r="AZ20" s="433">
        <f t="shared" si="50"/>
        <v>365</v>
      </c>
      <c r="BA20" s="2">
        <f t="shared" si="51"/>
        <v>628.8687874493595</v>
      </c>
      <c r="BB20" s="2">
        <f t="shared" si="52"/>
        <v>5998.6558013743888</v>
      </c>
      <c r="BC20" s="2">
        <f t="shared" si="53"/>
        <v>21900</v>
      </c>
      <c r="BD20" s="433">
        <f t="shared" si="54"/>
        <v>2055</v>
      </c>
      <c r="BE20" s="439">
        <f t="shared" si="55"/>
        <v>19845</v>
      </c>
      <c r="BF20" s="433">
        <f t="shared" si="56"/>
        <v>365</v>
      </c>
      <c r="BG20" s="2">
        <f t="shared" si="57"/>
        <v>569.19704326678277</v>
      </c>
      <c r="BH20" s="2">
        <f t="shared" si="58"/>
        <v>5429.4587581076057</v>
      </c>
      <c r="BI20" s="2">
        <f t="shared" si="5"/>
        <v>515.18739764093812</v>
      </c>
      <c r="BJ20" s="2">
        <f t="shared" si="6"/>
        <v>4914.2713604666678</v>
      </c>
      <c r="BK20" s="2">
        <f t="shared" si="59"/>
        <v>466.3</v>
      </c>
      <c r="BL20" s="2">
        <f t="shared" si="7"/>
        <v>4447.9713604666676</v>
      </c>
      <c r="BM20" s="2"/>
      <c r="BN20" s="2">
        <f t="shared" si="60"/>
        <v>4447.9713604666676</v>
      </c>
      <c r="BO20" s="2">
        <f t="shared" si="8"/>
        <v>422.05657913109246</v>
      </c>
      <c r="BP20" s="2">
        <f t="shared" si="61"/>
        <v>4025.9147813355753</v>
      </c>
      <c r="BQ20" s="2"/>
      <c r="BR20" s="2">
        <f t="shared" si="9"/>
        <v>4025.9147813355753</v>
      </c>
      <c r="BS20" s="2">
        <f t="shared" si="62"/>
        <v>382.00871426148797</v>
      </c>
      <c r="BT20" s="2">
        <f t="shared" si="63"/>
        <v>3643.9060670740873</v>
      </c>
      <c r="BU20" s="2">
        <f t="shared" si="10"/>
        <v>345.76088843858179</v>
      </c>
      <c r="BV20" s="2">
        <f t="shared" si="64"/>
        <v>3298.1451786355055</v>
      </c>
      <c r="BW20" s="2">
        <f t="shared" si="11"/>
        <v>312.9525257164791</v>
      </c>
      <c r="BX20" s="2">
        <f t="shared" si="65"/>
        <v>2985.1926529190264</v>
      </c>
      <c r="BY20" s="2">
        <f t="shared" si="12"/>
        <v>283.25726427476093</v>
      </c>
      <c r="BZ20" s="2">
        <f t="shared" si="66"/>
        <v>2701.9353886442655</v>
      </c>
      <c r="CA20" s="2">
        <f t="shared" si="13"/>
        <v>256.37970992798688</v>
      </c>
      <c r="CB20" s="2">
        <f t="shared" si="67"/>
        <v>2445.5556787162786</v>
      </c>
      <c r="CC20" s="2">
        <f t="shared" si="14"/>
        <v>232.0524976863426</v>
      </c>
      <c r="CD20" s="2">
        <f t="shared" si="68"/>
        <v>2213.5031810299361</v>
      </c>
      <c r="CE20" s="2">
        <f t="shared" si="15"/>
        <v>210.03363213725149</v>
      </c>
      <c r="CF20" s="2">
        <f t="shared" si="69"/>
        <v>2003.4695488926845</v>
      </c>
      <c r="CG20" s="2">
        <f t="shared" si="16"/>
        <v>190.10408019134456</v>
      </c>
      <c r="CH20" s="2">
        <f t="shared" si="70"/>
        <v>1813.36546870134</v>
      </c>
      <c r="CI20" s="2">
        <f t="shared" si="17"/>
        <v>172.06559224658321</v>
      </c>
      <c r="CJ20" s="2">
        <f t="shared" si="71"/>
        <v>1641.2998764547567</v>
      </c>
      <c r="CK20" s="2">
        <f t="shared" si="18"/>
        <v>155.73873009652226</v>
      </c>
      <c r="CL20" s="2">
        <f t="shared" si="72"/>
        <v>1485.5611463582345</v>
      </c>
      <c r="CM20" s="2">
        <f t="shared" si="19"/>
        <v>140.96108196529366</v>
      </c>
      <c r="CN20" s="2">
        <f t="shared" si="73"/>
        <v>1344.6000643929408</v>
      </c>
      <c r="CO20" s="2">
        <f t="shared" si="20"/>
        <v>127.58564691333605</v>
      </c>
      <c r="CP20" s="2">
        <f t="shared" si="74"/>
        <v>1217.0144174796048</v>
      </c>
      <c r="CQ20" s="2">
        <f t="shared" si="21"/>
        <v>115.47937254271591</v>
      </c>
      <c r="CR20" s="2">
        <f t="shared" si="75"/>
        <v>1101.5350449368889</v>
      </c>
      <c r="CS20" s="2">
        <f t="shared" si="22"/>
        <v>104.52183145583486</v>
      </c>
      <c r="CT20" s="2">
        <f t="shared" si="76"/>
        <v>997.01321348105398</v>
      </c>
      <c r="CU20" s="2">
        <f t="shared" si="23"/>
        <v>94.604023301571488</v>
      </c>
      <c r="CV20" s="2">
        <f t="shared" si="77"/>
        <v>902.40919017948249</v>
      </c>
      <c r="CW20" s="2">
        <f t="shared" si="24"/>
        <v>85.627290492187953</v>
      </c>
      <c r="CX20" s="2">
        <f t="shared" si="78"/>
        <v>816.78189968729453</v>
      </c>
      <c r="CY20" s="2">
        <f t="shared" si="25"/>
        <v>77.502336805074847</v>
      </c>
      <c r="CZ20" s="2">
        <f t="shared" si="79"/>
        <v>739.27956288221969</v>
      </c>
      <c r="DA20" s="2">
        <f t="shared" si="80"/>
        <v>70.1483391068559</v>
      </c>
      <c r="DB20" s="2">
        <f t="shared" si="95"/>
        <v>669.13122377536376</v>
      </c>
      <c r="DC20" s="2">
        <f t="shared" si="100"/>
        <v>63.492143363711278</v>
      </c>
      <c r="DD20" s="2">
        <f t="shared" si="96"/>
        <v>605.63908041165246</v>
      </c>
      <c r="DE20" s="2">
        <f t="shared" si="101"/>
        <v>57.467536940216362</v>
      </c>
      <c r="DF20" s="2">
        <f t="shared" si="97"/>
        <v>548.17154347143605</v>
      </c>
      <c r="DG20" s="2">
        <f t="shared" si="102"/>
        <v>19.82154347143603</v>
      </c>
      <c r="DH20" s="2">
        <f t="shared" si="98"/>
        <v>528.35</v>
      </c>
      <c r="DI20" s="2"/>
      <c r="DJ20" s="2">
        <f t="shared" si="82"/>
        <v>528.35</v>
      </c>
      <c r="DK20" s="2"/>
      <c r="DL20" s="2">
        <f t="shared" si="83"/>
        <v>528.35</v>
      </c>
      <c r="DM20" s="2"/>
      <c r="DN20" s="2">
        <f t="shared" si="84"/>
        <v>528.35</v>
      </c>
      <c r="DO20" s="2"/>
      <c r="DP20" s="2">
        <f t="shared" si="85"/>
        <v>528.35</v>
      </c>
      <c r="DQ20" s="2"/>
      <c r="DR20" s="2">
        <f t="shared" si="86"/>
        <v>528.35</v>
      </c>
      <c r="DS20" s="2"/>
      <c r="DT20" s="2">
        <f t="shared" si="26"/>
        <v>528.35</v>
      </c>
      <c r="DU20" s="2"/>
      <c r="DV20" s="2"/>
      <c r="DW20" s="266">
        <f t="shared" si="27"/>
        <v>528.35</v>
      </c>
      <c r="DX20" s="441">
        <f t="shared" si="87"/>
        <v>0</v>
      </c>
    </row>
    <row r="21" spans="1:128">
      <c r="A21" s="433">
        <f t="shared" si="28"/>
        <v>14</v>
      </c>
      <c r="B21" s="433" t="s">
        <v>493</v>
      </c>
      <c r="C21" s="434" t="s">
        <v>494</v>
      </c>
      <c r="D21" s="435">
        <v>0.1</v>
      </c>
      <c r="E21" s="442">
        <v>100000</v>
      </c>
      <c r="F21" s="437" t="s">
        <v>1001</v>
      </c>
      <c r="G21" s="438">
        <v>40770</v>
      </c>
      <c r="H21" s="438"/>
      <c r="I21" s="438"/>
      <c r="J21" s="438"/>
      <c r="K21" s="438"/>
      <c r="L21" s="438"/>
      <c r="M21" s="439"/>
      <c r="N21" s="439"/>
      <c r="O21" s="439"/>
      <c r="P21" s="433"/>
      <c r="Q21" s="436"/>
      <c r="R21" s="436"/>
      <c r="S21" s="2">
        <v>0</v>
      </c>
      <c r="T21" s="2">
        <v>0</v>
      </c>
      <c r="U21" s="436">
        <f t="shared" si="99"/>
        <v>100000</v>
      </c>
      <c r="V21" s="433">
        <f t="shared" si="33"/>
        <v>230</v>
      </c>
      <c r="W21" s="436">
        <f>186694/(U59+825639)*U21</f>
        <v>5476.2865066945133</v>
      </c>
      <c r="X21" s="436">
        <f t="shared" si="34"/>
        <v>94523.713493305491</v>
      </c>
      <c r="Y21" s="433">
        <f t="shared" si="35"/>
        <v>365</v>
      </c>
      <c r="Z21" s="436">
        <f t="shared" si="88"/>
        <v>9452</v>
      </c>
      <c r="AA21" s="436">
        <f t="shared" si="89"/>
        <v>85071.713493305491</v>
      </c>
      <c r="AB21" s="433">
        <f t="shared" si="36"/>
        <v>365</v>
      </c>
      <c r="AC21" s="436">
        <f t="shared" si="37"/>
        <v>8507</v>
      </c>
      <c r="AD21" s="436">
        <f t="shared" si="38"/>
        <v>76564.713493305491</v>
      </c>
      <c r="AE21" s="436">
        <f t="shared" si="39"/>
        <v>23435.286506694512</v>
      </c>
      <c r="AF21" s="436">
        <f t="shared" si="40"/>
        <v>76564.713493305491</v>
      </c>
      <c r="AG21" s="436">
        <f t="shared" si="1"/>
        <v>0</v>
      </c>
      <c r="AH21" s="436">
        <f t="shared" si="41"/>
        <v>2.6301369863013697</v>
      </c>
      <c r="AI21" s="439">
        <v>30</v>
      </c>
      <c r="AJ21" s="436">
        <f t="shared" si="2"/>
        <v>27.36986301369863</v>
      </c>
      <c r="AK21" s="440">
        <f t="shared" si="42"/>
        <v>9.4888545521960022E-2</v>
      </c>
      <c r="AL21" s="2">
        <f t="shared" si="43"/>
        <v>0</v>
      </c>
      <c r="AM21" s="433">
        <f t="shared" si="44"/>
        <v>365</v>
      </c>
      <c r="AN21" s="436">
        <f t="shared" si="90"/>
        <v>7656</v>
      </c>
      <c r="AO21" s="436">
        <f t="shared" si="45"/>
        <v>7265</v>
      </c>
      <c r="AP21" s="436">
        <f t="shared" si="46"/>
        <v>69300</v>
      </c>
      <c r="AQ21" s="436">
        <f t="shared" si="91"/>
        <v>69299.713493305491</v>
      </c>
      <c r="AR21" s="436">
        <f t="shared" si="92"/>
        <v>-0.28650669450871646</v>
      </c>
      <c r="AS21" s="436">
        <f t="shared" si="93"/>
        <v>-391</v>
      </c>
      <c r="AT21" s="2">
        <f t="shared" si="94"/>
        <v>68908.713493305491</v>
      </c>
      <c r="AU21" s="2">
        <f t="shared" si="3"/>
        <v>69299.713493305491</v>
      </c>
      <c r="AV21" s="2">
        <f t="shared" si="4"/>
        <v>0</v>
      </c>
      <c r="AW21" s="433">
        <f t="shared" si="47"/>
        <v>365</v>
      </c>
      <c r="AX21" s="2">
        <f t="shared" si="48"/>
        <v>6575.7490184683056</v>
      </c>
      <c r="AY21" s="2">
        <f t="shared" si="49"/>
        <v>62723.964474837187</v>
      </c>
      <c r="AZ21" s="433">
        <f t="shared" si="50"/>
        <v>365</v>
      </c>
      <c r="BA21" s="2">
        <f t="shared" si="51"/>
        <v>5951.7857583883915</v>
      </c>
      <c r="BB21" s="2">
        <f t="shared" si="52"/>
        <v>56772.178716448798</v>
      </c>
      <c r="BC21" s="2">
        <f t="shared" si="53"/>
        <v>21900</v>
      </c>
      <c r="BD21" s="433">
        <f t="shared" si="54"/>
        <v>2055</v>
      </c>
      <c r="BE21" s="439">
        <f t="shared" si="55"/>
        <v>19845</v>
      </c>
      <c r="BF21" s="433">
        <f t="shared" si="56"/>
        <v>365</v>
      </c>
      <c r="BG21" s="2">
        <f t="shared" si="57"/>
        <v>5387.0294645166014</v>
      </c>
      <c r="BH21" s="2">
        <f t="shared" si="58"/>
        <v>51385.149251932198</v>
      </c>
      <c r="BI21" s="2">
        <f t="shared" si="5"/>
        <v>4875.8620739446787</v>
      </c>
      <c r="BJ21" s="2">
        <f t="shared" si="6"/>
        <v>46509.28717798752</v>
      </c>
      <c r="BK21" s="2">
        <f t="shared" si="59"/>
        <v>4413.2</v>
      </c>
      <c r="BL21" s="2">
        <f t="shared" si="7"/>
        <v>42096.087177987523</v>
      </c>
      <c r="BM21" s="2"/>
      <c r="BN21" s="2">
        <f t="shared" si="60"/>
        <v>42096.087177987523</v>
      </c>
      <c r="BO21" s="2">
        <f t="shared" si="8"/>
        <v>3994.4364844848665</v>
      </c>
      <c r="BP21" s="2">
        <f t="shared" si="61"/>
        <v>38101.650693502655</v>
      </c>
      <c r="BQ21" s="2"/>
      <c r="BR21" s="2">
        <f t="shared" si="9"/>
        <v>38101.650693502655</v>
      </c>
      <c r="BS21" s="2">
        <f t="shared" si="62"/>
        <v>3615.4102162922463</v>
      </c>
      <c r="BT21" s="2">
        <f t="shared" si="63"/>
        <v>34486.240477210406</v>
      </c>
      <c r="BU21" s="2">
        <f t="shared" si="10"/>
        <v>3272.3491994030401</v>
      </c>
      <c r="BV21" s="2">
        <f t="shared" si="64"/>
        <v>31213.891277807365</v>
      </c>
      <c r="BW21" s="2">
        <f t="shared" si="11"/>
        <v>2961.8407434317351</v>
      </c>
      <c r="BX21" s="2">
        <f t="shared" si="65"/>
        <v>28252.05053437563</v>
      </c>
      <c r="BY21" s="2">
        <f t="shared" si="12"/>
        <v>2680.7959832198171</v>
      </c>
      <c r="BZ21" s="2">
        <f t="shared" si="66"/>
        <v>25571.254551155813</v>
      </c>
      <c r="CA21" s="2">
        <f t="shared" si="13"/>
        <v>2426.4191515309758</v>
      </c>
      <c r="CB21" s="2">
        <f t="shared" si="67"/>
        <v>23144.835399624837</v>
      </c>
      <c r="CC21" s="2">
        <f t="shared" si="14"/>
        <v>2196.1797674155732</v>
      </c>
      <c r="CD21" s="2">
        <f t="shared" si="68"/>
        <v>20948.655632209266</v>
      </c>
      <c r="CE21" s="2">
        <f t="shared" si="15"/>
        <v>1987.7874635807532</v>
      </c>
      <c r="CF21" s="2">
        <f t="shared" si="69"/>
        <v>18960.868168628513</v>
      </c>
      <c r="CG21" s="2">
        <f t="shared" si="16"/>
        <v>1799.1692023547894</v>
      </c>
      <c r="CH21" s="2">
        <f t="shared" si="70"/>
        <v>17161.698966273725</v>
      </c>
      <c r="CI21" s="2">
        <f t="shared" si="17"/>
        <v>1628.4486535954386</v>
      </c>
      <c r="CJ21" s="2">
        <f t="shared" si="71"/>
        <v>15533.250312678287</v>
      </c>
      <c r="CK21" s="2">
        <f t="shared" si="18"/>
        <v>1473.9275293985734</v>
      </c>
      <c r="CL21" s="2">
        <f t="shared" si="72"/>
        <v>14059.322783279713</v>
      </c>
      <c r="CM21" s="2">
        <f t="shared" si="19"/>
        <v>1334.0686899291668</v>
      </c>
      <c r="CN21" s="2">
        <f t="shared" si="73"/>
        <v>12725.254093350546</v>
      </c>
      <c r="CO21" s="2">
        <f t="shared" si="20"/>
        <v>1207.4808523154013</v>
      </c>
      <c r="CP21" s="2">
        <f t="shared" si="74"/>
        <v>11517.773241035145</v>
      </c>
      <c r="CQ21" s="2">
        <f t="shared" si="21"/>
        <v>1092.9047504935763</v>
      </c>
      <c r="CR21" s="2">
        <f t="shared" si="75"/>
        <v>10424.868490541568</v>
      </c>
      <c r="CS21" s="2">
        <f t="shared" si="22"/>
        <v>989.20060832520028</v>
      </c>
      <c r="CT21" s="2">
        <f t="shared" si="76"/>
        <v>9435.6678822163685</v>
      </c>
      <c r="CU21" s="2">
        <f t="shared" si="23"/>
        <v>895.33680137178396</v>
      </c>
      <c r="CV21" s="2">
        <f t="shared" si="77"/>
        <v>8540.331080844584</v>
      </c>
      <c r="CW21" s="2">
        <f t="shared" si="24"/>
        <v>810.37959453733129</v>
      </c>
      <c r="CX21" s="2">
        <f t="shared" si="78"/>
        <v>7729.9514863072527</v>
      </c>
      <c r="CY21" s="2">
        <f t="shared" si="25"/>
        <v>733.48385349100829</v>
      </c>
      <c r="CZ21" s="2">
        <f t="shared" si="79"/>
        <v>6996.4676328162441</v>
      </c>
      <c r="DA21" s="2">
        <f t="shared" si="80"/>
        <v>663.88463746940408</v>
      </c>
      <c r="DB21" s="2">
        <f t="shared" si="95"/>
        <v>6332.5829953468401</v>
      </c>
      <c r="DC21" s="2">
        <f t="shared" si="100"/>
        <v>600.88958982555857</v>
      </c>
      <c r="DD21" s="2">
        <f t="shared" si="96"/>
        <v>5731.6934055212814</v>
      </c>
      <c r="DE21" s="2">
        <f t="shared" si="101"/>
        <v>543.87205062772421</v>
      </c>
      <c r="DF21" s="2">
        <f t="shared" si="97"/>
        <v>5187.8213548935573</v>
      </c>
      <c r="DG21" s="2">
        <f t="shared" si="102"/>
        <v>187.82135489355733</v>
      </c>
      <c r="DH21" s="2">
        <f t="shared" si="98"/>
        <v>5000</v>
      </c>
      <c r="DI21" s="2"/>
      <c r="DJ21" s="2">
        <f t="shared" si="82"/>
        <v>5000</v>
      </c>
      <c r="DK21" s="2"/>
      <c r="DL21" s="2">
        <f t="shared" si="83"/>
        <v>5000</v>
      </c>
      <c r="DM21" s="2"/>
      <c r="DN21" s="2">
        <f t="shared" si="84"/>
        <v>5000</v>
      </c>
      <c r="DO21" s="2"/>
      <c r="DP21" s="2">
        <f t="shared" si="85"/>
        <v>5000</v>
      </c>
      <c r="DQ21" s="2"/>
      <c r="DR21" s="2">
        <f t="shared" si="86"/>
        <v>5000</v>
      </c>
      <c r="DS21" s="2"/>
      <c r="DT21" s="2">
        <f t="shared" si="26"/>
        <v>5000</v>
      </c>
      <c r="DU21" s="2"/>
      <c r="DV21" s="2"/>
      <c r="DW21" s="266">
        <f t="shared" si="27"/>
        <v>5000</v>
      </c>
      <c r="DX21" s="441">
        <f t="shared" si="87"/>
        <v>0</v>
      </c>
    </row>
    <row r="22" spans="1:128">
      <c r="A22" s="433">
        <f t="shared" si="28"/>
        <v>15</v>
      </c>
      <c r="B22" s="433" t="s">
        <v>493</v>
      </c>
      <c r="C22" s="434" t="s">
        <v>494</v>
      </c>
      <c r="D22" s="435">
        <v>0.1</v>
      </c>
      <c r="E22" s="442">
        <v>32889</v>
      </c>
      <c r="F22" s="437" t="s">
        <v>1001</v>
      </c>
      <c r="G22" s="438">
        <v>40770</v>
      </c>
      <c r="H22" s="438"/>
      <c r="I22" s="438"/>
      <c r="J22" s="438"/>
      <c r="K22" s="438"/>
      <c r="L22" s="438"/>
      <c r="M22" s="439"/>
      <c r="N22" s="439"/>
      <c r="O22" s="439"/>
      <c r="P22" s="433"/>
      <c r="Q22" s="436"/>
      <c r="R22" s="436"/>
      <c r="S22" s="2">
        <v>0</v>
      </c>
      <c r="T22" s="2">
        <v>0</v>
      </c>
      <c r="U22" s="436">
        <f t="shared" si="99"/>
        <v>32889</v>
      </c>
      <c r="V22" s="433">
        <f t="shared" si="33"/>
        <v>230</v>
      </c>
      <c r="W22" s="436">
        <f>186694/(U59+825639)*U22</f>
        <v>1801.0958691867584</v>
      </c>
      <c r="X22" s="436">
        <f t="shared" si="34"/>
        <v>31087.90413081324</v>
      </c>
      <c r="Y22" s="433">
        <f t="shared" si="35"/>
        <v>365</v>
      </c>
      <c r="Z22" s="436">
        <f t="shared" si="88"/>
        <v>3109</v>
      </c>
      <c r="AA22" s="436">
        <f t="shared" si="89"/>
        <v>27978.90413081324</v>
      </c>
      <c r="AB22" s="433">
        <f t="shared" si="36"/>
        <v>365</v>
      </c>
      <c r="AC22" s="436">
        <f t="shared" si="37"/>
        <v>2798</v>
      </c>
      <c r="AD22" s="436">
        <f t="shared" si="38"/>
        <v>25180.90413081324</v>
      </c>
      <c r="AE22" s="436">
        <f t="shared" si="39"/>
        <v>7708.0958691867581</v>
      </c>
      <c r="AF22" s="436">
        <f t="shared" si="40"/>
        <v>25180.904130813244</v>
      </c>
      <c r="AG22" s="436">
        <f t="shared" si="1"/>
        <v>0</v>
      </c>
      <c r="AH22" s="436">
        <f t="shared" si="41"/>
        <v>2.6301369863013697</v>
      </c>
      <c r="AI22" s="439">
        <v>30</v>
      </c>
      <c r="AJ22" s="436">
        <f t="shared" si="2"/>
        <v>27.36986301369863</v>
      </c>
      <c r="AK22" s="440">
        <f t="shared" si="42"/>
        <v>9.4887935520847511E-2</v>
      </c>
      <c r="AL22" s="2">
        <f t="shared" si="43"/>
        <v>0</v>
      </c>
      <c r="AM22" s="433">
        <f t="shared" si="44"/>
        <v>365</v>
      </c>
      <c r="AN22" s="436">
        <f t="shared" si="90"/>
        <v>2518</v>
      </c>
      <c r="AO22" s="436">
        <f t="shared" si="45"/>
        <v>2389</v>
      </c>
      <c r="AP22" s="436">
        <f t="shared" si="46"/>
        <v>22792</v>
      </c>
      <c r="AQ22" s="436">
        <f t="shared" si="91"/>
        <v>22791.904130813244</v>
      </c>
      <c r="AR22" s="436">
        <f t="shared" si="92"/>
        <v>-9.5869186756317504E-2</v>
      </c>
      <c r="AS22" s="436">
        <f t="shared" si="93"/>
        <v>-129</v>
      </c>
      <c r="AT22" s="2">
        <f t="shared" si="94"/>
        <v>22662.904130813244</v>
      </c>
      <c r="AU22" s="2">
        <f t="shared" si="3"/>
        <v>22791.904130813244</v>
      </c>
      <c r="AV22" s="2">
        <f t="shared" si="4"/>
        <v>0</v>
      </c>
      <c r="AW22" s="433">
        <f t="shared" si="47"/>
        <v>365</v>
      </c>
      <c r="AX22" s="2">
        <f t="shared" si="48"/>
        <v>2162.6767295619452</v>
      </c>
      <c r="AY22" s="2">
        <f t="shared" si="49"/>
        <v>20629.227401251297</v>
      </c>
      <c r="AZ22" s="433">
        <f t="shared" si="50"/>
        <v>365</v>
      </c>
      <c r="BA22" s="2">
        <f t="shared" si="51"/>
        <v>1957.4647994948336</v>
      </c>
      <c r="BB22" s="2">
        <f t="shared" si="52"/>
        <v>18671.762601756462</v>
      </c>
      <c r="BC22" s="2">
        <f t="shared" si="53"/>
        <v>21900</v>
      </c>
      <c r="BD22" s="433">
        <f t="shared" si="54"/>
        <v>2055</v>
      </c>
      <c r="BE22" s="439">
        <f t="shared" si="55"/>
        <v>19845</v>
      </c>
      <c r="BF22" s="433">
        <f t="shared" si="56"/>
        <v>365</v>
      </c>
      <c r="BG22" s="2">
        <f t="shared" si="57"/>
        <v>1771.7250058160391</v>
      </c>
      <c r="BH22" s="2">
        <f t="shared" si="58"/>
        <v>16900.037595940423</v>
      </c>
      <c r="BI22" s="2">
        <f t="shared" si="5"/>
        <v>1603.6096777034936</v>
      </c>
      <c r="BJ22" s="2">
        <f t="shared" si="6"/>
        <v>15296.427918236928</v>
      </c>
      <c r="BK22" s="2">
        <f t="shared" si="59"/>
        <v>1451.45</v>
      </c>
      <c r="BL22" s="2">
        <f t="shared" si="7"/>
        <v>13844.977918236928</v>
      </c>
      <c r="BM22" s="2"/>
      <c r="BN22" s="2">
        <f t="shared" si="60"/>
        <v>13844.977918236928</v>
      </c>
      <c r="BO22" s="2">
        <f t="shared" si="8"/>
        <v>1313.7213719932231</v>
      </c>
      <c r="BP22" s="2">
        <f t="shared" si="61"/>
        <v>12531.256546243705</v>
      </c>
      <c r="BQ22" s="2"/>
      <c r="BR22" s="2">
        <f t="shared" si="9"/>
        <v>12531.256546243705</v>
      </c>
      <c r="BS22" s="2">
        <f t="shared" si="62"/>
        <v>1189.0650631551709</v>
      </c>
      <c r="BT22" s="2">
        <f t="shared" si="63"/>
        <v>11342.191483088534</v>
      </c>
      <c r="BU22" s="2">
        <f t="shared" si="10"/>
        <v>1076.2371341124106</v>
      </c>
      <c r="BV22" s="2">
        <f t="shared" si="64"/>
        <v>10265.954348976124</v>
      </c>
      <c r="BW22" s="2">
        <f t="shared" si="11"/>
        <v>974.11521432561051</v>
      </c>
      <c r="BX22" s="2">
        <f t="shared" si="65"/>
        <v>9291.8391346505123</v>
      </c>
      <c r="BY22" s="2">
        <f t="shared" si="12"/>
        <v>881.68343267880539</v>
      </c>
      <c r="BZ22" s="2">
        <f t="shared" si="66"/>
        <v>8410.1557019717075</v>
      </c>
      <c r="CA22" s="2">
        <f t="shared" si="13"/>
        <v>798.02231196897947</v>
      </c>
      <c r="CB22" s="2">
        <f t="shared" si="67"/>
        <v>7612.1333900027275</v>
      </c>
      <c r="CC22" s="2">
        <f t="shared" si="14"/>
        <v>722.29962228666921</v>
      </c>
      <c r="CD22" s="2">
        <f t="shared" si="68"/>
        <v>6889.833767716058</v>
      </c>
      <c r="CE22" s="2">
        <f t="shared" si="15"/>
        <v>653.76210230039919</v>
      </c>
      <c r="CF22" s="2">
        <f t="shared" si="69"/>
        <v>6236.0716654156586</v>
      </c>
      <c r="CG22" s="2">
        <f t="shared" si="16"/>
        <v>591.72796609134514</v>
      </c>
      <c r="CH22" s="2">
        <f t="shared" si="70"/>
        <v>5644.3436993243131</v>
      </c>
      <c r="CI22" s="2">
        <f t="shared" si="17"/>
        <v>535.58012099898735</v>
      </c>
      <c r="CJ22" s="2">
        <f t="shared" si="71"/>
        <v>5108.7635783253254</v>
      </c>
      <c r="CK22" s="2">
        <f t="shared" si="18"/>
        <v>484.7600290113877</v>
      </c>
      <c r="CL22" s="2">
        <f t="shared" si="72"/>
        <v>4624.0035493139376</v>
      </c>
      <c r="CM22" s="2">
        <f t="shared" si="19"/>
        <v>438.76215063547096</v>
      </c>
      <c r="CN22" s="2">
        <f t="shared" si="73"/>
        <v>4185.2413986784668</v>
      </c>
      <c r="CO22" s="2">
        <f t="shared" si="20"/>
        <v>397.12891597698399</v>
      </c>
      <c r="CP22" s="2">
        <f t="shared" si="74"/>
        <v>3788.1124827014828</v>
      </c>
      <c r="CQ22" s="2">
        <f t="shared" si="21"/>
        <v>359.44617300429587</v>
      </c>
      <c r="CR22" s="2">
        <f t="shared" si="75"/>
        <v>3428.666309697187</v>
      </c>
      <c r="CS22" s="2">
        <f t="shared" si="22"/>
        <v>325.33906771704886</v>
      </c>
      <c r="CT22" s="2">
        <f t="shared" si="76"/>
        <v>3103.3272419801383</v>
      </c>
      <c r="CU22" s="2">
        <f t="shared" si="23"/>
        <v>294.46831523710091</v>
      </c>
      <c r="CV22" s="2">
        <f t="shared" si="77"/>
        <v>2808.8589267430375</v>
      </c>
      <c r="CW22" s="2">
        <f t="shared" si="24"/>
        <v>266.52682472795027</v>
      </c>
      <c r="CX22" s="2">
        <f t="shared" si="78"/>
        <v>2542.332102015087</v>
      </c>
      <c r="CY22" s="2">
        <f t="shared" si="25"/>
        <v>241.2366445685883</v>
      </c>
      <c r="CZ22" s="2">
        <f t="shared" si="79"/>
        <v>2301.0954574464986</v>
      </c>
      <c r="DA22" s="2">
        <f t="shared" si="80"/>
        <v>218.34619739349847</v>
      </c>
      <c r="DB22" s="2">
        <f t="shared" si="95"/>
        <v>2082.7492600529999</v>
      </c>
      <c r="DC22" s="2">
        <f t="shared" si="100"/>
        <v>197.62777749400192</v>
      </c>
      <c r="DD22" s="2">
        <f t="shared" si="96"/>
        <v>1885.121482558998</v>
      </c>
      <c r="DE22" s="2">
        <f t="shared" si="101"/>
        <v>178.87528568602266</v>
      </c>
      <c r="DF22" s="2">
        <f t="shared" si="97"/>
        <v>1706.2461968729754</v>
      </c>
      <c r="DG22" s="2">
        <f t="shared" si="102"/>
        <v>61.796196872975315</v>
      </c>
      <c r="DH22" s="2">
        <f t="shared" si="98"/>
        <v>1644.45</v>
      </c>
      <c r="DI22" s="2"/>
      <c r="DJ22" s="2">
        <f t="shared" si="82"/>
        <v>1644.45</v>
      </c>
      <c r="DK22" s="2"/>
      <c r="DL22" s="2">
        <f t="shared" si="83"/>
        <v>1644.45</v>
      </c>
      <c r="DM22" s="2"/>
      <c r="DN22" s="2">
        <f t="shared" si="84"/>
        <v>1644.45</v>
      </c>
      <c r="DO22" s="2"/>
      <c r="DP22" s="2">
        <f t="shared" si="85"/>
        <v>1644.45</v>
      </c>
      <c r="DQ22" s="2"/>
      <c r="DR22" s="2">
        <f t="shared" si="86"/>
        <v>1644.45</v>
      </c>
      <c r="DS22" s="2"/>
      <c r="DT22" s="2">
        <f t="shared" si="26"/>
        <v>1644.45</v>
      </c>
      <c r="DU22" s="2"/>
      <c r="DV22" s="2"/>
      <c r="DW22" s="266">
        <f t="shared" si="27"/>
        <v>1644.45</v>
      </c>
      <c r="DX22" s="441">
        <f t="shared" si="87"/>
        <v>0</v>
      </c>
    </row>
    <row r="23" spans="1:128">
      <c r="A23" s="433">
        <f>A22+1</f>
        <v>16</v>
      </c>
      <c r="B23" s="433" t="s">
        <v>493</v>
      </c>
      <c r="C23" s="434" t="s">
        <v>494</v>
      </c>
      <c r="D23" s="435">
        <v>0.1</v>
      </c>
      <c r="E23" s="442">
        <v>28000</v>
      </c>
      <c r="F23" s="437" t="s">
        <v>1001</v>
      </c>
      <c r="G23" s="438">
        <v>40770</v>
      </c>
      <c r="H23" s="438"/>
      <c r="I23" s="438"/>
      <c r="J23" s="438"/>
      <c r="K23" s="438"/>
      <c r="L23" s="438"/>
      <c r="M23" s="439"/>
      <c r="N23" s="439"/>
      <c r="O23" s="439"/>
      <c r="P23" s="433"/>
      <c r="Q23" s="436"/>
      <c r="R23" s="436"/>
      <c r="S23" s="2">
        <v>0</v>
      </c>
      <c r="T23" s="2">
        <v>0</v>
      </c>
      <c r="U23" s="436">
        <f t="shared" si="99"/>
        <v>28000</v>
      </c>
      <c r="V23" s="433">
        <f t="shared" si="33"/>
        <v>230</v>
      </c>
      <c r="W23" s="436">
        <f>186694/(U59+825639)*U23</f>
        <v>1533.3602218744636</v>
      </c>
      <c r="X23" s="436">
        <f t="shared" si="34"/>
        <v>26466.639778125536</v>
      </c>
      <c r="Y23" s="433">
        <f t="shared" si="35"/>
        <v>365</v>
      </c>
      <c r="Z23" s="436">
        <f t="shared" si="88"/>
        <v>2647</v>
      </c>
      <c r="AA23" s="436">
        <f t="shared" si="89"/>
        <v>23819.639778125536</v>
      </c>
      <c r="AB23" s="433">
        <f t="shared" si="36"/>
        <v>365</v>
      </c>
      <c r="AC23" s="436">
        <f t="shared" si="37"/>
        <v>2382</v>
      </c>
      <c r="AD23" s="436">
        <f t="shared" si="38"/>
        <v>21437.639778125536</v>
      </c>
      <c r="AE23" s="436">
        <f t="shared" si="39"/>
        <v>6562.3602218744636</v>
      </c>
      <c r="AF23" s="436">
        <f t="shared" si="40"/>
        <v>21437.639778125536</v>
      </c>
      <c r="AG23" s="436">
        <f t="shared" si="1"/>
        <v>0</v>
      </c>
      <c r="AH23" s="436">
        <f t="shared" si="41"/>
        <v>2.6301369863013697</v>
      </c>
      <c r="AI23" s="439">
        <v>30</v>
      </c>
      <c r="AJ23" s="436">
        <f t="shared" si="2"/>
        <v>27.36986301369863</v>
      </c>
      <c r="AK23" s="440">
        <f t="shared" si="42"/>
        <v>9.488780508341077E-2</v>
      </c>
      <c r="AL23" s="2">
        <f t="shared" si="43"/>
        <v>0</v>
      </c>
      <c r="AM23" s="433">
        <f t="shared" si="44"/>
        <v>365</v>
      </c>
      <c r="AN23" s="436">
        <f t="shared" si="90"/>
        <v>2144</v>
      </c>
      <c r="AO23" s="436">
        <f t="shared" si="45"/>
        <v>2034</v>
      </c>
      <c r="AP23" s="436">
        <f t="shared" si="46"/>
        <v>19404</v>
      </c>
      <c r="AQ23" s="436">
        <f t="shared" si="91"/>
        <v>19403.639778125536</v>
      </c>
      <c r="AR23" s="436">
        <f t="shared" si="92"/>
        <v>-0.36022187446360476</v>
      </c>
      <c r="AS23" s="436">
        <f t="shared" si="93"/>
        <v>-110</v>
      </c>
      <c r="AT23" s="2">
        <f t="shared" si="94"/>
        <v>19293.639778125536</v>
      </c>
      <c r="AU23" s="2">
        <f t="shared" si="3"/>
        <v>19403.639778125536</v>
      </c>
      <c r="AV23" s="2">
        <f t="shared" si="4"/>
        <v>0</v>
      </c>
      <c r="AW23" s="433">
        <f t="shared" si="47"/>
        <v>365</v>
      </c>
      <c r="AX23" s="2">
        <f t="shared" si="48"/>
        <v>1841.1687891754916</v>
      </c>
      <c r="AY23" s="2">
        <f t="shared" si="49"/>
        <v>17562.470988950045</v>
      </c>
      <c r="AZ23" s="433">
        <f t="shared" si="50"/>
        <v>365</v>
      </c>
      <c r="BA23" s="2">
        <f t="shared" si="51"/>
        <v>1666.4643239825482</v>
      </c>
      <c r="BB23" s="2">
        <f t="shared" si="52"/>
        <v>15896.006664967495</v>
      </c>
      <c r="BC23" s="2">
        <f t="shared" si="53"/>
        <v>21900</v>
      </c>
      <c r="BD23" s="433">
        <f t="shared" si="54"/>
        <v>2055</v>
      </c>
      <c r="BE23" s="439">
        <f t="shared" si="55"/>
        <v>19845</v>
      </c>
      <c r="BF23" s="433">
        <f t="shared" si="56"/>
        <v>365</v>
      </c>
      <c r="BG23" s="2">
        <f t="shared" si="57"/>
        <v>1508.3371820300342</v>
      </c>
      <c r="BH23" s="2">
        <f t="shared" si="58"/>
        <v>14387.669482937461</v>
      </c>
      <c r="BI23" s="2">
        <f t="shared" si="5"/>
        <v>1365.2143775015072</v>
      </c>
      <c r="BJ23" s="2">
        <f t="shared" si="6"/>
        <v>13022.455105435954</v>
      </c>
      <c r="BK23" s="2">
        <f t="shared" si="59"/>
        <v>1235.67</v>
      </c>
      <c r="BL23" s="2">
        <f t="shared" si="7"/>
        <v>11786.785105435954</v>
      </c>
      <c r="BM23" s="2"/>
      <c r="BN23" s="2">
        <f t="shared" si="60"/>
        <v>11786.785105435954</v>
      </c>
      <c r="BO23" s="2">
        <f t="shared" si="8"/>
        <v>1118.4221676446562</v>
      </c>
      <c r="BP23" s="2">
        <f t="shared" si="61"/>
        <v>10668.362937791298</v>
      </c>
      <c r="BQ23" s="2"/>
      <c r="BR23" s="2">
        <f t="shared" si="9"/>
        <v>10668.362937791298</v>
      </c>
      <c r="BS23" s="2">
        <f t="shared" si="62"/>
        <v>1012.2975430002242</v>
      </c>
      <c r="BT23" s="2">
        <f t="shared" si="63"/>
        <v>9656.0653947910741</v>
      </c>
      <c r="BU23" s="2">
        <f t="shared" si="10"/>
        <v>916.24285105360332</v>
      </c>
      <c r="BV23" s="2">
        <f t="shared" si="64"/>
        <v>8739.8225437374713</v>
      </c>
      <c r="BW23" s="2">
        <f t="shared" si="11"/>
        <v>829.30257799376045</v>
      </c>
      <c r="BX23" s="2">
        <f t="shared" si="65"/>
        <v>7910.5199657437106</v>
      </c>
      <c r="BY23" s="2">
        <f t="shared" si="12"/>
        <v>750.61187661791848</v>
      </c>
      <c r="BZ23" s="2">
        <f t="shared" si="66"/>
        <v>7159.9080891257918</v>
      </c>
      <c r="CA23" s="2">
        <f t="shared" si="13"/>
        <v>679.38796317610422</v>
      </c>
      <c r="CB23" s="2">
        <f t="shared" si="67"/>
        <v>6480.520125949688</v>
      </c>
      <c r="CC23" s="2">
        <f t="shared" si="14"/>
        <v>614.92233055023462</v>
      </c>
      <c r="CD23" s="2">
        <f t="shared" si="68"/>
        <v>5865.5977953994534</v>
      </c>
      <c r="CE23" s="2">
        <f t="shared" si="15"/>
        <v>556.57370030754726</v>
      </c>
      <c r="CF23" s="2">
        <f t="shared" si="69"/>
        <v>5309.024095091906</v>
      </c>
      <c r="CG23" s="2">
        <f t="shared" si="16"/>
        <v>503.761643518212</v>
      </c>
      <c r="CH23" s="2">
        <f t="shared" si="70"/>
        <v>4805.2624515736943</v>
      </c>
      <c r="CI23" s="2">
        <f t="shared" si="17"/>
        <v>455.96080687955731</v>
      </c>
      <c r="CJ23" s="2">
        <f t="shared" si="71"/>
        <v>4349.3016446941374</v>
      </c>
      <c r="CK23" s="2">
        <f t="shared" si="18"/>
        <v>412.69568671069521</v>
      </c>
      <c r="CL23" s="2">
        <f t="shared" si="72"/>
        <v>3936.6059579834423</v>
      </c>
      <c r="CM23" s="2">
        <f t="shared" si="19"/>
        <v>373.53589883132639</v>
      </c>
      <c r="CN23" s="2">
        <f t="shared" si="73"/>
        <v>3563.0700591521158</v>
      </c>
      <c r="CO23" s="2">
        <f t="shared" si="20"/>
        <v>338.09189727136282</v>
      </c>
      <c r="CP23" s="2">
        <f t="shared" si="74"/>
        <v>3224.9781618807529</v>
      </c>
      <c r="CQ23" s="2">
        <f t="shared" si="21"/>
        <v>306.01109922279721</v>
      </c>
      <c r="CR23" s="2">
        <f t="shared" si="75"/>
        <v>2918.9670626579555</v>
      </c>
      <c r="CS23" s="2">
        <f t="shared" si="22"/>
        <v>276.97437768638417</v>
      </c>
      <c r="CT23" s="2">
        <f t="shared" si="76"/>
        <v>2641.9926849715712</v>
      </c>
      <c r="CU23" s="2">
        <f t="shared" si="23"/>
        <v>250.69288692337952</v>
      </c>
      <c r="CV23" s="2">
        <f t="shared" si="77"/>
        <v>2391.2997980481919</v>
      </c>
      <c r="CW23" s="2">
        <f t="shared" si="24"/>
        <v>226.90518913319636</v>
      </c>
      <c r="CX23" s="2">
        <f t="shared" si="78"/>
        <v>2164.3946089149954</v>
      </c>
      <c r="CY23" s="2">
        <f t="shared" si="25"/>
        <v>205.37465377431116</v>
      </c>
      <c r="CZ23" s="2">
        <f t="shared" si="79"/>
        <v>1959.0199551406843</v>
      </c>
      <c r="DA23" s="2">
        <f t="shared" si="80"/>
        <v>185.88710365790135</v>
      </c>
      <c r="DB23" s="2">
        <f t="shared" si="95"/>
        <v>1773.1328514827828</v>
      </c>
      <c r="DC23" s="2">
        <f t="shared" si="100"/>
        <v>168.24868439849064</v>
      </c>
      <c r="DD23" s="2">
        <f t="shared" si="96"/>
        <v>1604.8841670842921</v>
      </c>
      <c r="DE23" s="2">
        <f t="shared" si="101"/>
        <v>152.28393602774636</v>
      </c>
      <c r="DF23" s="2">
        <f t="shared" si="97"/>
        <v>1452.6002310565457</v>
      </c>
      <c r="DG23" s="2">
        <f t="shared" si="102"/>
        <v>52.600231056545681</v>
      </c>
      <c r="DH23" s="2">
        <f t="shared" si="98"/>
        <v>1400</v>
      </c>
      <c r="DI23" s="2"/>
      <c r="DJ23" s="2">
        <f t="shared" si="82"/>
        <v>1400</v>
      </c>
      <c r="DK23" s="2"/>
      <c r="DL23" s="2">
        <f t="shared" si="83"/>
        <v>1400</v>
      </c>
      <c r="DM23" s="2"/>
      <c r="DN23" s="2">
        <f t="shared" si="84"/>
        <v>1400</v>
      </c>
      <c r="DO23" s="2"/>
      <c r="DP23" s="2">
        <f t="shared" si="85"/>
        <v>1400</v>
      </c>
      <c r="DQ23" s="2"/>
      <c r="DR23" s="2">
        <f t="shared" si="86"/>
        <v>1400</v>
      </c>
      <c r="DS23" s="2"/>
      <c r="DT23" s="2">
        <f t="shared" si="26"/>
        <v>1400</v>
      </c>
      <c r="DU23" s="2"/>
      <c r="DV23" s="2"/>
      <c r="DW23" s="266">
        <f t="shared" si="27"/>
        <v>1400</v>
      </c>
      <c r="DX23" s="441">
        <f t="shared" si="87"/>
        <v>0</v>
      </c>
    </row>
    <row r="24" spans="1:128">
      <c r="A24" s="433">
        <f t="shared" si="28"/>
        <v>17</v>
      </c>
      <c r="B24" s="433" t="s">
        <v>493</v>
      </c>
      <c r="C24" s="434" t="s">
        <v>494</v>
      </c>
      <c r="D24" s="435">
        <v>0.1</v>
      </c>
      <c r="E24" s="442">
        <v>39800</v>
      </c>
      <c r="F24" s="437" t="s">
        <v>1001</v>
      </c>
      <c r="G24" s="438">
        <v>40770</v>
      </c>
      <c r="H24" s="438"/>
      <c r="I24" s="438"/>
      <c r="J24" s="438"/>
      <c r="K24" s="438"/>
      <c r="L24" s="438"/>
      <c r="M24" s="439"/>
      <c r="N24" s="439"/>
      <c r="O24" s="439"/>
      <c r="P24" s="433"/>
      <c r="Q24" s="436"/>
      <c r="R24" s="436"/>
      <c r="S24" s="2">
        <v>0</v>
      </c>
      <c r="T24" s="2">
        <v>0</v>
      </c>
      <c r="U24" s="436">
        <f t="shared" si="99"/>
        <v>39800</v>
      </c>
      <c r="V24" s="433">
        <f t="shared" si="33"/>
        <v>230</v>
      </c>
      <c r="W24" s="436">
        <f>186694/(U59+825639)*U24</f>
        <v>2179.5620296644161</v>
      </c>
      <c r="X24" s="436">
        <f t="shared" si="34"/>
        <v>37620.437970335581</v>
      </c>
      <c r="Y24" s="433">
        <f t="shared" si="35"/>
        <v>365</v>
      </c>
      <c r="Z24" s="436">
        <f t="shared" si="88"/>
        <v>3762</v>
      </c>
      <c r="AA24" s="436">
        <f t="shared" si="89"/>
        <v>33858.437970335581</v>
      </c>
      <c r="AB24" s="433">
        <f t="shared" si="36"/>
        <v>365</v>
      </c>
      <c r="AC24" s="436">
        <f t="shared" si="37"/>
        <v>3386</v>
      </c>
      <c r="AD24" s="436">
        <f t="shared" si="38"/>
        <v>30472.437970335581</v>
      </c>
      <c r="AE24" s="436">
        <f t="shared" si="39"/>
        <v>9327.5620296644156</v>
      </c>
      <c r="AF24" s="436">
        <f t="shared" si="40"/>
        <v>30472.437970335584</v>
      </c>
      <c r="AG24" s="436">
        <f t="shared" si="1"/>
        <v>0</v>
      </c>
      <c r="AH24" s="436">
        <f t="shared" si="41"/>
        <v>2.6301369863013697</v>
      </c>
      <c r="AI24" s="439">
        <v>30</v>
      </c>
      <c r="AJ24" s="436">
        <f t="shared" si="2"/>
        <v>27.36986301369863</v>
      </c>
      <c r="AK24" s="440">
        <f t="shared" si="42"/>
        <v>9.4888200420201518E-2</v>
      </c>
      <c r="AL24" s="2">
        <f t="shared" si="43"/>
        <v>0</v>
      </c>
      <c r="AM24" s="433">
        <f t="shared" si="44"/>
        <v>365</v>
      </c>
      <c r="AN24" s="436">
        <f t="shared" si="90"/>
        <v>3047</v>
      </c>
      <c r="AO24" s="436">
        <f t="shared" si="45"/>
        <v>2891</v>
      </c>
      <c r="AP24" s="436">
        <f t="shared" si="46"/>
        <v>27581</v>
      </c>
      <c r="AQ24" s="436">
        <f t="shared" si="91"/>
        <v>27581.437970335584</v>
      </c>
      <c r="AR24" s="436">
        <f t="shared" si="92"/>
        <v>0.4379703355843958</v>
      </c>
      <c r="AS24" s="436">
        <f t="shared" si="93"/>
        <v>-156</v>
      </c>
      <c r="AT24" s="2">
        <f t="shared" si="94"/>
        <v>27425.437970335584</v>
      </c>
      <c r="AU24" s="2">
        <f t="shared" si="3"/>
        <v>27581.437970335584</v>
      </c>
      <c r="AV24" s="2">
        <f t="shared" si="4"/>
        <v>0</v>
      </c>
      <c r="AW24" s="433">
        <f t="shared" si="47"/>
        <v>365</v>
      </c>
      <c r="AX24" s="2">
        <f t="shared" si="48"/>
        <v>2617.1530140065593</v>
      </c>
      <c r="AY24" s="2">
        <f t="shared" si="49"/>
        <v>24964.284956329026</v>
      </c>
      <c r="AZ24" s="433">
        <f t="shared" si="50"/>
        <v>365</v>
      </c>
      <c r="BA24" s="2">
        <f t="shared" si="51"/>
        <v>2368.8160742831701</v>
      </c>
      <c r="BB24" s="2">
        <f t="shared" si="52"/>
        <v>22595.468882045854</v>
      </c>
      <c r="BC24" s="2">
        <f t="shared" si="53"/>
        <v>21900</v>
      </c>
      <c r="BD24" s="433">
        <f t="shared" si="54"/>
        <v>2055</v>
      </c>
      <c r="BE24" s="439">
        <f t="shared" si="55"/>
        <v>19845</v>
      </c>
      <c r="BF24" s="433">
        <f t="shared" si="56"/>
        <v>365</v>
      </c>
      <c r="BG24" s="2">
        <f t="shared" si="57"/>
        <v>2144.0433798679937</v>
      </c>
      <c r="BH24" s="2">
        <f t="shared" si="58"/>
        <v>20451.425502177859</v>
      </c>
      <c r="BI24" s="2">
        <f t="shared" si="5"/>
        <v>1940.5989619294733</v>
      </c>
      <c r="BJ24" s="2">
        <f t="shared" si="6"/>
        <v>18510.826540248385</v>
      </c>
      <c r="BK24" s="2">
        <f t="shared" si="59"/>
        <v>1756.46</v>
      </c>
      <c r="BL24" s="2">
        <f t="shared" si="7"/>
        <v>16754.366540248386</v>
      </c>
      <c r="BM24" s="2"/>
      <c r="BN24" s="2">
        <f t="shared" si="60"/>
        <v>16754.366540248386</v>
      </c>
      <c r="BO24" s="2">
        <f t="shared" si="8"/>
        <v>1589.7916901846072</v>
      </c>
      <c r="BP24" s="2">
        <f t="shared" si="61"/>
        <v>15164.574850063778</v>
      </c>
      <c r="BQ24" s="2"/>
      <c r="BR24" s="2">
        <f t="shared" si="9"/>
        <v>15164.574850063778</v>
      </c>
      <c r="BS24" s="2">
        <f t="shared" si="62"/>
        <v>1438.9392176599993</v>
      </c>
      <c r="BT24" s="2">
        <f t="shared" si="63"/>
        <v>13725.635632403779</v>
      </c>
      <c r="BU24" s="2">
        <f t="shared" si="10"/>
        <v>1302.4008647821893</v>
      </c>
      <c r="BV24" s="2">
        <f t="shared" si="64"/>
        <v>12423.23476762159</v>
      </c>
      <c r="BW24" s="2">
        <f t="shared" si="11"/>
        <v>1178.8183904972932</v>
      </c>
      <c r="BX24" s="2">
        <f t="shared" si="65"/>
        <v>11244.416377124297</v>
      </c>
      <c r="BY24" s="2">
        <f t="shared" si="12"/>
        <v>1066.9624348007665</v>
      </c>
      <c r="BZ24" s="2">
        <f t="shared" si="66"/>
        <v>10177.453942323529</v>
      </c>
      <c r="CA24" s="2">
        <f t="shared" si="13"/>
        <v>965.72028944656506</v>
      </c>
      <c r="CB24" s="2">
        <f t="shared" si="67"/>
        <v>9211.7336528769647</v>
      </c>
      <c r="CC24" s="2">
        <f t="shared" si="14"/>
        <v>874.08482907170446</v>
      </c>
      <c r="CD24" s="2">
        <f t="shared" si="68"/>
        <v>8337.6488238052607</v>
      </c>
      <c r="CE24" s="2">
        <f t="shared" si="15"/>
        <v>791.144492626491</v>
      </c>
      <c r="CF24" s="2">
        <f t="shared" si="69"/>
        <v>7546.5043311787695</v>
      </c>
      <c r="CG24" s="2">
        <f t="shared" si="16"/>
        <v>716.07421544880992</v>
      </c>
      <c r="CH24" s="2">
        <f t="shared" si="70"/>
        <v>6830.4301157299597</v>
      </c>
      <c r="CI24" s="2">
        <f t="shared" si="17"/>
        <v>648.12722177756461</v>
      </c>
      <c r="CJ24" s="2">
        <f t="shared" si="71"/>
        <v>6182.3028939523947</v>
      </c>
      <c r="CK24" s="2">
        <f t="shared" si="18"/>
        <v>586.62759605974668</v>
      </c>
      <c r="CL24" s="2">
        <f t="shared" si="72"/>
        <v>5595.6752978926479</v>
      </c>
      <c r="CM24" s="2">
        <f t="shared" si="19"/>
        <v>530.96355915280844</v>
      </c>
      <c r="CN24" s="2">
        <f t="shared" si="73"/>
        <v>5064.7117387398393</v>
      </c>
      <c r="CO24" s="2">
        <f t="shared" si="20"/>
        <v>480.5813825360932</v>
      </c>
      <c r="CP24" s="2">
        <f t="shared" si="74"/>
        <v>4584.1303562037465</v>
      </c>
      <c r="CQ24" s="2">
        <f t="shared" si="21"/>
        <v>434.97987999179088</v>
      </c>
      <c r="CR24" s="2">
        <f t="shared" si="75"/>
        <v>4149.1504762119557</v>
      </c>
      <c r="CS24" s="2">
        <f t="shared" si="22"/>
        <v>393.70542196037462</v>
      </c>
      <c r="CT24" s="2">
        <f t="shared" si="76"/>
        <v>3755.445054251581</v>
      </c>
      <c r="CU24" s="2">
        <f t="shared" si="23"/>
        <v>356.34742297487861</v>
      </c>
      <c r="CV24" s="2">
        <f t="shared" si="77"/>
        <v>3399.0976312767025</v>
      </c>
      <c r="CW24" s="2">
        <f t="shared" si="24"/>
        <v>322.53425728441601</v>
      </c>
      <c r="CX24" s="2">
        <f t="shared" si="78"/>
        <v>3076.5633739922864</v>
      </c>
      <c r="CY24" s="2">
        <f t="shared" si="25"/>
        <v>291.9295620368315</v>
      </c>
      <c r="CZ24" s="2">
        <f t="shared" si="79"/>
        <v>2784.6338119554548</v>
      </c>
      <c r="DA24" s="2">
        <f t="shared" si="80"/>
        <v>264.22889124569895</v>
      </c>
      <c r="DB24" s="2">
        <f t="shared" si="95"/>
        <v>2520.404920709756</v>
      </c>
      <c r="DC24" s="2">
        <f t="shared" si="100"/>
        <v>239.15668725636945</v>
      </c>
      <c r="DD24" s="2">
        <f t="shared" si="96"/>
        <v>2281.2482334533865</v>
      </c>
      <c r="DE24" s="2">
        <f t="shared" si="101"/>
        <v>216.4635395841556</v>
      </c>
      <c r="DF24" s="2">
        <f t="shared" si="97"/>
        <v>2064.784693869231</v>
      </c>
      <c r="DG24" s="2">
        <f t="shared" si="102"/>
        <v>74.784693869230978</v>
      </c>
      <c r="DH24" s="2">
        <f t="shared" si="98"/>
        <v>1990</v>
      </c>
      <c r="DI24" s="2"/>
      <c r="DJ24" s="2">
        <f t="shared" si="82"/>
        <v>1990</v>
      </c>
      <c r="DK24" s="2"/>
      <c r="DL24" s="2">
        <f t="shared" si="83"/>
        <v>1990</v>
      </c>
      <c r="DM24" s="2"/>
      <c r="DN24" s="2">
        <f t="shared" si="84"/>
        <v>1990</v>
      </c>
      <c r="DO24" s="2"/>
      <c r="DP24" s="2">
        <f t="shared" si="85"/>
        <v>1990</v>
      </c>
      <c r="DQ24" s="2"/>
      <c r="DR24" s="2">
        <f t="shared" si="86"/>
        <v>1990</v>
      </c>
      <c r="DS24" s="2"/>
      <c r="DT24" s="2">
        <f t="shared" si="26"/>
        <v>1990</v>
      </c>
      <c r="DU24" s="2"/>
      <c r="DV24" s="2"/>
      <c r="DW24" s="266">
        <f t="shared" si="27"/>
        <v>1990</v>
      </c>
      <c r="DX24" s="441">
        <f t="shared" si="87"/>
        <v>0</v>
      </c>
    </row>
    <row r="25" spans="1:128">
      <c r="A25" s="433">
        <f t="shared" si="28"/>
        <v>18</v>
      </c>
      <c r="B25" s="433" t="s">
        <v>493</v>
      </c>
      <c r="C25" s="434" t="s">
        <v>494</v>
      </c>
      <c r="D25" s="435">
        <v>0.1</v>
      </c>
      <c r="E25" s="442">
        <v>5650</v>
      </c>
      <c r="F25" s="437" t="s">
        <v>1001</v>
      </c>
      <c r="G25" s="438">
        <v>40770</v>
      </c>
      <c r="H25" s="438"/>
      <c r="I25" s="438"/>
      <c r="J25" s="438"/>
      <c r="K25" s="438"/>
      <c r="L25" s="438"/>
      <c r="M25" s="439"/>
      <c r="N25" s="439"/>
      <c r="O25" s="439"/>
      <c r="P25" s="433"/>
      <c r="Q25" s="436"/>
      <c r="R25" s="436"/>
      <c r="S25" s="2">
        <v>0</v>
      </c>
      <c r="T25" s="2">
        <v>0</v>
      </c>
      <c r="U25" s="436">
        <f t="shared" si="99"/>
        <v>5650</v>
      </c>
      <c r="V25" s="433">
        <f t="shared" si="33"/>
        <v>230</v>
      </c>
      <c r="W25" s="436">
        <f>186694/(U59+825639)*U25</f>
        <v>309.41018762824001</v>
      </c>
      <c r="X25" s="436">
        <f t="shared" si="34"/>
        <v>5340.5898123717598</v>
      </c>
      <c r="Y25" s="433">
        <f t="shared" si="35"/>
        <v>365</v>
      </c>
      <c r="Z25" s="436">
        <f t="shared" si="88"/>
        <v>534</v>
      </c>
      <c r="AA25" s="436">
        <f t="shared" si="89"/>
        <v>4806.5898123717598</v>
      </c>
      <c r="AB25" s="433">
        <f t="shared" si="36"/>
        <v>365</v>
      </c>
      <c r="AC25" s="436">
        <f t="shared" si="37"/>
        <v>481</v>
      </c>
      <c r="AD25" s="436">
        <f t="shared" si="38"/>
        <v>4325.5898123717598</v>
      </c>
      <c r="AE25" s="436">
        <f t="shared" si="39"/>
        <v>1324.41018762824</v>
      </c>
      <c r="AF25" s="436">
        <f t="shared" si="40"/>
        <v>4325.5898123717598</v>
      </c>
      <c r="AG25" s="436">
        <f t="shared" si="1"/>
        <v>0</v>
      </c>
      <c r="AH25" s="436">
        <f t="shared" si="41"/>
        <v>2.6301369863013697</v>
      </c>
      <c r="AI25" s="439">
        <v>30</v>
      </c>
      <c r="AJ25" s="436">
        <f t="shared" si="2"/>
        <v>27.36986301369863</v>
      </c>
      <c r="AK25" s="440">
        <f t="shared" si="42"/>
        <v>9.4886125927895915E-2</v>
      </c>
      <c r="AL25" s="2">
        <f t="shared" si="43"/>
        <v>0</v>
      </c>
      <c r="AM25" s="433">
        <f t="shared" si="44"/>
        <v>365</v>
      </c>
      <c r="AN25" s="436">
        <f t="shared" si="90"/>
        <v>433</v>
      </c>
      <c r="AO25" s="436">
        <f t="shared" si="45"/>
        <v>410</v>
      </c>
      <c r="AP25" s="436">
        <f t="shared" si="46"/>
        <v>3916</v>
      </c>
      <c r="AQ25" s="436">
        <f t="shared" si="91"/>
        <v>3915.5898123717598</v>
      </c>
      <c r="AR25" s="436">
        <f t="shared" si="92"/>
        <v>-0.41018762824023725</v>
      </c>
      <c r="AS25" s="436">
        <f t="shared" si="93"/>
        <v>-23</v>
      </c>
      <c r="AT25" s="2">
        <f t="shared" si="94"/>
        <v>3892.5898123717598</v>
      </c>
      <c r="AU25" s="2">
        <f t="shared" si="3"/>
        <v>3915.5898123717598</v>
      </c>
      <c r="AV25" s="2">
        <f t="shared" si="4"/>
        <v>0</v>
      </c>
      <c r="AW25" s="433">
        <f t="shared" si="47"/>
        <v>365</v>
      </c>
      <c r="AX25" s="2">
        <f t="shared" si="48"/>
        <v>371.53514801869312</v>
      </c>
      <c r="AY25" s="2">
        <f t="shared" si="49"/>
        <v>3544.0546643530665</v>
      </c>
      <c r="AZ25" s="433">
        <f t="shared" si="50"/>
        <v>365</v>
      </c>
      <c r="BA25" s="2">
        <f t="shared" si="51"/>
        <v>336.28161717715199</v>
      </c>
      <c r="BB25" s="2">
        <f t="shared" si="52"/>
        <v>3207.7730471759146</v>
      </c>
      <c r="BC25" s="2">
        <f t="shared" si="53"/>
        <v>21900</v>
      </c>
      <c r="BD25" s="433">
        <f t="shared" si="54"/>
        <v>2055</v>
      </c>
      <c r="BE25" s="439">
        <f t="shared" si="55"/>
        <v>19845</v>
      </c>
      <c r="BF25" s="433">
        <f t="shared" si="56"/>
        <v>365</v>
      </c>
      <c r="BG25" s="2">
        <f t="shared" si="57"/>
        <v>304.37315730244421</v>
      </c>
      <c r="BH25" s="2">
        <f t="shared" si="58"/>
        <v>2903.3998898734703</v>
      </c>
      <c r="BI25" s="2">
        <f t="shared" si="5"/>
        <v>275.49236756957322</v>
      </c>
      <c r="BJ25" s="2">
        <f t="shared" si="6"/>
        <v>2627.9075223038972</v>
      </c>
      <c r="BK25" s="2">
        <f t="shared" si="59"/>
        <v>249.35</v>
      </c>
      <c r="BL25" s="2">
        <f t="shared" si="7"/>
        <v>2378.5575223038973</v>
      </c>
      <c r="BM25" s="2"/>
      <c r="BN25" s="2">
        <f t="shared" si="60"/>
        <v>2378.5575223038973</v>
      </c>
      <c r="BO25" s="2">
        <f t="shared" si="8"/>
        <v>225.6921085880717</v>
      </c>
      <c r="BP25" s="2">
        <f t="shared" si="61"/>
        <v>2152.8654137158255</v>
      </c>
      <c r="BQ25" s="2"/>
      <c r="BR25" s="2">
        <f t="shared" si="9"/>
        <v>2152.8654137158255</v>
      </c>
      <c r="BS25" s="2">
        <f t="shared" si="62"/>
        <v>204.27705875165157</v>
      </c>
      <c r="BT25" s="2">
        <f t="shared" si="63"/>
        <v>1948.588354964174</v>
      </c>
      <c r="BU25" s="2">
        <f t="shared" si="10"/>
        <v>184.89400003076216</v>
      </c>
      <c r="BV25" s="2">
        <f t="shared" si="64"/>
        <v>1763.6943549334119</v>
      </c>
      <c r="BW25" s="2">
        <f t="shared" si="11"/>
        <v>167.35012466053087</v>
      </c>
      <c r="BX25" s="2">
        <f t="shared" si="65"/>
        <v>1596.3442302728811</v>
      </c>
      <c r="BY25" s="2">
        <f t="shared" si="12"/>
        <v>151.47091965794266</v>
      </c>
      <c r="BZ25" s="2">
        <f t="shared" si="66"/>
        <v>1444.8733106149384</v>
      </c>
      <c r="CA25" s="2">
        <f t="shared" si="13"/>
        <v>137.09843090086491</v>
      </c>
      <c r="CB25" s="2">
        <f t="shared" si="67"/>
        <v>1307.7748797140734</v>
      </c>
      <c r="CC25" s="2">
        <f t="shared" si="14"/>
        <v>124.0896919218885</v>
      </c>
      <c r="CD25" s="2">
        <f t="shared" si="68"/>
        <v>1183.6851877921849</v>
      </c>
      <c r="CE25" s="2">
        <f t="shared" si="15"/>
        <v>112.31530178783439</v>
      </c>
      <c r="CF25" s="2">
        <f t="shared" si="69"/>
        <v>1071.3698860043505</v>
      </c>
      <c r="CG25" s="2">
        <f t="shared" si="16"/>
        <v>101.6581379187643</v>
      </c>
      <c r="CH25" s="2">
        <f t="shared" si="70"/>
        <v>969.71174808558624</v>
      </c>
      <c r="CI25" s="2">
        <f t="shared" si="17"/>
        <v>92.012191042609018</v>
      </c>
      <c r="CJ25" s="2">
        <f t="shared" si="71"/>
        <v>877.69955704297718</v>
      </c>
      <c r="CK25" s="2">
        <f t="shared" si="18"/>
        <v>83.281510696438403</v>
      </c>
      <c r="CL25" s="2">
        <f t="shared" si="72"/>
        <v>794.41804634653874</v>
      </c>
      <c r="CM25" s="2">
        <f t="shared" si="19"/>
        <v>75.379250785030735</v>
      </c>
      <c r="CN25" s="2">
        <f t="shared" si="73"/>
        <v>719.03879556150798</v>
      </c>
      <c r="CO25" s="2">
        <f t="shared" si="20"/>
        <v>68.226805702691848</v>
      </c>
      <c r="CP25" s="2">
        <f t="shared" si="74"/>
        <v>650.8119898588161</v>
      </c>
      <c r="CQ25" s="2">
        <f t="shared" si="21"/>
        <v>61.753028425128143</v>
      </c>
      <c r="CR25" s="2">
        <f t="shared" si="75"/>
        <v>589.05896143368795</v>
      </c>
      <c r="CS25" s="2">
        <f t="shared" si="22"/>
        <v>55.893522793552499</v>
      </c>
      <c r="CT25" s="2">
        <f t="shared" si="76"/>
        <v>533.16543864013545</v>
      </c>
      <c r="CU25" s="2">
        <f t="shared" si="23"/>
        <v>50.590002951209755</v>
      </c>
      <c r="CV25" s="2">
        <f t="shared" si="77"/>
        <v>482.57543568892572</v>
      </c>
      <c r="CW25" s="2">
        <f t="shared" si="24"/>
        <v>45.789713560488643</v>
      </c>
      <c r="CX25" s="2">
        <f t="shared" si="78"/>
        <v>436.7857221284371</v>
      </c>
      <c r="CY25" s="2">
        <f t="shared" si="25"/>
        <v>41.444905033385837</v>
      </c>
      <c r="CZ25" s="2">
        <f t="shared" si="79"/>
        <v>395.34081709505125</v>
      </c>
      <c r="DA25" s="2">
        <f t="shared" si="80"/>
        <v>37.512358555318301</v>
      </c>
      <c r="DB25" s="2">
        <f t="shared" si="95"/>
        <v>357.82845853973294</v>
      </c>
      <c r="DC25" s="2">
        <f t="shared" si="100"/>
        <v>33.952956177585982</v>
      </c>
      <c r="DD25" s="2">
        <f t="shared" si="96"/>
        <v>323.87550236214696</v>
      </c>
      <c r="DE25" s="2">
        <f t="shared" si="101"/>
        <v>30.731291702095227</v>
      </c>
      <c r="DF25" s="2">
        <f t="shared" si="97"/>
        <v>293.14421066005173</v>
      </c>
      <c r="DG25" s="2">
        <f t="shared" si="102"/>
        <v>10.644210660051726</v>
      </c>
      <c r="DH25" s="2">
        <f t="shared" si="98"/>
        <v>282.5</v>
      </c>
      <c r="DI25" s="2"/>
      <c r="DJ25" s="2">
        <f t="shared" si="82"/>
        <v>282.5</v>
      </c>
      <c r="DK25" s="2"/>
      <c r="DL25" s="2">
        <f t="shared" si="83"/>
        <v>282.5</v>
      </c>
      <c r="DM25" s="2"/>
      <c r="DN25" s="2">
        <f t="shared" si="84"/>
        <v>282.5</v>
      </c>
      <c r="DO25" s="2"/>
      <c r="DP25" s="2">
        <f t="shared" si="85"/>
        <v>282.5</v>
      </c>
      <c r="DQ25" s="2"/>
      <c r="DR25" s="2">
        <f t="shared" si="86"/>
        <v>282.5</v>
      </c>
      <c r="DS25" s="2"/>
      <c r="DT25" s="2">
        <f t="shared" si="26"/>
        <v>282.5</v>
      </c>
      <c r="DU25" s="2"/>
      <c r="DV25" s="2"/>
      <c r="DW25" s="266">
        <f t="shared" si="27"/>
        <v>282.5</v>
      </c>
      <c r="DX25" s="441">
        <f t="shared" si="87"/>
        <v>0</v>
      </c>
    </row>
    <row r="26" spans="1:128">
      <c r="A26" s="433">
        <f t="shared" si="28"/>
        <v>19</v>
      </c>
      <c r="B26" s="433" t="s">
        <v>493</v>
      </c>
      <c r="C26" s="434" t="s">
        <v>494</v>
      </c>
      <c r="D26" s="435">
        <v>0.1</v>
      </c>
      <c r="E26" s="442">
        <v>100000</v>
      </c>
      <c r="F26" s="437" t="s">
        <v>1001</v>
      </c>
      <c r="G26" s="438">
        <v>40770</v>
      </c>
      <c r="H26" s="438"/>
      <c r="I26" s="438"/>
      <c r="J26" s="438"/>
      <c r="K26" s="438"/>
      <c r="L26" s="438"/>
      <c r="M26" s="439"/>
      <c r="N26" s="439"/>
      <c r="O26" s="439"/>
      <c r="P26" s="433"/>
      <c r="Q26" s="436"/>
      <c r="R26" s="436"/>
      <c r="S26" s="2">
        <v>0</v>
      </c>
      <c r="T26" s="2">
        <v>0</v>
      </c>
      <c r="U26" s="436">
        <f t="shared" si="99"/>
        <v>100000</v>
      </c>
      <c r="V26" s="433">
        <f t="shared" si="33"/>
        <v>230</v>
      </c>
      <c r="W26" s="436">
        <f>186694/(U59+825639)*U26</f>
        <v>5476.2865066945133</v>
      </c>
      <c r="X26" s="436">
        <f t="shared" si="34"/>
        <v>94523.713493305491</v>
      </c>
      <c r="Y26" s="433">
        <f t="shared" si="35"/>
        <v>365</v>
      </c>
      <c r="Z26" s="436">
        <f t="shared" si="88"/>
        <v>9452</v>
      </c>
      <c r="AA26" s="436">
        <f t="shared" si="89"/>
        <v>85071.713493305491</v>
      </c>
      <c r="AB26" s="433">
        <f t="shared" si="36"/>
        <v>365</v>
      </c>
      <c r="AC26" s="436">
        <f t="shared" si="37"/>
        <v>8507</v>
      </c>
      <c r="AD26" s="436">
        <f t="shared" si="38"/>
        <v>76564.713493305491</v>
      </c>
      <c r="AE26" s="436">
        <f t="shared" si="39"/>
        <v>23435.286506694512</v>
      </c>
      <c r="AF26" s="436">
        <f t="shared" si="40"/>
        <v>76564.713493305491</v>
      </c>
      <c r="AG26" s="436">
        <f t="shared" si="1"/>
        <v>0</v>
      </c>
      <c r="AH26" s="436">
        <f t="shared" si="41"/>
        <v>2.6301369863013697</v>
      </c>
      <c r="AI26" s="439">
        <v>30</v>
      </c>
      <c r="AJ26" s="436">
        <f t="shared" si="2"/>
        <v>27.36986301369863</v>
      </c>
      <c r="AK26" s="440">
        <f t="shared" si="42"/>
        <v>9.4888545521960022E-2</v>
      </c>
      <c r="AL26" s="2">
        <f t="shared" si="43"/>
        <v>0</v>
      </c>
      <c r="AM26" s="433">
        <f t="shared" si="44"/>
        <v>365</v>
      </c>
      <c r="AN26" s="436">
        <f t="shared" si="90"/>
        <v>7656</v>
      </c>
      <c r="AO26" s="436">
        <f t="shared" si="45"/>
        <v>7265</v>
      </c>
      <c r="AP26" s="436">
        <f t="shared" si="46"/>
        <v>69300</v>
      </c>
      <c r="AQ26" s="436">
        <f t="shared" si="91"/>
        <v>69299.713493305491</v>
      </c>
      <c r="AR26" s="436">
        <f t="shared" si="92"/>
        <v>-0.28650669450871646</v>
      </c>
      <c r="AS26" s="436">
        <f t="shared" si="93"/>
        <v>-391</v>
      </c>
      <c r="AT26" s="2">
        <f t="shared" si="94"/>
        <v>68908.713493305491</v>
      </c>
      <c r="AU26" s="2">
        <f t="shared" si="3"/>
        <v>69299.713493305491</v>
      </c>
      <c r="AV26" s="2">
        <f t="shared" si="4"/>
        <v>0</v>
      </c>
      <c r="AW26" s="433">
        <f t="shared" si="47"/>
        <v>365</v>
      </c>
      <c r="AX26" s="2">
        <f t="shared" si="48"/>
        <v>6575.7490184683056</v>
      </c>
      <c r="AY26" s="2">
        <f t="shared" si="49"/>
        <v>62723.964474837187</v>
      </c>
      <c r="AZ26" s="433">
        <f t="shared" si="50"/>
        <v>365</v>
      </c>
      <c r="BA26" s="2">
        <f t="shared" si="51"/>
        <v>5951.7857583883915</v>
      </c>
      <c r="BB26" s="2">
        <f t="shared" si="52"/>
        <v>56772.178716448798</v>
      </c>
      <c r="BC26" s="2">
        <f t="shared" si="53"/>
        <v>21900</v>
      </c>
      <c r="BD26" s="433">
        <f t="shared" si="54"/>
        <v>2055</v>
      </c>
      <c r="BE26" s="439">
        <f t="shared" si="55"/>
        <v>19845</v>
      </c>
      <c r="BF26" s="433">
        <f t="shared" si="56"/>
        <v>365</v>
      </c>
      <c r="BG26" s="2">
        <f t="shared" si="57"/>
        <v>5387.0294645166014</v>
      </c>
      <c r="BH26" s="2">
        <f t="shared" si="58"/>
        <v>51385.149251932198</v>
      </c>
      <c r="BI26" s="2">
        <f t="shared" si="5"/>
        <v>4875.8620739446787</v>
      </c>
      <c r="BJ26" s="2">
        <f t="shared" si="6"/>
        <v>46509.28717798752</v>
      </c>
      <c r="BK26" s="2">
        <f t="shared" si="59"/>
        <v>4413.2</v>
      </c>
      <c r="BL26" s="2">
        <f t="shared" si="7"/>
        <v>42096.087177987523</v>
      </c>
      <c r="BM26" s="2"/>
      <c r="BN26" s="2">
        <f t="shared" si="60"/>
        <v>42096.087177987523</v>
      </c>
      <c r="BO26" s="2">
        <f t="shared" si="8"/>
        <v>3994.4364844848665</v>
      </c>
      <c r="BP26" s="2">
        <f t="shared" si="61"/>
        <v>38101.650693502655</v>
      </c>
      <c r="BQ26" s="2"/>
      <c r="BR26" s="2">
        <f t="shared" si="9"/>
        <v>38101.650693502655</v>
      </c>
      <c r="BS26" s="2">
        <f t="shared" si="62"/>
        <v>3615.4102162922463</v>
      </c>
      <c r="BT26" s="2">
        <f t="shared" si="63"/>
        <v>34486.240477210406</v>
      </c>
      <c r="BU26" s="2">
        <f t="shared" si="10"/>
        <v>3272.3491994030401</v>
      </c>
      <c r="BV26" s="2">
        <f t="shared" si="64"/>
        <v>31213.891277807365</v>
      </c>
      <c r="BW26" s="2">
        <f t="shared" si="11"/>
        <v>2961.8407434317351</v>
      </c>
      <c r="BX26" s="2">
        <f t="shared" si="65"/>
        <v>28252.05053437563</v>
      </c>
      <c r="BY26" s="2">
        <f t="shared" si="12"/>
        <v>2680.7959832198171</v>
      </c>
      <c r="BZ26" s="2">
        <f t="shared" si="66"/>
        <v>25571.254551155813</v>
      </c>
      <c r="CA26" s="2">
        <f t="shared" si="13"/>
        <v>2426.4191515309758</v>
      </c>
      <c r="CB26" s="2">
        <f t="shared" si="67"/>
        <v>23144.835399624837</v>
      </c>
      <c r="CC26" s="2">
        <f t="shared" si="14"/>
        <v>2196.1797674155732</v>
      </c>
      <c r="CD26" s="2">
        <f t="shared" si="68"/>
        <v>20948.655632209266</v>
      </c>
      <c r="CE26" s="2">
        <f t="shared" si="15"/>
        <v>1987.7874635807532</v>
      </c>
      <c r="CF26" s="2">
        <f t="shared" si="69"/>
        <v>18960.868168628513</v>
      </c>
      <c r="CG26" s="2">
        <f t="shared" si="16"/>
        <v>1799.1692023547894</v>
      </c>
      <c r="CH26" s="2">
        <f t="shared" si="70"/>
        <v>17161.698966273725</v>
      </c>
      <c r="CI26" s="2">
        <f t="shared" si="17"/>
        <v>1628.4486535954386</v>
      </c>
      <c r="CJ26" s="2">
        <f t="shared" si="71"/>
        <v>15533.250312678287</v>
      </c>
      <c r="CK26" s="2">
        <f t="shared" si="18"/>
        <v>1473.9275293985734</v>
      </c>
      <c r="CL26" s="2">
        <f t="shared" si="72"/>
        <v>14059.322783279713</v>
      </c>
      <c r="CM26" s="2">
        <f t="shared" si="19"/>
        <v>1334.0686899291668</v>
      </c>
      <c r="CN26" s="2">
        <f t="shared" si="73"/>
        <v>12725.254093350546</v>
      </c>
      <c r="CO26" s="2">
        <f t="shared" si="20"/>
        <v>1207.4808523154013</v>
      </c>
      <c r="CP26" s="2">
        <f t="shared" si="74"/>
        <v>11517.773241035145</v>
      </c>
      <c r="CQ26" s="2">
        <f t="shared" si="21"/>
        <v>1092.9047504935763</v>
      </c>
      <c r="CR26" s="2">
        <f t="shared" si="75"/>
        <v>10424.868490541568</v>
      </c>
      <c r="CS26" s="2">
        <f t="shared" si="22"/>
        <v>989.20060832520028</v>
      </c>
      <c r="CT26" s="2">
        <f t="shared" si="76"/>
        <v>9435.6678822163685</v>
      </c>
      <c r="CU26" s="2">
        <f t="shared" si="23"/>
        <v>895.33680137178396</v>
      </c>
      <c r="CV26" s="2">
        <f t="shared" si="77"/>
        <v>8540.331080844584</v>
      </c>
      <c r="CW26" s="2">
        <f t="shared" si="24"/>
        <v>810.37959453733129</v>
      </c>
      <c r="CX26" s="2">
        <f t="shared" si="78"/>
        <v>7729.9514863072527</v>
      </c>
      <c r="CY26" s="2">
        <f t="shared" si="25"/>
        <v>733.48385349100829</v>
      </c>
      <c r="CZ26" s="2">
        <f t="shared" si="79"/>
        <v>6996.4676328162441</v>
      </c>
      <c r="DA26" s="2">
        <f t="shared" si="80"/>
        <v>663.88463746940408</v>
      </c>
      <c r="DB26" s="2">
        <f t="shared" si="95"/>
        <v>6332.5829953468401</v>
      </c>
      <c r="DC26" s="2">
        <f t="shared" si="100"/>
        <v>600.88958982555857</v>
      </c>
      <c r="DD26" s="2">
        <f t="shared" si="96"/>
        <v>5731.6934055212814</v>
      </c>
      <c r="DE26" s="2">
        <f t="shared" si="101"/>
        <v>543.87205062772421</v>
      </c>
      <c r="DF26" s="2">
        <f t="shared" si="97"/>
        <v>5187.8213548935573</v>
      </c>
      <c r="DG26" s="2">
        <f t="shared" si="102"/>
        <v>187.82135489355733</v>
      </c>
      <c r="DH26" s="2">
        <f t="shared" si="98"/>
        <v>5000</v>
      </c>
      <c r="DI26" s="2"/>
      <c r="DJ26" s="2">
        <f t="shared" si="82"/>
        <v>5000</v>
      </c>
      <c r="DK26" s="2"/>
      <c r="DL26" s="2">
        <f t="shared" si="83"/>
        <v>5000</v>
      </c>
      <c r="DM26" s="2"/>
      <c r="DN26" s="2">
        <f t="shared" si="84"/>
        <v>5000</v>
      </c>
      <c r="DO26" s="2"/>
      <c r="DP26" s="2">
        <f t="shared" si="85"/>
        <v>5000</v>
      </c>
      <c r="DQ26" s="2"/>
      <c r="DR26" s="2">
        <f t="shared" si="86"/>
        <v>5000</v>
      </c>
      <c r="DS26" s="2"/>
      <c r="DT26" s="2">
        <f t="shared" si="26"/>
        <v>5000</v>
      </c>
      <c r="DU26" s="2"/>
      <c r="DV26" s="2"/>
      <c r="DW26" s="266">
        <f t="shared" si="27"/>
        <v>5000</v>
      </c>
      <c r="DX26" s="441">
        <f t="shared" si="87"/>
        <v>0</v>
      </c>
    </row>
    <row r="27" spans="1:128">
      <c r="A27" s="433">
        <f t="shared" si="28"/>
        <v>20</v>
      </c>
      <c r="B27" s="433" t="s">
        <v>493</v>
      </c>
      <c r="C27" s="434" t="s">
        <v>494</v>
      </c>
      <c r="D27" s="435">
        <v>0.1</v>
      </c>
      <c r="E27" s="442">
        <v>14054</v>
      </c>
      <c r="F27" s="437" t="s">
        <v>1001</v>
      </c>
      <c r="G27" s="438">
        <v>40770</v>
      </c>
      <c r="H27" s="438"/>
      <c r="I27" s="438"/>
      <c r="J27" s="438"/>
      <c r="K27" s="438"/>
      <c r="L27" s="438"/>
      <c r="M27" s="439"/>
      <c r="N27" s="439"/>
      <c r="O27" s="439"/>
      <c r="P27" s="433"/>
      <c r="Q27" s="436"/>
      <c r="R27" s="436"/>
      <c r="S27" s="2">
        <v>0</v>
      </c>
      <c r="T27" s="2">
        <v>0</v>
      </c>
      <c r="U27" s="436">
        <f t="shared" si="99"/>
        <v>14054</v>
      </c>
      <c r="V27" s="433">
        <f t="shared" si="33"/>
        <v>230</v>
      </c>
      <c r="W27" s="436">
        <f>186694/(U59+825639)*U27</f>
        <v>769.63730565084688</v>
      </c>
      <c r="X27" s="436">
        <f t="shared" si="34"/>
        <v>13284.362694349153</v>
      </c>
      <c r="Y27" s="433">
        <f t="shared" si="35"/>
        <v>365</v>
      </c>
      <c r="Z27" s="436">
        <f t="shared" si="88"/>
        <v>1328</v>
      </c>
      <c r="AA27" s="436">
        <f t="shared" si="89"/>
        <v>11956.362694349153</v>
      </c>
      <c r="AB27" s="433">
        <f t="shared" si="36"/>
        <v>365</v>
      </c>
      <c r="AC27" s="436">
        <f t="shared" si="37"/>
        <v>1196</v>
      </c>
      <c r="AD27" s="436">
        <f t="shared" si="38"/>
        <v>10760.362694349153</v>
      </c>
      <c r="AE27" s="436">
        <f t="shared" si="39"/>
        <v>3293.6373056508469</v>
      </c>
      <c r="AF27" s="436">
        <f t="shared" si="40"/>
        <v>10760.362694349153</v>
      </c>
      <c r="AG27" s="436">
        <f t="shared" si="1"/>
        <v>0</v>
      </c>
      <c r="AH27" s="436">
        <f t="shared" si="41"/>
        <v>2.6301369863013697</v>
      </c>
      <c r="AI27" s="439">
        <v>30</v>
      </c>
      <c r="AJ27" s="436">
        <f t="shared" si="2"/>
        <v>27.36986301369863</v>
      </c>
      <c r="AK27" s="440">
        <f t="shared" si="42"/>
        <v>9.4888416014066612E-2</v>
      </c>
      <c r="AL27" s="2">
        <f t="shared" si="43"/>
        <v>0</v>
      </c>
      <c r="AM27" s="433">
        <f t="shared" si="44"/>
        <v>365</v>
      </c>
      <c r="AN27" s="436">
        <f t="shared" si="90"/>
        <v>1076</v>
      </c>
      <c r="AO27" s="436">
        <f t="shared" si="45"/>
        <v>1021</v>
      </c>
      <c r="AP27" s="436">
        <f t="shared" si="46"/>
        <v>9739</v>
      </c>
      <c r="AQ27" s="436">
        <f t="shared" si="91"/>
        <v>9739.3626943491527</v>
      </c>
      <c r="AR27" s="436">
        <f t="shared" si="92"/>
        <v>0.36269434915266174</v>
      </c>
      <c r="AS27" s="436">
        <f t="shared" si="93"/>
        <v>-55</v>
      </c>
      <c r="AT27" s="2">
        <f t="shared" si="94"/>
        <v>9684.3626943491527</v>
      </c>
      <c r="AU27" s="2">
        <f t="shared" si="3"/>
        <v>9739.3626943491527</v>
      </c>
      <c r="AV27" s="2">
        <f t="shared" si="4"/>
        <v>0</v>
      </c>
      <c r="AW27" s="433">
        <f t="shared" si="47"/>
        <v>365</v>
      </c>
      <c r="AX27" s="2">
        <f t="shared" si="48"/>
        <v>924.15269905328307</v>
      </c>
      <c r="AY27" s="2">
        <f t="shared" si="49"/>
        <v>8815.2099952958688</v>
      </c>
      <c r="AZ27" s="433">
        <f t="shared" si="50"/>
        <v>365</v>
      </c>
      <c r="BA27" s="2">
        <f t="shared" si="51"/>
        <v>836.46131328499257</v>
      </c>
      <c r="BB27" s="2">
        <f t="shared" si="52"/>
        <v>7978.7486820108761</v>
      </c>
      <c r="BC27" s="2">
        <f t="shared" si="53"/>
        <v>21900</v>
      </c>
      <c r="BD27" s="433">
        <f t="shared" si="54"/>
        <v>2055</v>
      </c>
      <c r="BE27" s="439">
        <f t="shared" si="55"/>
        <v>19845</v>
      </c>
      <c r="BF27" s="433">
        <f t="shared" si="56"/>
        <v>365</v>
      </c>
      <c r="BG27" s="2">
        <f t="shared" si="57"/>
        <v>757.09082421033372</v>
      </c>
      <c r="BH27" s="2">
        <f t="shared" si="58"/>
        <v>7221.6578578005428</v>
      </c>
      <c r="BI27" s="2">
        <f t="shared" si="5"/>
        <v>685.25167512223106</v>
      </c>
      <c r="BJ27" s="2">
        <f t="shared" si="6"/>
        <v>6536.4061826783118</v>
      </c>
      <c r="BK27" s="2">
        <f t="shared" si="59"/>
        <v>620.23</v>
      </c>
      <c r="BL27" s="2">
        <f t="shared" si="7"/>
        <v>5916.1761826783113</v>
      </c>
      <c r="BM27" s="2"/>
      <c r="BN27" s="2">
        <f t="shared" si="60"/>
        <v>5916.1761826783113</v>
      </c>
      <c r="BO27" s="2">
        <f t="shared" si="8"/>
        <v>561.37658683449217</v>
      </c>
      <c r="BP27" s="2">
        <f t="shared" si="61"/>
        <v>5354.7995958438187</v>
      </c>
      <c r="BQ27" s="2"/>
      <c r="BR27" s="2">
        <f t="shared" si="9"/>
        <v>5354.7995958438187</v>
      </c>
      <c r="BS27" s="2">
        <f t="shared" si="62"/>
        <v>508.10845172238402</v>
      </c>
      <c r="BT27" s="2">
        <f t="shared" si="63"/>
        <v>4846.6911441214343</v>
      </c>
      <c r="BU27" s="2">
        <f t="shared" si="10"/>
        <v>459.89484557508712</v>
      </c>
      <c r="BV27" s="2">
        <f t="shared" si="64"/>
        <v>4386.7962985463473</v>
      </c>
      <c r="BW27" s="2">
        <f t="shared" si="11"/>
        <v>416.25615214543336</v>
      </c>
      <c r="BX27" s="2">
        <f t="shared" si="65"/>
        <v>3970.5401464009137</v>
      </c>
      <c r="BY27" s="2">
        <f t="shared" si="12"/>
        <v>376.75826521224286</v>
      </c>
      <c r="BZ27" s="2">
        <f t="shared" si="66"/>
        <v>3593.7818811886709</v>
      </c>
      <c r="CA27" s="2">
        <f t="shared" si="13"/>
        <v>341.00827020604549</v>
      </c>
      <c r="CB27" s="2">
        <f t="shared" si="67"/>
        <v>3252.7736109826255</v>
      </c>
      <c r="CC27" s="2">
        <f t="shared" si="14"/>
        <v>308.65053559849707</v>
      </c>
      <c r="CD27" s="2">
        <f t="shared" si="68"/>
        <v>2944.1230753841282</v>
      </c>
      <c r="CE27" s="2">
        <f t="shared" si="15"/>
        <v>279.36317517366234</v>
      </c>
      <c r="CF27" s="2">
        <f t="shared" si="69"/>
        <v>2664.7599002104657</v>
      </c>
      <c r="CG27" s="2">
        <f t="shared" si="16"/>
        <v>252.85484598877329</v>
      </c>
      <c r="CH27" s="2">
        <f t="shared" si="70"/>
        <v>2411.9050542216924</v>
      </c>
      <c r="CI27" s="2">
        <f t="shared" si="17"/>
        <v>228.86185017141784</v>
      </c>
      <c r="CJ27" s="2">
        <f t="shared" si="71"/>
        <v>2183.0432040502747</v>
      </c>
      <c r="CK27" s="2">
        <f t="shared" si="18"/>
        <v>207.14551172260337</v>
      </c>
      <c r="CL27" s="2">
        <f t="shared" si="72"/>
        <v>1975.8976923276714</v>
      </c>
      <c r="CM27" s="2">
        <f t="shared" si="19"/>
        <v>187.48980223082228</v>
      </c>
      <c r="CN27" s="2">
        <f t="shared" si="73"/>
        <v>1788.4078900968491</v>
      </c>
      <c r="CO27" s="2">
        <f t="shared" si="20"/>
        <v>169.69919187834893</v>
      </c>
      <c r="CP27" s="2">
        <f t="shared" si="74"/>
        <v>1618.7086982185001</v>
      </c>
      <c r="CQ27" s="2">
        <f t="shared" si="21"/>
        <v>153.59670436214523</v>
      </c>
      <c r="CR27" s="2">
        <f t="shared" si="75"/>
        <v>1465.111993856355</v>
      </c>
      <c r="CS27" s="2">
        <f t="shared" si="22"/>
        <v>139.0221563802404</v>
      </c>
      <c r="CT27" s="2">
        <f t="shared" si="76"/>
        <v>1326.0898374761146</v>
      </c>
      <c r="CU27" s="2">
        <f t="shared" si="23"/>
        <v>125.83056417045954</v>
      </c>
      <c r="CV27" s="2">
        <f t="shared" si="77"/>
        <v>1200.2592733056549</v>
      </c>
      <c r="CW27" s="2">
        <f t="shared" si="24"/>
        <v>113.89070125016826</v>
      </c>
      <c r="CX27" s="2">
        <f t="shared" si="78"/>
        <v>1086.3685720554868</v>
      </c>
      <c r="CY27" s="2">
        <f t="shared" si="25"/>
        <v>103.08379300980853</v>
      </c>
      <c r="CZ27" s="2">
        <f t="shared" si="79"/>
        <v>983.28477904567819</v>
      </c>
      <c r="DA27" s="2">
        <f t="shared" si="80"/>
        <v>93.302335174385874</v>
      </c>
      <c r="DB27" s="2">
        <f t="shared" si="95"/>
        <v>889.98244387129228</v>
      </c>
      <c r="DC27" s="2">
        <f t="shared" si="100"/>
        <v>84.449024379274874</v>
      </c>
      <c r="DD27" s="2">
        <f t="shared" si="96"/>
        <v>805.5334194920174</v>
      </c>
      <c r="DE27" s="2">
        <f t="shared" si="101"/>
        <v>76.435790221992178</v>
      </c>
      <c r="DF27" s="2">
        <f t="shared" si="97"/>
        <v>729.09762927002521</v>
      </c>
      <c r="DG27" s="2">
        <f t="shared" si="102"/>
        <v>26.397629270025163</v>
      </c>
      <c r="DH27" s="2">
        <f t="shared" si="98"/>
        <v>702.7</v>
      </c>
      <c r="DI27" s="2"/>
      <c r="DJ27" s="2">
        <f t="shared" si="82"/>
        <v>702.7</v>
      </c>
      <c r="DK27" s="2"/>
      <c r="DL27" s="2">
        <f t="shared" si="83"/>
        <v>702.7</v>
      </c>
      <c r="DM27" s="2"/>
      <c r="DN27" s="2">
        <f t="shared" si="84"/>
        <v>702.7</v>
      </c>
      <c r="DO27" s="2"/>
      <c r="DP27" s="2">
        <f t="shared" si="85"/>
        <v>702.7</v>
      </c>
      <c r="DQ27" s="2"/>
      <c r="DR27" s="2">
        <f t="shared" si="86"/>
        <v>702.7</v>
      </c>
      <c r="DS27" s="2"/>
      <c r="DT27" s="2">
        <f t="shared" si="26"/>
        <v>702.7</v>
      </c>
      <c r="DU27" s="2"/>
      <c r="DV27" s="2"/>
      <c r="DW27" s="266">
        <f t="shared" si="27"/>
        <v>702.7</v>
      </c>
      <c r="DX27" s="441">
        <f t="shared" si="87"/>
        <v>0</v>
      </c>
    </row>
    <row r="28" spans="1:128">
      <c r="A28" s="433">
        <f t="shared" si="28"/>
        <v>21</v>
      </c>
      <c r="B28" s="433" t="s">
        <v>493</v>
      </c>
      <c r="C28" s="434" t="s">
        <v>494</v>
      </c>
      <c r="D28" s="435">
        <v>0.1</v>
      </c>
      <c r="E28" s="442">
        <v>7900</v>
      </c>
      <c r="F28" s="437" t="s">
        <v>1001</v>
      </c>
      <c r="G28" s="438">
        <v>40770</v>
      </c>
      <c r="H28" s="438"/>
      <c r="I28" s="438"/>
      <c r="J28" s="438"/>
      <c r="K28" s="438"/>
      <c r="L28" s="438"/>
      <c r="M28" s="439"/>
      <c r="N28" s="439"/>
      <c r="O28" s="439"/>
      <c r="P28" s="433"/>
      <c r="Q28" s="436"/>
      <c r="R28" s="436"/>
      <c r="S28" s="2">
        <v>0</v>
      </c>
      <c r="T28" s="2">
        <v>0</v>
      </c>
      <c r="U28" s="436">
        <f t="shared" si="99"/>
        <v>7900</v>
      </c>
      <c r="V28" s="433">
        <f t="shared" si="33"/>
        <v>230</v>
      </c>
      <c r="W28" s="436">
        <f>186694/(U59+825639)*U28</f>
        <v>432.62663402886653</v>
      </c>
      <c r="X28" s="436">
        <f t="shared" si="34"/>
        <v>7467.3733659711334</v>
      </c>
      <c r="Y28" s="433">
        <f t="shared" si="35"/>
        <v>365</v>
      </c>
      <c r="Z28" s="436">
        <f t="shared" si="88"/>
        <v>747</v>
      </c>
      <c r="AA28" s="436">
        <f t="shared" si="89"/>
        <v>6720.3733659711334</v>
      </c>
      <c r="AB28" s="433">
        <f t="shared" si="36"/>
        <v>365</v>
      </c>
      <c r="AC28" s="436">
        <f t="shared" si="37"/>
        <v>672</v>
      </c>
      <c r="AD28" s="436">
        <f t="shared" si="38"/>
        <v>6048.3733659711334</v>
      </c>
      <c r="AE28" s="436">
        <f t="shared" si="39"/>
        <v>1851.6266340288666</v>
      </c>
      <c r="AF28" s="436">
        <f t="shared" si="40"/>
        <v>6048.3733659711334</v>
      </c>
      <c r="AG28" s="436">
        <f t="shared" si="1"/>
        <v>0</v>
      </c>
      <c r="AH28" s="436">
        <f t="shared" si="41"/>
        <v>2.6301369863013697</v>
      </c>
      <c r="AI28" s="439">
        <v>30</v>
      </c>
      <c r="AJ28" s="436">
        <f t="shared" si="2"/>
        <v>27.36986301369863</v>
      </c>
      <c r="AK28" s="440">
        <f t="shared" si="42"/>
        <v>9.4887238808155749E-2</v>
      </c>
      <c r="AL28" s="2">
        <f t="shared" si="43"/>
        <v>0</v>
      </c>
      <c r="AM28" s="433">
        <f t="shared" si="44"/>
        <v>365</v>
      </c>
      <c r="AN28" s="436">
        <f t="shared" si="90"/>
        <v>605</v>
      </c>
      <c r="AO28" s="436">
        <f t="shared" si="45"/>
        <v>574</v>
      </c>
      <c r="AP28" s="436">
        <f t="shared" si="46"/>
        <v>5474</v>
      </c>
      <c r="AQ28" s="436">
        <f t="shared" si="91"/>
        <v>5474.3733659711334</v>
      </c>
      <c r="AR28" s="436">
        <f t="shared" si="92"/>
        <v>0.37336597113335301</v>
      </c>
      <c r="AS28" s="436">
        <f t="shared" si="93"/>
        <v>-31</v>
      </c>
      <c r="AT28" s="2">
        <f t="shared" si="94"/>
        <v>5443.3733659711334</v>
      </c>
      <c r="AU28" s="2">
        <f t="shared" si="3"/>
        <v>5474.3733659711334</v>
      </c>
      <c r="AV28" s="2">
        <f t="shared" si="4"/>
        <v>0</v>
      </c>
      <c r="AW28" s="433">
        <f t="shared" si="47"/>
        <v>365</v>
      </c>
      <c r="AX28" s="2">
        <f t="shared" si="48"/>
        <v>519.44817290191031</v>
      </c>
      <c r="AY28" s="2">
        <f t="shared" si="49"/>
        <v>4954.9251930692226</v>
      </c>
      <c r="AZ28" s="433">
        <f t="shared" si="50"/>
        <v>365</v>
      </c>
      <c r="BA28" s="2">
        <f t="shared" si="51"/>
        <v>470.15917007130656</v>
      </c>
      <c r="BB28" s="2">
        <f t="shared" si="52"/>
        <v>4484.7660229979156</v>
      </c>
      <c r="BC28" s="2">
        <f t="shared" si="53"/>
        <v>21900</v>
      </c>
      <c r="BD28" s="433">
        <f t="shared" si="54"/>
        <v>2055</v>
      </c>
      <c r="BE28" s="439">
        <f t="shared" si="55"/>
        <v>19845</v>
      </c>
      <c r="BF28" s="433">
        <f t="shared" si="56"/>
        <v>365</v>
      </c>
      <c r="BG28" s="2">
        <f t="shared" si="57"/>
        <v>425.54706462290613</v>
      </c>
      <c r="BH28" s="2">
        <f t="shared" si="58"/>
        <v>4059.2189583750096</v>
      </c>
      <c r="BI28" s="2">
        <f t="shared" si="5"/>
        <v>385.16807867792278</v>
      </c>
      <c r="BJ28" s="2">
        <f t="shared" si="6"/>
        <v>3674.0508796970867</v>
      </c>
      <c r="BK28" s="2">
        <f t="shared" si="59"/>
        <v>348.62</v>
      </c>
      <c r="BL28" s="2">
        <f t="shared" si="7"/>
        <v>3325.4308796970868</v>
      </c>
      <c r="BM28" s="2"/>
      <c r="BN28" s="2">
        <f t="shared" si="60"/>
        <v>3325.4308796970868</v>
      </c>
      <c r="BO28" s="2">
        <f t="shared" si="8"/>
        <v>315.54095402183293</v>
      </c>
      <c r="BP28" s="2">
        <f t="shared" si="61"/>
        <v>3009.8899256752538</v>
      </c>
      <c r="BQ28" s="2"/>
      <c r="BR28" s="2">
        <f t="shared" si="9"/>
        <v>3009.8899256752538</v>
      </c>
      <c r="BS28" s="2">
        <f t="shared" si="62"/>
        <v>285.60014416380994</v>
      </c>
      <c r="BT28" s="2">
        <f t="shared" si="63"/>
        <v>2724.2897815114438</v>
      </c>
      <c r="BU28" s="2">
        <f t="shared" si="10"/>
        <v>258.50033508089484</v>
      </c>
      <c r="BV28" s="2">
        <f t="shared" si="64"/>
        <v>2465.7894464305491</v>
      </c>
      <c r="BW28" s="2">
        <f t="shared" si="11"/>
        <v>233.97195205408568</v>
      </c>
      <c r="BX28" s="2">
        <f t="shared" si="65"/>
        <v>2231.8174943764634</v>
      </c>
      <c r="BY28" s="2">
        <f t="shared" si="12"/>
        <v>211.7709995651193</v>
      </c>
      <c r="BZ28" s="2">
        <f t="shared" si="66"/>
        <v>2020.046494811344</v>
      </c>
      <c r="CA28" s="2">
        <f t="shared" si="13"/>
        <v>191.67663415674195</v>
      </c>
      <c r="CB28" s="2">
        <f t="shared" si="67"/>
        <v>1828.369860654602</v>
      </c>
      <c r="CC28" s="2">
        <f t="shared" si="14"/>
        <v>173.48896759756767</v>
      </c>
      <c r="CD28" s="2">
        <f t="shared" si="68"/>
        <v>1654.8808930570344</v>
      </c>
      <c r="CE28" s="2">
        <f t="shared" si="15"/>
        <v>157.02707849855688</v>
      </c>
      <c r="CF28" s="2">
        <f t="shared" si="69"/>
        <v>1497.8538145584776</v>
      </c>
      <c r="CG28" s="2">
        <f t="shared" si="16"/>
        <v>142.1272126017173</v>
      </c>
      <c r="CH28" s="2">
        <f t="shared" si="70"/>
        <v>1355.7266019567603</v>
      </c>
      <c r="CI28" s="2">
        <f t="shared" si="17"/>
        <v>128.64115383844063</v>
      </c>
      <c r="CJ28" s="2">
        <f t="shared" si="71"/>
        <v>1227.0854481183196</v>
      </c>
      <c r="CK28" s="2">
        <f t="shared" si="18"/>
        <v>116.43474995361581</v>
      </c>
      <c r="CL28" s="2">
        <f t="shared" si="72"/>
        <v>1110.6506981647037</v>
      </c>
      <c r="CM28" s="2">
        <f t="shared" si="19"/>
        <v>105.38657802919916</v>
      </c>
      <c r="CN28" s="2">
        <f t="shared" si="73"/>
        <v>1005.2641201355045</v>
      </c>
      <c r="CO28" s="2">
        <f t="shared" si="20"/>
        <v>95.386736632568187</v>
      </c>
      <c r="CP28" s="2">
        <f t="shared" si="74"/>
        <v>909.87738350293637</v>
      </c>
      <c r="CQ28" s="2">
        <f t="shared" si="21"/>
        <v>86.33575257458304</v>
      </c>
      <c r="CR28" s="2">
        <f t="shared" si="75"/>
        <v>823.54163092835336</v>
      </c>
      <c r="CS28" s="2">
        <f t="shared" si="22"/>
        <v>78.143591402356734</v>
      </c>
      <c r="CT28" s="2">
        <f t="shared" si="76"/>
        <v>745.39803952599664</v>
      </c>
      <c r="CU28" s="2">
        <f t="shared" si="23"/>
        <v>70.728761783634354</v>
      </c>
      <c r="CV28" s="2">
        <f t="shared" si="77"/>
        <v>674.66927774236228</v>
      </c>
      <c r="CW28" s="2">
        <f t="shared" si="24"/>
        <v>64.017504873665487</v>
      </c>
      <c r="CX28" s="2">
        <f t="shared" si="78"/>
        <v>610.65177286869675</v>
      </c>
      <c r="CY28" s="2">
        <f t="shared" si="25"/>
        <v>57.943060600815713</v>
      </c>
      <c r="CZ28" s="2">
        <f t="shared" si="79"/>
        <v>552.70871226788108</v>
      </c>
      <c r="DA28" s="2">
        <f t="shared" si="80"/>
        <v>52.445003572310675</v>
      </c>
      <c r="DB28" s="2">
        <f t="shared" si="95"/>
        <v>500.26370869557041</v>
      </c>
      <c r="DC28" s="2">
        <f t="shared" si="100"/>
        <v>47.468641994050252</v>
      </c>
      <c r="DD28" s="2">
        <f t="shared" si="96"/>
        <v>452.79506670152017</v>
      </c>
      <c r="DE28" s="2">
        <f t="shared" si="101"/>
        <v>42.964473625261952</v>
      </c>
      <c r="DF28" s="2">
        <f t="shared" si="97"/>
        <v>409.8305930762582</v>
      </c>
      <c r="DG28" s="2">
        <f t="shared" si="102"/>
        <v>14.830593076258197</v>
      </c>
      <c r="DH28" s="2">
        <f t="shared" si="98"/>
        <v>395</v>
      </c>
      <c r="DI28" s="2"/>
      <c r="DJ28" s="2">
        <f t="shared" si="82"/>
        <v>395</v>
      </c>
      <c r="DK28" s="2"/>
      <c r="DL28" s="2">
        <f t="shared" si="83"/>
        <v>395</v>
      </c>
      <c r="DM28" s="2"/>
      <c r="DN28" s="2">
        <f t="shared" si="84"/>
        <v>395</v>
      </c>
      <c r="DO28" s="2"/>
      <c r="DP28" s="2">
        <f t="shared" si="85"/>
        <v>395</v>
      </c>
      <c r="DQ28" s="2"/>
      <c r="DR28" s="2">
        <f t="shared" si="86"/>
        <v>395</v>
      </c>
      <c r="DS28" s="2"/>
      <c r="DT28" s="2">
        <f t="shared" si="26"/>
        <v>395</v>
      </c>
      <c r="DU28" s="2"/>
      <c r="DV28" s="2"/>
      <c r="DW28" s="266">
        <f t="shared" si="27"/>
        <v>395</v>
      </c>
      <c r="DX28" s="441">
        <f t="shared" si="87"/>
        <v>0</v>
      </c>
    </row>
    <row r="29" spans="1:128">
      <c r="A29" s="433">
        <f t="shared" si="28"/>
        <v>22</v>
      </c>
      <c r="B29" s="433" t="s">
        <v>493</v>
      </c>
      <c r="C29" s="434" t="s">
        <v>494</v>
      </c>
      <c r="D29" s="435">
        <v>0.1</v>
      </c>
      <c r="E29" s="442">
        <v>48084</v>
      </c>
      <c r="F29" s="437" t="s">
        <v>1001</v>
      </c>
      <c r="G29" s="438">
        <v>40770</v>
      </c>
      <c r="H29" s="438"/>
      <c r="I29" s="438"/>
      <c r="J29" s="438"/>
      <c r="K29" s="438"/>
      <c r="L29" s="438"/>
      <c r="M29" s="439"/>
      <c r="N29" s="439"/>
      <c r="O29" s="439"/>
      <c r="P29" s="433"/>
      <c r="Q29" s="436"/>
      <c r="R29" s="436"/>
      <c r="S29" s="2">
        <v>0</v>
      </c>
      <c r="T29" s="2">
        <v>0</v>
      </c>
      <c r="U29" s="436">
        <f t="shared" si="99"/>
        <v>48084</v>
      </c>
      <c r="V29" s="433">
        <f t="shared" si="33"/>
        <v>230</v>
      </c>
      <c r="W29" s="436">
        <f>186694/(U59+825639)*U29</f>
        <v>2633.2176038789898</v>
      </c>
      <c r="X29" s="436">
        <f t="shared" si="34"/>
        <v>45450.782396121009</v>
      </c>
      <c r="Y29" s="433">
        <f t="shared" si="35"/>
        <v>365</v>
      </c>
      <c r="Z29" s="436">
        <f t="shared" si="88"/>
        <v>4545</v>
      </c>
      <c r="AA29" s="436">
        <f t="shared" si="89"/>
        <v>40905.782396121009</v>
      </c>
      <c r="AB29" s="433">
        <f t="shared" si="36"/>
        <v>365</v>
      </c>
      <c r="AC29" s="436">
        <f t="shared" si="37"/>
        <v>4091</v>
      </c>
      <c r="AD29" s="436">
        <f t="shared" si="38"/>
        <v>36814.782396121009</v>
      </c>
      <c r="AE29" s="436">
        <f t="shared" si="39"/>
        <v>11269.217603878989</v>
      </c>
      <c r="AF29" s="436">
        <f t="shared" si="40"/>
        <v>36814.782396121009</v>
      </c>
      <c r="AG29" s="436">
        <f t="shared" si="1"/>
        <v>0</v>
      </c>
      <c r="AH29" s="436">
        <f t="shared" si="41"/>
        <v>2.6301369863013697</v>
      </c>
      <c r="AI29" s="439">
        <v>30</v>
      </c>
      <c r="AJ29" s="436">
        <f t="shared" si="2"/>
        <v>27.36986301369863</v>
      </c>
      <c r="AK29" s="440">
        <f t="shared" si="42"/>
        <v>9.4888011558120988E-2</v>
      </c>
      <c r="AL29" s="2">
        <f t="shared" si="43"/>
        <v>0</v>
      </c>
      <c r="AM29" s="433">
        <f t="shared" si="44"/>
        <v>365</v>
      </c>
      <c r="AN29" s="436">
        <f t="shared" si="90"/>
        <v>3681</v>
      </c>
      <c r="AO29" s="436">
        <f t="shared" si="45"/>
        <v>3493</v>
      </c>
      <c r="AP29" s="436">
        <f t="shared" si="46"/>
        <v>33322</v>
      </c>
      <c r="AQ29" s="436">
        <f t="shared" si="91"/>
        <v>33321.782396121009</v>
      </c>
      <c r="AR29" s="436">
        <f t="shared" si="92"/>
        <v>-0.2176038789912127</v>
      </c>
      <c r="AS29" s="436">
        <f t="shared" si="93"/>
        <v>-188</v>
      </c>
      <c r="AT29" s="2">
        <f t="shared" si="94"/>
        <v>33133.782396121009</v>
      </c>
      <c r="AU29" s="2">
        <f t="shared" si="3"/>
        <v>33321.782396121009</v>
      </c>
      <c r="AV29" s="2">
        <f t="shared" si="4"/>
        <v>0</v>
      </c>
      <c r="AW29" s="433">
        <f t="shared" si="47"/>
        <v>365</v>
      </c>
      <c r="AX29" s="2">
        <f t="shared" si="48"/>
        <v>3161.8376731403227</v>
      </c>
      <c r="AY29" s="2">
        <f t="shared" si="49"/>
        <v>30159.944722980686</v>
      </c>
      <c r="AZ29" s="433">
        <f t="shared" si="50"/>
        <v>365</v>
      </c>
      <c r="BA29" s="2">
        <f t="shared" si="51"/>
        <v>2861.8171834664813</v>
      </c>
      <c r="BB29" s="2">
        <f t="shared" si="52"/>
        <v>27298.127539514204</v>
      </c>
      <c r="BC29" s="2">
        <f t="shared" si="53"/>
        <v>21900</v>
      </c>
      <c r="BD29" s="433">
        <f t="shared" si="54"/>
        <v>2055</v>
      </c>
      <c r="BE29" s="439">
        <f t="shared" si="55"/>
        <v>19845</v>
      </c>
      <c r="BF29" s="433">
        <f t="shared" si="56"/>
        <v>365</v>
      </c>
      <c r="BG29" s="2">
        <f t="shared" si="57"/>
        <v>2590.2650414844848</v>
      </c>
      <c r="BH29" s="2">
        <f t="shared" si="58"/>
        <v>24707.862498029717</v>
      </c>
      <c r="BI29" s="2">
        <f t="shared" si="5"/>
        <v>2344.479942289508</v>
      </c>
      <c r="BJ29" s="2">
        <f t="shared" si="6"/>
        <v>22363.382555740209</v>
      </c>
      <c r="BK29" s="2">
        <f t="shared" si="59"/>
        <v>2122.02</v>
      </c>
      <c r="BL29" s="2">
        <f t="shared" si="7"/>
        <v>20241.362555740208</v>
      </c>
      <c r="BM29" s="2"/>
      <c r="BN29" s="2">
        <f t="shared" si="60"/>
        <v>20241.362555740208</v>
      </c>
      <c r="BO29" s="2">
        <f t="shared" si="8"/>
        <v>1920.6626441411943</v>
      </c>
      <c r="BP29" s="2">
        <f t="shared" si="61"/>
        <v>18320.699911599015</v>
      </c>
      <c r="BQ29" s="2"/>
      <c r="BR29" s="2">
        <f t="shared" si="9"/>
        <v>18320.699911599015</v>
      </c>
      <c r="BS29" s="2">
        <f t="shared" si="62"/>
        <v>1738.4147849646736</v>
      </c>
      <c r="BT29" s="2">
        <f t="shared" si="63"/>
        <v>16582.285126634342</v>
      </c>
      <c r="BU29" s="2">
        <f t="shared" si="10"/>
        <v>1573.4600627561372</v>
      </c>
      <c r="BV29" s="2">
        <f t="shared" si="64"/>
        <v>15008.825063878205</v>
      </c>
      <c r="BW29" s="2">
        <f t="shared" si="11"/>
        <v>1424.157566135091</v>
      </c>
      <c r="BX29" s="2">
        <f t="shared" si="65"/>
        <v>13584.667497743114</v>
      </c>
      <c r="BY29" s="2">
        <f t="shared" si="12"/>
        <v>1289.0220865390791</v>
      </c>
      <c r="BZ29" s="2">
        <f t="shared" si="66"/>
        <v>12295.645411204036</v>
      </c>
      <c r="CA29" s="2">
        <f t="shared" si="13"/>
        <v>1166.7093438928857</v>
      </c>
      <c r="CB29" s="2">
        <f t="shared" si="67"/>
        <v>11128.93606731115</v>
      </c>
      <c r="CC29" s="2">
        <f t="shared" si="14"/>
        <v>1056.0026141846099</v>
      </c>
      <c r="CD29" s="2">
        <f t="shared" si="68"/>
        <v>10072.933453126539</v>
      </c>
      <c r="CE29" s="2">
        <f t="shared" si="15"/>
        <v>955.80062592445461</v>
      </c>
      <c r="CF29" s="2">
        <f t="shared" si="69"/>
        <v>9117.1328272020855</v>
      </c>
      <c r="CG29" s="2">
        <f t="shared" si="16"/>
        <v>865.10660508447575</v>
      </c>
      <c r="CH29" s="2">
        <f t="shared" si="70"/>
        <v>8252.026222117609</v>
      </c>
      <c r="CI29" s="2">
        <f t="shared" si="17"/>
        <v>783.01835954221315</v>
      </c>
      <c r="CJ29" s="2">
        <f t="shared" si="71"/>
        <v>7469.0078625753958</v>
      </c>
      <c r="CK29" s="2">
        <f t="shared" si="18"/>
        <v>708.71930439175071</v>
      </c>
      <c r="CL29" s="2">
        <f t="shared" si="72"/>
        <v>6760.2885581836454</v>
      </c>
      <c r="CM29" s="2">
        <f t="shared" si="19"/>
        <v>641.47033884516281</v>
      </c>
      <c r="CN29" s="2">
        <f t="shared" si="73"/>
        <v>6118.8182193384828</v>
      </c>
      <c r="CO29" s="2">
        <f t="shared" si="20"/>
        <v>580.60249391863124</v>
      </c>
      <c r="CP29" s="2">
        <f t="shared" si="74"/>
        <v>5538.2157254198519</v>
      </c>
      <c r="CQ29" s="2">
        <f t="shared" si="21"/>
        <v>525.51027776500632</v>
      </c>
      <c r="CR29" s="2">
        <f t="shared" si="75"/>
        <v>5012.7054476548456</v>
      </c>
      <c r="CS29" s="2">
        <f t="shared" si="22"/>
        <v>475.645652454529</v>
      </c>
      <c r="CT29" s="2">
        <f t="shared" si="76"/>
        <v>4537.0597952003163</v>
      </c>
      <c r="CU29" s="2">
        <f t="shared" si="23"/>
        <v>430.51258228685367</v>
      </c>
      <c r="CV29" s="2">
        <f t="shared" si="77"/>
        <v>4106.5472129134623</v>
      </c>
      <c r="CW29" s="2">
        <f t="shared" si="24"/>
        <v>389.66209940290213</v>
      </c>
      <c r="CX29" s="2">
        <f t="shared" si="78"/>
        <v>3716.8851135105601</v>
      </c>
      <c r="CY29" s="2">
        <f t="shared" si="25"/>
        <v>352.68783761099786</v>
      </c>
      <c r="CZ29" s="2">
        <f t="shared" si="79"/>
        <v>3364.1972758995621</v>
      </c>
      <c r="DA29" s="2">
        <f t="shared" si="80"/>
        <v>319.22198999935677</v>
      </c>
      <c r="DB29" s="2">
        <f t="shared" si="95"/>
        <v>3044.9752859002056</v>
      </c>
      <c r="DC29" s="2">
        <f t="shared" si="100"/>
        <v>288.93165012269145</v>
      </c>
      <c r="DD29" s="2">
        <f t="shared" si="96"/>
        <v>2756.0436357775143</v>
      </c>
      <c r="DE29" s="2">
        <f t="shared" si="101"/>
        <v>261.51550036634256</v>
      </c>
      <c r="DF29" s="2">
        <f t="shared" si="97"/>
        <v>2494.5281354111717</v>
      </c>
      <c r="DG29" s="2">
        <f t="shared" si="102"/>
        <v>90.328135411171388</v>
      </c>
      <c r="DH29" s="2">
        <f t="shared" si="98"/>
        <v>2404.2000000000003</v>
      </c>
      <c r="DI29" s="2"/>
      <c r="DJ29" s="2">
        <f t="shared" si="82"/>
        <v>2404.2000000000003</v>
      </c>
      <c r="DK29" s="2"/>
      <c r="DL29" s="2">
        <f t="shared" si="83"/>
        <v>2404.2000000000003</v>
      </c>
      <c r="DM29" s="2"/>
      <c r="DN29" s="2">
        <f t="shared" si="84"/>
        <v>2404.2000000000003</v>
      </c>
      <c r="DO29" s="2"/>
      <c r="DP29" s="2">
        <f t="shared" si="85"/>
        <v>2404.2000000000003</v>
      </c>
      <c r="DQ29" s="2"/>
      <c r="DR29" s="2">
        <f t="shared" si="86"/>
        <v>2404.2000000000003</v>
      </c>
      <c r="DS29" s="2"/>
      <c r="DT29" s="2">
        <f t="shared" si="26"/>
        <v>2404.2000000000003</v>
      </c>
      <c r="DU29" s="2"/>
      <c r="DV29" s="2"/>
      <c r="DW29" s="266">
        <f t="shared" si="27"/>
        <v>2404.2000000000003</v>
      </c>
      <c r="DX29" s="441">
        <f t="shared" si="87"/>
        <v>0</v>
      </c>
    </row>
    <row r="30" spans="1:128">
      <c r="A30" s="433">
        <f t="shared" si="28"/>
        <v>23</v>
      </c>
      <c r="B30" s="433" t="s">
        <v>493</v>
      </c>
      <c r="C30" s="434" t="s">
        <v>494</v>
      </c>
      <c r="D30" s="435">
        <v>0.1</v>
      </c>
      <c r="E30" s="442">
        <v>81643</v>
      </c>
      <c r="F30" s="437" t="s">
        <v>1001</v>
      </c>
      <c r="G30" s="438">
        <v>40770</v>
      </c>
      <c r="H30" s="438"/>
      <c r="I30" s="438"/>
      <c r="J30" s="438"/>
      <c r="K30" s="438"/>
      <c r="L30" s="438"/>
      <c r="M30" s="439"/>
      <c r="N30" s="439"/>
      <c r="O30" s="439"/>
      <c r="P30" s="433"/>
      <c r="Q30" s="436"/>
      <c r="R30" s="436"/>
      <c r="S30" s="2">
        <v>0</v>
      </c>
      <c r="T30" s="2">
        <v>0</v>
      </c>
      <c r="U30" s="436">
        <f t="shared" si="99"/>
        <v>81643</v>
      </c>
      <c r="V30" s="433">
        <f t="shared" si="33"/>
        <v>230</v>
      </c>
      <c r="W30" s="436">
        <f>186694/(U59+825639)*U30</f>
        <v>4471.0045926606017</v>
      </c>
      <c r="X30" s="436">
        <f t="shared" si="34"/>
        <v>77171.995407339404</v>
      </c>
      <c r="Y30" s="433">
        <f t="shared" si="35"/>
        <v>365</v>
      </c>
      <c r="Z30" s="436">
        <f t="shared" si="88"/>
        <v>7717</v>
      </c>
      <c r="AA30" s="436">
        <f t="shared" si="89"/>
        <v>69454.995407339404</v>
      </c>
      <c r="AB30" s="433">
        <f t="shared" si="36"/>
        <v>365</v>
      </c>
      <c r="AC30" s="436">
        <f t="shared" si="37"/>
        <v>6945</v>
      </c>
      <c r="AD30" s="436">
        <f t="shared" si="38"/>
        <v>62509.995407339404</v>
      </c>
      <c r="AE30" s="436">
        <f t="shared" si="39"/>
        <v>19133.004592660604</v>
      </c>
      <c r="AF30" s="436">
        <f t="shared" si="40"/>
        <v>62509.995407339396</v>
      </c>
      <c r="AG30" s="436">
        <f t="shared" si="1"/>
        <v>0</v>
      </c>
      <c r="AH30" s="436">
        <f t="shared" si="41"/>
        <v>2.6301369863013697</v>
      </c>
      <c r="AI30" s="439">
        <v>30</v>
      </c>
      <c r="AJ30" s="436">
        <f t="shared" si="2"/>
        <v>27.36986301369863</v>
      </c>
      <c r="AK30" s="440">
        <f t="shared" si="42"/>
        <v>9.4888686439863257E-2</v>
      </c>
      <c r="AL30" s="2">
        <f t="shared" si="43"/>
        <v>0</v>
      </c>
      <c r="AM30" s="433">
        <f t="shared" si="44"/>
        <v>365</v>
      </c>
      <c r="AN30" s="436">
        <f t="shared" si="90"/>
        <v>6251</v>
      </c>
      <c r="AO30" s="436">
        <f t="shared" si="45"/>
        <v>5931</v>
      </c>
      <c r="AP30" s="436">
        <f t="shared" si="46"/>
        <v>56579</v>
      </c>
      <c r="AQ30" s="436">
        <f t="shared" si="91"/>
        <v>56578.995407339396</v>
      </c>
      <c r="AR30" s="436">
        <f t="shared" si="92"/>
        <v>-4.5926606035209261E-3</v>
      </c>
      <c r="AS30" s="436">
        <f t="shared" si="93"/>
        <v>-320</v>
      </c>
      <c r="AT30" s="2">
        <f t="shared" si="94"/>
        <v>56258.995407339396</v>
      </c>
      <c r="AU30" s="2">
        <f t="shared" si="3"/>
        <v>56578.995407339396</v>
      </c>
      <c r="AV30" s="2">
        <f t="shared" si="4"/>
        <v>0</v>
      </c>
      <c r="AW30" s="433">
        <f t="shared" si="47"/>
        <v>365</v>
      </c>
      <c r="AX30" s="2">
        <f t="shared" si="48"/>
        <v>5368.7065542894916</v>
      </c>
      <c r="AY30" s="2">
        <f t="shared" si="49"/>
        <v>51210.288853049904</v>
      </c>
      <c r="AZ30" s="433">
        <f t="shared" si="50"/>
        <v>365</v>
      </c>
      <c r="BA30" s="2">
        <f t="shared" si="51"/>
        <v>4859.2770414718771</v>
      </c>
      <c r="BB30" s="2">
        <f t="shared" si="52"/>
        <v>46351.011811578028</v>
      </c>
      <c r="BC30" s="2">
        <f t="shared" si="53"/>
        <v>21900</v>
      </c>
      <c r="BD30" s="433">
        <f t="shared" si="54"/>
        <v>2055</v>
      </c>
      <c r="BE30" s="439">
        <f t="shared" si="55"/>
        <v>19845</v>
      </c>
      <c r="BF30" s="433">
        <f t="shared" si="56"/>
        <v>365</v>
      </c>
      <c r="BG30" s="2">
        <f t="shared" si="57"/>
        <v>4398.1866259592252</v>
      </c>
      <c r="BH30" s="2">
        <f t="shared" si="58"/>
        <v>41952.8251856188</v>
      </c>
      <c r="BI30" s="2">
        <f t="shared" si="5"/>
        <v>3980.8484743045801</v>
      </c>
      <c r="BJ30" s="2">
        <f t="shared" si="6"/>
        <v>37971.976711314222</v>
      </c>
      <c r="BK30" s="2">
        <f t="shared" si="59"/>
        <v>3603.11</v>
      </c>
      <c r="BL30" s="2">
        <f t="shared" si="7"/>
        <v>34368.866711314222</v>
      </c>
      <c r="BM30" s="2"/>
      <c r="BN30" s="2">
        <f t="shared" si="60"/>
        <v>34368.866711314222</v>
      </c>
      <c r="BO30" s="2">
        <f t="shared" si="8"/>
        <v>3261.2166166633497</v>
      </c>
      <c r="BP30" s="2">
        <f t="shared" si="61"/>
        <v>31107.650094650871</v>
      </c>
      <c r="BQ30" s="2"/>
      <c r="BR30" s="2">
        <f t="shared" si="9"/>
        <v>31107.650094650871</v>
      </c>
      <c r="BS30" s="2">
        <f t="shared" si="62"/>
        <v>2951.7640557123091</v>
      </c>
      <c r="BT30" s="2">
        <f t="shared" si="63"/>
        <v>28155.886038938563</v>
      </c>
      <c r="BU30" s="2">
        <f t="shared" si="10"/>
        <v>2671.6750417853646</v>
      </c>
      <c r="BV30" s="2">
        <f t="shared" si="64"/>
        <v>25484.210997153197</v>
      </c>
      <c r="BW30" s="2">
        <f t="shared" si="11"/>
        <v>2418.1633064761845</v>
      </c>
      <c r="BX30" s="2">
        <f t="shared" si="65"/>
        <v>23066.047690677013</v>
      </c>
      <c r="BY30" s="2">
        <f t="shared" si="12"/>
        <v>2188.7069667275832</v>
      </c>
      <c r="BZ30" s="2">
        <f t="shared" si="66"/>
        <v>20877.34072394943</v>
      </c>
      <c r="CA30" s="2">
        <f t="shared" si="13"/>
        <v>1981.0234376530252</v>
      </c>
      <c r="CB30" s="2">
        <f t="shared" si="67"/>
        <v>18896.317286296406</v>
      </c>
      <c r="CC30" s="2">
        <f t="shared" si="14"/>
        <v>1793.0467258475473</v>
      </c>
      <c r="CD30" s="2">
        <f t="shared" si="68"/>
        <v>17103.270560448858</v>
      </c>
      <c r="CE30" s="2">
        <f t="shared" si="15"/>
        <v>1622.906877306576</v>
      </c>
      <c r="CF30" s="2">
        <f t="shared" si="69"/>
        <v>15480.363683142283</v>
      </c>
      <c r="CG30" s="2">
        <f t="shared" si="16"/>
        <v>1468.9113755047347</v>
      </c>
      <c r="CH30" s="2">
        <f t="shared" si="70"/>
        <v>14011.452307637548</v>
      </c>
      <c r="CI30" s="2">
        <f t="shared" si="17"/>
        <v>1329.5283045865178</v>
      </c>
      <c r="CJ30" s="2">
        <f t="shared" si="71"/>
        <v>12681.92400305103</v>
      </c>
      <c r="CK30" s="2">
        <f t="shared" si="18"/>
        <v>1203.3711101796846</v>
      </c>
      <c r="CL30" s="2">
        <f t="shared" si="72"/>
        <v>11478.552892871345</v>
      </c>
      <c r="CM30" s="2">
        <f t="shared" si="19"/>
        <v>1089.1848062350543</v>
      </c>
      <c r="CN30" s="2">
        <f t="shared" si="73"/>
        <v>10389.36808663629</v>
      </c>
      <c r="CO30" s="2">
        <f t="shared" si="20"/>
        <v>985.83349068115297</v>
      </c>
      <c r="CP30" s="2">
        <f t="shared" si="74"/>
        <v>9403.5345959551378</v>
      </c>
      <c r="CQ30" s="2">
        <f t="shared" si="21"/>
        <v>892.28904570199325</v>
      </c>
      <c r="CR30" s="2">
        <f t="shared" si="75"/>
        <v>8511.2455502531448</v>
      </c>
      <c r="CS30" s="2">
        <f t="shared" si="22"/>
        <v>807.62091023065204</v>
      </c>
      <c r="CT30" s="2">
        <f t="shared" si="76"/>
        <v>7703.6246400224927</v>
      </c>
      <c r="CU30" s="2">
        <f t="shared" si="23"/>
        <v>730.98682291749878</v>
      </c>
      <c r="CV30" s="2">
        <f t="shared" si="77"/>
        <v>6972.6378171049937</v>
      </c>
      <c r="CW30" s="2">
        <f t="shared" si="24"/>
        <v>661.62444348600832</v>
      </c>
      <c r="CX30" s="2">
        <f t="shared" si="78"/>
        <v>6311.0133736189855</v>
      </c>
      <c r="CY30" s="2">
        <f t="shared" si="25"/>
        <v>598.84376912711548</v>
      </c>
      <c r="CZ30" s="2">
        <f t="shared" si="79"/>
        <v>5712.1696044918699</v>
      </c>
      <c r="DA30" s="2">
        <f t="shared" si="80"/>
        <v>542.0202704919468</v>
      </c>
      <c r="DB30" s="2">
        <f t="shared" si="95"/>
        <v>5170.1493339999233</v>
      </c>
      <c r="DC30" s="2">
        <f t="shared" si="100"/>
        <v>490.58867900118656</v>
      </c>
      <c r="DD30" s="2">
        <f t="shared" si="96"/>
        <v>4679.5606549987369</v>
      </c>
      <c r="DE30" s="2">
        <f t="shared" si="101"/>
        <v>444.03736366849625</v>
      </c>
      <c r="DF30" s="2">
        <f t="shared" si="97"/>
        <v>4235.5232913302407</v>
      </c>
      <c r="DG30" s="2">
        <f t="shared" si="102"/>
        <v>153.37329133024059</v>
      </c>
      <c r="DH30" s="2">
        <f t="shared" si="98"/>
        <v>4082.15</v>
      </c>
      <c r="DI30" s="2"/>
      <c r="DJ30" s="2">
        <f t="shared" si="82"/>
        <v>4082.15</v>
      </c>
      <c r="DK30" s="2"/>
      <c r="DL30" s="2">
        <f t="shared" si="83"/>
        <v>4082.15</v>
      </c>
      <c r="DM30" s="2"/>
      <c r="DN30" s="2">
        <f t="shared" si="84"/>
        <v>4082.15</v>
      </c>
      <c r="DO30" s="2"/>
      <c r="DP30" s="2">
        <f t="shared" si="85"/>
        <v>4082.15</v>
      </c>
      <c r="DQ30" s="2"/>
      <c r="DR30" s="2">
        <f t="shared" si="86"/>
        <v>4082.15</v>
      </c>
      <c r="DS30" s="2"/>
      <c r="DT30" s="2">
        <f t="shared" si="26"/>
        <v>4082.15</v>
      </c>
      <c r="DU30" s="2"/>
      <c r="DV30" s="2"/>
      <c r="DW30" s="266">
        <f t="shared" si="27"/>
        <v>4082.15</v>
      </c>
      <c r="DX30" s="441">
        <f t="shared" si="87"/>
        <v>0</v>
      </c>
    </row>
    <row r="31" spans="1:128">
      <c r="A31" s="433">
        <f t="shared" si="28"/>
        <v>24</v>
      </c>
      <c r="B31" s="433" t="s">
        <v>493</v>
      </c>
      <c r="C31" s="434" t="s">
        <v>494</v>
      </c>
      <c r="D31" s="435">
        <v>0.1</v>
      </c>
      <c r="E31" s="442">
        <v>265561</v>
      </c>
      <c r="F31" s="437" t="s">
        <v>1001</v>
      </c>
      <c r="G31" s="438">
        <v>40770</v>
      </c>
      <c r="H31" s="438"/>
      <c r="I31" s="438"/>
      <c r="J31" s="438"/>
      <c r="K31" s="438"/>
      <c r="L31" s="438"/>
      <c r="M31" s="439"/>
      <c r="N31" s="436"/>
      <c r="O31" s="436"/>
      <c r="P31" s="433"/>
      <c r="Q31" s="436"/>
      <c r="R31" s="436"/>
      <c r="S31" s="2">
        <v>0</v>
      </c>
      <c r="T31" s="2">
        <v>0</v>
      </c>
      <c r="U31" s="436">
        <f t="shared" si="99"/>
        <v>265561</v>
      </c>
      <c r="V31" s="433">
        <f t="shared" si="33"/>
        <v>230</v>
      </c>
      <c r="W31" s="436">
        <f>186694/(U59+825639)*U31</f>
        <v>14542.881210043015</v>
      </c>
      <c r="X31" s="436">
        <f t="shared" si="34"/>
        <v>251018.11878995699</v>
      </c>
      <c r="Y31" s="433">
        <f t="shared" si="35"/>
        <v>365</v>
      </c>
      <c r="Z31" s="436">
        <f t="shared" si="88"/>
        <v>25102</v>
      </c>
      <c r="AA31" s="436">
        <f t="shared" si="89"/>
        <v>225916.11878995699</v>
      </c>
      <c r="AB31" s="433">
        <f t="shared" si="36"/>
        <v>365</v>
      </c>
      <c r="AC31" s="436">
        <f t="shared" si="37"/>
        <v>22592</v>
      </c>
      <c r="AD31" s="436">
        <f t="shared" si="38"/>
        <v>203324.11878995699</v>
      </c>
      <c r="AE31" s="436">
        <f t="shared" si="39"/>
        <v>62236.881210043015</v>
      </c>
      <c r="AF31" s="436">
        <f t="shared" si="40"/>
        <v>203324.11878995699</v>
      </c>
      <c r="AG31" s="436">
        <f t="shared" si="1"/>
        <v>0</v>
      </c>
      <c r="AH31" s="436">
        <f t="shared" si="41"/>
        <v>2.6301369863013697</v>
      </c>
      <c r="AI31" s="439">
        <v>30</v>
      </c>
      <c r="AJ31" s="436">
        <f t="shared" si="2"/>
        <v>27.36986301369863</v>
      </c>
      <c r="AK31" s="440">
        <f t="shared" si="42"/>
        <v>9.4888236496351586E-2</v>
      </c>
      <c r="AL31" s="2">
        <f t="shared" si="43"/>
        <v>0</v>
      </c>
      <c r="AM31" s="433">
        <f t="shared" si="44"/>
        <v>365</v>
      </c>
      <c r="AN31" s="436">
        <f t="shared" si="90"/>
        <v>20332</v>
      </c>
      <c r="AO31" s="436">
        <f t="shared" si="45"/>
        <v>19293</v>
      </c>
      <c r="AP31" s="436">
        <f t="shared" si="46"/>
        <v>184031</v>
      </c>
      <c r="AQ31" s="436">
        <f t="shared" si="91"/>
        <v>184031.11878995699</v>
      </c>
      <c r="AR31" s="436">
        <f t="shared" si="92"/>
        <v>0.11878995699225925</v>
      </c>
      <c r="AS31" s="436">
        <f t="shared" si="93"/>
        <v>-1039</v>
      </c>
      <c r="AT31" s="2">
        <f t="shared" si="94"/>
        <v>182992.11878995699</v>
      </c>
      <c r="AU31" s="2">
        <f t="shared" si="3"/>
        <v>184031.11878995699</v>
      </c>
      <c r="AV31" s="2">
        <f t="shared" si="4"/>
        <v>0</v>
      </c>
      <c r="AW31" s="433">
        <f t="shared" si="47"/>
        <v>365</v>
      </c>
      <c r="AX31" s="2">
        <f t="shared" si="48"/>
        <v>17462.388322429611</v>
      </c>
      <c r="AY31" s="2">
        <f t="shared" si="49"/>
        <v>166568.73046752738</v>
      </c>
      <c r="AZ31" s="433">
        <f t="shared" si="50"/>
        <v>365</v>
      </c>
      <c r="BA31" s="2">
        <f t="shared" si="51"/>
        <v>15805.413089499782</v>
      </c>
      <c r="BB31" s="2">
        <f t="shared" si="52"/>
        <v>150763.3173780276</v>
      </c>
      <c r="BC31" s="2">
        <f t="shared" si="53"/>
        <v>21900</v>
      </c>
      <c r="BD31" s="433">
        <f t="shared" si="54"/>
        <v>2055</v>
      </c>
      <c r="BE31" s="439">
        <f t="shared" si="55"/>
        <v>19845</v>
      </c>
      <c r="BF31" s="433">
        <f t="shared" si="56"/>
        <v>365</v>
      </c>
      <c r="BG31" s="2">
        <f t="shared" si="57"/>
        <v>14305.665314340795</v>
      </c>
      <c r="BH31" s="2">
        <f t="shared" si="58"/>
        <v>136457.65206368681</v>
      </c>
      <c r="BI31" s="2">
        <f t="shared" si="5"/>
        <v>12948.225960755974</v>
      </c>
      <c r="BJ31" s="2">
        <f t="shared" si="6"/>
        <v>123509.42610293084</v>
      </c>
      <c r="BK31" s="2">
        <f t="shared" si="59"/>
        <v>11719.59</v>
      </c>
      <c r="BL31" s="2">
        <f t="shared" si="7"/>
        <v>111789.83610293084</v>
      </c>
      <c r="BM31" s="2"/>
      <c r="BN31" s="2">
        <f t="shared" si="60"/>
        <v>111789.83610293084</v>
      </c>
      <c r="BO31" s="2">
        <f t="shared" si="8"/>
        <v>10607.540406023285</v>
      </c>
      <c r="BP31" s="2">
        <f t="shared" si="61"/>
        <v>101182.29569690756</v>
      </c>
      <c r="BQ31" s="2"/>
      <c r="BR31" s="2">
        <f t="shared" si="9"/>
        <v>101182.29569690756</v>
      </c>
      <c r="BS31" s="2">
        <f t="shared" si="62"/>
        <v>9601.0096033319423</v>
      </c>
      <c r="BT31" s="2">
        <f t="shared" si="63"/>
        <v>91581.286093575618</v>
      </c>
      <c r="BU31" s="2">
        <f t="shared" si="10"/>
        <v>8689.9867334872379</v>
      </c>
      <c r="BV31" s="2">
        <f t="shared" si="64"/>
        <v>82891.299360088378</v>
      </c>
      <c r="BW31" s="2">
        <f t="shared" si="11"/>
        <v>7865.4092171699431</v>
      </c>
      <c r="BX31" s="2">
        <f t="shared" si="65"/>
        <v>75025.890142918433</v>
      </c>
      <c r="BY31" s="2">
        <f t="shared" si="12"/>
        <v>7119.0744072305379</v>
      </c>
      <c r="BZ31" s="2">
        <f t="shared" si="66"/>
        <v>67906.815735687895</v>
      </c>
      <c r="CA31" s="2">
        <f t="shared" si="13"/>
        <v>6443.5579912421226</v>
      </c>
      <c r="CB31" s="2">
        <f t="shared" si="67"/>
        <v>61463.257744445771</v>
      </c>
      <c r="CC31" s="2">
        <f t="shared" si="14"/>
        <v>5832.1401366911832</v>
      </c>
      <c r="CD31" s="2">
        <f t="shared" si="68"/>
        <v>55631.11760775459</v>
      </c>
      <c r="CE31" s="2">
        <f t="shared" si="15"/>
        <v>5278.7386441209665</v>
      </c>
      <c r="CF31" s="2">
        <f t="shared" si="69"/>
        <v>50352.378963633622</v>
      </c>
      <c r="CG31" s="2">
        <f t="shared" si="16"/>
        <v>4777.8484432551859</v>
      </c>
      <c r="CH31" s="2">
        <f t="shared" si="70"/>
        <v>45574.530520378437</v>
      </c>
      <c r="CI31" s="2">
        <f t="shared" si="17"/>
        <v>4324.4868302278628</v>
      </c>
      <c r="CJ31" s="2">
        <f t="shared" si="71"/>
        <v>41250.043690150575</v>
      </c>
      <c r="CK31" s="2">
        <f t="shared" si="18"/>
        <v>3914.1439011558432</v>
      </c>
      <c r="CL31" s="2">
        <f t="shared" si="72"/>
        <v>37335.899788994735</v>
      </c>
      <c r="CM31" s="2">
        <f t="shared" si="19"/>
        <v>3542.7376889822158</v>
      </c>
      <c r="CN31" s="2">
        <f t="shared" si="73"/>
        <v>33793.162100012516</v>
      </c>
      <c r="CO31" s="2">
        <f t="shared" si="20"/>
        <v>3206.5735573055326</v>
      </c>
      <c r="CP31" s="2">
        <f t="shared" si="74"/>
        <v>30586.588542706984</v>
      </c>
      <c r="CQ31" s="2">
        <f t="shared" si="21"/>
        <v>2902.3074472569783</v>
      </c>
      <c r="CR31" s="2">
        <f t="shared" si="75"/>
        <v>27684.281095450006</v>
      </c>
      <c r="CS31" s="2">
        <f t="shared" si="22"/>
        <v>2626.9126118165354</v>
      </c>
      <c r="CT31" s="2">
        <f t="shared" si="76"/>
        <v>25057.368483633469</v>
      </c>
      <c r="CU31" s="2">
        <f t="shared" si="23"/>
        <v>2377.6495066512393</v>
      </c>
      <c r="CV31" s="2">
        <f t="shared" si="77"/>
        <v>22679.718976982229</v>
      </c>
      <c r="CW31" s="2">
        <f t="shared" si="24"/>
        <v>2152.0385379586828</v>
      </c>
      <c r="CX31" s="2">
        <f t="shared" si="78"/>
        <v>20527.680439023545</v>
      </c>
      <c r="CY31" s="2">
        <f t="shared" si="25"/>
        <v>1947.8353962195965</v>
      </c>
      <c r="CZ31" s="2">
        <f t="shared" si="79"/>
        <v>18579.845042803947</v>
      </c>
      <c r="DA31" s="2">
        <f t="shared" si="80"/>
        <v>1763.0087304871465</v>
      </c>
      <c r="DB31" s="2">
        <f t="shared" si="95"/>
        <v>16816.836312316802</v>
      </c>
      <c r="DC31" s="2">
        <f t="shared" si="100"/>
        <v>1595.7199411235497</v>
      </c>
      <c r="DD31" s="2">
        <f t="shared" si="96"/>
        <v>15221.116371193253</v>
      </c>
      <c r="DE31" s="2">
        <f t="shared" si="101"/>
        <v>1444.3048899682742</v>
      </c>
      <c r="DF31" s="2">
        <f t="shared" si="97"/>
        <v>13776.811481224979</v>
      </c>
      <c r="DG31" s="2">
        <f t="shared" si="102"/>
        <v>498.76148122497762</v>
      </c>
      <c r="DH31" s="2">
        <f t="shared" si="98"/>
        <v>13278.050000000001</v>
      </c>
      <c r="DI31" s="2">
        <v>0</v>
      </c>
      <c r="DJ31" s="2">
        <f t="shared" si="82"/>
        <v>13278.050000000001</v>
      </c>
      <c r="DK31" s="2">
        <v>0</v>
      </c>
      <c r="DL31" s="2">
        <f t="shared" si="83"/>
        <v>13278.050000000001</v>
      </c>
      <c r="DM31" s="2">
        <v>0</v>
      </c>
      <c r="DN31" s="2">
        <f t="shared" si="84"/>
        <v>13278.050000000001</v>
      </c>
      <c r="DO31" s="2">
        <v>0</v>
      </c>
      <c r="DP31" s="2">
        <f t="shared" si="85"/>
        <v>13278.050000000001</v>
      </c>
      <c r="DQ31" s="2">
        <v>0</v>
      </c>
      <c r="DR31" s="2">
        <f t="shared" si="86"/>
        <v>13278.050000000001</v>
      </c>
      <c r="DS31" s="2"/>
      <c r="DT31" s="2">
        <f t="shared" si="26"/>
        <v>13278.050000000001</v>
      </c>
      <c r="DU31" s="2"/>
      <c r="DV31" s="2"/>
      <c r="DW31" s="266">
        <f t="shared" si="27"/>
        <v>13278.050000000001</v>
      </c>
      <c r="DX31" s="441">
        <f t="shared" si="87"/>
        <v>0</v>
      </c>
    </row>
    <row r="32" spans="1:128">
      <c r="A32" s="433">
        <f t="shared" si="28"/>
        <v>25</v>
      </c>
      <c r="B32" s="433" t="s">
        <v>493</v>
      </c>
      <c r="C32" s="434" t="s">
        <v>494</v>
      </c>
      <c r="D32" s="435">
        <v>0.1</v>
      </c>
      <c r="E32" s="442">
        <v>9641</v>
      </c>
      <c r="F32" s="437" t="s">
        <v>1001</v>
      </c>
      <c r="G32" s="438">
        <v>40770</v>
      </c>
      <c r="H32" s="438"/>
      <c r="I32" s="438"/>
      <c r="J32" s="438"/>
      <c r="K32" s="438"/>
      <c r="L32" s="438"/>
      <c r="M32" s="439"/>
      <c r="N32" s="436"/>
      <c r="O32" s="436"/>
      <c r="P32" s="433"/>
      <c r="Q32" s="436"/>
      <c r="R32" s="436"/>
      <c r="S32" s="2">
        <v>0</v>
      </c>
      <c r="T32" s="2">
        <v>0</v>
      </c>
      <c r="U32" s="436">
        <f t="shared" si="99"/>
        <v>9641</v>
      </c>
      <c r="V32" s="433">
        <f t="shared" si="33"/>
        <v>230</v>
      </c>
      <c r="W32" s="436">
        <f>186694/(U59+825639)*U32</f>
        <v>527.96878211041803</v>
      </c>
      <c r="X32" s="436">
        <f t="shared" si="34"/>
        <v>9113.031217889582</v>
      </c>
      <c r="Y32" s="433">
        <f t="shared" si="35"/>
        <v>365</v>
      </c>
      <c r="Z32" s="436">
        <f t="shared" si="88"/>
        <v>911</v>
      </c>
      <c r="AA32" s="436">
        <f t="shared" si="89"/>
        <v>8202.031217889582</v>
      </c>
      <c r="AB32" s="433">
        <f t="shared" si="36"/>
        <v>365</v>
      </c>
      <c r="AC32" s="436">
        <f t="shared" si="37"/>
        <v>820</v>
      </c>
      <c r="AD32" s="436">
        <f t="shared" si="38"/>
        <v>7382.031217889582</v>
      </c>
      <c r="AE32" s="436">
        <f t="shared" si="39"/>
        <v>2258.968782110418</v>
      </c>
      <c r="AF32" s="436">
        <f t="shared" si="40"/>
        <v>7382.031217889582</v>
      </c>
      <c r="AG32" s="436">
        <f t="shared" si="1"/>
        <v>0</v>
      </c>
      <c r="AH32" s="436">
        <f t="shared" si="41"/>
        <v>2.6301369863013697</v>
      </c>
      <c r="AI32" s="439">
        <v>30</v>
      </c>
      <c r="AJ32" s="436">
        <f t="shared" si="2"/>
        <v>27.36986301369863</v>
      </c>
      <c r="AK32" s="440">
        <f t="shared" si="42"/>
        <v>9.4890459278751504E-2</v>
      </c>
      <c r="AL32" s="2">
        <f t="shared" si="43"/>
        <v>0</v>
      </c>
      <c r="AM32" s="433">
        <f t="shared" si="44"/>
        <v>365</v>
      </c>
      <c r="AN32" s="436">
        <f t="shared" si="90"/>
        <v>738</v>
      </c>
      <c r="AO32" s="436">
        <f t="shared" si="45"/>
        <v>700</v>
      </c>
      <c r="AP32" s="436">
        <f t="shared" si="46"/>
        <v>6682</v>
      </c>
      <c r="AQ32" s="436">
        <f t="shared" si="91"/>
        <v>6682.031217889582</v>
      </c>
      <c r="AR32" s="436">
        <f t="shared" si="92"/>
        <v>3.1217889581967029E-2</v>
      </c>
      <c r="AS32" s="436">
        <f t="shared" si="93"/>
        <v>-38</v>
      </c>
      <c r="AT32" s="2">
        <f t="shared" si="94"/>
        <v>6644.031217889582</v>
      </c>
      <c r="AU32" s="2">
        <f t="shared" si="3"/>
        <v>6682.031217889582</v>
      </c>
      <c r="AV32" s="2">
        <f t="shared" si="4"/>
        <v>0</v>
      </c>
      <c r="AW32" s="433">
        <f t="shared" si="47"/>
        <v>365</v>
      </c>
      <c r="AX32" s="2">
        <f t="shared" si="48"/>
        <v>634.06101118049764</v>
      </c>
      <c r="AY32" s="2">
        <f t="shared" si="49"/>
        <v>6047.9702067090839</v>
      </c>
      <c r="AZ32" s="433">
        <f t="shared" si="50"/>
        <v>365</v>
      </c>
      <c r="BA32" s="2">
        <f t="shared" si="51"/>
        <v>573.89467061883067</v>
      </c>
      <c r="BB32" s="2">
        <f t="shared" si="52"/>
        <v>5474.0755360902531</v>
      </c>
      <c r="BC32" s="2">
        <f t="shared" si="53"/>
        <v>21900</v>
      </c>
      <c r="BD32" s="433">
        <f t="shared" si="54"/>
        <v>2055</v>
      </c>
      <c r="BE32" s="439">
        <f t="shared" si="55"/>
        <v>19845</v>
      </c>
      <c r="BF32" s="433">
        <f t="shared" si="56"/>
        <v>365</v>
      </c>
      <c r="BG32" s="2">
        <f t="shared" si="57"/>
        <v>519.43754174618198</v>
      </c>
      <c r="BH32" s="2">
        <f t="shared" si="58"/>
        <v>4954.6379943440716</v>
      </c>
      <c r="BI32" s="2">
        <f t="shared" si="5"/>
        <v>470.14787484326115</v>
      </c>
      <c r="BJ32" s="2">
        <f t="shared" si="6"/>
        <v>4484.4901195008106</v>
      </c>
      <c r="BK32" s="2">
        <f t="shared" si="59"/>
        <v>425.54</v>
      </c>
      <c r="BL32" s="2">
        <f t="shared" si="7"/>
        <v>4058.9501195008106</v>
      </c>
      <c r="BM32" s="2"/>
      <c r="BN32" s="2">
        <f t="shared" si="60"/>
        <v>4058.9501195008106</v>
      </c>
      <c r="BO32" s="2">
        <f t="shared" si="8"/>
        <v>385.1556410289752</v>
      </c>
      <c r="BP32" s="2">
        <f t="shared" si="61"/>
        <v>3673.7944784718356</v>
      </c>
      <c r="BQ32" s="2"/>
      <c r="BR32" s="2">
        <f t="shared" si="9"/>
        <v>3673.7944784718356</v>
      </c>
      <c r="BS32" s="2">
        <f t="shared" si="62"/>
        <v>348.60804535793386</v>
      </c>
      <c r="BT32" s="2">
        <f t="shared" si="63"/>
        <v>3325.1864331139018</v>
      </c>
      <c r="BU32" s="2">
        <f t="shared" si="10"/>
        <v>315.52846782565166</v>
      </c>
      <c r="BV32" s="2">
        <f t="shared" si="64"/>
        <v>3009.6579652882501</v>
      </c>
      <c r="BW32" s="2">
        <f t="shared" si="11"/>
        <v>285.58782659815483</v>
      </c>
      <c r="BX32" s="2">
        <f t="shared" si="65"/>
        <v>2724.0701386900955</v>
      </c>
      <c r="BY32" s="2">
        <f t="shared" si="12"/>
        <v>258.48826656783547</v>
      </c>
      <c r="BZ32" s="2">
        <f t="shared" si="66"/>
        <v>2465.5818721222599</v>
      </c>
      <c r="CA32" s="2">
        <f t="shared" si="13"/>
        <v>233.9601962350452</v>
      </c>
      <c r="CB32" s="2">
        <f t="shared" si="67"/>
        <v>2231.6216758872147</v>
      </c>
      <c r="CC32" s="2">
        <f t="shared" si="14"/>
        <v>211.75960576135492</v>
      </c>
      <c r="CD32" s="2">
        <f t="shared" si="68"/>
        <v>2019.8620701258596</v>
      </c>
      <c r="CE32" s="2">
        <f t="shared" si="15"/>
        <v>191.66563951397259</v>
      </c>
      <c r="CF32" s="2">
        <f t="shared" si="69"/>
        <v>1828.1964306118871</v>
      </c>
      <c r="CG32" s="2">
        <f t="shared" si="16"/>
        <v>173.47839895253611</v>
      </c>
      <c r="CH32" s="2">
        <f t="shared" si="70"/>
        <v>1654.718031659351</v>
      </c>
      <c r="CI32" s="2">
        <f t="shared" si="17"/>
        <v>157.01695400098748</v>
      </c>
      <c r="CJ32" s="2">
        <f t="shared" si="71"/>
        <v>1497.7010776583636</v>
      </c>
      <c r="CK32" s="2">
        <f t="shared" si="18"/>
        <v>142.11754312128321</v>
      </c>
      <c r="CL32" s="2">
        <f t="shared" si="72"/>
        <v>1355.5835345370804</v>
      </c>
      <c r="CM32" s="2">
        <f t="shared" si="19"/>
        <v>128.63194418293685</v>
      </c>
      <c r="CN32" s="2">
        <f t="shared" si="73"/>
        <v>1226.9515903541435</v>
      </c>
      <c r="CO32" s="2">
        <f t="shared" si="20"/>
        <v>116.42599992149925</v>
      </c>
      <c r="CP32" s="2">
        <f t="shared" si="74"/>
        <v>1110.5255904326443</v>
      </c>
      <c r="CQ32" s="2">
        <f t="shared" si="21"/>
        <v>105.37828331696031</v>
      </c>
      <c r="CR32" s="2">
        <f t="shared" si="75"/>
        <v>1005.147307115684</v>
      </c>
      <c r="CS32" s="2">
        <f t="shared" si="22"/>
        <v>95.378889615007552</v>
      </c>
      <c r="CT32" s="2">
        <f t="shared" si="76"/>
        <v>909.76841750067649</v>
      </c>
      <c r="CU32" s="2">
        <f t="shared" si="23"/>
        <v>86.328342973942142</v>
      </c>
      <c r="CV32" s="2">
        <f t="shared" si="77"/>
        <v>823.44007452673441</v>
      </c>
      <c r="CW32" s="2">
        <f t="shared" si="24"/>
        <v>78.136606860371188</v>
      </c>
      <c r="CX32" s="2">
        <f t="shared" si="78"/>
        <v>745.30346766636319</v>
      </c>
      <c r="CY32" s="2">
        <f t="shared" si="25"/>
        <v>70.722188348907324</v>
      </c>
      <c r="CZ32" s="2">
        <f t="shared" si="79"/>
        <v>674.58127931745582</v>
      </c>
      <c r="DA32" s="2">
        <f t="shared" si="80"/>
        <v>64.01132741528113</v>
      </c>
      <c r="DB32" s="2">
        <f t="shared" si="95"/>
        <v>610.56995190217469</v>
      </c>
      <c r="DC32" s="2">
        <f t="shared" si="100"/>
        <v>57.937263157802569</v>
      </c>
      <c r="DD32" s="2">
        <f t="shared" si="96"/>
        <v>552.6326887443721</v>
      </c>
      <c r="DE32" s="2">
        <f t="shared" si="101"/>
        <v>52.439569647404795</v>
      </c>
      <c r="DF32" s="2">
        <f t="shared" si="97"/>
        <v>500.19311909696728</v>
      </c>
      <c r="DG32" s="2">
        <f>IF((DF32-(DF32*$AK$32))&gt;$E$32*5%,DF32*$AK$32,DF32-($E$32*5%))</f>
        <v>18.143119096967268</v>
      </c>
      <c r="DH32" s="2">
        <f t="shared" si="98"/>
        <v>482.05</v>
      </c>
      <c r="DI32" s="2">
        <f>IF((DH32-(DH32*$AK$32))&gt;$E$32*5%,DH32*$AK$32,DH32-($E$32*5%))</f>
        <v>0</v>
      </c>
      <c r="DJ32" s="2">
        <f t="shared" si="82"/>
        <v>482.05</v>
      </c>
      <c r="DK32" s="2">
        <f>IF((DJ32-(DJ32*$AK$32))&gt;$E$32*5%,DJ32*$AK$32,DJ32-($E$32*5%))</f>
        <v>0</v>
      </c>
      <c r="DL32" s="2">
        <f t="shared" si="83"/>
        <v>482.05</v>
      </c>
      <c r="DM32" s="2">
        <f>IF((DL32-(DL32*$AK$32))&gt;$E$32*5%,DL32*$AK$32,DL32-($E$32*5%))</f>
        <v>0</v>
      </c>
      <c r="DN32" s="2">
        <f t="shared" si="84"/>
        <v>482.05</v>
      </c>
      <c r="DO32" s="2">
        <f>IF((DN32-(DN32*$AK$32))&gt;$E$32*5%,DN32*$AK$32,DN32-($E$32*5%))</f>
        <v>0</v>
      </c>
      <c r="DP32" s="2">
        <f t="shared" si="85"/>
        <v>482.05</v>
      </c>
      <c r="DQ32" s="2"/>
      <c r="DR32" s="2">
        <f t="shared" si="86"/>
        <v>482.05</v>
      </c>
      <c r="DS32" s="2"/>
      <c r="DT32" s="2">
        <f t="shared" si="26"/>
        <v>482.05</v>
      </c>
      <c r="DU32" s="2"/>
      <c r="DV32" s="2"/>
      <c r="DW32" s="266">
        <f t="shared" si="27"/>
        <v>482.05</v>
      </c>
      <c r="DX32" s="441">
        <f t="shared" si="87"/>
        <v>0</v>
      </c>
    </row>
    <row r="33" spans="1:128">
      <c r="A33" s="433">
        <f t="shared" si="28"/>
        <v>26</v>
      </c>
      <c r="B33" s="433" t="s">
        <v>493</v>
      </c>
      <c r="C33" s="434" t="s">
        <v>494</v>
      </c>
      <c r="D33" s="435">
        <v>0.1</v>
      </c>
      <c r="E33" s="442">
        <v>100400</v>
      </c>
      <c r="F33" s="437" t="s">
        <v>1001</v>
      </c>
      <c r="G33" s="438">
        <v>40770</v>
      </c>
      <c r="H33" s="438"/>
      <c r="I33" s="438"/>
      <c r="J33" s="438"/>
      <c r="K33" s="438"/>
      <c r="L33" s="438"/>
      <c r="M33" s="439"/>
      <c r="N33" s="436"/>
      <c r="O33" s="436"/>
      <c r="P33" s="433"/>
      <c r="Q33" s="436"/>
      <c r="R33" s="436"/>
      <c r="S33" s="2">
        <v>0</v>
      </c>
      <c r="T33" s="2">
        <v>0</v>
      </c>
      <c r="U33" s="436">
        <f t="shared" si="99"/>
        <v>100400</v>
      </c>
      <c r="V33" s="433">
        <f t="shared" si="33"/>
        <v>230</v>
      </c>
      <c r="W33" s="436">
        <f>186694/(U59+825639)*U33</f>
        <v>5498.1916527212916</v>
      </c>
      <c r="X33" s="436">
        <f t="shared" si="34"/>
        <v>94901.808347278711</v>
      </c>
      <c r="Y33" s="433">
        <f t="shared" si="35"/>
        <v>365</v>
      </c>
      <c r="Z33" s="436">
        <f t="shared" si="88"/>
        <v>9490</v>
      </c>
      <c r="AA33" s="436">
        <f t="shared" si="89"/>
        <v>85411.808347278711</v>
      </c>
      <c r="AB33" s="433">
        <f t="shared" si="36"/>
        <v>365</v>
      </c>
      <c r="AC33" s="436">
        <f t="shared" si="37"/>
        <v>8541</v>
      </c>
      <c r="AD33" s="436">
        <f t="shared" si="38"/>
        <v>76870.808347278711</v>
      </c>
      <c r="AE33" s="436">
        <f t="shared" si="39"/>
        <v>23529.191652721292</v>
      </c>
      <c r="AF33" s="436">
        <f t="shared" si="40"/>
        <v>76870.808347278711</v>
      </c>
      <c r="AG33" s="436">
        <f t="shared" si="1"/>
        <v>0</v>
      </c>
      <c r="AH33" s="436">
        <f t="shared" si="41"/>
        <v>2.6301369863013697</v>
      </c>
      <c r="AI33" s="439">
        <v>30</v>
      </c>
      <c r="AJ33" s="436">
        <f t="shared" si="2"/>
        <v>27.36986301369863</v>
      </c>
      <c r="AK33" s="440">
        <f t="shared" si="42"/>
        <v>9.4888474969625158E-2</v>
      </c>
      <c r="AL33" s="2">
        <f t="shared" si="43"/>
        <v>0</v>
      </c>
      <c r="AM33" s="433">
        <f t="shared" si="44"/>
        <v>365</v>
      </c>
      <c r="AN33" s="436">
        <f t="shared" si="90"/>
        <v>7687</v>
      </c>
      <c r="AO33" s="436">
        <f t="shared" si="45"/>
        <v>7294</v>
      </c>
      <c r="AP33" s="436">
        <f t="shared" si="46"/>
        <v>69577</v>
      </c>
      <c r="AQ33" s="436">
        <f t="shared" si="91"/>
        <v>69576.808347278711</v>
      </c>
      <c r="AR33" s="436">
        <f t="shared" si="92"/>
        <v>-0.19165272128884681</v>
      </c>
      <c r="AS33" s="436">
        <f t="shared" si="93"/>
        <v>-393</v>
      </c>
      <c r="AT33" s="2">
        <f t="shared" si="94"/>
        <v>69183.808347278711</v>
      </c>
      <c r="AU33" s="2">
        <f t="shared" si="3"/>
        <v>69576.808347278711</v>
      </c>
      <c r="AV33" s="2">
        <f t="shared" si="4"/>
        <v>0</v>
      </c>
      <c r="AW33" s="433">
        <f t="shared" si="47"/>
        <v>365</v>
      </c>
      <c r="AX33" s="2">
        <f t="shared" si="48"/>
        <v>6602.037237327163</v>
      </c>
      <c r="AY33" s="2">
        <f t="shared" si="49"/>
        <v>62974.771109951551</v>
      </c>
      <c r="AZ33" s="433">
        <f t="shared" si="50"/>
        <v>365</v>
      </c>
      <c r="BA33" s="2">
        <f t="shared" si="51"/>
        <v>5975.579992184511</v>
      </c>
      <c r="BB33" s="2">
        <f t="shared" si="52"/>
        <v>56999.191117767041</v>
      </c>
      <c r="BC33" s="2">
        <f t="shared" si="53"/>
        <v>21900</v>
      </c>
      <c r="BD33" s="433">
        <f t="shared" si="54"/>
        <v>2055</v>
      </c>
      <c r="BE33" s="439">
        <f t="shared" si="55"/>
        <v>19845</v>
      </c>
      <c r="BF33" s="433">
        <f t="shared" si="56"/>
        <v>365</v>
      </c>
      <c r="BG33" s="2">
        <f t="shared" si="57"/>
        <v>5408.5663196671185</v>
      </c>
      <c r="BH33" s="2">
        <f t="shared" si="58"/>
        <v>51590.624798099925</v>
      </c>
      <c r="BI33" s="2">
        <f t="shared" si="5"/>
        <v>4895.355709821828</v>
      </c>
      <c r="BJ33" s="2">
        <f t="shared" si="6"/>
        <v>46695.269088278095</v>
      </c>
      <c r="BK33" s="2">
        <f t="shared" si="59"/>
        <v>4430.84</v>
      </c>
      <c r="BL33" s="2">
        <f t="shared" si="7"/>
        <v>42264.429088278092</v>
      </c>
      <c r="BM33" s="2"/>
      <c r="BN33" s="2">
        <f t="shared" si="60"/>
        <v>42264.429088278092</v>
      </c>
      <c r="BO33" s="2">
        <f t="shared" si="8"/>
        <v>4010.4072216485733</v>
      </c>
      <c r="BP33" s="2">
        <f t="shared" si="61"/>
        <v>38254.021866629519</v>
      </c>
      <c r="BQ33" s="2"/>
      <c r="BR33" s="2">
        <f t="shared" si="9"/>
        <v>38254.021866629519</v>
      </c>
      <c r="BS33" s="2">
        <f t="shared" si="62"/>
        <v>3629.8657963791684</v>
      </c>
      <c r="BT33" s="2">
        <f t="shared" si="63"/>
        <v>34624.156070250348</v>
      </c>
      <c r="BU33" s="2">
        <f t="shared" si="10"/>
        <v>3285.4333666163452</v>
      </c>
      <c r="BV33" s="2">
        <f t="shared" si="64"/>
        <v>31338.722703634005</v>
      </c>
      <c r="BW33" s="2">
        <f t="shared" si="11"/>
        <v>2973.683604843799</v>
      </c>
      <c r="BX33" s="2">
        <f t="shared" si="65"/>
        <v>28365.039098790206</v>
      </c>
      <c r="BY33" s="2">
        <f t="shared" si="12"/>
        <v>2691.5153025379936</v>
      </c>
      <c r="BZ33" s="2">
        <f t="shared" si="66"/>
        <v>25673.523796252211</v>
      </c>
      <c r="CA33" s="2">
        <f t="shared" si="13"/>
        <v>2436.1215201227537</v>
      </c>
      <c r="CB33" s="2">
        <f t="shared" si="67"/>
        <v>23237.402276129458</v>
      </c>
      <c r="CC33" s="2">
        <f t="shared" si="14"/>
        <v>2204.9616642376209</v>
      </c>
      <c r="CD33" s="2">
        <f t="shared" si="68"/>
        <v>21032.440611891838</v>
      </c>
      <c r="CE33" s="2">
        <f t="shared" si="15"/>
        <v>1995.7362145516263</v>
      </c>
      <c r="CF33" s="2">
        <f t="shared" si="69"/>
        <v>19036.704397340211</v>
      </c>
      <c r="CG33" s="2">
        <f t="shared" si="16"/>
        <v>1806.3638487111698</v>
      </c>
      <c r="CH33" s="2">
        <f t="shared" si="70"/>
        <v>17230.340548629039</v>
      </c>
      <c r="CI33" s="2">
        <f t="shared" si="17"/>
        <v>1634.960737866704</v>
      </c>
      <c r="CJ33" s="2">
        <f t="shared" si="71"/>
        <v>15595.379810762335</v>
      </c>
      <c r="CK33" s="2">
        <f t="shared" si="18"/>
        <v>1479.8218068153194</v>
      </c>
      <c r="CL33" s="2">
        <f t="shared" si="72"/>
        <v>14115.558003947015</v>
      </c>
      <c r="CM33" s="2">
        <f t="shared" si="19"/>
        <v>1339.4037723398185</v>
      </c>
      <c r="CN33" s="2">
        <f t="shared" si="73"/>
        <v>12776.154231607197</v>
      </c>
      <c r="CO33" s="2">
        <f t="shared" si="20"/>
        <v>1212.3097910139302</v>
      </c>
      <c r="CP33" s="2">
        <f t="shared" si="74"/>
        <v>11563.844440593268</v>
      </c>
      <c r="CQ33" s="2">
        <f t="shared" si="21"/>
        <v>1097.2755637538733</v>
      </c>
      <c r="CR33" s="2">
        <f t="shared" si="75"/>
        <v>10466.568876839394</v>
      </c>
      <c r="CS33" s="2">
        <f t="shared" si="22"/>
        <v>993.15675888783255</v>
      </c>
      <c r="CT33" s="2">
        <f t="shared" si="76"/>
        <v>9473.4121179515605</v>
      </c>
      <c r="CU33" s="2">
        <f t="shared" si="23"/>
        <v>898.91762863119027</v>
      </c>
      <c r="CV33" s="2">
        <f t="shared" si="77"/>
        <v>8574.4944893203701</v>
      </c>
      <c r="CW33" s="2">
        <f t="shared" si="24"/>
        <v>813.62070572706477</v>
      </c>
      <c r="CX33" s="2">
        <f t="shared" si="78"/>
        <v>7760.8737835933052</v>
      </c>
      <c r="CY33" s="2">
        <f t="shared" si="25"/>
        <v>736.4174777569134</v>
      </c>
      <c r="CZ33" s="2">
        <f t="shared" si="79"/>
        <v>7024.4563058363919</v>
      </c>
      <c r="DA33" s="2">
        <f t="shared" si="80"/>
        <v>666.5399463515821</v>
      </c>
      <c r="DB33" s="2">
        <f t="shared" si="95"/>
        <v>6357.9163594848096</v>
      </c>
      <c r="DC33" s="2">
        <f>IF((DB33-(DB33*$AK$32))&gt;$E$32*5%,DB33*$AK$32,DB33-($E$32*5%))</f>
        <v>603.30560340740135</v>
      </c>
      <c r="DD33" s="2">
        <f t="shared" si="96"/>
        <v>5754.610756077408</v>
      </c>
      <c r="DE33" s="2">
        <f t="shared" ref="DE33:DE56" si="103">IF((DD33-(DD33*$AK$32))&gt;$E33*5%,DD33*$AK$32,DD33-($E33*5%))</f>
        <v>546.05765761462874</v>
      </c>
      <c r="DF33" s="2">
        <f t="shared" si="97"/>
        <v>5208.5530984627794</v>
      </c>
      <c r="DG33" s="2">
        <f t="shared" ref="DG33:DG56" si="104">IF((DF33-(DF33*$AK$32))&gt;$E33*5%,DF33*$AK$32,DF33-($E33*5%))</f>
        <v>188.55309846277942</v>
      </c>
      <c r="DH33" s="2">
        <f t="shared" si="98"/>
        <v>5020</v>
      </c>
      <c r="DI33" s="2">
        <f t="shared" ref="DI33:DI56" si="105">IF((DH33-(DH33*$AK$32))&gt;$E33*5%,DH33*$AK$32,DH33-($E33*5%))</f>
        <v>0</v>
      </c>
      <c r="DJ33" s="2">
        <f t="shared" si="82"/>
        <v>5020</v>
      </c>
      <c r="DK33" s="2">
        <f t="shared" ref="DK33:DK56" si="106">IF((DJ33-(DJ33*$AK$32))&gt;$E33*5%,DJ33*$AK$32,DJ33-($E33*5%))</f>
        <v>0</v>
      </c>
      <c r="DL33" s="2">
        <f t="shared" si="83"/>
        <v>5020</v>
      </c>
      <c r="DM33" s="2">
        <f t="shared" ref="DM33:DM56" si="107">IF((DL33-(DL33*$AK$32))&gt;$E33*5%,DL33*$AK$32,DL33-($E33*5%))</f>
        <v>0</v>
      </c>
      <c r="DN33" s="2">
        <f t="shared" si="84"/>
        <v>5020</v>
      </c>
      <c r="DO33" s="2"/>
      <c r="DP33" s="2">
        <f t="shared" si="85"/>
        <v>5020</v>
      </c>
      <c r="DQ33" s="2"/>
      <c r="DR33" s="2">
        <f t="shared" si="86"/>
        <v>5020</v>
      </c>
      <c r="DS33" s="2"/>
      <c r="DT33" s="2">
        <f t="shared" si="26"/>
        <v>5020</v>
      </c>
      <c r="DU33" s="2"/>
      <c r="DV33" s="2"/>
      <c r="DW33" s="266">
        <f t="shared" si="27"/>
        <v>5020</v>
      </c>
      <c r="DX33" s="441">
        <f t="shared" si="87"/>
        <v>0</v>
      </c>
    </row>
    <row r="34" spans="1:128">
      <c r="A34" s="433">
        <f t="shared" si="28"/>
        <v>27</v>
      </c>
      <c r="B34" s="433" t="s">
        <v>493</v>
      </c>
      <c r="C34" s="434" t="s">
        <v>494</v>
      </c>
      <c r="D34" s="435">
        <v>0.1</v>
      </c>
      <c r="E34" s="442">
        <v>24900</v>
      </c>
      <c r="F34" s="437" t="s">
        <v>1001</v>
      </c>
      <c r="G34" s="438">
        <v>40770</v>
      </c>
      <c r="H34" s="438"/>
      <c r="I34" s="438"/>
      <c r="J34" s="438"/>
      <c r="K34" s="438"/>
      <c r="L34" s="438"/>
      <c r="M34" s="439"/>
      <c r="N34" s="436"/>
      <c r="O34" s="436"/>
      <c r="P34" s="433"/>
      <c r="Q34" s="436"/>
      <c r="R34" s="436"/>
      <c r="S34" s="2">
        <v>0</v>
      </c>
      <c r="T34" s="2">
        <v>0</v>
      </c>
      <c r="U34" s="436">
        <f t="shared" si="99"/>
        <v>24900</v>
      </c>
      <c r="V34" s="433">
        <f t="shared" si="33"/>
        <v>230</v>
      </c>
      <c r="W34" s="436">
        <f>186694/(U59+825639)*U34</f>
        <v>1363.5953401669337</v>
      </c>
      <c r="X34" s="436">
        <f t="shared" si="34"/>
        <v>23536.404659833068</v>
      </c>
      <c r="Y34" s="433">
        <f t="shared" si="35"/>
        <v>365</v>
      </c>
      <c r="Z34" s="436">
        <f t="shared" si="88"/>
        <v>2354</v>
      </c>
      <c r="AA34" s="436">
        <f t="shared" si="89"/>
        <v>21182.404659833068</v>
      </c>
      <c r="AB34" s="433">
        <f t="shared" si="36"/>
        <v>365</v>
      </c>
      <c r="AC34" s="436">
        <f t="shared" si="37"/>
        <v>2118</v>
      </c>
      <c r="AD34" s="436">
        <f t="shared" si="38"/>
        <v>19064.404659833068</v>
      </c>
      <c r="AE34" s="436">
        <f t="shared" si="39"/>
        <v>5835.595340166934</v>
      </c>
      <c r="AF34" s="436">
        <f t="shared" si="40"/>
        <v>19064.404659833068</v>
      </c>
      <c r="AG34" s="436">
        <f t="shared" si="1"/>
        <v>0</v>
      </c>
      <c r="AH34" s="436">
        <f t="shared" si="41"/>
        <v>2.6301369863013697</v>
      </c>
      <c r="AI34" s="439">
        <v>30</v>
      </c>
      <c r="AJ34" s="436">
        <f t="shared" si="2"/>
        <v>27.36986301369863</v>
      </c>
      <c r="AK34" s="440">
        <f t="shared" si="42"/>
        <v>9.4888182986758607E-2</v>
      </c>
      <c r="AL34" s="2">
        <f t="shared" si="43"/>
        <v>0</v>
      </c>
      <c r="AM34" s="433">
        <f t="shared" si="44"/>
        <v>365</v>
      </c>
      <c r="AN34" s="436">
        <f t="shared" si="90"/>
        <v>1906</v>
      </c>
      <c r="AO34" s="436">
        <f t="shared" si="45"/>
        <v>1809</v>
      </c>
      <c r="AP34" s="436">
        <f t="shared" si="46"/>
        <v>17255</v>
      </c>
      <c r="AQ34" s="436">
        <f t="shared" si="91"/>
        <v>17255.404659833068</v>
      </c>
      <c r="AR34" s="436">
        <f t="shared" si="92"/>
        <v>0.40465983306785347</v>
      </c>
      <c r="AS34" s="436">
        <f t="shared" si="93"/>
        <v>-97</v>
      </c>
      <c r="AT34" s="2">
        <f t="shared" si="94"/>
        <v>17158.404659833068</v>
      </c>
      <c r="AU34" s="2">
        <f t="shared" si="3"/>
        <v>17255.404659833068</v>
      </c>
      <c r="AV34" s="2">
        <f t="shared" si="4"/>
        <v>0</v>
      </c>
      <c r="AW34" s="433">
        <f t="shared" si="47"/>
        <v>365</v>
      </c>
      <c r="AX34" s="2">
        <f t="shared" si="48"/>
        <v>1637.3339948728074</v>
      </c>
      <c r="AY34" s="2">
        <f t="shared" si="49"/>
        <v>15618.07066496026</v>
      </c>
      <c r="AZ34" s="433">
        <f t="shared" si="50"/>
        <v>365</v>
      </c>
      <c r="BA34" s="2">
        <f t="shared" si="51"/>
        <v>1481.9703471568757</v>
      </c>
      <c r="BB34" s="2">
        <f t="shared" si="52"/>
        <v>14136.100317803384</v>
      </c>
      <c r="BC34" s="2">
        <f t="shared" si="53"/>
        <v>21900</v>
      </c>
      <c r="BD34" s="433">
        <f t="shared" si="54"/>
        <v>2055</v>
      </c>
      <c r="BE34" s="439">
        <f t="shared" si="55"/>
        <v>19845</v>
      </c>
      <c r="BF34" s="433">
        <f t="shared" si="56"/>
        <v>365</v>
      </c>
      <c r="BG34" s="2">
        <f t="shared" si="57"/>
        <v>1341.3488736749041</v>
      </c>
      <c r="BH34" s="2">
        <f t="shared" si="58"/>
        <v>12794.75144412848</v>
      </c>
      <c r="BI34" s="2">
        <f t="shared" si="5"/>
        <v>1214.0707163005573</v>
      </c>
      <c r="BJ34" s="2">
        <f t="shared" si="6"/>
        <v>11580.680727827923</v>
      </c>
      <c r="BK34" s="2">
        <f t="shared" si="59"/>
        <v>1098.8699999999999</v>
      </c>
      <c r="BL34" s="2">
        <f t="shared" si="7"/>
        <v>10481.810727827924</v>
      </c>
      <c r="BM34" s="2"/>
      <c r="BN34" s="2">
        <f t="shared" si="60"/>
        <v>10481.810727827924</v>
      </c>
      <c r="BO34" s="2">
        <f t="shared" si="8"/>
        <v>994.59997437470543</v>
      </c>
      <c r="BP34" s="2">
        <f t="shared" si="61"/>
        <v>9487.2107534532188</v>
      </c>
      <c r="BQ34" s="2"/>
      <c r="BR34" s="2">
        <f t="shared" si="9"/>
        <v>9487.2107534532188</v>
      </c>
      <c r="BS34" s="2">
        <f t="shared" si="62"/>
        <v>900.22419000761306</v>
      </c>
      <c r="BT34" s="2">
        <f t="shared" si="63"/>
        <v>8586.9865634456055</v>
      </c>
      <c r="BU34" s="2">
        <f t="shared" si="10"/>
        <v>814.80355233706405</v>
      </c>
      <c r="BV34" s="2">
        <f t="shared" si="64"/>
        <v>7772.1830111085419</v>
      </c>
      <c r="BW34" s="2">
        <f t="shared" si="11"/>
        <v>737.48832376464384</v>
      </c>
      <c r="BX34" s="2">
        <f t="shared" si="65"/>
        <v>7034.6946873438983</v>
      </c>
      <c r="BY34" s="2">
        <f t="shared" si="12"/>
        <v>667.5093967486664</v>
      </c>
      <c r="BZ34" s="2">
        <f t="shared" si="66"/>
        <v>6367.1852905952319</v>
      </c>
      <c r="CA34" s="2">
        <f t="shared" si="13"/>
        <v>604.17064296459819</v>
      </c>
      <c r="CB34" s="2">
        <f t="shared" si="67"/>
        <v>5763.0146476306336</v>
      </c>
      <c r="CC34" s="2">
        <f t="shared" si="14"/>
        <v>546.84198843974571</v>
      </c>
      <c r="CD34" s="2">
        <f t="shared" si="68"/>
        <v>5216.1726591908882</v>
      </c>
      <c r="CE34" s="2">
        <f t="shared" si="15"/>
        <v>494.95314577583224</v>
      </c>
      <c r="CF34" s="2">
        <f t="shared" si="69"/>
        <v>4721.2195134150561</v>
      </c>
      <c r="CG34" s="2">
        <f t="shared" si="16"/>
        <v>447.98794110958329</v>
      </c>
      <c r="CH34" s="2">
        <f t="shared" si="70"/>
        <v>4273.2315723054726</v>
      </c>
      <c r="CI34" s="2">
        <f t="shared" si="17"/>
        <v>405.47917937771587</v>
      </c>
      <c r="CJ34" s="2">
        <f t="shared" si="71"/>
        <v>3867.7523929277568</v>
      </c>
      <c r="CK34" s="2">
        <f t="shared" si="18"/>
        <v>367.00399680760245</v>
      </c>
      <c r="CL34" s="2">
        <f t="shared" si="72"/>
        <v>3500.7483961201542</v>
      </c>
      <c r="CM34" s="2">
        <f t="shared" si="19"/>
        <v>332.17965440165091</v>
      </c>
      <c r="CN34" s="2">
        <f t="shared" si="73"/>
        <v>3168.5687417185031</v>
      </c>
      <c r="CO34" s="2">
        <f t="shared" si="20"/>
        <v>300.6597305703088</v>
      </c>
      <c r="CP34" s="2">
        <f t="shared" si="74"/>
        <v>2867.9090111481942</v>
      </c>
      <c r="CQ34" s="2">
        <f t="shared" si="21"/>
        <v>272.13067503920377</v>
      </c>
      <c r="CR34" s="2">
        <f t="shared" si="75"/>
        <v>2595.7783361089905</v>
      </c>
      <c r="CS34" s="2">
        <f t="shared" si="22"/>
        <v>246.30868974977369</v>
      </c>
      <c r="CT34" s="2">
        <f t="shared" si="76"/>
        <v>2349.4696463592168</v>
      </c>
      <c r="CU34" s="2">
        <f t="shared" si="23"/>
        <v>222.93690572556838</v>
      </c>
      <c r="CV34" s="2">
        <f t="shared" si="77"/>
        <v>2126.5327406336482</v>
      </c>
      <c r="CW34" s="2">
        <f t="shared" si="24"/>
        <v>201.78282782057889</v>
      </c>
      <c r="CX34" s="2">
        <f t="shared" si="78"/>
        <v>1924.7499128130694</v>
      </c>
      <c r="CY34" s="2">
        <f t="shared" si="25"/>
        <v>182.6360219307542</v>
      </c>
      <c r="CZ34" s="2">
        <f t="shared" si="79"/>
        <v>1742.1138908823152</v>
      </c>
      <c r="DA34" s="2">
        <f t="shared" si="80"/>
        <v>165.30602166181515</v>
      </c>
      <c r="DB34" s="2">
        <f t="shared" si="95"/>
        <v>1576.8078692205002</v>
      </c>
      <c r="DC34" s="2">
        <f t="shared" ref="DC34:DC56" si="108">+DB34*AK34</f>
        <v>149.62043362955575</v>
      </c>
      <c r="DD34" s="2">
        <f t="shared" si="96"/>
        <v>1427.1874355909445</v>
      </c>
      <c r="DE34" s="2">
        <f t="shared" si="103"/>
        <v>135.42647124008829</v>
      </c>
      <c r="DF34" s="2">
        <f t="shared" si="97"/>
        <v>1291.7609643508563</v>
      </c>
      <c r="DG34" s="2">
        <f t="shared" si="104"/>
        <v>46.760964350856284</v>
      </c>
      <c r="DH34" s="2">
        <f t="shared" si="98"/>
        <v>1245</v>
      </c>
      <c r="DI34" s="2">
        <f t="shared" si="105"/>
        <v>0</v>
      </c>
      <c r="DJ34" s="2">
        <f t="shared" si="82"/>
        <v>1245</v>
      </c>
      <c r="DK34" s="2">
        <f t="shared" si="106"/>
        <v>0</v>
      </c>
      <c r="DL34" s="2">
        <f t="shared" si="83"/>
        <v>1245</v>
      </c>
      <c r="DM34" s="2">
        <f t="shared" si="107"/>
        <v>0</v>
      </c>
      <c r="DN34" s="2">
        <f t="shared" si="84"/>
        <v>1245</v>
      </c>
      <c r="DO34" s="2"/>
      <c r="DP34" s="2">
        <f t="shared" si="85"/>
        <v>1245</v>
      </c>
      <c r="DQ34" s="2"/>
      <c r="DR34" s="2">
        <f t="shared" si="86"/>
        <v>1245</v>
      </c>
      <c r="DS34" s="2"/>
      <c r="DT34" s="2">
        <f t="shared" si="26"/>
        <v>1245</v>
      </c>
      <c r="DU34" s="2"/>
      <c r="DV34" s="2"/>
      <c r="DW34" s="266">
        <f t="shared" si="27"/>
        <v>1245</v>
      </c>
      <c r="DX34" s="441">
        <f t="shared" si="87"/>
        <v>0</v>
      </c>
    </row>
    <row r="35" spans="1:128">
      <c r="A35" s="433">
        <f t="shared" si="28"/>
        <v>28</v>
      </c>
      <c r="B35" s="433" t="s">
        <v>493</v>
      </c>
      <c r="C35" s="434" t="s">
        <v>494</v>
      </c>
      <c r="D35" s="435">
        <v>0.1</v>
      </c>
      <c r="E35" s="442">
        <v>12550</v>
      </c>
      <c r="F35" s="437" t="s">
        <v>1001</v>
      </c>
      <c r="G35" s="438">
        <v>40770</v>
      </c>
      <c r="H35" s="438"/>
      <c r="I35" s="438"/>
      <c r="J35" s="438"/>
      <c r="K35" s="438"/>
      <c r="L35" s="438"/>
      <c r="M35" s="439"/>
      <c r="N35" s="436"/>
      <c r="O35" s="436"/>
      <c r="P35" s="433"/>
      <c r="Q35" s="436"/>
      <c r="R35" s="436"/>
      <c r="S35" s="2">
        <v>0</v>
      </c>
      <c r="T35" s="2">
        <v>0</v>
      </c>
      <c r="U35" s="436">
        <f t="shared" si="99"/>
        <v>12550</v>
      </c>
      <c r="V35" s="433">
        <f t="shared" si="33"/>
        <v>230</v>
      </c>
      <c r="W35" s="436">
        <f>186694/(U59+825639)*U35</f>
        <v>687.27395659016145</v>
      </c>
      <c r="X35" s="436">
        <f t="shared" si="34"/>
        <v>11862.726043409839</v>
      </c>
      <c r="Y35" s="433">
        <f t="shared" si="35"/>
        <v>365</v>
      </c>
      <c r="Z35" s="436">
        <f t="shared" si="88"/>
        <v>1186</v>
      </c>
      <c r="AA35" s="436">
        <f t="shared" si="89"/>
        <v>10676.726043409839</v>
      </c>
      <c r="AB35" s="433">
        <f t="shared" si="36"/>
        <v>365</v>
      </c>
      <c r="AC35" s="436">
        <f t="shared" si="37"/>
        <v>1068</v>
      </c>
      <c r="AD35" s="436">
        <f t="shared" si="38"/>
        <v>9608.7260434098389</v>
      </c>
      <c r="AE35" s="436">
        <f t="shared" si="39"/>
        <v>2941.2739565901616</v>
      </c>
      <c r="AF35" s="436">
        <f t="shared" si="40"/>
        <v>9608.7260434098389</v>
      </c>
      <c r="AG35" s="436">
        <f t="shared" si="1"/>
        <v>0</v>
      </c>
      <c r="AH35" s="436">
        <f t="shared" si="41"/>
        <v>2.6301369863013697</v>
      </c>
      <c r="AI35" s="439">
        <v>30</v>
      </c>
      <c r="AJ35" s="436">
        <f t="shared" si="2"/>
        <v>27.36986301369863</v>
      </c>
      <c r="AK35" s="440">
        <f t="shared" si="42"/>
        <v>9.4888044769085189E-2</v>
      </c>
      <c r="AL35" s="2">
        <f t="shared" si="43"/>
        <v>0</v>
      </c>
      <c r="AM35" s="433">
        <f t="shared" si="44"/>
        <v>365</v>
      </c>
      <c r="AN35" s="436">
        <f t="shared" si="90"/>
        <v>961</v>
      </c>
      <c r="AO35" s="436">
        <f t="shared" si="45"/>
        <v>912</v>
      </c>
      <c r="AP35" s="436">
        <f t="shared" si="46"/>
        <v>8697</v>
      </c>
      <c r="AQ35" s="436">
        <f>AF35-AO35-AL35</f>
        <v>8696.7260434098389</v>
      </c>
      <c r="AR35" s="436">
        <f t="shared" si="92"/>
        <v>-0.27395659016110585</v>
      </c>
      <c r="AS35" s="436">
        <f t="shared" si="93"/>
        <v>-49</v>
      </c>
      <c r="AT35" s="2">
        <f t="shared" si="94"/>
        <v>8647.7260434098389</v>
      </c>
      <c r="AU35" s="2">
        <f t="shared" si="3"/>
        <v>8696.7260434098389</v>
      </c>
      <c r="AV35" s="2">
        <f t="shared" si="4"/>
        <v>0</v>
      </c>
      <c r="AW35" s="433">
        <f t="shared" si="47"/>
        <v>365</v>
      </c>
      <c r="AX35" s="2">
        <f t="shared" si="48"/>
        <v>825.21533015154193</v>
      </c>
      <c r="AY35" s="2">
        <f t="shared" si="49"/>
        <v>7871.5107132582971</v>
      </c>
      <c r="AZ35" s="433">
        <f t="shared" si="50"/>
        <v>365</v>
      </c>
      <c r="BA35" s="2">
        <f t="shared" si="51"/>
        <v>746.91226095998695</v>
      </c>
      <c r="BB35" s="2">
        <f t="shared" si="52"/>
        <v>7124.5984522983099</v>
      </c>
      <c r="BC35" s="2">
        <f t="shared" si="53"/>
        <v>21900</v>
      </c>
      <c r="BD35" s="433">
        <f t="shared" si="54"/>
        <v>2055</v>
      </c>
      <c r="BE35" s="439">
        <f t="shared" si="55"/>
        <v>19845</v>
      </c>
      <c r="BF35" s="433">
        <f t="shared" si="56"/>
        <v>365</v>
      </c>
      <c r="BG35" s="2">
        <f t="shared" si="57"/>
        <v>676.03921690343702</v>
      </c>
      <c r="BH35" s="2">
        <f t="shared" si="58"/>
        <v>6448.5592353948732</v>
      </c>
      <c r="BI35" s="2">
        <f t="shared" si="5"/>
        <v>611.89117742424651</v>
      </c>
      <c r="BJ35" s="2">
        <f t="shared" si="6"/>
        <v>5836.6680579706263</v>
      </c>
      <c r="BK35" s="2">
        <f t="shared" si="59"/>
        <v>553.83000000000004</v>
      </c>
      <c r="BL35" s="2">
        <f t="shared" si="7"/>
        <v>5282.8380579706263</v>
      </c>
      <c r="BM35" s="2"/>
      <c r="BN35" s="2">
        <f t="shared" si="60"/>
        <v>5282.8380579706263</v>
      </c>
      <c r="BO35" s="2">
        <f t="shared" si="8"/>
        <v>501.27817415254384</v>
      </c>
      <c r="BP35" s="2">
        <f t="shared" si="61"/>
        <v>4781.5598838180822</v>
      </c>
      <c r="BQ35" s="2"/>
      <c r="BR35" s="2">
        <f t="shared" si="9"/>
        <v>4781.5598838180822</v>
      </c>
      <c r="BS35" s="2">
        <f t="shared" si="62"/>
        <v>453.71286832179197</v>
      </c>
      <c r="BT35" s="2">
        <f t="shared" si="63"/>
        <v>4327.8470154962906</v>
      </c>
      <c r="BU35" s="2">
        <f t="shared" si="10"/>
        <v>410.66094136016375</v>
      </c>
      <c r="BV35" s="2">
        <f t="shared" si="64"/>
        <v>3917.186074136127</v>
      </c>
      <c r="BW35" s="2">
        <f t="shared" si="11"/>
        <v>371.69412757146586</v>
      </c>
      <c r="BX35" s="2">
        <f t="shared" si="65"/>
        <v>3545.4919465646612</v>
      </c>
      <c r="BY35" s="2">
        <f t="shared" si="12"/>
        <v>336.42479855405855</v>
      </c>
      <c r="BZ35" s="2">
        <f t="shared" si="66"/>
        <v>3209.0671480106025</v>
      </c>
      <c r="CA35" s="2">
        <f t="shared" si="13"/>
        <v>304.50210720743058</v>
      </c>
      <c r="CB35" s="2">
        <f t="shared" si="67"/>
        <v>2904.565040803172</v>
      </c>
      <c r="CC35" s="2">
        <f t="shared" si="14"/>
        <v>275.60849762645114</v>
      </c>
      <c r="CD35" s="2">
        <f t="shared" si="68"/>
        <v>2628.956543176721</v>
      </c>
      <c r="CE35" s="2">
        <f t="shared" si="15"/>
        <v>249.45654616493215</v>
      </c>
      <c r="CF35" s="2">
        <f t="shared" si="69"/>
        <v>2379.4999970117888</v>
      </c>
      <c r="CG35" s="2">
        <f t="shared" si="16"/>
        <v>225.7861022444927</v>
      </c>
      <c r="CH35" s="2">
        <f t="shared" si="70"/>
        <v>2153.7138947672961</v>
      </c>
      <c r="CI35" s="2">
        <f t="shared" si="17"/>
        <v>204.36170046648002</v>
      </c>
      <c r="CJ35" s="2">
        <f t="shared" si="71"/>
        <v>1949.3521943008161</v>
      </c>
      <c r="CK35" s="2">
        <f t="shared" si="18"/>
        <v>184.9702182835303</v>
      </c>
      <c r="CL35" s="2">
        <f t="shared" si="72"/>
        <v>1764.3819760172858</v>
      </c>
      <c r="CM35" s="2">
        <f t="shared" si="19"/>
        <v>167.41875593009519</v>
      </c>
      <c r="CN35" s="2">
        <f t="shared" si="73"/>
        <v>1596.9632200871906</v>
      </c>
      <c r="CO35" s="2">
        <f t="shared" si="20"/>
        <v>151.53271752221579</v>
      </c>
      <c r="CP35" s="2">
        <f t="shared" si="74"/>
        <v>1445.4305025649749</v>
      </c>
      <c r="CQ35" s="2">
        <f t="shared" si="21"/>
        <v>137.15407423798663</v>
      </c>
      <c r="CR35" s="2">
        <f t="shared" si="75"/>
        <v>1308.2764283269883</v>
      </c>
      <c r="CS35" s="2">
        <f t="shared" si="22"/>
        <v>124.13979230143013</v>
      </c>
      <c r="CT35" s="2">
        <f t="shared" si="76"/>
        <v>1184.1366360255581</v>
      </c>
      <c r="CU35" s="2">
        <f t="shared" si="23"/>
        <v>112.36041013190709</v>
      </c>
      <c r="CV35" s="2">
        <f t="shared" si="77"/>
        <v>1071.7762258936509</v>
      </c>
      <c r="CW35" s="2">
        <f t="shared" si="24"/>
        <v>101.69875050503791</v>
      </c>
      <c r="CX35" s="2">
        <f t="shared" si="78"/>
        <v>970.07747538861304</v>
      </c>
      <c r="CY35" s="2">
        <f t="shared" si="25"/>
        <v>92.04875491415585</v>
      </c>
      <c r="CZ35" s="2">
        <f t="shared" si="79"/>
        <v>878.02872047445715</v>
      </c>
      <c r="DA35" s="2">
        <f t="shared" si="80"/>
        <v>83.314428536922875</v>
      </c>
      <c r="DB35" s="2">
        <f t="shared" si="95"/>
        <v>794.71429193753431</v>
      </c>
      <c r="DC35" s="2">
        <f t="shared" si="108"/>
        <v>75.408885312000592</v>
      </c>
      <c r="DD35" s="2">
        <f t="shared" si="96"/>
        <v>719.30540662553369</v>
      </c>
      <c r="DE35" s="2">
        <f t="shared" si="103"/>
        <v>68.255220396385994</v>
      </c>
      <c r="DF35" s="2">
        <f t="shared" si="97"/>
        <v>651.0501862291477</v>
      </c>
      <c r="DG35" s="2">
        <f t="shared" si="104"/>
        <v>23.550186229147698</v>
      </c>
      <c r="DH35" s="2">
        <f t="shared" si="98"/>
        <v>627.5</v>
      </c>
      <c r="DI35" s="2">
        <f t="shared" si="105"/>
        <v>0</v>
      </c>
      <c r="DJ35" s="2">
        <f t="shared" si="82"/>
        <v>627.5</v>
      </c>
      <c r="DK35" s="2">
        <f t="shared" si="106"/>
        <v>0</v>
      </c>
      <c r="DL35" s="2">
        <f t="shared" si="83"/>
        <v>627.5</v>
      </c>
      <c r="DM35" s="2">
        <f t="shared" si="107"/>
        <v>0</v>
      </c>
      <c r="DN35" s="2">
        <f t="shared" si="84"/>
        <v>627.5</v>
      </c>
      <c r="DO35" s="2"/>
      <c r="DP35" s="2">
        <f t="shared" si="85"/>
        <v>627.5</v>
      </c>
      <c r="DQ35" s="2"/>
      <c r="DR35" s="2">
        <f t="shared" si="86"/>
        <v>627.5</v>
      </c>
      <c r="DS35" s="2"/>
      <c r="DT35" s="2">
        <f t="shared" si="26"/>
        <v>627.5</v>
      </c>
      <c r="DU35" s="2"/>
      <c r="DV35" s="2"/>
      <c r="DW35" s="266">
        <f t="shared" si="27"/>
        <v>627.5</v>
      </c>
      <c r="DX35" s="441">
        <f t="shared" si="87"/>
        <v>0</v>
      </c>
    </row>
    <row r="36" spans="1:128">
      <c r="A36" s="433">
        <f t="shared" si="28"/>
        <v>29</v>
      </c>
      <c r="B36" s="433" t="s">
        <v>493</v>
      </c>
      <c r="C36" s="434" t="s">
        <v>494</v>
      </c>
      <c r="D36" s="435">
        <v>0.1</v>
      </c>
      <c r="E36" s="442">
        <v>17580</v>
      </c>
      <c r="F36" s="437" t="s">
        <v>1001</v>
      </c>
      <c r="G36" s="438">
        <v>40770</v>
      </c>
      <c r="H36" s="438"/>
      <c r="I36" s="438"/>
      <c r="J36" s="438"/>
      <c r="K36" s="438"/>
      <c r="L36" s="438"/>
      <c r="M36" s="439"/>
      <c r="N36" s="436"/>
      <c r="O36" s="436"/>
      <c r="P36" s="433"/>
      <c r="Q36" s="436"/>
      <c r="R36" s="436"/>
      <c r="S36" s="2">
        <v>0</v>
      </c>
      <c r="T36" s="2">
        <v>0</v>
      </c>
      <c r="U36" s="436">
        <f t="shared" si="99"/>
        <v>17580</v>
      </c>
      <c r="V36" s="433">
        <f t="shared" si="33"/>
        <v>230</v>
      </c>
      <c r="W36" s="436">
        <f>186694/(U59+825639)*U36</f>
        <v>962.73116787689537</v>
      </c>
      <c r="X36" s="436">
        <f t="shared" si="34"/>
        <v>16617.268832123103</v>
      </c>
      <c r="Y36" s="433">
        <f t="shared" si="35"/>
        <v>365</v>
      </c>
      <c r="Z36" s="436">
        <f t="shared" si="88"/>
        <v>1662</v>
      </c>
      <c r="AA36" s="436">
        <f t="shared" si="89"/>
        <v>14955.268832123103</v>
      </c>
      <c r="AB36" s="433">
        <f t="shared" si="36"/>
        <v>365</v>
      </c>
      <c r="AC36" s="436">
        <f t="shared" si="37"/>
        <v>1496</v>
      </c>
      <c r="AD36" s="436">
        <f t="shared" si="38"/>
        <v>13459.268832123103</v>
      </c>
      <c r="AE36" s="436">
        <f t="shared" si="39"/>
        <v>4120.7311678768956</v>
      </c>
      <c r="AF36" s="436">
        <f t="shared" si="40"/>
        <v>13459.268832123103</v>
      </c>
      <c r="AG36" s="436">
        <f t="shared" si="1"/>
        <v>0</v>
      </c>
      <c r="AH36" s="436">
        <f t="shared" si="41"/>
        <v>2.6301369863013697</v>
      </c>
      <c r="AI36" s="439">
        <v>30</v>
      </c>
      <c r="AJ36" s="436">
        <f t="shared" si="2"/>
        <v>27.36986301369863</v>
      </c>
      <c r="AK36" s="440">
        <f t="shared" si="42"/>
        <v>9.4886560801886732E-2</v>
      </c>
      <c r="AL36" s="2">
        <f t="shared" si="43"/>
        <v>0</v>
      </c>
      <c r="AM36" s="433">
        <f t="shared" si="44"/>
        <v>365</v>
      </c>
      <c r="AN36" s="436">
        <f t="shared" si="90"/>
        <v>1346</v>
      </c>
      <c r="AO36" s="436">
        <f t="shared" si="45"/>
        <v>1277</v>
      </c>
      <c r="AP36" s="436">
        <f t="shared" si="46"/>
        <v>12182</v>
      </c>
      <c r="AQ36" s="436">
        <f t="shared" si="91"/>
        <v>12182.268832123103</v>
      </c>
      <c r="AR36" s="436">
        <f t="shared" si="92"/>
        <v>0.26883212310349336</v>
      </c>
      <c r="AS36" s="436">
        <f t="shared" si="93"/>
        <v>-69</v>
      </c>
      <c r="AT36" s="2">
        <f t="shared" si="94"/>
        <v>12113.268832123103</v>
      </c>
      <c r="AU36" s="2">
        <f t="shared" si="3"/>
        <v>12182.268832123103</v>
      </c>
      <c r="AV36" s="2">
        <f t="shared" si="4"/>
        <v>0</v>
      </c>
      <c r="AW36" s="433">
        <f t="shared" si="47"/>
        <v>365</v>
      </c>
      <c r="AX36" s="2">
        <f t="shared" si="48"/>
        <v>1155.9335922441785</v>
      </c>
      <c r="AY36" s="2">
        <f t="shared" si="49"/>
        <v>11026.335239878925</v>
      </c>
      <c r="AZ36" s="433">
        <f t="shared" si="50"/>
        <v>365</v>
      </c>
      <c r="BA36" s="2">
        <f t="shared" si="51"/>
        <v>1046.251029160758</v>
      </c>
      <c r="BB36" s="2">
        <f t="shared" si="52"/>
        <v>9980.084210718167</v>
      </c>
      <c r="BC36" s="2">
        <f t="shared" si="53"/>
        <v>21900</v>
      </c>
      <c r="BD36" s="433">
        <f t="shared" si="54"/>
        <v>2055</v>
      </c>
      <c r="BE36" s="439">
        <f t="shared" si="55"/>
        <v>19845</v>
      </c>
      <c r="BF36" s="433">
        <f t="shared" si="56"/>
        <v>365</v>
      </c>
      <c r="BG36" s="2">
        <f t="shared" si="57"/>
        <v>946.97586726825909</v>
      </c>
      <c r="BH36" s="2">
        <f t="shared" si="58"/>
        <v>9033.1083434499087</v>
      </c>
      <c r="BI36" s="2">
        <f t="shared" si="5"/>
        <v>857.12058406079007</v>
      </c>
      <c r="BJ36" s="2">
        <f t="shared" si="6"/>
        <v>8175.9877593891188</v>
      </c>
      <c r="BK36" s="2">
        <f t="shared" si="59"/>
        <v>775.79</v>
      </c>
      <c r="BL36" s="2">
        <f t="shared" si="7"/>
        <v>7400.1977593891188</v>
      </c>
      <c r="BM36" s="2"/>
      <c r="BN36" s="2">
        <f t="shared" si="60"/>
        <v>7400.1977593891188</v>
      </c>
      <c r="BO36" s="2">
        <f t="shared" si="8"/>
        <v>702.1793146422616</v>
      </c>
      <c r="BP36" s="2">
        <f t="shared" si="61"/>
        <v>6698.0184447468573</v>
      </c>
      <c r="BQ36" s="2"/>
      <c r="BR36" s="2">
        <f t="shared" si="9"/>
        <v>6698.0184447468573</v>
      </c>
      <c r="BS36" s="2">
        <f t="shared" si="62"/>
        <v>635.55193440963149</v>
      </c>
      <c r="BT36" s="2">
        <f t="shared" si="63"/>
        <v>6062.4665103372263</v>
      </c>
      <c r="BU36" s="2">
        <f t="shared" si="10"/>
        <v>575.24659714251527</v>
      </c>
      <c r="BV36" s="2">
        <f t="shared" si="64"/>
        <v>5487.2199131947109</v>
      </c>
      <c r="BW36" s="2">
        <f t="shared" si="11"/>
        <v>520.66342592667354</v>
      </c>
      <c r="BX36" s="2">
        <f t="shared" si="65"/>
        <v>4966.556487268037</v>
      </c>
      <c r="BY36" s="2">
        <f t="shared" si="12"/>
        <v>471.2594641051636</v>
      </c>
      <c r="BZ36" s="2">
        <f t="shared" si="66"/>
        <v>4495.2970231628733</v>
      </c>
      <c r="CA36" s="2">
        <f t="shared" si="13"/>
        <v>426.54327431088439</v>
      </c>
      <c r="CB36" s="2">
        <f t="shared" si="67"/>
        <v>4068.7537488519888</v>
      </c>
      <c r="CC36" s="2">
        <f t="shared" si="14"/>
        <v>386.07004997834883</v>
      </c>
      <c r="CD36" s="2">
        <f t="shared" si="68"/>
        <v>3682.68369887364</v>
      </c>
      <c r="CE36" s="2">
        <f t="shared" si="15"/>
        <v>349.43719070729077</v>
      </c>
      <c r="CF36" s="2">
        <f t="shared" si="69"/>
        <v>3333.246508166349</v>
      </c>
      <c r="CG36" s="2">
        <f t="shared" si="16"/>
        <v>316.28029746480291</v>
      </c>
      <c r="CH36" s="2">
        <f t="shared" si="70"/>
        <v>3016.9662107015461</v>
      </c>
      <c r="CI36" s="2">
        <f t="shared" si="17"/>
        <v>286.26954778897004</v>
      </c>
      <c r="CJ36" s="2">
        <f t="shared" si="71"/>
        <v>2730.6966629125759</v>
      </c>
      <c r="CK36" s="2">
        <f t="shared" si="18"/>
        <v>259.10641493696335</v>
      </c>
      <c r="CL36" s="2">
        <f t="shared" si="72"/>
        <v>2471.5902479756123</v>
      </c>
      <c r="CM36" s="2">
        <f t="shared" si="19"/>
        <v>234.52069834188825</v>
      </c>
      <c r="CN36" s="2">
        <f t="shared" si="73"/>
        <v>2237.0695496337239</v>
      </c>
      <c r="CO36" s="2">
        <f t="shared" si="20"/>
        <v>212.26783583936972</v>
      </c>
      <c r="CP36" s="2">
        <f t="shared" si="74"/>
        <v>2024.8017137943541</v>
      </c>
      <c r="CQ36" s="2">
        <f t="shared" si="21"/>
        <v>192.12647092771243</v>
      </c>
      <c r="CR36" s="2">
        <f t="shared" si="75"/>
        <v>1832.6752428666416</v>
      </c>
      <c r="CS36" s="2">
        <f t="shared" si="22"/>
        <v>173.89625086237811</v>
      </c>
      <c r="CT36" s="2">
        <f t="shared" si="76"/>
        <v>1658.7789920042635</v>
      </c>
      <c r="CU36" s="2">
        <f t="shared" si="23"/>
        <v>157.39583368170494</v>
      </c>
      <c r="CV36" s="2">
        <f t="shared" si="77"/>
        <v>1501.3831583225585</v>
      </c>
      <c r="CW36" s="2">
        <f t="shared" si="24"/>
        <v>142.46108433910217</v>
      </c>
      <c r="CX36" s="2">
        <f t="shared" si="78"/>
        <v>1358.9220739834564</v>
      </c>
      <c r="CY36" s="2">
        <f t="shared" si="25"/>
        <v>128.94344199805724</v>
      </c>
      <c r="CZ36" s="2">
        <f t="shared" si="79"/>
        <v>1229.978631985399</v>
      </c>
      <c r="DA36" s="2">
        <f t="shared" si="80"/>
        <v>116.70844224890403</v>
      </c>
      <c r="DB36" s="2">
        <f t="shared" si="95"/>
        <v>1113.270189736495</v>
      </c>
      <c r="DC36" s="2">
        <f t="shared" si="108"/>
        <v>105.63437954735991</v>
      </c>
      <c r="DD36" s="2">
        <f t="shared" si="96"/>
        <v>1007.6358101891351</v>
      </c>
      <c r="DE36" s="2">
        <f t="shared" si="103"/>
        <v>95.61502481456391</v>
      </c>
      <c r="DF36" s="2">
        <f t="shared" si="97"/>
        <v>912.02078537457123</v>
      </c>
      <c r="DG36" s="2">
        <f t="shared" si="104"/>
        <v>33.020785374571233</v>
      </c>
      <c r="DH36" s="2">
        <f t="shared" si="98"/>
        <v>879</v>
      </c>
      <c r="DI36" s="2">
        <f t="shared" si="105"/>
        <v>0</v>
      </c>
      <c r="DJ36" s="2">
        <f t="shared" si="82"/>
        <v>879</v>
      </c>
      <c r="DK36" s="2">
        <f t="shared" si="106"/>
        <v>0</v>
      </c>
      <c r="DL36" s="2">
        <f t="shared" si="83"/>
        <v>879</v>
      </c>
      <c r="DM36" s="2">
        <f t="shared" si="107"/>
        <v>0</v>
      </c>
      <c r="DN36" s="2">
        <f t="shared" si="84"/>
        <v>879</v>
      </c>
      <c r="DO36" s="2"/>
      <c r="DP36" s="2">
        <f t="shared" si="85"/>
        <v>879</v>
      </c>
      <c r="DQ36" s="2"/>
      <c r="DR36" s="2">
        <f t="shared" si="86"/>
        <v>879</v>
      </c>
      <c r="DS36" s="2"/>
      <c r="DT36" s="2">
        <f t="shared" si="26"/>
        <v>879</v>
      </c>
      <c r="DU36" s="2"/>
      <c r="DV36" s="2"/>
      <c r="DW36" s="266">
        <f t="shared" si="27"/>
        <v>879</v>
      </c>
      <c r="DX36" s="441">
        <f t="shared" si="87"/>
        <v>0</v>
      </c>
    </row>
    <row r="37" spans="1:128">
      <c r="A37" s="433">
        <f>A36+1</f>
        <v>30</v>
      </c>
      <c r="B37" s="433" t="s">
        <v>493</v>
      </c>
      <c r="C37" s="434" t="s">
        <v>494</v>
      </c>
      <c r="D37" s="435">
        <v>0.1</v>
      </c>
      <c r="E37" s="442">
        <v>107582</v>
      </c>
      <c r="F37" s="437" t="s">
        <v>1001</v>
      </c>
      <c r="G37" s="438">
        <v>40770</v>
      </c>
      <c r="H37" s="438"/>
      <c r="I37" s="438"/>
      <c r="J37" s="438"/>
      <c r="K37" s="438"/>
      <c r="L37" s="438"/>
      <c r="M37" s="439"/>
      <c r="N37" s="436"/>
      <c r="O37" s="436"/>
      <c r="P37" s="433"/>
      <c r="Q37" s="436"/>
      <c r="R37" s="436"/>
      <c r="S37" s="2">
        <v>0</v>
      </c>
      <c r="T37" s="2">
        <v>0</v>
      </c>
      <c r="U37" s="436">
        <f t="shared" si="99"/>
        <v>107582</v>
      </c>
      <c r="V37" s="433">
        <f t="shared" si="33"/>
        <v>230</v>
      </c>
      <c r="W37" s="436">
        <f>186694/(U59+825639)*U37</f>
        <v>5891.4985496320915</v>
      </c>
      <c r="X37" s="436">
        <f t="shared" si="34"/>
        <v>101690.50145036791</v>
      </c>
      <c r="Y37" s="433">
        <f t="shared" si="35"/>
        <v>365</v>
      </c>
      <c r="Z37" s="436">
        <f t="shared" si="88"/>
        <v>10169</v>
      </c>
      <c r="AA37" s="436">
        <f t="shared" si="89"/>
        <v>91521.501450367912</v>
      </c>
      <c r="AB37" s="433">
        <f t="shared" si="36"/>
        <v>365</v>
      </c>
      <c r="AC37" s="436">
        <f t="shared" si="37"/>
        <v>9152</v>
      </c>
      <c r="AD37" s="436">
        <f t="shared" si="38"/>
        <v>82369.501450367912</v>
      </c>
      <c r="AE37" s="436">
        <f t="shared" si="39"/>
        <v>25212.498549632091</v>
      </c>
      <c r="AF37" s="436">
        <f t="shared" si="40"/>
        <v>82369.501450367912</v>
      </c>
      <c r="AG37" s="436">
        <f t="shared" si="1"/>
        <v>0</v>
      </c>
      <c r="AH37" s="436">
        <f t="shared" si="41"/>
        <v>2.6301369863013697</v>
      </c>
      <c r="AI37" s="439">
        <v>30</v>
      </c>
      <c r="AJ37" s="436">
        <f t="shared" si="2"/>
        <v>27.36986301369863</v>
      </c>
      <c r="AK37" s="440">
        <f t="shared" si="42"/>
        <v>9.4888405558582911E-2</v>
      </c>
      <c r="AL37" s="2">
        <f t="shared" si="43"/>
        <v>0</v>
      </c>
      <c r="AM37" s="433">
        <f t="shared" si="44"/>
        <v>365</v>
      </c>
      <c r="AN37" s="436">
        <f t="shared" si="90"/>
        <v>8237</v>
      </c>
      <c r="AO37" s="436">
        <f t="shared" si="45"/>
        <v>7816</v>
      </c>
      <c r="AP37" s="436">
        <f t="shared" si="46"/>
        <v>74554</v>
      </c>
      <c r="AQ37" s="436">
        <f t="shared" si="91"/>
        <v>74553.501450367912</v>
      </c>
      <c r="AR37" s="436">
        <f t="shared" si="92"/>
        <v>-0.49854963208781555</v>
      </c>
      <c r="AS37" s="436">
        <f t="shared" si="93"/>
        <v>-421</v>
      </c>
      <c r="AT37" s="2">
        <f t="shared" si="94"/>
        <v>74132.501450367912</v>
      </c>
      <c r="AU37" s="2">
        <f t="shared" si="3"/>
        <v>74553.501450367912</v>
      </c>
      <c r="AV37" s="2">
        <f t="shared" si="4"/>
        <v>0</v>
      </c>
      <c r="AW37" s="433">
        <f t="shared" si="47"/>
        <v>365</v>
      </c>
      <c r="AX37" s="2">
        <f t="shared" si="48"/>
        <v>7074.26288143491</v>
      </c>
      <c r="AY37" s="2">
        <f t="shared" si="49"/>
        <v>67479.238568932997</v>
      </c>
      <c r="AZ37" s="433">
        <f t="shared" si="50"/>
        <v>365</v>
      </c>
      <c r="BA37" s="2">
        <f t="shared" si="51"/>
        <v>6402.9973561132838</v>
      </c>
      <c r="BB37" s="2">
        <f t="shared" si="52"/>
        <v>61076.24121281971</v>
      </c>
      <c r="BC37" s="2">
        <f t="shared" si="53"/>
        <v>21900</v>
      </c>
      <c r="BD37" s="433">
        <f t="shared" si="54"/>
        <v>2055</v>
      </c>
      <c r="BE37" s="439">
        <f t="shared" si="55"/>
        <v>19845</v>
      </c>
      <c r="BF37" s="433">
        <f t="shared" si="56"/>
        <v>365</v>
      </c>
      <c r="BG37" s="2">
        <f t="shared" si="57"/>
        <v>5795.4271461958724</v>
      </c>
      <c r="BH37" s="2">
        <f t="shared" si="58"/>
        <v>55280.81406662384</v>
      </c>
      <c r="BI37" s="2">
        <f t="shared" si="5"/>
        <v>5245.5083047624175</v>
      </c>
      <c r="BJ37" s="2">
        <f t="shared" si="6"/>
        <v>50035.305761861426</v>
      </c>
      <c r="BK37" s="2">
        <f t="shared" si="59"/>
        <v>4747.7700000000004</v>
      </c>
      <c r="BL37" s="2">
        <f t="shared" si="7"/>
        <v>45287.535761861422</v>
      </c>
      <c r="BM37" s="2"/>
      <c r="BN37" s="2">
        <f t="shared" si="60"/>
        <v>45287.535761861422</v>
      </c>
      <c r="BO37" s="2">
        <f t="shared" si="8"/>
        <v>4297.2620601203334</v>
      </c>
      <c r="BP37" s="2">
        <f t="shared" si="61"/>
        <v>40990.273701741091</v>
      </c>
      <c r="BQ37" s="2"/>
      <c r="BR37" s="2">
        <f t="shared" si="9"/>
        <v>40990.273701741091</v>
      </c>
      <c r="BS37" s="2">
        <f t="shared" si="62"/>
        <v>3889.5017149681244</v>
      </c>
      <c r="BT37" s="2">
        <f t="shared" si="63"/>
        <v>37100.771986772968</v>
      </c>
      <c r="BU37" s="2">
        <f t="shared" si="10"/>
        <v>3520.4330988174252</v>
      </c>
      <c r="BV37" s="2">
        <f t="shared" si="64"/>
        <v>33580.338887955542</v>
      </c>
      <c r="BW37" s="2">
        <f t="shared" si="11"/>
        <v>3186.3848151949787</v>
      </c>
      <c r="BX37" s="2">
        <f t="shared" si="65"/>
        <v>30393.954072760564</v>
      </c>
      <c r="BY37" s="2">
        <f t="shared" si="12"/>
        <v>2884.0338405850471</v>
      </c>
      <c r="BZ37" s="2">
        <f t="shared" si="66"/>
        <v>27509.920232175515</v>
      </c>
      <c r="CA37" s="2">
        <f t="shared" si="13"/>
        <v>2610.3724678749354</v>
      </c>
      <c r="CB37" s="2">
        <f t="shared" si="67"/>
        <v>24899.54776430058</v>
      </c>
      <c r="CC37" s="2">
        <f t="shared" si="14"/>
        <v>2362.67838648426</v>
      </c>
      <c r="CD37" s="2">
        <f t="shared" si="68"/>
        <v>22536.869377816322</v>
      </c>
      <c r="CE37" s="2">
        <f t="shared" si="15"/>
        <v>2138.4876015430432</v>
      </c>
      <c r="CF37" s="2">
        <f t="shared" si="69"/>
        <v>20398.38177627328</v>
      </c>
      <c r="CG37" s="2">
        <f t="shared" si="16"/>
        <v>1935.5699227258258</v>
      </c>
      <c r="CH37" s="2">
        <f t="shared" si="70"/>
        <v>18462.811853547453</v>
      </c>
      <c r="CI37" s="2">
        <f t="shared" si="17"/>
        <v>1751.9067789112225</v>
      </c>
      <c r="CJ37" s="2">
        <f t="shared" si="71"/>
        <v>16710.90507463623</v>
      </c>
      <c r="CK37" s="2">
        <f t="shared" si="18"/>
        <v>1585.6711379730639</v>
      </c>
      <c r="CL37" s="2">
        <f t="shared" si="72"/>
        <v>15125.233936663166</v>
      </c>
      <c r="CM37" s="2">
        <f t="shared" si="19"/>
        <v>1435.2093319505361</v>
      </c>
      <c r="CN37" s="2">
        <f t="shared" si="73"/>
        <v>13690.024604712629</v>
      </c>
      <c r="CO37" s="2">
        <f t="shared" si="20"/>
        <v>1299.0246067989506</v>
      </c>
      <c r="CP37" s="2">
        <f t="shared" si="74"/>
        <v>12390.999997913679</v>
      </c>
      <c r="CQ37" s="2">
        <f t="shared" si="21"/>
        <v>1175.7622330784332</v>
      </c>
      <c r="CR37" s="2">
        <f t="shared" si="75"/>
        <v>11215.237764835247</v>
      </c>
      <c r="CS37" s="2">
        <f t="shared" si="22"/>
        <v>1064.1960294656219</v>
      </c>
      <c r="CT37" s="2">
        <f t="shared" si="76"/>
        <v>10151.041735369625</v>
      </c>
      <c r="CU37" s="2">
        <f t="shared" si="23"/>
        <v>963.21616502785423</v>
      </c>
      <c r="CV37" s="2">
        <f t="shared" si="77"/>
        <v>9187.8255703417708</v>
      </c>
      <c r="CW37" s="2">
        <f t="shared" si="24"/>
        <v>871.8181189201083</v>
      </c>
      <c r="CX37" s="2">
        <f t="shared" si="78"/>
        <v>8316.0074514216631</v>
      </c>
      <c r="CY37" s="2">
        <f t="shared" si="25"/>
        <v>789.09268767869628</v>
      </c>
      <c r="CZ37" s="2">
        <f t="shared" si="79"/>
        <v>7526.9147637429669</v>
      </c>
      <c r="DA37" s="2">
        <f t="shared" si="80"/>
        <v>714.21694070692797</v>
      </c>
      <c r="DB37" s="2">
        <f t="shared" si="95"/>
        <v>6812.6978230360392</v>
      </c>
      <c r="DC37" s="2">
        <f t="shared" si="108"/>
        <v>646.44603398031859</v>
      </c>
      <c r="DD37" s="2">
        <f t="shared" si="96"/>
        <v>6166.251789055721</v>
      </c>
      <c r="DE37" s="2">
        <f t="shared" si="103"/>
        <v>585.11846429192053</v>
      </c>
      <c r="DF37" s="2">
        <f t="shared" si="97"/>
        <v>5581.1333247638004</v>
      </c>
      <c r="DG37" s="2">
        <f t="shared" si="104"/>
        <v>202.03332476380001</v>
      </c>
      <c r="DH37" s="2">
        <f t="shared" si="98"/>
        <v>5379.1</v>
      </c>
      <c r="DI37" s="2">
        <f t="shared" si="105"/>
        <v>0</v>
      </c>
      <c r="DJ37" s="2">
        <f t="shared" si="82"/>
        <v>5379.1</v>
      </c>
      <c r="DK37" s="2">
        <f t="shared" si="106"/>
        <v>0</v>
      </c>
      <c r="DL37" s="2">
        <f t="shared" si="83"/>
        <v>5379.1</v>
      </c>
      <c r="DM37" s="2">
        <f t="shared" si="107"/>
        <v>0</v>
      </c>
      <c r="DN37" s="2">
        <f t="shared" si="84"/>
        <v>5379.1</v>
      </c>
      <c r="DO37" s="2"/>
      <c r="DP37" s="2">
        <f t="shared" si="85"/>
        <v>5379.1</v>
      </c>
      <c r="DQ37" s="2"/>
      <c r="DR37" s="2">
        <f t="shared" si="86"/>
        <v>5379.1</v>
      </c>
      <c r="DS37" s="2"/>
      <c r="DT37" s="2">
        <f t="shared" si="26"/>
        <v>5379.1</v>
      </c>
      <c r="DU37" s="2"/>
      <c r="DV37" s="2"/>
      <c r="DW37" s="266">
        <f t="shared" si="27"/>
        <v>5379.1</v>
      </c>
      <c r="DX37" s="441">
        <f t="shared" si="87"/>
        <v>0</v>
      </c>
    </row>
    <row r="38" spans="1:128">
      <c r="A38" s="433">
        <f t="shared" si="28"/>
        <v>31</v>
      </c>
      <c r="B38" s="433" t="s">
        <v>493</v>
      </c>
      <c r="C38" s="434" t="s">
        <v>494</v>
      </c>
      <c r="D38" s="435">
        <v>0.1</v>
      </c>
      <c r="E38" s="442">
        <v>58318</v>
      </c>
      <c r="F38" s="437" t="s">
        <v>1001</v>
      </c>
      <c r="G38" s="438">
        <v>40770</v>
      </c>
      <c r="H38" s="438"/>
      <c r="I38" s="438"/>
      <c r="J38" s="438"/>
      <c r="K38" s="438"/>
      <c r="L38" s="438"/>
      <c r="M38" s="439"/>
      <c r="N38" s="436"/>
      <c r="O38" s="436"/>
      <c r="P38" s="433"/>
      <c r="Q38" s="436"/>
      <c r="R38" s="436"/>
      <c r="S38" s="2">
        <v>0</v>
      </c>
      <c r="T38" s="2">
        <v>0</v>
      </c>
      <c r="U38" s="436">
        <f t="shared" si="99"/>
        <v>58318</v>
      </c>
      <c r="V38" s="433">
        <f t="shared" si="33"/>
        <v>230</v>
      </c>
      <c r="W38" s="436">
        <f>186694/(U59+825639)*U38</f>
        <v>3193.6607649741063</v>
      </c>
      <c r="X38" s="436">
        <f t="shared" si="34"/>
        <v>55124.339235025895</v>
      </c>
      <c r="Y38" s="433">
        <f t="shared" si="35"/>
        <v>365</v>
      </c>
      <c r="Z38" s="436">
        <f t="shared" si="88"/>
        <v>5512</v>
      </c>
      <c r="AA38" s="436">
        <f t="shared" si="89"/>
        <v>49612.339235025895</v>
      </c>
      <c r="AB38" s="433">
        <f t="shared" si="36"/>
        <v>365</v>
      </c>
      <c r="AC38" s="436">
        <f t="shared" si="37"/>
        <v>4961</v>
      </c>
      <c r="AD38" s="436">
        <f t="shared" si="38"/>
        <v>44651.339235025895</v>
      </c>
      <c r="AE38" s="436">
        <f t="shared" si="39"/>
        <v>13666.660764974105</v>
      </c>
      <c r="AF38" s="436">
        <f t="shared" si="40"/>
        <v>44651.339235025895</v>
      </c>
      <c r="AG38" s="436">
        <f t="shared" si="1"/>
        <v>0</v>
      </c>
      <c r="AH38" s="436">
        <f t="shared" si="41"/>
        <v>2.6301369863013697</v>
      </c>
      <c r="AI38" s="439">
        <v>30</v>
      </c>
      <c r="AJ38" s="436">
        <f t="shared" si="2"/>
        <v>27.36986301369863</v>
      </c>
      <c r="AK38" s="440">
        <f t="shared" si="42"/>
        <v>9.4888789645718452E-2</v>
      </c>
      <c r="AL38" s="2">
        <f t="shared" si="43"/>
        <v>0</v>
      </c>
      <c r="AM38" s="433">
        <f t="shared" si="44"/>
        <v>365</v>
      </c>
      <c r="AN38" s="436">
        <f t="shared" si="90"/>
        <v>4465</v>
      </c>
      <c r="AO38" s="436">
        <f t="shared" si="45"/>
        <v>4237</v>
      </c>
      <c r="AP38" s="436">
        <f t="shared" si="46"/>
        <v>40414</v>
      </c>
      <c r="AQ38" s="436">
        <f t="shared" si="91"/>
        <v>40414.339235025895</v>
      </c>
      <c r="AR38" s="436">
        <f t="shared" si="92"/>
        <v>0.33923502589459531</v>
      </c>
      <c r="AS38" s="436">
        <f t="shared" si="93"/>
        <v>-228</v>
      </c>
      <c r="AT38" s="2">
        <f t="shared" si="94"/>
        <v>40186.339235025895</v>
      </c>
      <c r="AU38" s="2">
        <f t="shared" si="3"/>
        <v>40414.339235025895</v>
      </c>
      <c r="AV38" s="2">
        <f t="shared" si="4"/>
        <v>0</v>
      </c>
      <c r="AW38" s="433">
        <f t="shared" si="47"/>
        <v>365</v>
      </c>
      <c r="AX38" s="2">
        <f t="shared" si="48"/>
        <v>3834.8677343430782</v>
      </c>
      <c r="AY38" s="2">
        <f t="shared" si="49"/>
        <v>36579.471500682819</v>
      </c>
      <c r="AZ38" s="433">
        <f t="shared" si="50"/>
        <v>365</v>
      </c>
      <c r="BA38" s="2">
        <f t="shared" si="51"/>
        <v>3470.9817765798452</v>
      </c>
      <c r="BB38" s="2">
        <f t="shared" si="52"/>
        <v>33108.489724102976</v>
      </c>
      <c r="BC38" s="2">
        <f t="shared" si="53"/>
        <v>21900</v>
      </c>
      <c r="BD38" s="433">
        <f t="shared" si="54"/>
        <v>2055</v>
      </c>
      <c r="BE38" s="439">
        <f t="shared" si="55"/>
        <v>19845</v>
      </c>
      <c r="BF38" s="433">
        <f t="shared" si="56"/>
        <v>365</v>
      </c>
      <c r="BG38" s="2">
        <f t="shared" si="57"/>
        <v>3141.6245169178383</v>
      </c>
      <c r="BH38" s="2">
        <f t="shared" si="58"/>
        <v>29966.865207185139</v>
      </c>
      <c r="BI38" s="2">
        <f t="shared" si="5"/>
        <v>2843.5195689861898</v>
      </c>
      <c r="BJ38" s="2">
        <f t="shared" si="6"/>
        <v>27123.345638198949</v>
      </c>
      <c r="BK38" s="2">
        <f t="shared" si="59"/>
        <v>2573.6999999999998</v>
      </c>
      <c r="BL38" s="2">
        <f t="shared" si="7"/>
        <v>24549.645638198948</v>
      </c>
      <c r="BM38" s="2"/>
      <c r="BN38" s="2">
        <f t="shared" si="60"/>
        <v>24549.645638198948</v>
      </c>
      <c r="BO38" s="2">
        <f t="shared" si="8"/>
        <v>2329.4861608399897</v>
      </c>
      <c r="BP38" s="2">
        <f t="shared" si="61"/>
        <v>22220.15947735896</v>
      </c>
      <c r="BQ38" s="2"/>
      <c r="BR38" s="2">
        <f t="shared" si="9"/>
        <v>22220.15947735896</v>
      </c>
      <c r="BS38" s="2">
        <f t="shared" si="62"/>
        <v>2108.4440385414318</v>
      </c>
      <c r="BT38" s="2">
        <f t="shared" si="63"/>
        <v>20111.71543881753</v>
      </c>
      <c r="BU38" s="2">
        <f t="shared" si="10"/>
        <v>1908.3763356885047</v>
      </c>
      <c r="BV38" s="2">
        <f t="shared" si="64"/>
        <v>18203.339103129023</v>
      </c>
      <c r="BW38" s="2">
        <f t="shared" si="11"/>
        <v>1727.2928150064911</v>
      </c>
      <c r="BX38" s="2">
        <f t="shared" si="65"/>
        <v>16476.046288122532</v>
      </c>
      <c r="BY38" s="2">
        <f t="shared" si="12"/>
        <v>1563.3920904267793</v>
      </c>
      <c r="BZ38" s="2">
        <f t="shared" si="66"/>
        <v>14912.654197695752</v>
      </c>
      <c r="CA38" s="2">
        <f t="shared" si="13"/>
        <v>1415.0437072244924</v>
      </c>
      <c r="CB38" s="2">
        <f t="shared" si="67"/>
        <v>13497.610490471259</v>
      </c>
      <c r="CC38" s="2">
        <f t="shared" si="14"/>
        <v>1280.7719225501701</v>
      </c>
      <c r="CD38" s="2">
        <f t="shared" si="68"/>
        <v>12216.83856792109</v>
      </c>
      <c r="CE38" s="2">
        <f t="shared" si="15"/>
        <v>1159.2410250071646</v>
      </c>
      <c r="CF38" s="2">
        <f t="shared" si="69"/>
        <v>11057.597542913925</v>
      </c>
      <c r="CG38" s="2">
        <f t="shared" si="16"/>
        <v>1049.2420472365727</v>
      </c>
      <c r="CH38" s="2">
        <f t="shared" si="70"/>
        <v>10008.355495677353</v>
      </c>
      <c r="CI38" s="2">
        <f t="shared" si="17"/>
        <v>949.68073932889865</v>
      </c>
      <c r="CJ38" s="2">
        <f t="shared" si="71"/>
        <v>9058.674756348455</v>
      </c>
      <c r="CK38" s="2">
        <f t="shared" si="18"/>
        <v>859.56668342412843</v>
      </c>
      <c r="CL38" s="2">
        <f t="shared" si="72"/>
        <v>8199.1080729243258</v>
      </c>
      <c r="CM38" s="2">
        <f t="shared" si="19"/>
        <v>778.00344121422836</v>
      </c>
      <c r="CN38" s="2">
        <f t="shared" si="73"/>
        <v>7421.1046317100972</v>
      </c>
      <c r="CO38" s="2">
        <f t="shared" si="20"/>
        <v>704.17963633720638</v>
      </c>
      <c r="CP38" s="2">
        <f t="shared" si="74"/>
        <v>6716.9249953728904</v>
      </c>
      <c r="CQ38" s="2">
        <f t="shared" si="21"/>
        <v>637.36088295200659</v>
      </c>
      <c r="CR38" s="2">
        <f t="shared" si="75"/>
        <v>6079.5641124208842</v>
      </c>
      <c r="CS38" s="2">
        <f t="shared" si="22"/>
        <v>576.8824802011643</v>
      </c>
      <c r="CT38" s="2">
        <f t="shared" si="76"/>
        <v>5502.6816322197201</v>
      </c>
      <c r="CU38" s="2">
        <f t="shared" si="23"/>
        <v>522.14279988705573</v>
      </c>
      <c r="CV38" s="2">
        <f t="shared" si="77"/>
        <v>4980.5388323326642</v>
      </c>
      <c r="CW38" s="2">
        <f t="shared" si="24"/>
        <v>472.59730158354637</v>
      </c>
      <c r="CX38" s="2">
        <f t="shared" si="78"/>
        <v>4507.9415307491181</v>
      </c>
      <c r="CY38" s="2">
        <f t="shared" si="25"/>
        <v>427.75311564645108</v>
      </c>
      <c r="CZ38" s="2">
        <f t="shared" si="79"/>
        <v>4080.188415102667</v>
      </c>
      <c r="DA38" s="2">
        <f t="shared" si="80"/>
        <v>387.16414023557434</v>
      </c>
      <c r="DB38" s="2">
        <f t="shared" si="95"/>
        <v>3693.0242748670926</v>
      </c>
      <c r="DC38" s="2">
        <f t="shared" si="108"/>
        <v>350.42660357439547</v>
      </c>
      <c r="DD38" s="2">
        <f t="shared" si="96"/>
        <v>3342.5976712926972</v>
      </c>
      <c r="DE38" s="2">
        <f t="shared" si="103"/>
        <v>317.18062821304932</v>
      </c>
      <c r="DF38" s="2">
        <f t="shared" si="97"/>
        <v>3025.417043079648</v>
      </c>
      <c r="DG38" s="2">
        <f t="shared" si="104"/>
        <v>109.51704307964792</v>
      </c>
      <c r="DH38" s="2">
        <f t="shared" si="98"/>
        <v>2915.9</v>
      </c>
      <c r="DI38" s="2">
        <f t="shared" si="105"/>
        <v>0</v>
      </c>
      <c r="DJ38" s="2">
        <f t="shared" si="82"/>
        <v>2915.9</v>
      </c>
      <c r="DK38" s="2">
        <f t="shared" si="106"/>
        <v>0</v>
      </c>
      <c r="DL38" s="2">
        <f t="shared" si="83"/>
        <v>2915.9</v>
      </c>
      <c r="DM38" s="2">
        <f t="shared" si="107"/>
        <v>0</v>
      </c>
      <c r="DN38" s="2">
        <f t="shared" si="84"/>
        <v>2915.9</v>
      </c>
      <c r="DO38" s="2"/>
      <c r="DP38" s="2">
        <f t="shared" si="85"/>
        <v>2915.9</v>
      </c>
      <c r="DQ38" s="2"/>
      <c r="DR38" s="2">
        <f t="shared" si="86"/>
        <v>2915.9</v>
      </c>
      <c r="DS38" s="2"/>
      <c r="DT38" s="2">
        <f t="shared" si="26"/>
        <v>2915.9</v>
      </c>
      <c r="DU38" s="2"/>
      <c r="DV38" s="2"/>
      <c r="DW38" s="266">
        <f t="shared" si="27"/>
        <v>2915.9</v>
      </c>
      <c r="DX38" s="441">
        <f t="shared" si="87"/>
        <v>0</v>
      </c>
    </row>
    <row r="39" spans="1:128">
      <c r="A39" s="433">
        <f t="shared" si="28"/>
        <v>32</v>
      </c>
      <c r="B39" s="433" t="s">
        <v>493</v>
      </c>
      <c r="C39" s="434" t="s">
        <v>494</v>
      </c>
      <c r="D39" s="435">
        <v>0.1</v>
      </c>
      <c r="E39" s="442">
        <v>21320</v>
      </c>
      <c r="F39" s="437" t="s">
        <v>1001</v>
      </c>
      <c r="G39" s="438">
        <v>40770</v>
      </c>
      <c r="H39" s="438"/>
      <c r="I39" s="438"/>
      <c r="J39" s="438"/>
      <c r="K39" s="438"/>
      <c r="L39" s="438"/>
      <c r="M39" s="439"/>
      <c r="N39" s="436"/>
      <c r="O39" s="436"/>
      <c r="P39" s="433"/>
      <c r="Q39" s="436"/>
      <c r="R39" s="436"/>
      <c r="S39" s="2">
        <v>0</v>
      </c>
      <c r="T39" s="2">
        <v>0</v>
      </c>
      <c r="U39" s="436">
        <f t="shared" si="99"/>
        <v>21320</v>
      </c>
      <c r="V39" s="433">
        <f t="shared" si="33"/>
        <v>230</v>
      </c>
      <c r="W39" s="436">
        <f>186694/(U59+825639)*U39</f>
        <v>1167.5442832272702</v>
      </c>
      <c r="X39" s="436">
        <f t="shared" si="34"/>
        <v>20152.455716772729</v>
      </c>
      <c r="Y39" s="433">
        <f t="shared" si="35"/>
        <v>365</v>
      </c>
      <c r="Z39" s="436">
        <f t="shared" si="88"/>
        <v>2015</v>
      </c>
      <c r="AA39" s="436">
        <f t="shared" si="89"/>
        <v>18137.455716772729</v>
      </c>
      <c r="AB39" s="433">
        <f t="shared" si="36"/>
        <v>365</v>
      </c>
      <c r="AC39" s="436">
        <f t="shared" si="37"/>
        <v>1814</v>
      </c>
      <c r="AD39" s="436">
        <f t="shared" si="38"/>
        <v>16323.455716772729</v>
      </c>
      <c r="AE39" s="436">
        <f t="shared" si="39"/>
        <v>4996.5442832272702</v>
      </c>
      <c r="AF39" s="436">
        <f t="shared" si="40"/>
        <v>16323.455716772729</v>
      </c>
      <c r="AG39" s="436">
        <f t="shared" si="1"/>
        <v>0</v>
      </c>
      <c r="AH39" s="436">
        <f t="shared" si="41"/>
        <v>2.6301369863013697</v>
      </c>
      <c r="AI39" s="439">
        <v>30</v>
      </c>
      <c r="AJ39" s="436">
        <f t="shared" si="2"/>
        <v>27.36986301369863</v>
      </c>
      <c r="AK39" s="440">
        <f t="shared" si="42"/>
        <v>9.4888259466515024E-2</v>
      </c>
      <c r="AL39" s="2">
        <f t="shared" si="43"/>
        <v>0</v>
      </c>
      <c r="AM39" s="433">
        <f t="shared" si="44"/>
        <v>365</v>
      </c>
      <c r="AN39" s="436">
        <f t="shared" si="90"/>
        <v>1632</v>
      </c>
      <c r="AO39" s="436">
        <f t="shared" si="45"/>
        <v>1549</v>
      </c>
      <c r="AP39" s="436">
        <f t="shared" si="46"/>
        <v>14774</v>
      </c>
      <c r="AQ39" s="436">
        <f t="shared" si="91"/>
        <v>14774.455716772729</v>
      </c>
      <c r="AR39" s="436">
        <f t="shared" si="92"/>
        <v>0.45571677272891975</v>
      </c>
      <c r="AS39" s="436">
        <f t="shared" si="93"/>
        <v>-83</v>
      </c>
      <c r="AT39" s="2">
        <f t="shared" si="94"/>
        <v>14691.455716772729</v>
      </c>
      <c r="AU39" s="2">
        <f t="shared" si="3"/>
        <v>14774.455716772729</v>
      </c>
      <c r="AV39" s="2">
        <f t="shared" si="4"/>
        <v>0</v>
      </c>
      <c r="AW39" s="433">
        <f t="shared" si="47"/>
        <v>365</v>
      </c>
      <c r="AX39" s="2">
        <f t="shared" si="48"/>
        <v>1401.9223875296668</v>
      </c>
      <c r="AY39" s="2">
        <f t="shared" si="49"/>
        <v>13372.533329243062</v>
      </c>
      <c r="AZ39" s="433">
        <f t="shared" si="50"/>
        <v>365</v>
      </c>
      <c r="BA39" s="2">
        <f t="shared" si="51"/>
        <v>1268.8964122698358</v>
      </c>
      <c r="BB39" s="2">
        <f t="shared" si="52"/>
        <v>12103.636916973226</v>
      </c>
      <c r="BC39" s="2">
        <f t="shared" si="53"/>
        <v>21900</v>
      </c>
      <c r="BD39" s="433">
        <f t="shared" si="54"/>
        <v>2055</v>
      </c>
      <c r="BE39" s="439">
        <f t="shared" si="55"/>
        <v>19845</v>
      </c>
      <c r="BF39" s="433">
        <f t="shared" si="56"/>
        <v>365</v>
      </c>
      <c r="BG39" s="2">
        <f t="shared" si="57"/>
        <v>1148.4930402662455</v>
      </c>
      <c r="BH39" s="2">
        <f t="shared" si="58"/>
        <v>10955.143876706981</v>
      </c>
      <c r="BI39" s="2">
        <f t="shared" si="5"/>
        <v>1039.5145346659754</v>
      </c>
      <c r="BJ39" s="2">
        <f t="shared" si="6"/>
        <v>9915.6293420410057</v>
      </c>
      <c r="BK39" s="2">
        <f t="shared" si="59"/>
        <v>940.88</v>
      </c>
      <c r="BL39" s="2">
        <f t="shared" si="7"/>
        <v>8974.7493420410065</v>
      </c>
      <c r="BM39" s="2"/>
      <c r="BN39" s="2">
        <f t="shared" si="60"/>
        <v>8974.7493420410065</v>
      </c>
      <c r="BO39" s="2">
        <f t="shared" si="8"/>
        <v>851.59834421452206</v>
      </c>
      <c r="BP39" s="2">
        <f t="shared" si="61"/>
        <v>8123.1509978264839</v>
      </c>
      <c r="BQ39" s="2"/>
      <c r="BR39" s="2">
        <f t="shared" si="9"/>
        <v>8123.1509978264839</v>
      </c>
      <c r="BS39" s="2">
        <f t="shared" si="62"/>
        <v>770.79165956743986</v>
      </c>
      <c r="BT39" s="2">
        <f t="shared" si="63"/>
        <v>7352.3593382590443</v>
      </c>
      <c r="BU39" s="2">
        <f t="shared" si="10"/>
        <v>697.65258057977894</v>
      </c>
      <c r="BV39" s="2">
        <f t="shared" si="64"/>
        <v>6654.7067576792651</v>
      </c>
      <c r="BW39" s="2">
        <f t="shared" si="11"/>
        <v>631.45354149624097</v>
      </c>
      <c r="BX39" s="2">
        <f t="shared" si="65"/>
        <v>6023.2532161830241</v>
      </c>
      <c r="BY39" s="2">
        <f t="shared" si="12"/>
        <v>571.53601400969592</v>
      </c>
      <c r="BZ39" s="2">
        <f t="shared" si="66"/>
        <v>5451.7172021733277</v>
      </c>
      <c r="CA39" s="2">
        <f t="shared" si="13"/>
        <v>517.30395641788607</v>
      </c>
      <c r="CB39" s="2">
        <f t="shared" si="67"/>
        <v>4934.4132457554415</v>
      </c>
      <c r="CC39" s="2">
        <f t="shared" si="14"/>
        <v>468.21788437825091</v>
      </c>
      <c r="CD39" s="2">
        <f t="shared" si="68"/>
        <v>4466.1953613771902</v>
      </c>
      <c r="CE39" s="2">
        <f t="shared" si="15"/>
        <v>423.78950427850464</v>
      </c>
      <c r="CF39" s="2">
        <f t="shared" si="69"/>
        <v>4042.4058570986854</v>
      </c>
      <c r="CG39" s="2">
        <f t="shared" si="16"/>
        <v>383.57685583734013</v>
      </c>
      <c r="CH39" s="2">
        <f t="shared" si="70"/>
        <v>3658.8290012613452</v>
      </c>
      <c r="CI39" s="2">
        <f t="shared" si="17"/>
        <v>347.17991561529652</v>
      </c>
      <c r="CJ39" s="2">
        <f t="shared" si="71"/>
        <v>3311.6490856460487</v>
      </c>
      <c r="CK39" s="2">
        <f t="shared" si="18"/>
        <v>314.23661770082953</v>
      </c>
      <c r="CL39" s="2">
        <f t="shared" si="72"/>
        <v>2997.4124679452193</v>
      </c>
      <c r="CM39" s="2">
        <f t="shared" si="19"/>
        <v>284.41925198655309</v>
      </c>
      <c r="CN39" s="2">
        <f t="shared" si="73"/>
        <v>2712.993215958666</v>
      </c>
      <c r="CO39" s="2">
        <f t="shared" si="20"/>
        <v>257.43120420678093</v>
      </c>
      <c r="CP39" s="2">
        <f t="shared" si="74"/>
        <v>2455.5620117518852</v>
      </c>
      <c r="CQ39" s="2">
        <f t="shared" si="21"/>
        <v>233.0040053072305</v>
      </c>
      <c r="CR39" s="2">
        <f t="shared" si="75"/>
        <v>2222.5580064446549</v>
      </c>
      <c r="CS39" s="2">
        <f t="shared" si="22"/>
        <v>210.89466079490077</v>
      </c>
      <c r="CT39" s="2">
        <f t="shared" si="76"/>
        <v>2011.6633456497541</v>
      </c>
      <c r="CU39" s="2">
        <f t="shared" si="23"/>
        <v>190.88323350129156</v>
      </c>
      <c r="CV39" s="2">
        <f t="shared" si="77"/>
        <v>1820.7801121484626</v>
      </c>
      <c r="CW39" s="2">
        <f t="shared" si="24"/>
        <v>172.77065571301364</v>
      </c>
      <c r="CX39" s="2">
        <f t="shared" si="78"/>
        <v>1648.009456435449</v>
      </c>
      <c r="CY39" s="2">
        <f t="shared" si="25"/>
        <v>156.37674890551727</v>
      </c>
      <c r="CZ39" s="2">
        <f t="shared" si="79"/>
        <v>1491.6327075299318</v>
      </c>
      <c r="DA39" s="2">
        <f t="shared" si="80"/>
        <v>141.53843138084048</v>
      </c>
      <c r="DB39" s="2">
        <f t="shared" si="95"/>
        <v>1350.0942761490915</v>
      </c>
      <c r="DC39" s="2">
        <f t="shared" si="108"/>
        <v>128.10809597949176</v>
      </c>
      <c r="DD39" s="2">
        <f t="shared" si="96"/>
        <v>1221.9861801695997</v>
      </c>
      <c r="DE39" s="2">
        <f t="shared" si="103"/>
        <v>115.9548298685805</v>
      </c>
      <c r="DF39" s="2">
        <f t="shared" si="97"/>
        <v>1106.0313503010193</v>
      </c>
      <c r="DG39" s="2">
        <f t="shared" si="104"/>
        <v>40.031350301019302</v>
      </c>
      <c r="DH39" s="2">
        <f t="shared" si="98"/>
        <v>1066</v>
      </c>
      <c r="DI39" s="2">
        <f t="shared" si="105"/>
        <v>0</v>
      </c>
      <c r="DJ39" s="2">
        <f t="shared" si="82"/>
        <v>1066</v>
      </c>
      <c r="DK39" s="2">
        <f t="shared" si="106"/>
        <v>0</v>
      </c>
      <c r="DL39" s="2">
        <f t="shared" si="83"/>
        <v>1066</v>
      </c>
      <c r="DM39" s="2">
        <f t="shared" si="107"/>
        <v>0</v>
      </c>
      <c r="DN39" s="2">
        <f t="shared" si="84"/>
        <v>1066</v>
      </c>
      <c r="DO39" s="2"/>
      <c r="DP39" s="2">
        <f t="shared" si="85"/>
        <v>1066</v>
      </c>
      <c r="DQ39" s="2"/>
      <c r="DR39" s="2">
        <f t="shared" si="86"/>
        <v>1066</v>
      </c>
      <c r="DS39" s="2"/>
      <c r="DT39" s="2">
        <f t="shared" si="26"/>
        <v>1066</v>
      </c>
      <c r="DU39" s="2"/>
      <c r="DV39" s="2"/>
      <c r="DW39" s="266">
        <f t="shared" si="27"/>
        <v>1066</v>
      </c>
      <c r="DX39" s="441">
        <f t="shared" si="87"/>
        <v>0</v>
      </c>
    </row>
    <row r="40" spans="1:128">
      <c r="A40" s="433">
        <f t="shared" si="28"/>
        <v>33</v>
      </c>
      <c r="B40" s="433" t="s">
        <v>493</v>
      </c>
      <c r="C40" s="434" t="s">
        <v>494</v>
      </c>
      <c r="D40" s="435">
        <v>0.1</v>
      </c>
      <c r="E40" s="442">
        <v>25220</v>
      </c>
      <c r="F40" s="437" t="s">
        <v>1001</v>
      </c>
      <c r="G40" s="438">
        <v>40770</v>
      </c>
      <c r="H40" s="438"/>
      <c r="I40" s="438"/>
      <c r="J40" s="438"/>
      <c r="K40" s="438"/>
      <c r="L40" s="438"/>
      <c r="M40" s="439"/>
      <c r="N40" s="436"/>
      <c r="O40" s="436"/>
      <c r="P40" s="433"/>
      <c r="Q40" s="436"/>
      <c r="R40" s="436"/>
      <c r="S40" s="2">
        <v>0</v>
      </c>
      <c r="T40" s="2">
        <v>0</v>
      </c>
      <c r="U40" s="436">
        <f t="shared" si="99"/>
        <v>25220</v>
      </c>
      <c r="V40" s="433">
        <f t="shared" si="33"/>
        <v>230</v>
      </c>
      <c r="W40" s="436">
        <f>186694/(U59+825639)*U40</f>
        <v>1381.1194569883562</v>
      </c>
      <c r="X40" s="436">
        <f t="shared" si="34"/>
        <v>23838.880543011644</v>
      </c>
      <c r="Y40" s="433">
        <f t="shared" si="35"/>
        <v>365</v>
      </c>
      <c r="Z40" s="436">
        <f t="shared" si="88"/>
        <v>2384</v>
      </c>
      <c r="AA40" s="436">
        <f t="shared" si="89"/>
        <v>21454.880543011644</v>
      </c>
      <c r="AB40" s="433">
        <f t="shared" si="36"/>
        <v>365</v>
      </c>
      <c r="AC40" s="436">
        <f t="shared" si="37"/>
        <v>2145</v>
      </c>
      <c r="AD40" s="436">
        <f t="shared" si="38"/>
        <v>19309.880543011644</v>
      </c>
      <c r="AE40" s="436">
        <f t="shared" si="39"/>
        <v>5910.1194569883564</v>
      </c>
      <c r="AF40" s="436">
        <f t="shared" si="40"/>
        <v>19309.880543011644</v>
      </c>
      <c r="AG40" s="436">
        <f t="shared" si="1"/>
        <v>0</v>
      </c>
      <c r="AH40" s="436">
        <f t="shared" si="41"/>
        <v>2.6301369863013697</v>
      </c>
      <c r="AI40" s="439">
        <v>30</v>
      </c>
      <c r="AJ40" s="436">
        <f t="shared" si="2"/>
        <v>27.36986301369863</v>
      </c>
      <c r="AK40" s="440">
        <f t="shared" si="42"/>
        <v>9.4888990452085209E-2</v>
      </c>
      <c r="AL40" s="2">
        <f t="shared" si="43"/>
        <v>0</v>
      </c>
      <c r="AM40" s="433">
        <f t="shared" si="44"/>
        <v>365</v>
      </c>
      <c r="AN40" s="436">
        <f t="shared" si="90"/>
        <v>1931</v>
      </c>
      <c r="AO40" s="436">
        <f t="shared" si="45"/>
        <v>1832</v>
      </c>
      <c r="AP40" s="436">
        <f t="shared" si="46"/>
        <v>17478</v>
      </c>
      <c r="AQ40" s="436">
        <f t="shared" si="91"/>
        <v>17477.880543011644</v>
      </c>
      <c r="AR40" s="436">
        <f t="shared" si="92"/>
        <v>-0.11945698835552321</v>
      </c>
      <c r="AS40" s="436">
        <f t="shared" si="93"/>
        <v>-99</v>
      </c>
      <c r="AT40" s="2">
        <f t="shared" si="94"/>
        <v>17378.880543011644</v>
      </c>
      <c r="AU40" s="2">
        <f t="shared" si="3"/>
        <v>17477.880543011644</v>
      </c>
      <c r="AV40" s="2">
        <f t="shared" si="4"/>
        <v>0</v>
      </c>
      <c r="AW40" s="433">
        <f t="shared" si="47"/>
        <v>365</v>
      </c>
      <c r="AX40" s="2">
        <f t="shared" si="48"/>
        <v>1658.4584399685177</v>
      </c>
      <c r="AY40" s="2">
        <f t="shared" si="49"/>
        <v>15819.422103043127</v>
      </c>
      <c r="AZ40" s="433">
        <f t="shared" si="50"/>
        <v>365</v>
      </c>
      <c r="BA40" s="2">
        <f t="shared" si="51"/>
        <v>1501.0889928931649</v>
      </c>
      <c r="BB40" s="2">
        <f t="shared" si="52"/>
        <v>14318.333110149963</v>
      </c>
      <c r="BC40" s="2">
        <f t="shared" si="53"/>
        <v>21900</v>
      </c>
      <c r="BD40" s="433">
        <f t="shared" si="54"/>
        <v>2055</v>
      </c>
      <c r="BE40" s="439">
        <f t="shared" si="55"/>
        <v>19845</v>
      </c>
      <c r="BF40" s="433">
        <f t="shared" si="56"/>
        <v>365</v>
      </c>
      <c r="BG40" s="2">
        <f t="shared" si="57"/>
        <v>1358.6521737787953</v>
      </c>
      <c r="BH40" s="2">
        <f t="shared" si="58"/>
        <v>12959.680936371167</v>
      </c>
      <c r="BI40" s="2">
        <f t="shared" si="5"/>
        <v>1229.7310406333943</v>
      </c>
      <c r="BJ40" s="2">
        <f t="shared" si="6"/>
        <v>11729.949895737773</v>
      </c>
      <c r="BK40" s="2">
        <f t="shared" si="59"/>
        <v>1113.04</v>
      </c>
      <c r="BL40" s="2">
        <f t="shared" si="7"/>
        <v>10616.909895737772</v>
      </c>
      <c r="BM40" s="2"/>
      <c r="BN40" s="2">
        <f t="shared" si="60"/>
        <v>10616.909895737772</v>
      </c>
      <c r="BO40" s="2">
        <f t="shared" si="8"/>
        <v>1007.4278617273104</v>
      </c>
      <c r="BP40" s="2">
        <f t="shared" si="61"/>
        <v>9609.4820340104616</v>
      </c>
      <c r="BQ40" s="2"/>
      <c r="BR40" s="2">
        <f t="shared" si="9"/>
        <v>9609.4820340104616</v>
      </c>
      <c r="BS40" s="2">
        <f t="shared" si="62"/>
        <v>911.83404897470302</v>
      </c>
      <c r="BT40" s="2">
        <f t="shared" si="63"/>
        <v>8697.6479850357591</v>
      </c>
      <c r="BU40" s="2">
        <f t="shared" si="10"/>
        <v>825.31103660765632</v>
      </c>
      <c r="BV40" s="2">
        <f t="shared" si="64"/>
        <v>7872.3369484281029</v>
      </c>
      <c r="BW40" s="2">
        <f t="shared" si="11"/>
        <v>746.99810553499185</v>
      </c>
      <c r="BX40" s="2">
        <f t="shared" si="65"/>
        <v>7125.3388428931112</v>
      </c>
      <c r="BY40" s="2">
        <f t="shared" si="12"/>
        <v>676.11620943115634</v>
      </c>
      <c r="BZ40" s="2">
        <f t="shared" si="66"/>
        <v>6449.2226334619545</v>
      </c>
      <c r="CA40" s="2">
        <f t="shared" si="13"/>
        <v>611.96022488994322</v>
      </c>
      <c r="CB40" s="2">
        <f t="shared" si="67"/>
        <v>5837.2624085720108</v>
      </c>
      <c r="CC40" s="2">
        <f t="shared" si="14"/>
        <v>553.89193695330539</v>
      </c>
      <c r="CD40" s="2">
        <f t="shared" si="68"/>
        <v>5283.3704716187058</v>
      </c>
      <c r="CE40" s="2">
        <f t="shared" si="15"/>
        <v>501.3336902362563</v>
      </c>
      <c r="CF40" s="2">
        <f t="shared" si="69"/>
        <v>4782.0367813824496</v>
      </c>
      <c r="CG40" s="2">
        <f t="shared" si="16"/>
        <v>453.76264249011956</v>
      </c>
      <c r="CH40" s="2">
        <f t="shared" si="70"/>
        <v>4328.2741388923296</v>
      </c>
      <c r="CI40" s="2">
        <f t="shared" si="17"/>
        <v>410.70556343936158</v>
      </c>
      <c r="CJ40" s="2">
        <f t="shared" si="71"/>
        <v>3917.5685754529682</v>
      </c>
      <c r="CK40" s="2">
        <f t="shared" si="18"/>
        <v>371.73412715154575</v>
      </c>
      <c r="CL40" s="2">
        <f t="shared" si="72"/>
        <v>3545.8344483014225</v>
      </c>
      <c r="CM40" s="2">
        <f t="shared" si="19"/>
        <v>336.46065110954851</v>
      </c>
      <c r="CN40" s="2">
        <f t="shared" si="73"/>
        <v>3209.373797191874</v>
      </c>
      <c r="CO40" s="2">
        <f t="shared" si="20"/>
        <v>304.53423959891217</v>
      </c>
      <c r="CP40" s="2">
        <f t="shared" si="74"/>
        <v>2904.8395575929617</v>
      </c>
      <c r="CQ40" s="2">
        <f t="shared" si="21"/>
        <v>275.63729304527794</v>
      </c>
      <c r="CR40" s="2">
        <f t="shared" si="75"/>
        <v>2629.2022645476836</v>
      </c>
      <c r="CS40" s="2">
        <f t="shared" si="22"/>
        <v>249.48234857726595</v>
      </c>
      <c r="CT40" s="2">
        <f t="shared" si="76"/>
        <v>2379.7199159704178</v>
      </c>
      <c r="CU40" s="2">
        <f t="shared" si="23"/>
        <v>225.80922038515399</v>
      </c>
      <c r="CV40" s="2">
        <f t="shared" si="77"/>
        <v>2153.910695585264</v>
      </c>
      <c r="CW40" s="2">
        <f t="shared" si="24"/>
        <v>204.38241142803432</v>
      </c>
      <c r="CX40" s="2">
        <f t="shared" si="78"/>
        <v>1949.5282841572296</v>
      </c>
      <c r="CY40" s="2">
        <f t="shared" si="25"/>
        <v>184.98877074146543</v>
      </c>
      <c r="CZ40" s="2">
        <f t="shared" si="79"/>
        <v>1764.5395134157641</v>
      </c>
      <c r="DA40" s="2">
        <f t="shared" si="80"/>
        <v>167.43537304083551</v>
      </c>
      <c r="DB40" s="2">
        <f t="shared" si="95"/>
        <v>1597.1041403749286</v>
      </c>
      <c r="DC40" s="2">
        <f t="shared" si="108"/>
        <v>151.54759952702236</v>
      </c>
      <c r="DD40" s="2">
        <f t="shared" si="96"/>
        <v>1445.5565408479063</v>
      </c>
      <c r="DE40" s="2">
        <f t="shared" si="103"/>
        <v>137.16952407446112</v>
      </c>
      <c r="DF40" s="2">
        <f t="shared" si="97"/>
        <v>1308.3870167734451</v>
      </c>
      <c r="DG40" s="2">
        <f t="shared" si="104"/>
        <v>47.387016773445112</v>
      </c>
      <c r="DH40" s="2">
        <f t="shared" si="98"/>
        <v>1261</v>
      </c>
      <c r="DI40" s="2">
        <f t="shared" si="105"/>
        <v>0</v>
      </c>
      <c r="DJ40" s="2">
        <f t="shared" si="82"/>
        <v>1261</v>
      </c>
      <c r="DK40" s="2">
        <f t="shared" si="106"/>
        <v>0</v>
      </c>
      <c r="DL40" s="2">
        <f t="shared" si="83"/>
        <v>1261</v>
      </c>
      <c r="DM40" s="2">
        <f t="shared" si="107"/>
        <v>0</v>
      </c>
      <c r="DN40" s="2">
        <f t="shared" si="84"/>
        <v>1261</v>
      </c>
      <c r="DO40" s="2"/>
      <c r="DP40" s="2">
        <f t="shared" si="85"/>
        <v>1261</v>
      </c>
      <c r="DQ40" s="2"/>
      <c r="DR40" s="2">
        <f t="shared" si="86"/>
        <v>1261</v>
      </c>
      <c r="DS40" s="2"/>
      <c r="DT40" s="2">
        <f t="shared" si="26"/>
        <v>1261</v>
      </c>
      <c r="DU40" s="2"/>
      <c r="DV40" s="2"/>
      <c r="DW40" s="266">
        <f t="shared" si="27"/>
        <v>1261</v>
      </c>
      <c r="DX40" s="441">
        <f t="shared" si="87"/>
        <v>0</v>
      </c>
    </row>
    <row r="41" spans="1:128">
      <c r="A41" s="433">
        <f t="shared" si="28"/>
        <v>34</v>
      </c>
      <c r="B41" s="433" t="s">
        <v>493</v>
      </c>
      <c r="C41" s="434" t="s">
        <v>494</v>
      </c>
      <c r="D41" s="435">
        <v>0.1</v>
      </c>
      <c r="E41" s="442">
        <v>41688</v>
      </c>
      <c r="F41" s="437" t="s">
        <v>1001</v>
      </c>
      <c r="G41" s="438">
        <v>40770</v>
      </c>
      <c r="H41" s="438"/>
      <c r="I41" s="438"/>
      <c r="J41" s="438"/>
      <c r="K41" s="438"/>
      <c r="L41" s="438"/>
      <c r="M41" s="439"/>
      <c r="N41" s="436"/>
      <c r="O41" s="436"/>
      <c r="P41" s="433"/>
      <c r="Q41" s="436"/>
      <c r="R41" s="436"/>
      <c r="S41" s="2">
        <v>0</v>
      </c>
      <c r="T41" s="2">
        <v>0</v>
      </c>
      <c r="U41" s="436">
        <f t="shared" si="99"/>
        <v>41688</v>
      </c>
      <c r="V41" s="433">
        <f t="shared" si="33"/>
        <v>230</v>
      </c>
      <c r="W41" s="436">
        <f>186694/(U59+825639)*U41</f>
        <v>2282.9543189108085</v>
      </c>
      <c r="X41" s="436">
        <f t="shared" si="34"/>
        <v>39405.045681089192</v>
      </c>
      <c r="Y41" s="433">
        <f t="shared" si="35"/>
        <v>365</v>
      </c>
      <c r="Z41" s="436">
        <f t="shared" si="88"/>
        <v>3941</v>
      </c>
      <c r="AA41" s="436">
        <f t="shared" si="89"/>
        <v>35464.045681089192</v>
      </c>
      <c r="AB41" s="433">
        <f t="shared" si="36"/>
        <v>365</v>
      </c>
      <c r="AC41" s="436">
        <f t="shared" si="37"/>
        <v>3546</v>
      </c>
      <c r="AD41" s="436">
        <f t="shared" si="38"/>
        <v>31918.045681089192</v>
      </c>
      <c r="AE41" s="436">
        <f t="shared" si="39"/>
        <v>9769.9543189108081</v>
      </c>
      <c r="AF41" s="436">
        <f t="shared" si="40"/>
        <v>31918.045681089192</v>
      </c>
      <c r="AG41" s="436">
        <f t="shared" si="1"/>
        <v>0</v>
      </c>
      <c r="AH41" s="436">
        <f t="shared" si="41"/>
        <v>2.6301369863013697</v>
      </c>
      <c r="AI41" s="439">
        <v>30</v>
      </c>
      <c r="AJ41" s="436">
        <f t="shared" si="2"/>
        <v>27.36986301369863</v>
      </c>
      <c r="AK41" s="440">
        <f t="shared" si="42"/>
        <v>9.4888284347994567E-2</v>
      </c>
      <c r="AL41" s="2">
        <f t="shared" si="43"/>
        <v>0</v>
      </c>
      <c r="AM41" s="433">
        <f t="shared" si="44"/>
        <v>365</v>
      </c>
      <c r="AN41" s="436">
        <f t="shared" si="90"/>
        <v>3192</v>
      </c>
      <c r="AO41" s="436">
        <f t="shared" si="45"/>
        <v>3029</v>
      </c>
      <c r="AP41" s="436">
        <f t="shared" si="46"/>
        <v>28889</v>
      </c>
      <c r="AQ41" s="436">
        <f t="shared" si="91"/>
        <v>28889.045681089192</v>
      </c>
      <c r="AR41" s="436">
        <f t="shared" si="92"/>
        <v>4.5681089191930369E-2</v>
      </c>
      <c r="AS41" s="436">
        <f t="shared" si="93"/>
        <v>-163</v>
      </c>
      <c r="AT41" s="2">
        <f t="shared" si="94"/>
        <v>28726.045681089192</v>
      </c>
      <c r="AU41" s="2">
        <f t="shared" si="3"/>
        <v>28889.045681089192</v>
      </c>
      <c r="AV41" s="2">
        <f t="shared" si="4"/>
        <v>0</v>
      </c>
      <c r="AW41" s="433">
        <f t="shared" si="47"/>
        <v>365</v>
      </c>
      <c r="AX41" s="2">
        <f t="shared" si="48"/>
        <v>2741.2319811293955</v>
      </c>
      <c r="AY41" s="2">
        <f t="shared" si="49"/>
        <v>26147.813699959795</v>
      </c>
      <c r="AZ41" s="433">
        <f t="shared" si="50"/>
        <v>365</v>
      </c>
      <c r="BA41" s="2">
        <f t="shared" si="51"/>
        <v>2481.1211814401731</v>
      </c>
      <c r="BB41" s="2">
        <f t="shared" si="52"/>
        <v>23666.692518519623</v>
      </c>
      <c r="BC41" s="2">
        <f t="shared" si="53"/>
        <v>21900</v>
      </c>
      <c r="BD41" s="433">
        <f t="shared" si="54"/>
        <v>2055</v>
      </c>
      <c r="BE41" s="439">
        <f t="shared" si="55"/>
        <v>19845</v>
      </c>
      <c r="BF41" s="433">
        <f t="shared" si="56"/>
        <v>365</v>
      </c>
      <c r="BG41" s="2">
        <f t="shared" si="57"/>
        <v>2245.6918492738455</v>
      </c>
      <c r="BH41" s="2">
        <f t="shared" si="58"/>
        <v>21421.000669245779</v>
      </c>
      <c r="BI41" s="2">
        <f t="shared" si="5"/>
        <v>2032.6020025219755</v>
      </c>
      <c r="BJ41" s="2">
        <f t="shared" si="6"/>
        <v>19388.398666723802</v>
      </c>
      <c r="BK41" s="2">
        <f t="shared" si="59"/>
        <v>1839.73</v>
      </c>
      <c r="BL41" s="2">
        <f t="shared" si="7"/>
        <v>17548.668666723803</v>
      </c>
      <c r="BM41" s="2"/>
      <c r="BN41" s="2">
        <f t="shared" si="60"/>
        <v>17548.668666723803</v>
      </c>
      <c r="BO41" s="2">
        <f t="shared" si="8"/>
        <v>1665.1630623768308</v>
      </c>
      <c r="BP41" s="2">
        <f t="shared" si="61"/>
        <v>15883.505604346972</v>
      </c>
      <c r="BQ41" s="2"/>
      <c r="BR41" s="2">
        <f t="shared" si="9"/>
        <v>15883.505604346972</v>
      </c>
      <c r="BS41" s="2">
        <f t="shared" si="62"/>
        <v>1507.1585962282409</v>
      </c>
      <c r="BT41" s="2">
        <f t="shared" si="63"/>
        <v>14376.347008118732</v>
      </c>
      <c r="BU41" s="2">
        <f t="shared" si="10"/>
        <v>1364.146902791811</v>
      </c>
      <c r="BV41" s="2">
        <f t="shared" si="64"/>
        <v>13012.20010532692</v>
      </c>
      <c r="BW41" s="2">
        <f t="shared" si="11"/>
        <v>1234.7053435872656</v>
      </c>
      <c r="BX41" s="2">
        <f t="shared" si="65"/>
        <v>11777.494761739654</v>
      </c>
      <c r="BY41" s="2">
        <f t="shared" si="12"/>
        <v>1117.5462718589688</v>
      </c>
      <c r="BZ41" s="2">
        <f t="shared" si="66"/>
        <v>10659.948489880684</v>
      </c>
      <c r="CA41" s="2">
        <f t="shared" si="13"/>
        <v>1011.5042234427737</v>
      </c>
      <c r="CB41" s="2">
        <f t="shared" si="67"/>
        <v>9648.4442664379112</v>
      </c>
      <c r="CC41" s="2">
        <f t="shared" si="14"/>
        <v>915.52432306953835</v>
      </c>
      <c r="CD41" s="2">
        <f t="shared" si="68"/>
        <v>8732.9199433683734</v>
      </c>
      <c r="CE41" s="2">
        <f t="shared" si="15"/>
        <v>828.65179077461084</v>
      </c>
      <c r="CF41" s="2">
        <f t="shared" si="69"/>
        <v>7904.2681525937624</v>
      </c>
      <c r="CG41" s="2">
        <f t="shared" si="16"/>
        <v>750.02244402611461</v>
      </c>
      <c r="CH41" s="2">
        <f t="shared" si="70"/>
        <v>7154.2457085676479</v>
      </c>
      <c r="CI41" s="2">
        <f t="shared" si="17"/>
        <v>678.85410108998678</v>
      </c>
      <c r="CJ41" s="2">
        <f t="shared" si="71"/>
        <v>6475.3916074776607</v>
      </c>
      <c r="CK41" s="2">
        <f t="shared" si="18"/>
        <v>614.43880011495787</v>
      </c>
      <c r="CL41" s="2">
        <f t="shared" si="72"/>
        <v>5860.9528073627025</v>
      </c>
      <c r="CM41" s="2">
        <f t="shared" si="19"/>
        <v>556.13575653520911</v>
      </c>
      <c r="CN41" s="2">
        <f t="shared" si="73"/>
        <v>5304.8170508274934</v>
      </c>
      <c r="CO41" s="2">
        <f t="shared" si="20"/>
        <v>503.36498873300917</v>
      </c>
      <c r="CP41" s="2">
        <f t="shared" si="74"/>
        <v>4801.4520620944841</v>
      </c>
      <c r="CQ41" s="2">
        <f t="shared" si="21"/>
        <v>455.60154855128627</v>
      </c>
      <c r="CR41" s="2">
        <f t="shared" si="75"/>
        <v>4345.8505135431978</v>
      </c>
      <c r="CS41" s="2">
        <f t="shared" si="22"/>
        <v>412.37029926296515</v>
      </c>
      <c r="CT41" s="2">
        <f t="shared" si="76"/>
        <v>3933.4802142802328</v>
      </c>
      <c r="CU41" s="2">
        <f t="shared" si="23"/>
        <v>373.24118904983334</v>
      </c>
      <c r="CV41" s="2">
        <f t="shared" si="77"/>
        <v>3560.2390252303994</v>
      </c>
      <c r="CW41" s="2">
        <f t="shared" si="24"/>
        <v>337.82497297288916</v>
      </c>
      <c r="CX41" s="2">
        <f t="shared" si="78"/>
        <v>3222.4140522575103</v>
      </c>
      <c r="CY41" s="2">
        <f t="shared" si="25"/>
        <v>305.76934087758406</v>
      </c>
      <c r="CZ41" s="2">
        <f t="shared" si="79"/>
        <v>2916.6447113799263</v>
      </c>
      <c r="DA41" s="2">
        <f t="shared" si="80"/>
        <v>276.75541271549298</v>
      </c>
      <c r="DB41" s="2">
        <f t="shared" si="95"/>
        <v>2639.8892986644332</v>
      </c>
      <c r="DC41" s="2">
        <f t="shared" si="108"/>
        <v>250.4945664188987</v>
      </c>
      <c r="DD41" s="2">
        <f t="shared" si="96"/>
        <v>2389.3947322455347</v>
      </c>
      <c r="DE41" s="2">
        <f t="shared" si="103"/>
        <v>226.73076354100826</v>
      </c>
      <c r="DF41" s="2">
        <f t="shared" si="97"/>
        <v>2162.6639687045263</v>
      </c>
      <c r="DG41" s="2">
        <f t="shared" si="104"/>
        <v>78.263968704526178</v>
      </c>
      <c r="DH41" s="2">
        <f t="shared" si="98"/>
        <v>2084.4</v>
      </c>
      <c r="DI41" s="2">
        <f t="shared" si="105"/>
        <v>0</v>
      </c>
      <c r="DJ41" s="2">
        <f t="shared" si="82"/>
        <v>2084.4</v>
      </c>
      <c r="DK41" s="2">
        <f t="shared" si="106"/>
        <v>0</v>
      </c>
      <c r="DL41" s="2">
        <f t="shared" si="83"/>
        <v>2084.4</v>
      </c>
      <c r="DM41" s="2">
        <f t="shared" si="107"/>
        <v>0</v>
      </c>
      <c r="DN41" s="2">
        <f t="shared" si="84"/>
        <v>2084.4</v>
      </c>
      <c r="DO41" s="2"/>
      <c r="DP41" s="2">
        <f t="shared" si="85"/>
        <v>2084.4</v>
      </c>
      <c r="DQ41" s="2"/>
      <c r="DR41" s="2">
        <f t="shared" si="86"/>
        <v>2084.4</v>
      </c>
      <c r="DS41" s="2"/>
      <c r="DT41" s="2">
        <f t="shared" si="26"/>
        <v>2084.4</v>
      </c>
      <c r="DU41" s="2"/>
      <c r="DV41" s="2"/>
      <c r="DW41" s="266">
        <f t="shared" si="27"/>
        <v>2084.4</v>
      </c>
      <c r="DX41" s="441">
        <f t="shared" si="87"/>
        <v>0</v>
      </c>
    </row>
    <row r="42" spans="1:128">
      <c r="A42" s="433">
        <f t="shared" si="28"/>
        <v>35</v>
      </c>
      <c r="B42" s="433" t="s">
        <v>493</v>
      </c>
      <c r="C42" s="434" t="s">
        <v>494</v>
      </c>
      <c r="D42" s="435">
        <v>0.1</v>
      </c>
      <c r="E42" s="442">
        <v>3464</v>
      </c>
      <c r="F42" s="437" t="s">
        <v>1001</v>
      </c>
      <c r="G42" s="438">
        <v>40770</v>
      </c>
      <c r="H42" s="438"/>
      <c r="I42" s="438"/>
      <c r="J42" s="438"/>
      <c r="K42" s="438"/>
      <c r="L42" s="438"/>
      <c r="M42" s="439"/>
      <c r="N42" s="436"/>
      <c r="O42" s="436"/>
      <c r="P42" s="433"/>
      <c r="Q42" s="436"/>
      <c r="R42" s="436"/>
      <c r="S42" s="2">
        <v>0</v>
      </c>
      <c r="T42" s="2">
        <v>0</v>
      </c>
      <c r="U42" s="436">
        <f t="shared" si="99"/>
        <v>3464</v>
      </c>
      <c r="V42" s="433">
        <f t="shared" si="33"/>
        <v>230</v>
      </c>
      <c r="W42" s="436">
        <f>186694/(U59+825639)*U42</f>
        <v>189.69856459189793</v>
      </c>
      <c r="X42" s="436">
        <f t="shared" si="34"/>
        <v>3274.301435408102</v>
      </c>
      <c r="Y42" s="433">
        <f t="shared" si="35"/>
        <v>365</v>
      </c>
      <c r="Z42" s="436">
        <f t="shared" si="88"/>
        <v>327</v>
      </c>
      <c r="AA42" s="436">
        <f t="shared" si="89"/>
        <v>2947.301435408102</v>
      </c>
      <c r="AB42" s="433">
        <f t="shared" si="36"/>
        <v>365</v>
      </c>
      <c r="AC42" s="436">
        <f t="shared" si="37"/>
        <v>295</v>
      </c>
      <c r="AD42" s="436">
        <f t="shared" si="38"/>
        <v>2652.301435408102</v>
      </c>
      <c r="AE42" s="436">
        <f t="shared" si="39"/>
        <v>811.69856459189793</v>
      </c>
      <c r="AF42" s="436">
        <f t="shared" si="40"/>
        <v>2652.301435408102</v>
      </c>
      <c r="AG42" s="436">
        <f t="shared" si="1"/>
        <v>0</v>
      </c>
      <c r="AH42" s="436">
        <f t="shared" si="41"/>
        <v>2.6301369863013697</v>
      </c>
      <c r="AI42" s="439">
        <v>30</v>
      </c>
      <c r="AJ42" s="436">
        <f t="shared" si="2"/>
        <v>27.36986301369863</v>
      </c>
      <c r="AK42" s="440">
        <f t="shared" si="42"/>
        <v>9.4889789380140255E-2</v>
      </c>
      <c r="AL42" s="2">
        <f t="shared" si="43"/>
        <v>0</v>
      </c>
      <c r="AM42" s="433">
        <f t="shared" si="44"/>
        <v>365</v>
      </c>
      <c r="AN42" s="436">
        <f t="shared" si="90"/>
        <v>265</v>
      </c>
      <c r="AO42" s="436">
        <f t="shared" si="45"/>
        <v>252</v>
      </c>
      <c r="AP42" s="436">
        <f t="shared" si="46"/>
        <v>2400</v>
      </c>
      <c r="AQ42" s="436">
        <f t="shared" si="91"/>
        <v>2400.301435408102</v>
      </c>
      <c r="AR42" s="436">
        <f t="shared" si="92"/>
        <v>0.30143540810195191</v>
      </c>
      <c r="AS42" s="436">
        <f t="shared" si="93"/>
        <v>-13</v>
      </c>
      <c r="AT42" s="2">
        <f t="shared" si="94"/>
        <v>2387.301435408102</v>
      </c>
      <c r="AU42" s="2">
        <f t="shared" si="3"/>
        <v>2400.301435408102</v>
      </c>
      <c r="AV42" s="2">
        <f t="shared" si="4"/>
        <v>0</v>
      </c>
      <c r="AW42" s="433">
        <f t="shared" si="47"/>
        <v>365</v>
      </c>
      <c r="AX42" s="2">
        <f t="shared" si="48"/>
        <v>227.76409765472312</v>
      </c>
      <c r="AY42" s="2">
        <f t="shared" si="49"/>
        <v>2172.5373377533788</v>
      </c>
      <c r="AZ42" s="433">
        <f t="shared" si="50"/>
        <v>365</v>
      </c>
      <c r="BA42" s="2">
        <f t="shared" si="51"/>
        <v>206.15161039990875</v>
      </c>
      <c r="BB42" s="2">
        <f t="shared" si="52"/>
        <v>1966.38572735347</v>
      </c>
      <c r="BC42" s="2">
        <f t="shared" si="53"/>
        <v>21900</v>
      </c>
      <c r="BD42" s="433">
        <f t="shared" si="54"/>
        <v>2055</v>
      </c>
      <c r="BE42" s="439">
        <f t="shared" si="55"/>
        <v>19845</v>
      </c>
      <c r="BF42" s="433">
        <f t="shared" si="56"/>
        <v>365</v>
      </c>
      <c r="BG42" s="2">
        <f t="shared" si="57"/>
        <v>186.58992750868467</v>
      </c>
      <c r="BH42" s="2">
        <f t="shared" si="58"/>
        <v>1779.7957998447853</v>
      </c>
      <c r="BI42" s="2">
        <f t="shared" si="5"/>
        <v>168.88444858692995</v>
      </c>
      <c r="BJ42" s="2">
        <f t="shared" si="6"/>
        <v>1610.9113512578554</v>
      </c>
      <c r="BK42" s="2">
        <f t="shared" si="59"/>
        <v>152.86000000000001</v>
      </c>
      <c r="BL42" s="2">
        <f t="shared" si="7"/>
        <v>1458.0513512578555</v>
      </c>
      <c r="BM42" s="2"/>
      <c r="BN42" s="2">
        <f t="shared" si="60"/>
        <v>1458.0513512578555</v>
      </c>
      <c r="BO42" s="2">
        <f t="shared" si="8"/>
        <v>138.35418562628681</v>
      </c>
      <c r="BP42" s="2">
        <f t="shared" si="61"/>
        <v>1319.6971656315686</v>
      </c>
      <c r="BQ42" s="2"/>
      <c r="BR42" s="2">
        <f t="shared" si="9"/>
        <v>1319.6971656315686</v>
      </c>
      <c r="BS42" s="2">
        <f t="shared" si="62"/>
        <v>125.22578609234762</v>
      </c>
      <c r="BT42" s="2">
        <f t="shared" si="63"/>
        <v>1194.4713795392211</v>
      </c>
      <c r="BU42" s="2">
        <f t="shared" si="10"/>
        <v>113.34313762508226</v>
      </c>
      <c r="BV42" s="2">
        <f t="shared" si="64"/>
        <v>1081.1282419141387</v>
      </c>
      <c r="BW42" s="2">
        <f t="shared" si="11"/>
        <v>102.58803116815395</v>
      </c>
      <c r="BX42" s="2">
        <f t="shared" si="65"/>
        <v>978.54021074598472</v>
      </c>
      <c r="BY42" s="2">
        <f t="shared" si="12"/>
        <v>92.853474497684545</v>
      </c>
      <c r="BZ42" s="2">
        <f t="shared" si="66"/>
        <v>885.68673624830012</v>
      </c>
      <c r="CA42" s="2">
        <f t="shared" si="13"/>
        <v>84.042627859385036</v>
      </c>
      <c r="CB42" s="2">
        <f t="shared" si="67"/>
        <v>801.64410838891513</v>
      </c>
      <c r="CC42" s="2">
        <f t="shared" si="14"/>
        <v>76.067840602854488</v>
      </c>
      <c r="CD42" s="2">
        <f t="shared" si="68"/>
        <v>725.57626778606061</v>
      </c>
      <c r="CE42" s="2">
        <f t="shared" si="15"/>
        <v>68.849779229447535</v>
      </c>
      <c r="CF42" s="2">
        <f t="shared" si="69"/>
        <v>656.72648855661305</v>
      </c>
      <c r="CG42" s="2">
        <f t="shared" si="16"/>
        <v>62.316638179496103</v>
      </c>
      <c r="CH42" s="2">
        <f t="shared" si="70"/>
        <v>594.40985037711698</v>
      </c>
      <c r="CI42" s="2">
        <f t="shared" si="17"/>
        <v>56.403425507765313</v>
      </c>
      <c r="CJ42" s="2">
        <f t="shared" si="71"/>
        <v>538.00642486935169</v>
      </c>
      <c r="CK42" s="2">
        <f t="shared" si="18"/>
        <v>51.051316341015031</v>
      </c>
      <c r="CL42" s="2">
        <f t="shared" si="72"/>
        <v>486.95510852833667</v>
      </c>
      <c r="CM42" s="2">
        <f t="shared" si="19"/>
        <v>46.207067685837202</v>
      </c>
      <c r="CN42" s="2">
        <f t="shared" si="73"/>
        <v>440.74804084249945</v>
      </c>
      <c r="CO42" s="2">
        <f t="shared" si="20"/>
        <v>41.822488765254228</v>
      </c>
      <c r="CP42" s="2">
        <f t="shared" si="74"/>
        <v>398.92555207724524</v>
      </c>
      <c r="CQ42" s="2">
        <f t="shared" si="21"/>
        <v>37.853961614965975</v>
      </c>
      <c r="CR42" s="2">
        <f t="shared" si="75"/>
        <v>361.07159046227929</v>
      </c>
      <c r="CS42" s="2">
        <f t="shared" si="22"/>
        <v>34.26200717011794</v>
      </c>
      <c r="CT42" s="2">
        <f t="shared" si="76"/>
        <v>326.80958329216134</v>
      </c>
      <c r="CU42" s="2">
        <f t="shared" si="23"/>
        <v>31.010892526004593</v>
      </c>
      <c r="CV42" s="2">
        <f t="shared" si="77"/>
        <v>295.79869076615677</v>
      </c>
      <c r="CW42" s="2">
        <f t="shared" si="24"/>
        <v>28.068275465721854</v>
      </c>
      <c r="CX42" s="2">
        <f t="shared" si="78"/>
        <v>267.73041530043491</v>
      </c>
      <c r="CY42" s="2">
        <f t="shared" si="25"/>
        <v>25.404882718515747</v>
      </c>
      <c r="CZ42" s="2">
        <f t="shared" si="79"/>
        <v>242.32553258191916</v>
      </c>
      <c r="DA42" s="2">
        <f t="shared" si="80"/>
        <v>22.994218748128624</v>
      </c>
      <c r="DB42" s="2">
        <f t="shared" si="95"/>
        <v>219.33131383379055</v>
      </c>
      <c r="DC42" s="2">
        <f t="shared" si="108"/>
        <v>20.812302174157828</v>
      </c>
      <c r="DD42" s="2">
        <f t="shared" si="96"/>
        <v>198.51901165963272</v>
      </c>
      <c r="DE42" s="2">
        <f t="shared" si="103"/>
        <v>18.837560191946373</v>
      </c>
      <c r="DF42" s="2">
        <f t="shared" si="97"/>
        <v>179.68145146768634</v>
      </c>
      <c r="DG42" s="2">
        <f t="shared" si="104"/>
        <v>6.4814514676863269</v>
      </c>
      <c r="DH42" s="2">
        <f t="shared" si="98"/>
        <v>173.20000000000002</v>
      </c>
      <c r="DI42" s="2">
        <f t="shared" si="105"/>
        <v>0</v>
      </c>
      <c r="DJ42" s="2">
        <f t="shared" si="82"/>
        <v>173.20000000000002</v>
      </c>
      <c r="DK42" s="2">
        <f t="shared" si="106"/>
        <v>0</v>
      </c>
      <c r="DL42" s="2">
        <f t="shared" si="83"/>
        <v>173.20000000000002</v>
      </c>
      <c r="DM42" s="2">
        <f t="shared" si="107"/>
        <v>0</v>
      </c>
      <c r="DN42" s="2">
        <f t="shared" si="84"/>
        <v>173.20000000000002</v>
      </c>
      <c r="DO42" s="2"/>
      <c r="DP42" s="2">
        <f t="shared" si="85"/>
        <v>173.20000000000002</v>
      </c>
      <c r="DQ42" s="2"/>
      <c r="DR42" s="2">
        <f t="shared" si="86"/>
        <v>173.20000000000002</v>
      </c>
      <c r="DS42" s="2"/>
      <c r="DT42" s="2">
        <f t="shared" si="26"/>
        <v>173.20000000000002</v>
      </c>
      <c r="DU42" s="2"/>
      <c r="DV42" s="2"/>
      <c r="DW42" s="266">
        <f t="shared" si="27"/>
        <v>173.20000000000002</v>
      </c>
      <c r="DX42" s="441">
        <f t="shared" si="87"/>
        <v>0</v>
      </c>
    </row>
    <row r="43" spans="1:128">
      <c r="A43" s="433">
        <f t="shared" si="28"/>
        <v>36</v>
      </c>
      <c r="B43" s="625" t="s">
        <v>495</v>
      </c>
      <c r="C43" s="434" t="s">
        <v>494</v>
      </c>
      <c r="D43" s="435">
        <v>0.1</v>
      </c>
      <c r="E43" s="442">
        <v>213417</v>
      </c>
      <c r="F43" s="437" t="s">
        <v>1001</v>
      </c>
      <c r="G43" s="438">
        <v>40770</v>
      </c>
      <c r="H43" s="438"/>
      <c r="I43" s="438"/>
      <c r="J43" s="438"/>
      <c r="K43" s="438"/>
      <c r="L43" s="438"/>
      <c r="M43" s="439"/>
      <c r="N43" s="436"/>
      <c r="O43" s="436"/>
      <c r="P43" s="433"/>
      <c r="Q43" s="436"/>
      <c r="R43" s="436"/>
      <c r="S43" s="2">
        <v>0</v>
      </c>
      <c r="T43" s="2">
        <v>0</v>
      </c>
      <c r="U43" s="436">
        <f t="shared" si="99"/>
        <v>213417</v>
      </c>
      <c r="V43" s="433">
        <f t="shared" si="33"/>
        <v>230</v>
      </c>
      <c r="W43" s="436">
        <f>186694/(U59+825639)*U43</f>
        <v>11687.326373992229</v>
      </c>
      <c r="X43" s="436">
        <f t="shared" si="34"/>
        <v>201729.67362600777</v>
      </c>
      <c r="Y43" s="433">
        <f t="shared" si="35"/>
        <v>365</v>
      </c>
      <c r="Z43" s="436">
        <f t="shared" si="88"/>
        <v>20173</v>
      </c>
      <c r="AA43" s="436">
        <f t="shared" si="89"/>
        <v>181556.67362600777</v>
      </c>
      <c r="AB43" s="433">
        <f t="shared" si="36"/>
        <v>365</v>
      </c>
      <c r="AC43" s="436">
        <f t="shared" si="37"/>
        <v>18156</v>
      </c>
      <c r="AD43" s="436">
        <f t="shared" si="38"/>
        <v>163400.67362600777</v>
      </c>
      <c r="AE43" s="436">
        <f t="shared" si="39"/>
        <v>50016.326373992226</v>
      </c>
      <c r="AF43" s="436">
        <f t="shared" si="40"/>
        <v>163400.67362600777</v>
      </c>
      <c r="AG43" s="436">
        <f t="shared" si="1"/>
        <v>0</v>
      </c>
      <c r="AH43" s="436">
        <f t="shared" si="41"/>
        <v>2.6301369863013697</v>
      </c>
      <c r="AI43" s="439">
        <v>30</v>
      </c>
      <c r="AJ43" s="436">
        <f t="shared" si="2"/>
        <v>27.36986301369863</v>
      </c>
      <c r="AK43" s="440">
        <f t="shared" si="42"/>
        <v>9.4888253894316321E-2</v>
      </c>
      <c r="AL43" s="2">
        <f t="shared" si="43"/>
        <v>0</v>
      </c>
      <c r="AM43" s="433">
        <f t="shared" si="44"/>
        <v>365</v>
      </c>
      <c r="AN43" s="436">
        <f t="shared" si="90"/>
        <v>16340</v>
      </c>
      <c r="AO43" s="436">
        <f t="shared" si="45"/>
        <v>15505</v>
      </c>
      <c r="AP43" s="436">
        <f t="shared" si="46"/>
        <v>147896</v>
      </c>
      <c r="AQ43" s="436">
        <f t="shared" si="91"/>
        <v>147895.67362600777</v>
      </c>
      <c r="AR43" s="436">
        <f t="shared" si="92"/>
        <v>-0.32637399222585373</v>
      </c>
      <c r="AS43" s="436">
        <f t="shared" si="93"/>
        <v>-835</v>
      </c>
      <c r="AT43" s="2">
        <f t="shared" si="94"/>
        <v>147060.67362600777</v>
      </c>
      <c r="AU43" s="2">
        <f t="shared" si="3"/>
        <v>147895.67362600777</v>
      </c>
      <c r="AV43" s="2">
        <f t="shared" si="4"/>
        <v>0</v>
      </c>
      <c r="AW43" s="433">
        <f t="shared" si="47"/>
        <v>365</v>
      </c>
      <c r="AX43" s="2">
        <f t="shared" si="48"/>
        <v>14033.562228895567</v>
      </c>
      <c r="AY43" s="2">
        <f t="shared" si="49"/>
        <v>133862.1113971122</v>
      </c>
      <c r="AZ43" s="433">
        <f t="shared" si="50"/>
        <v>365</v>
      </c>
      <c r="BA43" s="2">
        <f t="shared" si="51"/>
        <v>12701.942013078437</v>
      </c>
      <c r="BB43" s="2">
        <f t="shared" si="52"/>
        <v>121160.16938403375</v>
      </c>
      <c r="BC43" s="2">
        <f t="shared" si="53"/>
        <v>21900</v>
      </c>
      <c r="BD43" s="433">
        <f t="shared" si="54"/>
        <v>2055</v>
      </c>
      <c r="BE43" s="439">
        <f t="shared" si="55"/>
        <v>19845</v>
      </c>
      <c r="BF43" s="433">
        <f t="shared" si="56"/>
        <v>365</v>
      </c>
      <c r="BG43" s="2">
        <f t="shared" si="57"/>
        <v>11496.676914390566</v>
      </c>
      <c r="BH43" s="2">
        <f t="shared" si="58"/>
        <v>109663.49246964318</v>
      </c>
      <c r="BI43" s="2">
        <f t="shared" si="5"/>
        <v>10405.777316396949</v>
      </c>
      <c r="BJ43" s="2">
        <f t="shared" si="6"/>
        <v>99257.71515324623</v>
      </c>
      <c r="BK43" s="2">
        <f t="shared" si="59"/>
        <v>9418.39</v>
      </c>
      <c r="BL43" s="2">
        <f t="shared" si="7"/>
        <v>89839.325153246231</v>
      </c>
      <c r="BM43" s="2"/>
      <c r="BN43" s="2">
        <f t="shared" si="60"/>
        <v>89839.325153246231</v>
      </c>
      <c r="BO43" s="2">
        <f t="shared" si="8"/>
        <v>8524.6966948352674</v>
      </c>
      <c r="BP43" s="2">
        <f t="shared" si="61"/>
        <v>81314.628458410967</v>
      </c>
      <c r="BQ43" s="2"/>
      <c r="BR43" s="2">
        <f t="shared" si="9"/>
        <v>81314.628458410967</v>
      </c>
      <c r="BS43" s="2">
        <f t="shared" si="62"/>
        <v>7715.8031104836991</v>
      </c>
      <c r="BT43" s="2">
        <f t="shared" si="63"/>
        <v>73598.825347927268</v>
      </c>
      <c r="BU43" s="2">
        <f t="shared" si="10"/>
        <v>6983.6640259375663</v>
      </c>
      <c r="BV43" s="2">
        <f t="shared" si="64"/>
        <v>66615.161321989697</v>
      </c>
      <c r="BW43" s="2">
        <f t="shared" si="11"/>
        <v>6320.9963407317991</v>
      </c>
      <c r="BX43" s="2">
        <f t="shared" si="65"/>
        <v>60294.164981257898</v>
      </c>
      <c r="BY43" s="2">
        <f t="shared" si="12"/>
        <v>5721.2080350873957</v>
      </c>
      <c r="BZ43" s="2">
        <f t="shared" si="66"/>
        <v>54572.956946170503</v>
      </c>
      <c r="CA43" s="2">
        <f t="shared" si="13"/>
        <v>5178.3325944718199</v>
      </c>
      <c r="CB43" s="2">
        <f t="shared" si="67"/>
        <v>49394.624351698687</v>
      </c>
      <c r="CC43" s="2">
        <f t="shared" si="14"/>
        <v>4686.9696564983651</v>
      </c>
      <c r="CD43" s="2">
        <f t="shared" si="68"/>
        <v>44707.654695200319</v>
      </c>
      <c r="CE43" s="2">
        <f t="shared" si="15"/>
        <v>4242.2312897375914</v>
      </c>
      <c r="CF43" s="2">
        <f t="shared" si="69"/>
        <v>40465.42340546273</v>
      </c>
      <c r="CG43" s="2">
        <f t="shared" si="16"/>
        <v>3839.6933700385575</v>
      </c>
      <c r="CH43" s="2">
        <f t="shared" si="70"/>
        <v>36625.730035424174</v>
      </c>
      <c r="CI43" s="2">
        <f t="shared" si="17"/>
        <v>3475.351570666016</v>
      </c>
      <c r="CJ43" s="2">
        <f t="shared" si="71"/>
        <v>33150.378464758156</v>
      </c>
      <c r="CK43" s="2">
        <f t="shared" si="18"/>
        <v>3145.5815284566479</v>
      </c>
      <c r="CL43" s="2">
        <f t="shared" si="72"/>
        <v>30004.796936301507</v>
      </c>
      <c r="CM43" s="2">
        <f t="shared" si="19"/>
        <v>2847.1027897391818</v>
      </c>
      <c r="CN43" s="2">
        <f t="shared" si="73"/>
        <v>27157.694146562324</v>
      </c>
      <c r="CO43" s="2">
        <f t="shared" si="20"/>
        <v>2576.9461773631938</v>
      </c>
      <c r="CP43" s="2">
        <f t="shared" si="74"/>
        <v>24580.747969199132</v>
      </c>
      <c r="CQ43" s="2">
        <f t="shared" si="21"/>
        <v>2332.4242542135676</v>
      </c>
      <c r="CR43" s="2">
        <f t="shared" si="75"/>
        <v>22248.323714985563</v>
      </c>
      <c r="CS43" s="2">
        <f t="shared" si="22"/>
        <v>2111.1045893904889</v>
      </c>
      <c r="CT43" s="2">
        <f t="shared" si="76"/>
        <v>20137.219125595075</v>
      </c>
      <c r="CU43" s="2">
        <f t="shared" si="23"/>
        <v>1910.785561114948</v>
      </c>
      <c r="CV43" s="2">
        <f t="shared" si="77"/>
        <v>18226.433564480125</v>
      </c>
      <c r="CW43" s="2">
        <f t="shared" si="24"/>
        <v>1729.4744556542789</v>
      </c>
      <c r="CX43" s="2">
        <f t="shared" si="78"/>
        <v>16496.959108825846</v>
      </c>
      <c r="CY43" s="2">
        <f t="shared" si="25"/>
        <v>1565.3676444024211</v>
      </c>
      <c r="CZ43" s="2">
        <f t="shared" si="79"/>
        <v>14931.591464423425</v>
      </c>
      <c r="DA43" s="2">
        <f t="shared" si="80"/>
        <v>1416.8326419224165</v>
      </c>
      <c r="DB43" s="2">
        <f t="shared" si="95"/>
        <v>13514.758822501009</v>
      </c>
      <c r="DC43" s="2">
        <f t="shared" si="108"/>
        <v>1282.3918664699272</v>
      </c>
      <c r="DD43" s="2">
        <f t="shared" si="96"/>
        <v>12232.366956031083</v>
      </c>
      <c r="DE43" s="2">
        <f t="shared" si="103"/>
        <v>1160.734918524013</v>
      </c>
      <c r="DF43" s="2">
        <f t="shared" si="97"/>
        <v>11071.63203750707</v>
      </c>
      <c r="DG43" s="2">
        <f t="shared" si="104"/>
        <v>400.78203750706962</v>
      </c>
      <c r="DH43" s="2">
        <f t="shared" si="98"/>
        <v>10670.85</v>
      </c>
      <c r="DI43" s="2">
        <f t="shared" si="105"/>
        <v>0</v>
      </c>
      <c r="DJ43" s="2">
        <f t="shared" si="82"/>
        <v>10670.85</v>
      </c>
      <c r="DK43" s="2">
        <f t="shared" si="106"/>
        <v>0</v>
      </c>
      <c r="DL43" s="2">
        <f t="shared" si="83"/>
        <v>10670.85</v>
      </c>
      <c r="DM43" s="2">
        <f t="shared" si="107"/>
        <v>0</v>
      </c>
      <c r="DN43" s="2">
        <f t="shared" si="84"/>
        <v>10670.85</v>
      </c>
      <c r="DO43" s="2"/>
      <c r="DP43" s="2">
        <f t="shared" si="85"/>
        <v>10670.85</v>
      </c>
      <c r="DQ43" s="2"/>
      <c r="DR43" s="2">
        <f t="shared" si="86"/>
        <v>10670.85</v>
      </c>
      <c r="DS43" s="2"/>
      <c r="DT43" s="2">
        <f t="shared" si="26"/>
        <v>10670.85</v>
      </c>
      <c r="DU43" s="2"/>
      <c r="DV43" s="2"/>
      <c r="DW43" s="266">
        <f t="shared" si="27"/>
        <v>10670.85</v>
      </c>
      <c r="DX43" s="441">
        <f t="shared" si="87"/>
        <v>0</v>
      </c>
    </row>
    <row r="44" spans="1:128">
      <c r="A44" s="433">
        <f t="shared" si="28"/>
        <v>37</v>
      </c>
      <c r="B44" s="433" t="s">
        <v>493</v>
      </c>
      <c r="C44" s="434" t="s">
        <v>494</v>
      </c>
      <c r="D44" s="435">
        <v>0.1</v>
      </c>
      <c r="E44" s="442">
        <v>200000</v>
      </c>
      <c r="F44" s="437" t="s">
        <v>1001</v>
      </c>
      <c r="G44" s="438">
        <v>40770</v>
      </c>
      <c r="H44" s="438"/>
      <c r="I44" s="438"/>
      <c r="J44" s="438"/>
      <c r="K44" s="438"/>
      <c r="L44" s="438"/>
      <c r="M44" s="439"/>
      <c r="N44" s="436"/>
      <c r="O44" s="436"/>
      <c r="P44" s="433"/>
      <c r="Q44" s="436"/>
      <c r="R44" s="436"/>
      <c r="S44" s="2">
        <v>0</v>
      </c>
      <c r="T44" s="2">
        <v>0</v>
      </c>
      <c r="U44" s="436">
        <f t="shared" si="99"/>
        <v>200000</v>
      </c>
      <c r="V44" s="433">
        <f t="shared" si="33"/>
        <v>230</v>
      </c>
      <c r="W44" s="436">
        <f>186694/(U59+825639)*U44</f>
        <v>10952.573013389027</v>
      </c>
      <c r="X44" s="436">
        <f t="shared" si="34"/>
        <v>189047.42698661098</v>
      </c>
      <c r="Y44" s="433">
        <f t="shared" si="35"/>
        <v>365</v>
      </c>
      <c r="Z44" s="436">
        <f t="shared" si="88"/>
        <v>18905</v>
      </c>
      <c r="AA44" s="436">
        <f t="shared" si="89"/>
        <v>170142.42698661098</v>
      </c>
      <c r="AB44" s="433">
        <f t="shared" si="36"/>
        <v>365</v>
      </c>
      <c r="AC44" s="436">
        <f t="shared" si="37"/>
        <v>17014</v>
      </c>
      <c r="AD44" s="436">
        <f t="shared" si="38"/>
        <v>153128.42698661098</v>
      </c>
      <c r="AE44" s="436">
        <f t="shared" si="39"/>
        <v>46871.573013389025</v>
      </c>
      <c r="AF44" s="436">
        <f t="shared" si="40"/>
        <v>153128.42698661098</v>
      </c>
      <c r="AG44" s="436">
        <f t="shared" si="1"/>
        <v>0</v>
      </c>
      <c r="AH44" s="436">
        <f t="shared" si="41"/>
        <v>2.6301369863013697</v>
      </c>
      <c r="AI44" s="439">
        <v>30</v>
      </c>
      <c r="AJ44" s="436">
        <f t="shared" si="2"/>
        <v>27.36986301369863</v>
      </c>
      <c r="AK44" s="440">
        <f t="shared" si="42"/>
        <v>9.4888329562491602E-2</v>
      </c>
      <c r="AL44" s="2">
        <f t="shared" si="43"/>
        <v>0</v>
      </c>
      <c r="AM44" s="433">
        <f t="shared" si="44"/>
        <v>365</v>
      </c>
      <c r="AN44" s="436">
        <f t="shared" si="90"/>
        <v>15313</v>
      </c>
      <c r="AO44" s="436">
        <f t="shared" si="45"/>
        <v>14530</v>
      </c>
      <c r="AP44" s="436">
        <f t="shared" si="46"/>
        <v>138598</v>
      </c>
      <c r="AQ44" s="436">
        <f t="shared" si="91"/>
        <v>138598.42698661098</v>
      </c>
      <c r="AR44" s="436">
        <f t="shared" si="92"/>
        <v>0.42698661098256707</v>
      </c>
      <c r="AS44" s="436">
        <f t="shared" si="93"/>
        <v>-783</v>
      </c>
      <c r="AT44" s="2">
        <f t="shared" si="94"/>
        <v>137815.42698661098</v>
      </c>
      <c r="AU44" s="2">
        <f t="shared" si="3"/>
        <v>138598.42698661098</v>
      </c>
      <c r="AV44" s="2">
        <f t="shared" si="4"/>
        <v>0</v>
      </c>
      <c r="AW44" s="433">
        <f t="shared" si="47"/>
        <v>365</v>
      </c>
      <c r="AX44" s="2">
        <f t="shared" si="48"/>
        <v>13151.373216748472</v>
      </c>
      <c r="AY44" s="2">
        <f t="shared" si="49"/>
        <v>125447.05376986251</v>
      </c>
      <c r="AZ44" s="433">
        <f t="shared" si="50"/>
        <v>365</v>
      </c>
      <c r="BA44" s="2">
        <f t="shared" si="51"/>
        <v>11903.461380758319</v>
      </c>
      <c r="BB44" s="2">
        <f t="shared" si="52"/>
        <v>113543.59238910419</v>
      </c>
      <c r="BC44" s="2">
        <f t="shared" si="53"/>
        <v>21900</v>
      </c>
      <c r="BD44" s="433">
        <f t="shared" si="54"/>
        <v>2055</v>
      </c>
      <c r="BE44" s="439">
        <f t="shared" si="55"/>
        <v>19845</v>
      </c>
      <c r="BF44" s="433">
        <f t="shared" si="56"/>
        <v>365</v>
      </c>
      <c r="BG44" s="2">
        <f t="shared" si="57"/>
        <v>10773.961814326531</v>
      </c>
      <c r="BH44" s="2">
        <f t="shared" si="58"/>
        <v>102769.63057477766</v>
      </c>
      <c r="BI44" s="2">
        <f t="shared" si="5"/>
        <v>9751.6385749950168</v>
      </c>
      <c r="BJ44" s="2">
        <f t="shared" si="6"/>
        <v>93017.991999782651</v>
      </c>
      <c r="BK44" s="2">
        <f t="shared" si="59"/>
        <v>8826.32</v>
      </c>
      <c r="BL44" s="2">
        <f t="shared" si="7"/>
        <v>84191.671999782644</v>
      </c>
      <c r="BM44" s="2"/>
      <c r="BN44" s="2">
        <f t="shared" si="60"/>
        <v>84191.671999782644</v>
      </c>
      <c r="BO44" s="2">
        <f t="shared" si="8"/>
        <v>7988.8071191325716</v>
      </c>
      <c r="BP44" s="2">
        <f t="shared" si="61"/>
        <v>76202.864880650071</v>
      </c>
      <c r="BQ44" s="2"/>
      <c r="BR44" s="2">
        <f t="shared" si="9"/>
        <v>76202.864880650071</v>
      </c>
      <c r="BS44" s="2">
        <f t="shared" si="62"/>
        <v>7230.7625564011414</v>
      </c>
      <c r="BT44" s="2">
        <f t="shared" si="63"/>
        <v>68972.102324248932</v>
      </c>
      <c r="BU44" s="2">
        <f t="shared" si="10"/>
        <v>6544.6475759612258</v>
      </c>
      <c r="BV44" s="2">
        <f t="shared" si="64"/>
        <v>62427.45474828771</v>
      </c>
      <c r="BW44" s="2">
        <f t="shared" si="11"/>
        <v>5923.6368999030556</v>
      </c>
      <c r="BX44" s="2">
        <f t="shared" si="65"/>
        <v>56503.817848384657</v>
      </c>
      <c r="BY44" s="2">
        <f t="shared" si="12"/>
        <v>5361.5528895365187</v>
      </c>
      <c r="BZ44" s="2">
        <f t="shared" si="66"/>
        <v>51142.264958848136</v>
      </c>
      <c r="CA44" s="2">
        <f t="shared" si="13"/>
        <v>4852.8040919874484</v>
      </c>
      <c r="CB44" s="2">
        <f t="shared" si="67"/>
        <v>46289.460866860689</v>
      </c>
      <c r="CC44" s="2">
        <f t="shared" si="14"/>
        <v>4392.3296180047355</v>
      </c>
      <c r="CD44" s="2">
        <f t="shared" si="68"/>
        <v>41897.131248855956</v>
      </c>
      <c r="CE44" s="2">
        <f t="shared" si="15"/>
        <v>3975.5487976644094</v>
      </c>
      <c r="CF44" s="2">
        <f t="shared" si="69"/>
        <v>37921.582451191549</v>
      </c>
      <c r="CG44" s="2">
        <f t="shared" si="16"/>
        <v>3598.3156131598616</v>
      </c>
      <c r="CH44" s="2">
        <f t="shared" si="70"/>
        <v>34323.26683803169</v>
      </c>
      <c r="CI44" s="2">
        <f t="shared" si="17"/>
        <v>3256.87745538849</v>
      </c>
      <c r="CJ44" s="2">
        <f t="shared" si="71"/>
        <v>31066.389382643199</v>
      </c>
      <c r="CK44" s="2">
        <f t="shared" si="18"/>
        <v>2947.837794056938</v>
      </c>
      <c r="CL44" s="2">
        <f t="shared" si="72"/>
        <v>28118.551588586262</v>
      </c>
      <c r="CM44" s="2">
        <f t="shared" si="19"/>
        <v>2668.1223899576948</v>
      </c>
      <c r="CN44" s="2">
        <f t="shared" si="73"/>
        <v>25450.429198628568</v>
      </c>
      <c r="CO44" s="2">
        <f t="shared" si="20"/>
        <v>2414.9487133063267</v>
      </c>
      <c r="CP44" s="2">
        <f t="shared" si="74"/>
        <v>23035.480485322241</v>
      </c>
      <c r="CQ44" s="2">
        <f t="shared" si="21"/>
        <v>2185.7982639216007</v>
      </c>
      <c r="CR44" s="2">
        <f t="shared" si="75"/>
        <v>20849.682221400639</v>
      </c>
      <c r="CS44" s="2">
        <f t="shared" si="22"/>
        <v>1978.3915178974858</v>
      </c>
      <c r="CT44" s="2">
        <f t="shared" si="76"/>
        <v>18871.290703503153</v>
      </c>
      <c r="CU44" s="2">
        <f t="shared" si="23"/>
        <v>1790.6652515435912</v>
      </c>
      <c r="CV44" s="2">
        <f t="shared" si="77"/>
        <v>17080.62545195956</v>
      </c>
      <c r="CW44" s="2">
        <f t="shared" si="24"/>
        <v>1620.7520170190207</v>
      </c>
      <c r="CX44" s="2">
        <f t="shared" si="78"/>
        <v>15459.87343494054</v>
      </c>
      <c r="CY44" s="2">
        <f t="shared" si="25"/>
        <v>1466.961565489047</v>
      </c>
      <c r="CZ44" s="2">
        <f t="shared" si="79"/>
        <v>13992.911869451493</v>
      </c>
      <c r="DA44" s="2">
        <f t="shared" si="80"/>
        <v>1327.7640330074137</v>
      </c>
      <c r="DB44" s="2">
        <f t="shared" si="95"/>
        <v>12665.147836444079</v>
      </c>
      <c r="DC44" s="2">
        <f t="shared" si="108"/>
        <v>1201.7747218621832</v>
      </c>
      <c r="DD44" s="2">
        <f t="shared" si="96"/>
        <v>11463.373114581897</v>
      </c>
      <c r="DE44" s="2">
        <f t="shared" si="103"/>
        <v>1087.7647397263684</v>
      </c>
      <c r="DF44" s="2">
        <f t="shared" si="97"/>
        <v>10375.608374855528</v>
      </c>
      <c r="DG44" s="2">
        <f t="shared" si="104"/>
        <v>375.60837485552838</v>
      </c>
      <c r="DH44" s="2">
        <f t="shared" si="98"/>
        <v>10000</v>
      </c>
      <c r="DI44" s="2">
        <f t="shared" si="105"/>
        <v>0</v>
      </c>
      <c r="DJ44" s="2">
        <f t="shared" si="82"/>
        <v>10000</v>
      </c>
      <c r="DK44" s="2">
        <f t="shared" si="106"/>
        <v>0</v>
      </c>
      <c r="DL44" s="2">
        <f t="shared" si="83"/>
        <v>10000</v>
      </c>
      <c r="DM44" s="2">
        <f t="shared" si="107"/>
        <v>0</v>
      </c>
      <c r="DN44" s="2">
        <f t="shared" si="84"/>
        <v>10000</v>
      </c>
      <c r="DO44" s="2"/>
      <c r="DP44" s="2">
        <f t="shared" si="85"/>
        <v>10000</v>
      </c>
      <c r="DQ44" s="2"/>
      <c r="DR44" s="2">
        <f t="shared" si="86"/>
        <v>10000</v>
      </c>
      <c r="DS44" s="2"/>
      <c r="DT44" s="2">
        <f t="shared" si="26"/>
        <v>10000</v>
      </c>
      <c r="DU44" s="2"/>
      <c r="DV44" s="2"/>
      <c r="DW44" s="266">
        <f t="shared" si="27"/>
        <v>10000</v>
      </c>
      <c r="DX44" s="441">
        <f t="shared" si="87"/>
        <v>0</v>
      </c>
    </row>
    <row r="45" spans="1:128">
      <c r="A45" s="433">
        <f t="shared" si="28"/>
        <v>38</v>
      </c>
      <c r="B45" s="433" t="s">
        <v>493</v>
      </c>
      <c r="C45" s="434" t="s">
        <v>494</v>
      </c>
      <c r="D45" s="435">
        <v>0.1</v>
      </c>
      <c r="E45" s="442">
        <v>2168</v>
      </c>
      <c r="F45" s="437" t="s">
        <v>1001</v>
      </c>
      <c r="G45" s="438">
        <v>40770</v>
      </c>
      <c r="H45" s="438"/>
      <c r="I45" s="438"/>
      <c r="J45" s="438"/>
      <c r="K45" s="438"/>
      <c r="L45" s="438"/>
      <c r="M45" s="439"/>
      <c r="N45" s="436"/>
      <c r="O45" s="436"/>
      <c r="P45" s="433"/>
      <c r="Q45" s="436"/>
      <c r="R45" s="436"/>
      <c r="S45" s="433"/>
      <c r="T45" s="436"/>
      <c r="U45" s="436"/>
      <c r="V45" s="433">
        <f t="shared" si="33"/>
        <v>230</v>
      </c>
      <c r="W45" s="436">
        <f>186694/(U59+825639)*E45</f>
        <v>118.72589146513704</v>
      </c>
      <c r="X45" s="436">
        <f t="shared" si="34"/>
        <v>2049.274108534863</v>
      </c>
      <c r="Y45" s="433">
        <f t="shared" si="35"/>
        <v>365</v>
      </c>
      <c r="Z45" s="436">
        <f t="shared" si="88"/>
        <v>205</v>
      </c>
      <c r="AA45" s="436">
        <f t="shared" si="89"/>
        <v>1844.274108534863</v>
      </c>
      <c r="AB45" s="433">
        <f t="shared" si="36"/>
        <v>365</v>
      </c>
      <c r="AC45" s="436">
        <f t="shared" si="37"/>
        <v>184</v>
      </c>
      <c r="AD45" s="436">
        <f t="shared" si="38"/>
        <v>1660.274108534863</v>
      </c>
      <c r="AE45" s="436">
        <f t="shared" si="39"/>
        <v>507.72589146513701</v>
      </c>
      <c r="AF45" s="436">
        <f t="shared" si="40"/>
        <v>1660.274108534863</v>
      </c>
      <c r="AG45" s="436">
        <f t="shared" si="1"/>
        <v>0</v>
      </c>
      <c r="AH45" s="436">
        <f t="shared" si="41"/>
        <v>2.6301369863013697</v>
      </c>
      <c r="AI45" s="439">
        <v>30</v>
      </c>
      <c r="AJ45" s="436">
        <f t="shared" si="2"/>
        <v>27.36986301369863</v>
      </c>
      <c r="AK45" s="440">
        <f t="shared" si="42"/>
        <v>9.4895539905749726E-2</v>
      </c>
      <c r="AL45" s="2">
        <f t="shared" si="43"/>
        <v>0</v>
      </c>
      <c r="AM45" s="433">
        <f t="shared" si="44"/>
        <v>365</v>
      </c>
      <c r="AN45" s="436">
        <f t="shared" si="90"/>
        <v>166</v>
      </c>
      <c r="AO45" s="436">
        <f t="shared" si="45"/>
        <v>158</v>
      </c>
      <c r="AP45" s="436">
        <f t="shared" si="46"/>
        <v>1502</v>
      </c>
      <c r="AQ45" s="436">
        <f t="shared" si="91"/>
        <v>1502.274108534863</v>
      </c>
      <c r="AR45" s="436">
        <f t="shared" si="92"/>
        <v>0.27410853486298947</v>
      </c>
      <c r="AS45" s="436">
        <f t="shared" si="93"/>
        <v>-8</v>
      </c>
      <c r="AT45" s="2">
        <f t="shared" si="94"/>
        <v>1494.274108534863</v>
      </c>
      <c r="AU45" s="2">
        <f t="shared" si="3"/>
        <v>1502.274108534863</v>
      </c>
      <c r="AV45" s="2">
        <f t="shared" si="4"/>
        <v>0</v>
      </c>
      <c r="AW45" s="433">
        <f t="shared" si="47"/>
        <v>365</v>
      </c>
      <c r="AX45" s="2">
        <f t="shared" si="48"/>
        <v>142.5591126158447</v>
      </c>
      <c r="AY45" s="2">
        <f t="shared" si="49"/>
        <v>1359.7149959190183</v>
      </c>
      <c r="AZ45" s="433">
        <f t="shared" si="50"/>
        <v>365</v>
      </c>
      <c r="BA45" s="2">
        <f t="shared" si="51"/>
        <v>129.03088865567952</v>
      </c>
      <c r="BB45" s="2">
        <f t="shared" si="52"/>
        <v>1230.6841072633388</v>
      </c>
      <c r="BC45" s="2">
        <f t="shared" si="53"/>
        <v>21900</v>
      </c>
      <c r="BD45" s="433">
        <f t="shared" si="54"/>
        <v>2055</v>
      </c>
      <c r="BE45" s="439">
        <f t="shared" si="55"/>
        <v>19845</v>
      </c>
      <c r="BF45" s="433">
        <f t="shared" si="56"/>
        <v>365</v>
      </c>
      <c r="BG45" s="2">
        <f t="shared" si="57"/>
        <v>116.78643281218014</v>
      </c>
      <c r="BH45" s="2">
        <f t="shared" si="58"/>
        <v>1113.8976744511585</v>
      </c>
      <c r="BI45" s="2">
        <f t="shared" si="5"/>
        <v>105.70392121680173</v>
      </c>
      <c r="BJ45" s="2">
        <f t="shared" si="6"/>
        <v>1008.1937532343568</v>
      </c>
      <c r="BK45" s="2">
        <f t="shared" si="59"/>
        <v>95.67</v>
      </c>
      <c r="BL45" s="2">
        <f t="shared" si="7"/>
        <v>912.52375323435683</v>
      </c>
      <c r="BM45" s="2"/>
      <c r="BN45" s="2">
        <f t="shared" si="60"/>
        <v>912.52375323435683</v>
      </c>
      <c r="BO45" s="2">
        <f t="shared" si="8"/>
        <v>86.594434239995422</v>
      </c>
      <c r="BP45" s="2">
        <f t="shared" si="61"/>
        <v>825.92931899436144</v>
      </c>
      <c r="BQ45" s="2"/>
      <c r="BR45" s="2">
        <f t="shared" si="9"/>
        <v>825.92931899436144</v>
      </c>
      <c r="BS45" s="2">
        <f t="shared" si="62"/>
        <v>78.377008649958128</v>
      </c>
      <c r="BT45" s="2">
        <f t="shared" si="63"/>
        <v>747.55231034440328</v>
      </c>
      <c r="BU45" s="2">
        <f t="shared" si="10"/>
        <v>70.939380097922722</v>
      </c>
      <c r="BV45" s="2">
        <f t="shared" si="64"/>
        <v>676.61293024648057</v>
      </c>
      <c r="BW45" s="2">
        <f t="shared" si="11"/>
        <v>64.207549322951152</v>
      </c>
      <c r="BX45" s="2">
        <f t="shared" si="65"/>
        <v>612.40538092352938</v>
      </c>
      <c r="BY45" s="2">
        <f t="shared" si="12"/>
        <v>58.114539263924641</v>
      </c>
      <c r="BZ45" s="2">
        <f t="shared" si="66"/>
        <v>554.29084165960478</v>
      </c>
      <c r="CA45" s="2">
        <f t="shared" si="13"/>
        <v>52.599728684100626</v>
      </c>
      <c r="CB45" s="2">
        <f t="shared" si="67"/>
        <v>501.69111297550415</v>
      </c>
      <c r="CC45" s="2">
        <f t="shared" si="14"/>
        <v>47.608249031726949</v>
      </c>
      <c r="CD45" s="2">
        <f t="shared" si="68"/>
        <v>454.08286394377723</v>
      </c>
      <c r="CE45" s="2">
        <f t="shared" si="15"/>
        <v>43.090438535893838</v>
      </c>
      <c r="CF45" s="2">
        <f t="shared" si="69"/>
        <v>410.99242540788339</v>
      </c>
      <c r="CG45" s="2">
        <f t="shared" si="16"/>
        <v>39.001348106254667</v>
      </c>
      <c r="CH45" s="2">
        <f t="shared" si="70"/>
        <v>371.99107730162871</v>
      </c>
      <c r="CI45" s="2">
        <f t="shared" si="17"/>
        <v>35.300294120659537</v>
      </c>
      <c r="CJ45" s="2">
        <f t="shared" si="71"/>
        <v>336.69078318096916</v>
      </c>
      <c r="CK45" s="2">
        <f t="shared" si="18"/>
        <v>31.950453651247788</v>
      </c>
      <c r="CL45" s="2">
        <f t="shared" si="72"/>
        <v>304.74032952972135</v>
      </c>
      <c r="CM45" s="2">
        <f t="shared" si="19"/>
        <v>28.918498101778994</v>
      </c>
      <c r="CN45" s="2">
        <f t="shared" si="73"/>
        <v>275.82183142794236</v>
      </c>
      <c r="CO45" s="2">
        <f t="shared" si="20"/>
        <v>26.174261611147276</v>
      </c>
      <c r="CP45" s="2">
        <f t="shared" si="74"/>
        <v>249.64756981679508</v>
      </c>
      <c r="CQ45" s="2">
        <f t="shared" si="21"/>
        <v>23.69044092392312</v>
      </c>
      <c r="CR45" s="2">
        <f t="shared" si="75"/>
        <v>225.95712889287196</v>
      </c>
      <c r="CS45" s="2">
        <f t="shared" si="22"/>
        <v>21.442323741842166</v>
      </c>
      <c r="CT45" s="2">
        <f t="shared" si="76"/>
        <v>204.5148051510298</v>
      </c>
      <c r="CU45" s="2">
        <f t="shared" si="23"/>
        <v>19.407542853526177</v>
      </c>
      <c r="CV45" s="2">
        <f t="shared" si="77"/>
        <v>185.10726229750364</v>
      </c>
      <c r="CW45" s="2">
        <f t="shared" si="24"/>
        <v>17.565853596196838</v>
      </c>
      <c r="CX45" s="2">
        <f t="shared" si="78"/>
        <v>167.54140870130681</v>
      </c>
      <c r="CY45" s="2">
        <f t="shared" si="25"/>
        <v>15.898932435280384</v>
      </c>
      <c r="CZ45" s="2">
        <f t="shared" si="79"/>
        <v>151.64247626602642</v>
      </c>
      <c r="DA45" s="2">
        <f t="shared" si="80"/>
        <v>14.390194657909415</v>
      </c>
      <c r="DB45" s="2">
        <f t="shared" si="95"/>
        <v>137.25228160811702</v>
      </c>
      <c r="DC45" s="2">
        <f t="shared" si="108"/>
        <v>13.024629366498267</v>
      </c>
      <c r="DD45" s="2">
        <f t="shared" si="96"/>
        <v>124.22765224161876</v>
      </c>
      <c r="DE45" s="2">
        <f t="shared" si="103"/>
        <v>11.788018976328228</v>
      </c>
      <c r="DF45" s="2">
        <f t="shared" si="97"/>
        <v>112.43963326529052</v>
      </c>
      <c r="DG45" s="2">
        <f t="shared" si="104"/>
        <v>4.0396332652905187</v>
      </c>
      <c r="DH45" s="2">
        <f t="shared" si="98"/>
        <v>108.4</v>
      </c>
      <c r="DI45" s="2">
        <f t="shared" si="105"/>
        <v>0</v>
      </c>
      <c r="DJ45" s="2">
        <f t="shared" si="82"/>
        <v>108.4</v>
      </c>
      <c r="DK45" s="2">
        <f t="shared" si="106"/>
        <v>0</v>
      </c>
      <c r="DL45" s="2">
        <f t="shared" si="83"/>
        <v>108.4</v>
      </c>
      <c r="DM45" s="2">
        <f t="shared" si="107"/>
        <v>0</v>
      </c>
      <c r="DN45" s="2">
        <f t="shared" si="84"/>
        <v>108.4</v>
      </c>
      <c r="DO45" s="2"/>
      <c r="DP45" s="2">
        <f t="shared" si="85"/>
        <v>108.4</v>
      </c>
      <c r="DQ45" s="2"/>
      <c r="DR45" s="2">
        <f t="shared" si="86"/>
        <v>108.4</v>
      </c>
      <c r="DS45" s="2"/>
      <c r="DT45" s="2">
        <f t="shared" si="26"/>
        <v>108.4</v>
      </c>
      <c r="DU45" s="2"/>
      <c r="DV45" s="2"/>
      <c r="DW45" s="266">
        <f t="shared" si="27"/>
        <v>108.4</v>
      </c>
      <c r="DX45" s="441">
        <f t="shared" si="87"/>
        <v>0</v>
      </c>
    </row>
    <row r="46" spans="1:128">
      <c r="A46" s="433">
        <f t="shared" si="28"/>
        <v>39</v>
      </c>
      <c r="B46" s="433" t="s">
        <v>493</v>
      </c>
      <c r="C46" s="434" t="s">
        <v>494</v>
      </c>
      <c r="D46" s="435">
        <v>0.1</v>
      </c>
      <c r="E46" s="442">
        <v>108800</v>
      </c>
      <c r="F46" s="437" t="s">
        <v>1001</v>
      </c>
      <c r="G46" s="438">
        <v>40770</v>
      </c>
      <c r="H46" s="438"/>
      <c r="I46" s="438"/>
      <c r="J46" s="438"/>
      <c r="K46" s="438"/>
      <c r="L46" s="438"/>
      <c r="M46" s="439"/>
      <c r="N46" s="436"/>
      <c r="O46" s="436"/>
      <c r="P46" s="433"/>
      <c r="Q46" s="436"/>
      <c r="R46" s="436"/>
      <c r="S46" s="433"/>
      <c r="T46" s="436"/>
      <c r="U46" s="436"/>
      <c r="V46" s="433">
        <f t="shared" si="33"/>
        <v>230</v>
      </c>
      <c r="W46" s="436">
        <f>186694/(U59+825639)*E46</f>
        <v>5958.1997192836307</v>
      </c>
      <c r="X46" s="436">
        <f t="shared" si="34"/>
        <v>102841.80028071637</v>
      </c>
      <c r="Y46" s="433">
        <f t="shared" si="35"/>
        <v>365</v>
      </c>
      <c r="Z46" s="436">
        <f t="shared" si="88"/>
        <v>10284</v>
      </c>
      <c r="AA46" s="436">
        <f t="shared" si="89"/>
        <v>92557.800280716372</v>
      </c>
      <c r="AB46" s="433">
        <f t="shared" si="36"/>
        <v>365</v>
      </c>
      <c r="AC46" s="436">
        <f t="shared" si="37"/>
        <v>9256</v>
      </c>
      <c r="AD46" s="436">
        <f t="shared" si="38"/>
        <v>83301.800280716372</v>
      </c>
      <c r="AE46" s="436">
        <f t="shared" si="39"/>
        <v>25498.199719283632</v>
      </c>
      <c r="AF46" s="436">
        <f t="shared" si="40"/>
        <v>83301.800280716372</v>
      </c>
      <c r="AG46" s="436">
        <f t="shared" si="1"/>
        <v>0</v>
      </c>
      <c r="AH46" s="436">
        <f t="shared" si="41"/>
        <v>2.6301369863013697</v>
      </c>
      <c r="AI46" s="439">
        <v>30</v>
      </c>
      <c r="AJ46" s="436">
        <f t="shared" si="2"/>
        <v>27.36986301369863</v>
      </c>
      <c r="AK46" s="440">
        <f t="shared" si="42"/>
        <v>9.4888304155399283E-2</v>
      </c>
      <c r="AL46" s="2">
        <f t="shared" si="43"/>
        <v>0</v>
      </c>
      <c r="AM46" s="433">
        <f t="shared" si="44"/>
        <v>365</v>
      </c>
      <c r="AN46" s="436">
        <f t="shared" si="90"/>
        <v>8330</v>
      </c>
      <c r="AO46" s="436">
        <f t="shared" si="45"/>
        <v>7904</v>
      </c>
      <c r="AP46" s="436">
        <f t="shared" si="46"/>
        <v>75398</v>
      </c>
      <c r="AQ46" s="436">
        <f t="shared" si="91"/>
        <v>75397.800280716372</v>
      </c>
      <c r="AR46" s="436">
        <f t="shared" si="92"/>
        <v>-0.19971928362792823</v>
      </c>
      <c r="AS46" s="436">
        <f t="shared" si="93"/>
        <v>-426</v>
      </c>
      <c r="AT46" s="2">
        <f t="shared" si="94"/>
        <v>74971.800280716372</v>
      </c>
      <c r="AU46" s="2">
        <f t="shared" si="3"/>
        <v>75397.800280716372</v>
      </c>
      <c r="AV46" s="2">
        <f t="shared" si="4"/>
        <v>0</v>
      </c>
      <c r="AW46" s="433">
        <f t="shared" si="47"/>
        <v>365</v>
      </c>
      <c r="AX46" s="2">
        <f t="shared" si="48"/>
        <v>7154.3694056846643</v>
      </c>
      <c r="AY46" s="2">
        <f t="shared" si="49"/>
        <v>68243.430875031714</v>
      </c>
      <c r="AZ46" s="433">
        <f t="shared" si="50"/>
        <v>365</v>
      </c>
      <c r="BA46" s="2">
        <f t="shared" si="51"/>
        <v>6475.5034254779757</v>
      </c>
      <c r="BB46" s="2">
        <f t="shared" si="52"/>
        <v>61767.927449553739</v>
      </c>
      <c r="BC46" s="2">
        <f t="shared" si="53"/>
        <v>21900</v>
      </c>
      <c r="BD46" s="433">
        <f t="shared" si="54"/>
        <v>2055</v>
      </c>
      <c r="BE46" s="439">
        <f t="shared" si="55"/>
        <v>19845</v>
      </c>
      <c r="BF46" s="433">
        <f t="shared" si="56"/>
        <v>365</v>
      </c>
      <c r="BG46" s="2">
        <f t="shared" si="57"/>
        <v>5861.0538868818912</v>
      </c>
      <c r="BH46" s="2">
        <f t="shared" si="58"/>
        <v>55906.873562671848</v>
      </c>
      <c r="BI46" s="2">
        <f t="shared" si="5"/>
        <v>5304.9084229922573</v>
      </c>
      <c r="BJ46" s="2">
        <f t="shared" si="6"/>
        <v>50601.965139679589</v>
      </c>
      <c r="BK46" s="2">
        <f t="shared" si="59"/>
        <v>4801.53</v>
      </c>
      <c r="BL46" s="2">
        <f t="shared" si="7"/>
        <v>45800.43513967959</v>
      </c>
      <c r="BM46" s="2"/>
      <c r="BN46" s="2">
        <f t="shared" si="60"/>
        <v>45800.43513967959</v>
      </c>
      <c r="BO46" s="2">
        <f t="shared" si="8"/>
        <v>4345.9256199835545</v>
      </c>
      <c r="BP46" s="2">
        <f t="shared" si="61"/>
        <v>41454.509519696032</v>
      </c>
      <c r="BQ46" s="2"/>
      <c r="BR46" s="2">
        <f t="shared" si="9"/>
        <v>41454.509519696032</v>
      </c>
      <c r="BS46" s="2">
        <f t="shared" si="62"/>
        <v>3933.5481079178121</v>
      </c>
      <c r="BT46" s="2">
        <f t="shared" si="63"/>
        <v>37520.961411778218</v>
      </c>
      <c r="BU46" s="2">
        <f t="shared" si="10"/>
        <v>3560.3003986438111</v>
      </c>
      <c r="BV46" s="2">
        <f t="shared" si="64"/>
        <v>33960.661013134406</v>
      </c>
      <c r="BW46" s="2">
        <f t="shared" si="11"/>
        <v>3222.4695315327081</v>
      </c>
      <c r="BX46" s="2">
        <f t="shared" si="65"/>
        <v>30738.191481601698</v>
      </c>
      <c r="BY46" s="2">
        <f t="shared" si="12"/>
        <v>2916.6948624931251</v>
      </c>
      <c r="BZ46" s="2">
        <f t="shared" si="66"/>
        <v>27821.496619108573</v>
      </c>
      <c r="CA46" s="2">
        <f t="shared" si="13"/>
        <v>2639.9346332523874</v>
      </c>
      <c r="CB46" s="2">
        <f t="shared" si="67"/>
        <v>25181.561985856184</v>
      </c>
      <c r="CC46" s="2">
        <f t="shared" si="14"/>
        <v>2389.4357128219622</v>
      </c>
      <c r="CD46" s="2">
        <f t="shared" si="68"/>
        <v>22792.126273034221</v>
      </c>
      <c r="CE46" s="2">
        <f t="shared" si="15"/>
        <v>2162.7062101439383</v>
      </c>
      <c r="CF46" s="2">
        <f t="shared" si="69"/>
        <v>20629.420062890284</v>
      </c>
      <c r="CG46" s="2">
        <f t="shared" si="16"/>
        <v>1957.4906854770295</v>
      </c>
      <c r="CH46" s="2">
        <f t="shared" si="70"/>
        <v>18671.929377413253</v>
      </c>
      <c r="CI46" s="2">
        <f t="shared" si="17"/>
        <v>1771.7477139321238</v>
      </c>
      <c r="CJ46" s="2">
        <f t="shared" si="71"/>
        <v>16900.181663481129</v>
      </c>
      <c r="CK46" s="2">
        <f t="shared" si="18"/>
        <v>1603.6295779658992</v>
      </c>
      <c r="CL46" s="2">
        <f t="shared" si="72"/>
        <v>15296.55208551523</v>
      </c>
      <c r="CM46" s="2">
        <f t="shared" si="19"/>
        <v>1451.4638868192765</v>
      </c>
      <c r="CN46" s="2">
        <f t="shared" si="73"/>
        <v>13845.088198695954</v>
      </c>
      <c r="CO46" s="2">
        <f t="shared" si="20"/>
        <v>1313.7369400561909</v>
      </c>
      <c r="CP46" s="2">
        <f t="shared" si="74"/>
        <v>12531.351258639763</v>
      </c>
      <c r="CQ46" s="2">
        <f t="shared" si="21"/>
        <v>1189.0786697079554</v>
      </c>
      <c r="CR46" s="2">
        <f t="shared" si="75"/>
        <v>11342.272588931808</v>
      </c>
      <c r="CS46" s="2">
        <f t="shared" si="22"/>
        <v>1076.2490112320095</v>
      </c>
      <c r="CT46" s="2">
        <f t="shared" si="76"/>
        <v>10266.023577699798</v>
      </c>
      <c r="CU46" s="2">
        <f t="shared" si="23"/>
        <v>974.12556770727872</v>
      </c>
      <c r="CV46" s="2">
        <f t="shared" si="77"/>
        <v>9291.8980099925193</v>
      </c>
      <c r="CW46" s="2">
        <f t="shared" si="24"/>
        <v>881.69244455311946</v>
      </c>
      <c r="CX46" s="2">
        <f t="shared" si="78"/>
        <v>8410.2055654393989</v>
      </c>
      <c r="CY46" s="2">
        <f t="shared" si="25"/>
        <v>798.03014370284552</v>
      </c>
      <c r="CZ46" s="2">
        <f t="shared" si="79"/>
        <v>7612.1754217365533</v>
      </c>
      <c r="DA46" s="2">
        <f t="shared" si="80"/>
        <v>722.30641670199293</v>
      </c>
      <c r="DB46" s="2">
        <f t="shared" si="95"/>
        <v>6889.8690050345604</v>
      </c>
      <c r="DC46" s="2">
        <f t="shared" si="108"/>
        <v>653.76798574057761</v>
      </c>
      <c r="DD46" s="2">
        <f t="shared" si="96"/>
        <v>6236.101019293983</v>
      </c>
      <c r="DE46" s="2">
        <f t="shared" si="103"/>
        <v>591.74648982949645</v>
      </c>
      <c r="DF46" s="2">
        <f t="shared" si="97"/>
        <v>5644.3545294644864</v>
      </c>
      <c r="DG46" s="2">
        <f t="shared" si="104"/>
        <v>204.3545294644864</v>
      </c>
      <c r="DH46" s="2">
        <f t="shared" si="98"/>
        <v>5440</v>
      </c>
      <c r="DI46" s="2">
        <f t="shared" si="105"/>
        <v>0</v>
      </c>
      <c r="DJ46" s="2">
        <f t="shared" si="82"/>
        <v>5440</v>
      </c>
      <c r="DK46" s="2">
        <f t="shared" si="106"/>
        <v>0</v>
      </c>
      <c r="DL46" s="2">
        <f t="shared" si="83"/>
        <v>5440</v>
      </c>
      <c r="DM46" s="2">
        <f t="shared" si="107"/>
        <v>0</v>
      </c>
      <c r="DN46" s="2">
        <f t="shared" si="84"/>
        <v>5440</v>
      </c>
      <c r="DO46" s="2"/>
      <c r="DP46" s="2">
        <f t="shared" si="85"/>
        <v>5440</v>
      </c>
      <c r="DQ46" s="2"/>
      <c r="DR46" s="2">
        <f t="shared" si="86"/>
        <v>5440</v>
      </c>
      <c r="DS46" s="2"/>
      <c r="DT46" s="2">
        <f t="shared" si="26"/>
        <v>5440</v>
      </c>
      <c r="DU46" s="2"/>
      <c r="DV46" s="2"/>
      <c r="DW46" s="266">
        <f t="shared" si="27"/>
        <v>5440</v>
      </c>
      <c r="DX46" s="441">
        <f t="shared" si="87"/>
        <v>0</v>
      </c>
    </row>
    <row r="47" spans="1:128">
      <c r="A47" s="433">
        <f t="shared" si="28"/>
        <v>40</v>
      </c>
      <c r="B47" s="433" t="s">
        <v>493</v>
      </c>
      <c r="C47" s="434" t="s">
        <v>494</v>
      </c>
      <c r="D47" s="435">
        <v>0.1</v>
      </c>
      <c r="E47" s="442">
        <v>32660</v>
      </c>
      <c r="F47" s="437" t="s">
        <v>1001</v>
      </c>
      <c r="G47" s="438">
        <v>40770</v>
      </c>
      <c r="H47" s="438"/>
      <c r="I47" s="438"/>
      <c r="J47" s="438"/>
      <c r="K47" s="438"/>
      <c r="L47" s="438"/>
      <c r="M47" s="439"/>
      <c r="N47" s="436"/>
      <c r="O47" s="436"/>
      <c r="P47" s="433"/>
      <c r="Q47" s="436"/>
      <c r="R47" s="436"/>
      <c r="S47" s="433"/>
      <c r="T47" s="436"/>
      <c r="U47" s="436"/>
      <c r="V47" s="433">
        <f t="shared" si="33"/>
        <v>230</v>
      </c>
      <c r="W47" s="436">
        <f>186694/(U59+825639)*E47</f>
        <v>1788.5551730864279</v>
      </c>
      <c r="X47" s="436">
        <f t="shared" si="34"/>
        <v>30871.444826913572</v>
      </c>
      <c r="Y47" s="433">
        <f t="shared" si="35"/>
        <v>365</v>
      </c>
      <c r="Z47" s="436">
        <f t="shared" si="88"/>
        <v>3087</v>
      </c>
      <c r="AA47" s="436">
        <f t="shared" si="89"/>
        <v>27784.444826913572</v>
      </c>
      <c r="AB47" s="433">
        <f t="shared" si="36"/>
        <v>365</v>
      </c>
      <c r="AC47" s="436">
        <f t="shared" si="37"/>
        <v>2778</v>
      </c>
      <c r="AD47" s="436">
        <f t="shared" si="38"/>
        <v>25006.444826913572</v>
      </c>
      <c r="AE47" s="436">
        <f t="shared" si="39"/>
        <v>7653.5551730864281</v>
      </c>
      <c r="AF47" s="436">
        <f t="shared" si="40"/>
        <v>25006.444826913572</v>
      </c>
      <c r="AG47" s="436">
        <f t="shared" si="1"/>
        <v>0</v>
      </c>
      <c r="AH47" s="436">
        <f t="shared" si="41"/>
        <v>2.6301369863013697</v>
      </c>
      <c r="AI47" s="439">
        <v>30</v>
      </c>
      <c r="AJ47" s="436">
        <f t="shared" si="2"/>
        <v>27.36986301369863</v>
      </c>
      <c r="AK47" s="440">
        <f t="shared" si="42"/>
        <v>9.4889086935046052E-2</v>
      </c>
      <c r="AL47" s="2">
        <f t="shared" si="43"/>
        <v>0</v>
      </c>
      <c r="AM47" s="433">
        <f t="shared" si="44"/>
        <v>365</v>
      </c>
      <c r="AN47" s="436">
        <f t="shared" si="90"/>
        <v>2501</v>
      </c>
      <c r="AO47" s="436">
        <f t="shared" si="45"/>
        <v>2373</v>
      </c>
      <c r="AP47" s="436">
        <f t="shared" si="46"/>
        <v>22633</v>
      </c>
      <c r="AQ47" s="436">
        <f t="shared" si="91"/>
        <v>22633.444826913572</v>
      </c>
      <c r="AR47" s="436">
        <f t="shared" si="92"/>
        <v>0.44482691357188742</v>
      </c>
      <c r="AS47" s="436">
        <f t="shared" si="93"/>
        <v>-128</v>
      </c>
      <c r="AT47" s="2">
        <f t="shared" si="94"/>
        <v>22505.444826913572</v>
      </c>
      <c r="AU47" s="2">
        <f t="shared" si="3"/>
        <v>22633.444826913572</v>
      </c>
      <c r="AV47" s="2">
        <f t="shared" si="4"/>
        <v>0</v>
      </c>
      <c r="AW47" s="433">
        <f t="shared" si="47"/>
        <v>365</v>
      </c>
      <c r="AX47" s="2">
        <f t="shared" si="48"/>
        <v>2147.6669138205702</v>
      </c>
      <c r="AY47" s="2">
        <f t="shared" si="49"/>
        <v>20485.777913093003</v>
      </c>
      <c r="AZ47" s="433">
        <f t="shared" si="50"/>
        <v>365</v>
      </c>
      <c r="BA47" s="2">
        <f t="shared" si="51"/>
        <v>1943.8767613275284</v>
      </c>
      <c r="BB47" s="2">
        <f t="shared" si="52"/>
        <v>18541.901151765476</v>
      </c>
      <c r="BC47" s="2">
        <f t="shared" si="53"/>
        <v>21900</v>
      </c>
      <c r="BD47" s="433">
        <f t="shared" si="54"/>
        <v>2055</v>
      </c>
      <c r="BE47" s="439">
        <f t="shared" si="55"/>
        <v>19845</v>
      </c>
      <c r="BF47" s="433">
        <f t="shared" si="56"/>
        <v>365</v>
      </c>
      <c r="BG47" s="2">
        <f t="shared" si="57"/>
        <v>1759.4240703309049</v>
      </c>
      <c r="BH47" s="2">
        <f t="shared" si="58"/>
        <v>16782.477081434572</v>
      </c>
      <c r="BI47" s="2">
        <f t="shared" si="5"/>
        <v>1592.473926765663</v>
      </c>
      <c r="BJ47" s="2">
        <f t="shared" si="6"/>
        <v>15190.00315466891</v>
      </c>
      <c r="BK47" s="2">
        <f t="shared" si="59"/>
        <v>1441.37</v>
      </c>
      <c r="BL47" s="2">
        <f t="shared" si="7"/>
        <v>13748.633154668911</v>
      </c>
      <c r="BM47" s="2"/>
      <c r="BN47" s="2">
        <f t="shared" si="60"/>
        <v>13748.633154668911</v>
      </c>
      <c r="BO47" s="2">
        <f t="shared" si="8"/>
        <v>1304.5952466514348</v>
      </c>
      <c r="BP47" s="2">
        <f t="shared" si="61"/>
        <v>12444.037908017475</v>
      </c>
      <c r="BQ47" s="2"/>
      <c r="BR47" s="2">
        <f t="shared" si="9"/>
        <v>12444.037908017475</v>
      </c>
      <c r="BS47" s="2">
        <f t="shared" si="62"/>
        <v>1180.8033948768789</v>
      </c>
      <c r="BT47" s="2">
        <f t="shared" si="63"/>
        <v>11263.234513140596</v>
      </c>
      <c r="BU47" s="2">
        <f t="shared" si="10"/>
        <v>1068.7580388872091</v>
      </c>
      <c r="BV47" s="2">
        <f t="shared" si="64"/>
        <v>10194.476474253388</v>
      </c>
      <c r="BW47" s="2">
        <f t="shared" si="11"/>
        <v>967.34456442271153</v>
      </c>
      <c r="BX47" s="2">
        <f t="shared" si="65"/>
        <v>9227.1319098306758</v>
      </c>
      <c r="BY47" s="2">
        <f t="shared" si="12"/>
        <v>875.55412195306053</v>
      </c>
      <c r="BZ47" s="2">
        <f t="shared" si="66"/>
        <v>8351.5777878776153</v>
      </c>
      <c r="CA47" s="2">
        <f t="shared" si="13"/>
        <v>792.47359075871861</v>
      </c>
      <c r="CB47" s="2">
        <f t="shared" si="67"/>
        <v>7559.104197118897</v>
      </c>
      <c r="CC47" s="2">
        <f t="shared" si="14"/>
        <v>717.27649531148654</v>
      </c>
      <c r="CD47" s="2">
        <f t="shared" si="68"/>
        <v>6841.8277018074104</v>
      </c>
      <c r="CE47" s="2">
        <f t="shared" si="15"/>
        <v>649.21478359140974</v>
      </c>
      <c r="CF47" s="2">
        <f t="shared" si="69"/>
        <v>6192.6129182160003</v>
      </c>
      <c r="CG47" s="2">
        <f t="shared" si="16"/>
        <v>587.61138555168725</v>
      </c>
      <c r="CH47" s="2">
        <f t="shared" si="70"/>
        <v>5605.0015326643133</v>
      </c>
      <c r="CI47" s="2">
        <f t="shared" si="17"/>
        <v>531.85347770405042</v>
      </c>
      <c r="CJ47" s="2">
        <f t="shared" si="71"/>
        <v>5073.1480549602629</v>
      </c>
      <c r="CK47" s="2">
        <f t="shared" si="18"/>
        <v>481.38638682148417</v>
      </c>
      <c r="CL47" s="2">
        <f t="shared" si="72"/>
        <v>4591.761668138779</v>
      </c>
      <c r="CM47" s="2">
        <f t="shared" si="19"/>
        <v>435.7080721130327</v>
      </c>
      <c r="CN47" s="2">
        <f t="shared" si="73"/>
        <v>4156.0535960257466</v>
      </c>
      <c r="CO47" s="2">
        <f t="shared" si="20"/>
        <v>394.36413097999781</v>
      </c>
      <c r="CP47" s="2">
        <f t="shared" si="74"/>
        <v>3761.6894650457489</v>
      </c>
      <c r="CQ47" s="2">
        <f t="shared" si="21"/>
        <v>356.94327867137292</v>
      </c>
      <c r="CR47" s="2">
        <f t="shared" si="75"/>
        <v>3404.7461863743761</v>
      </c>
      <c r="CS47" s="2">
        <f t="shared" si="22"/>
        <v>323.07325687064468</v>
      </c>
      <c r="CT47" s="2">
        <f t="shared" si="76"/>
        <v>3081.6729295037312</v>
      </c>
      <c r="CU47" s="2">
        <f t="shared" si="23"/>
        <v>292.4171305130576</v>
      </c>
      <c r="CV47" s="2">
        <f t="shared" si="77"/>
        <v>2789.2557989906736</v>
      </c>
      <c r="CW47" s="2">
        <f t="shared" si="24"/>
        <v>264.66993599450734</v>
      </c>
      <c r="CX47" s="2">
        <f t="shared" si="78"/>
        <v>2524.5858629961663</v>
      </c>
      <c r="CY47" s="2">
        <f t="shared" si="25"/>
        <v>239.55564742883149</v>
      </c>
      <c r="CZ47" s="2">
        <f t="shared" si="79"/>
        <v>2285.0302155673348</v>
      </c>
      <c r="DA47" s="2">
        <f t="shared" si="80"/>
        <v>216.82443077417585</v>
      </c>
      <c r="DB47" s="2">
        <f t="shared" si="95"/>
        <v>2068.2057847931592</v>
      </c>
      <c r="DC47" s="2">
        <f t="shared" si="108"/>
        <v>196.25015851280324</v>
      </c>
      <c r="DD47" s="2">
        <f t="shared" si="96"/>
        <v>1871.955626280356</v>
      </c>
      <c r="DE47" s="2">
        <f t="shared" si="103"/>
        <v>177.6307291271859</v>
      </c>
      <c r="DF47" s="2">
        <f t="shared" si="97"/>
        <v>1694.32489715317</v>
      </c>
      <c r="DG47" s="2">
        <f t="shared" si="104"/>
        <v>61.324897153170014</v>
      </c>
      <c r="DH47" s="2">
        <f t="shared" si="98"/>
        <v>1633</v>
      </c>
      <c r="DI47" s="2">
        <f t="shared" si="105"/>
        <v>0</v>
      </c>
      <c r="DJ47" s="2">
        <f t="shared" si="82"/>
        <v>1633</v>
      </c>
      <c r="DK47" s="2">
        <f t="shared" si="106"/>
        <v>0</v>
      </c>
      <c r="DL47" s="2">
        <f t="shared" si="83"/>
        <v>1633</v>
      </c>
      <c r="DM47" s="2">
        <f t="shared" si="107"/>
        <v>0</v>
      </c>
      <c r="DN47" s="2">
        <f t="shared" si="84"/>
        <v>1633</v>
      </c>
      <c r="DO47" s="2"/>
      <c r="DP47" s="2">
        <f t="shared" si="85"/>
        <v>1633</v>
      </c>
      <c r="DQ47" s="2"/>
      <c r="DR47" s="2">
        <f t="shared" si="86"/>
        <v>1633</v>
      </c>
      <c r="DS47" s="2"/>
      <c r="DT47" s="2">
        <f t="shared" si="26"/>
        <v>1633</v>
      </c>
      <c r="DU47" s="2"/>
      <c r="DV47" s="2"/>
      <c r="DW47" s="266">
        <f t="shared" si="27"/>
        <v>1633</v>
      </c>
      <c r="DX47" s="441">
        <f t="shared" si="87"/>
        <v>0</v>
      </c>
    </row>
    <row r="48" spans="1:128">
      <c r="A48" s="433">
        <f t="shared" si="28"/>
        <v>41</v>
      </c>
      <c r="B48" s="433" t="s">
        <v>493</v>
      </c>
      <c r="C48" s="434" t="s">
        <v>494</v>
      </c>
      <c r="D48" s="435">
        <v>0.1</v>
      </c>
      <c r="E48" s="442">
        <v>5391</v>
      </c>
      <c r="F48" s="437" t="s">
        <v>1001</v>
      </c>
      <c r="G48" s="438">
        <v>40770</v>
      </c>
      <c r="H48" s="438"/>
      <c r="I48" s="438"/>
      <c r="J48" s="438"/>
      <c r="K48" s="438"/>
      <c r="L48" s="438"/>
      <c r="M48" s="439"/>
      <c r="N48" s="436"/>
      <c r="O48" s="436"/>
      <c r="P48" s="433"/>
      <c r="Q48" s="436"/>
      <c r="R48" s="436"/>
      <c r="S48" s="433"/>
      <c r="T48" s="436"/>
      <c r="U48" s="436"/>
      <c r="V48" s="433">
        <f t="shared" si="33"/>
        <v>230</v>
      </c>
      <c r="W48" s="436">
        <f>186694/(U59+825639)*E48</f>
        <v>295.2266055759012</v>
      </c>
      <c r="X48" s="436">
        <f t="shared" si="34"/>
        <v>5095.773394424099</v>
      </c>
      <c r="Y48" s="433">
        <f t="shared" si="35"/>
        <v>365</v>
      </c>
      <c r="Z48" s="436">
        <f t="shared" si="88"/>
        <v>510</v>
      </c>
      <c r="AA48" s="436">
        <f t="shared" si="89"/>
        <v>4585.773394424099</v>
      </c>
      <c r="AB48" s="433">
        <f t="shared" si="36"/>
        <v>365</v>
      </c>
      <c r="AC48" s="436">
        <f t="shared" si="37"/>
        <v>459</v>
      </c>
      <c r="AD48" s="436">
        <f t="shared" si="38"/>
        <v>4126.773394424099</v>
      </c>
      <c r="AE48" s="436">
        <f t="shared" si="39"/>
        <v>1264.2266055759012</v>
      </c>
      <c r="AF48" s="436">
        <f t="shared" si="40"/>
        <v>4126.773394424099</v>
      </c>
      <c r="AG48" s="436">
        <f t="shared" si="1"/>
        <v>0</v>
      </c>
      <c r="AH48" s="436">
        <f t="shared" si="41"/>
        <v>2.6301369863013697</v>
      </c>
      <c r="AI48" s="439">
        <v>30</v>
      </c>
      <c r="AJ48" s="436">
        <f t="shared" si="2"/>
        <v>27.36986301369863</v>
      </c>
      <c r="AK48" s="440">
        <f t="shared" si="42"/>
        <v>9.4881892530079837E-2</v>
      </c>
      <c r="AL48" s="2">
        <f t="shared" si="43"/>
        <v>0</v>
      </c>
      <c r="AM48" s="433">
        <f t="shared" si="44"/>
        <v>365</v>
      </c>
      <c r="AN48" s="436">
        <f t="shared" si="90"/>
        <v>413</v>
      </c>
      <c r="AO48" s="436">
        <f t="shared" si="45"/>
        <v>392</v>
      </c>
      <c r="AP48" s="436">
        <f t="shared" si="46"/>
        <v>3735</v>
      </c>
      <c r="AQ48" s="436">
        <f t="shared" si="91"/>
        <v>3734.773394424099</v>
      </c>
      <c r="AR48" s="436">
        <f t="shared" si="92"/>
        <v>-0.22660557590097596</v>
      </c>
      <c r="AS48" s="436">
        <f t="shared" si="93"/>
        <v>-21</v>
      </c>
      <c r="AT48" s="2">
        <f t="shared" si="94"/>
        <v>3713.773394424099</v>
      </c>
      <c r="AU48" s="2">
        <f t="shared" si="3"/>
        <v>3734.773394424099</v>
      </c>
      <c r="AV48" s="2">
        <f t="shared" si="4"/>
        <v>0</v>
      </c>
      <c r="AW48" s="433">
        <f t="shared" si="47"/>
        <v>365</v>
      </c>
      <c r="AX48" s="2">
        <f t="shared" si="48"/>
        <v>354.36236783394884</v>
      </c>
      <c r="AY48" s="2">
        <f t="shared" si="49"/>
        <v>3380.41102659015</v>
      </c>
      <c r="AZ48" s="433">
        <f t="shared" si="50"/>
        <v>365</v>
      </c>
      <c r="BA48" s="2">
        <f t="shared" si="51"/>
        <v>320.73979573242349</v>
      </c>
      <c r="BB48" s="2">
        <f t="shared" si="52"/>
        <v>3059.6712308577266</v>
      </c>
      <c r="BC48" s="2">
        <f t="shared" si="53"/>
        <v>21900</v>
      </c>
      <c r="BD48" s="433">
        <f t="shared" si="54"/>
        <v>2055</v>
      </c>
      <c r="BE48" s="439">
        <f t="shared" si="55"/>
        <v>19845</v>
      </c>
      <c r="BF48" s="433">
        <f t="shared" si="56"/>
        <v>365</v>
      </c>
      <c r="BG48" s="2">
        <f t="shared" si="57"/>
        <v>290.30739690361992</v>
      </c>
      <c r="BH48" s="2">
        <f t="shared" si="58"/>
        <v>2769.3638339541067</v>
      </c>
      <c r="BI48" s="2">
        <f t="shared" si="5"/>
        <v>262.76248166992343</v>
      </c>
      <c r="BJ48" s="2">
        <f t="shared" si="6"/>
        <v>2506.6013522841831</v>
      </c>
      <c r="BK48" s="2">
        <f t="shared" si="59"/>
        <v>237.83</v>
      </c>
      <c r="BL48" s="2">
        <f t="shared" si="7"/>
        <v>2268.7713522841832</v>
      </c>
      <c r="BM48" s="2"/>
      <c r="BN48" s="2">
        <f t="shared" si="60"/>
        <v>2268.7713522841832</v>
      </c>
      <c r="BO48" s="2">
        <f t="shared" si="8"/>
        <v>215.26531962275178</v>
      </c>
      <c r="BP48" s="2">
        <f t="shared" si="61"/>
        <v>2053.5060326614316</v>
      </c>
      <c r="BQ48" s="2"/>
      <c r="BR48" s="2">
        <f t="shared" si="9"/>
        <v>2053.5060326614316</v>
      </c>
      <c r="BS48" s="2">
        <f t="shared" si="62"/>
        <v>194.84053870085256</v>
      </c>
      <c r="BT48" s="2">
        <f t="shared" si="63"/>
        <v>1858.6654939605792</v>
      </c>
      <c r="BU48" s="2">
        <f t="shared" si="10"/>
        <v>176.35369964733542</v>
      </c>
      <c r="BV48" s="2">
        <f t="shared" si="64"/>
        <v>1682.3117943132438</v>
      </c>
      <c r="BW48" s="2">
        <f t="shared" si="11"/>
        <v>159.62092687011497</v>
      </c>
      <c r="BX48" s="2">
        <f t="shared" si="65"/>
        <v>1522.6908674431288</v>
      </c>
      <c r="BY48" s="2">
        <f t="shared" si="12"/>
        <v>144.47579124127299</v>
      </c>
      <c r="BZ48" s="2">
        <f t="shared" si="66"/>
        <v>1378.2150762018559</v>
      </c>
      <c r="CA48" s="2">
        <f t="shared" si="13"/>
        <v>130.7676547435203</v>
      </c>
      <c r="CB48" s="2">
        <f t="shared" si="67"/>
        <v>1247.4474214583356</v>
      </c>
      <c r="CC48" s="2">
        <f t="shared" si="14"/>
        <v>118.360172179735</v>
      </c>
      <c r="CD48" s="2">
        <f t="shared" si="68"/>
        <v>1129.0872492786007</v>
      </c>
      <c r="CE48" s="2">
        <f t="shared" si="15"/>
        <v>107.12993504313565</v>
      </c>
      <c r="CF48" s="2">
        <f t="shared" si="69"/>
        <v>1021.957314235465</v>
      </c>
      <c r="CG48" s="2">
        <f t="shared" si="16"/>
        <v>96.965244059618414</v>
      </c>
      <c r="CH48" s="2">
        <f t="shared" si="70"/>
        <v>924.99207017584661</v>
      </c>
      <c r="CI48" s="2">
        <f t="shared" si="17"/>
        <v>87.764998193600746</v>
      </c>
      <c r="CJ48" s="2">
        <f t="shared" si="71"/>
        <v>837.22707198224589</v>
      </c>
      <c r="CK48" s="2">
        <f t="shared" si="18"/>
        <v>79.437689067092876</v>
      </c>
      <c r="CL48" s="2">
        <f t="shared" si="72"/>
        <v>757.78938291515306</v>
      </c>
      <c r="CM48" s="2">
        <f t="shared" si="19"/>
        <v>71.900490790191071</v>
      </c>
      <c r="CN48" s="2">
        <f t="shared" si="73"/>
        <v>685.88889212496201</v>
      </c>
      <c r="CO48" s="2">
        <f t="shared" si="20"/>
        <v>65.078436150176174</v>
      </c>
      <c r="CP48" s="2">
        <f t="shared" si="74"/>
        <v>620.81045597478578</v>
      </c>
      <c r="CQ48" s="2">
        <f t="shared" si="21"/>
        <v>58.903670965349484</v>
      </c>
      <c r="CR48" s="2">
        <f t="shared" si="75"/>
        <v>561.90678500943625</v>
      </c>
      <c r="CS48" s="2">
        <f t="shared" si="22"/>
        <v>53.314779187188009</v>
      </c>
      <c r="CT48" s="2">
        <f t="shared" si="76"/>
        <v>508.59200582224821</v>
      </c>
      <c r="CU48" s="2">
        <f t="shared" si="23"/>
        <v>48.256172038084294</v>
      </c>
      <c r="CV48" s="2">
        <f t="shared" si="77"/>
        <v>460.33583378416392</v>
      </c>
      <c r="CW48" s="2">
        <f t="shared" si="24"/>
        <v>43.677535108853739</v>
      </c>
      <c r="CX48" s="2">
        <f t="shared" si="78"/>
        <v>416.65829867531016</v>
      </c>
      <c r="CY48" s="2">
        <f t="shared" si="25"/>
        <v>39.533327916676683</v>
      </c>
      <c r="CZ48" s="2">
        <f t="shared" si="79"/>
        <v>377.12497075863348</v>
      </c>
      <c r="DA48" s="2">
        <f t="shared" si="80"/>
        <v>35.782330945930163</v>
      </c>
      <c r="DB48" s="2">
        <f t="shared" si="95"/>
        <v>341.34263981270334</v>
      </c>
      <c r="DC48" s="2">
        <f t="shared" si="108"/>
        <v>32.387235666642667</v>
      </c>
      <c r="DD48" s="2">
        <f t="shared" si="96"/>
        <v>308.95540414606069</v>
      </c>
      <c r="DE48" s="2">
        <f t="shared" si="103"/>
        <v>29.316920196071987</v>
      </c>
      <c r="DF48" s="2">
        <f t="shared" si="97"/>
        <v>279.63848394998871</v>
      </c>
      <c r="DG48" s="2">
        <f t="shared" si="104"/>
        <v>10.088483949988699</v>
      </c>
      <c r="DH48" s="2">
        <f t="shared" si="98"/>
        <v>269.55</v>
      </c>
      <c r="DI48" s="2">
        <f t="shared" si="105"/>
        <v>0</v>
      </c>
      <c r="DJ48" s="2">
        <f t="shared" si="82"/>
        <v>269.55</v>
      </c>
      <c r="DK48" s="2">
        <f t="shared" si="106"/>
        <v>0</v>
      </c>
      <c r="DL48" s="2">
        <f t="shared" si="83"/>
        <v>269.55</v>
      </c>
      <c r="DM48" s="2">
        <f t="shared" si="107"/>
        <v>0</v>
      </c>
      <c r="DN48" s="2">
        <f t="shared" si="84"/>
        <v>269.55</v>
      </c>
      <c r="DO48" s="2"/>
      <c r="DP48" s="2">
        <f t="shared" si="85"/>
        <v>269.55</v>
      </c>
      <c r="DQ48" s="2"/>
      <c r="DR48" s="2">
        <f t="shared" si="86"/>
        <v>269.55</v>
      </c>
      <c r="DS48" s="2"/>
      <c r="DT48" s="2">
        <f t="shared" si="26"/>
        <v>269.55</v>
      </c>
      <c r="DU48" s="2"/>
      <c r="DV48" s="2"/>
      <c r="DW48" s="266">
        <f t="shared" si="27"/>
        <v>269.55</v>
      </c>
      <c r="DX48" s="441">
        <f t="shared" si="87"/>
        <v>0</v>
      </c>
    </row>
    <row r="49" spans="1:128">
      <c r="A49" s="433">
        <f t="shared" si="28"/>
        <v>42</v>
      </c>
      <c r="B49" s="433" t="s">
        <v>493</v>
      </c>
      <c r="C49" s="434" t="s">
        <v>494</v>
      </c>
      <c r="D49" s="435">
        <v>0.1</v>
      </c>
      <c r="E49" s="442">
        <v>119096.2</v>
      </c>
      <c r="F49" s="437" t="s">
        <v>1001</v>
      </c>
      <c r="G49" s="438">
        <v>40770</v>
      </c>
      <c r="H49" s="438"/>
      <c r="I49" s="438"/>
      <c r="J49" s="438"/>
      <c r="K49" s="438"/>
      <c r="L49" s="438"/>
      <c r="M49" s="439"/>
      <c r="N49" s="436"/>
      <c r="O49" s="436"/>
      <c r="P49" s="433"/>
      <c r="Q49" s="436"/>
      <c r="R49" s="436"/>
      <c r="S49" s="433"/>
      <c r="T49" s="436"/>
      <c r="U49" s="436"/>
      <c r="V49" s="433">
        <f t="shared" si="33"/>
        <v>230</v>
      </c>
      <c r="W49" s="436">
        <f>186694/(U59+825639)*E49</f>
        <v>6522.0491305859105</v>
      </c>
      <c r="X49" s="436">
        <f t="shared" si="34"/>
        <v>112574.15086941409</v>
      </c>
      <c r="Y49" s="433">
        <f t="shared" si="35"/>
        <v>365</v>
      </c>
      <c r="Z49" s="436">
        <f t="shared" si="88"/>
        <v>11257</v>
      </c>
      <c r="AA49" s="436">
        <f t="shared" si="89"/>
        <v>101317.15086941409</v>
      </c>
      <c r="AB49" s="433">
        <f t="shared" si="36"/>
        <v>365</v>
      </c>
      <c r="AC49" s="436">
        <f t="shared" si="37"/>
        <v>10132</v>
      </c>
      <c r="AD49" s="436">
        <f t="shared" si="38"/>
        <v>91185.150869414094</v>
      </c>
      <c r="AE49" s="436">
        <f t="shared" si="39"/>
        <v>27911.04913058591</v>
      </c>
      <c r="AF49" s="436">
        <f t="shared" si="40"/>
        <v>91185.150869414094</v>
      </c>
      <c r="AG49" s="436">
        <f t="shared" si="1"/>
        <v>0</v>
      </c>
      <c r="AH49" s="436">
        <f t="shared" si="41"/>
        <v>2.6301369863013697</v>
      </c>
      <c r="AI49" s="439">
        <v>30</v>
      </c>
      <c r="AJ49" s="436">
        <f t="shared" si="2"/>
        <v>27.36986301369863</v>
      </c>
      <c r="AK49" s="440">
        <f t="shared" si="42"/>
        <v>9.488835931516304E-2</v>
      </c>
      <c r="AL49" s="2">
        <f t="shared" si="43"/>
        <v>0</v>
      </c>
      <c r="AM49" s="433">
        <f t="shared" si="44"/>
        <v>365</v>
      </c>
      <c r="AN49" s="436">
        <f t="shared" si="90"/>
        <v>9119</v>
      </c>
      <c r="AO49" s="436">
        <f t="shared" si="45"/>
        <v>8652</v>
      </c>
      <c r="AP49" s="436">
        <f t="shared" si="46"/>
        <v>82533</v>
      </c>
      <c r="AQ49" s="436">
        <f t="shared" si="91"/>
        <v>82533.150869414094</v>
      </c>
      <c r="AR49" s="436">
        <f t="shared" si="92"/>
        <v>0.1508694140939042</v>
      </c>
      <c r="AS49" s="436">
        <f t="shared" si="93"/>
        <v>-467</v>
      </c>
      <c r="AT49" s="2">
        <f t="shared" si="94"/>
        <v>82066.150869414094</v>
      </c>
      <c r="AU49" s="2">
        <f t="shared" si="3"/>
        <v>82533.150869414094</v>
      </c>
      <c r="AV49" s="2">
        <f t="shared" si="4"/>
        <v>0</v>
      </c>
      <c r="AW49" s="433">
        <f t="shared" si="47"/>
        <v>365</v>
      </c>
      <c r="AX49" s="2">
        <f t="shared" si="48"/>
        <v>7831.4352751095257</v>
      </c>
      <c r="AY49" s="2">
        <f t="shared" si="49"/>
        <v>74701.715594304565</v>
      </c>
      <c r="AZ49" s="433">
        <f t="shared" si="50"/>
        <v>365</v>
      </c>
      <c r="BA49" s="2">
        <f t="shared" si="51"/>
        <v>7088.3232307714898</v>
      </c>
      <c r="BB49" s="2">
        <f t="shared" si="52"/>
        <v>67613.392363533072</v>
      </c>
      <c r="BC49" s="2">
        <f t="shared" si="53"/>
        <v>21900</v>
      </c>
      <c r="BD49" s="433">
        <f t="shared" si="54"/>
        <v>2055</v>
      </c>
      <c r="BE49" s="439">
        <f t="shared" si="55"/>
        <v>19845</v>
      </c>
      <c r="BF49" s="433">
        <f t="shared" si="56"/>
        <v>365</v>
      </c>
      <c r="BG49" s="2">
        <f t="shared" si="57"/>
        <v>6415.7238691080265</v>
      </c>
      <c r="BH49" s="2">
        <f t="shared" si="58"/>
        <v>61197.668494425045</v>
      </c>
      <c r="BI49" s="2">
        <f t="shared" si="5"/>
        <v>5806.9463573492367</v>
      </c>
      <c r="BJ49" s="2">
        <f t="shared" si="6"/>
        <v>55390.722137075805</v>
      </c>
      <c r="BK49" s="2">
        <f t="shared" si="59"/>
        <v>5255.93</v>
      </c>
      <c r="BL49" s="2">
        <f t="shared" si="7"/>
        <v>50134.792137075805</v>
      </c>
      <c r="BM49" s="2"/>
      <c r="BN49" s="2">
        <f t="shared" si="60"/>
        <v>50134.792137075805</v>
      </c>
      <c r="BO49" s="2">
        <f t="shared" si="8"/>
        <v>4757.2081704938601</v>
      </c>
      <c r="BP49" s="2">
        <f t="shared" si="61"/>
        <v>45377.583966581944</v>
      </c>
      <c r="BQ49" s="2"/>
      <c r="BR49" s="2">
        <f t="shared" si="9"/>
        <v>45377.583966581944</v>
      </c>
      <c r="BS49" s="2">
        <f t="shared" si="62"/>
        <v>4305.8044922750087</v>
      </c>
      <c r="BT49" s="2">
        <f t="shared" si="63"/>
        <v>41071.779474306939</v>
      </c>
      <c r="BU49" s="2">
        <f t="shared" si="10"/>
        <v>3897.2337684711752</v>
      </c>
      <c r="BV49" s="2">
        <f t="shared" si="64"/>
        <v>37174.545705835764</v>
      </c>
      <c r="BW49" s="2">
        <f t="shared" si="11"/>
        <v>3527.4316503132954</v>
      </c>
      <c r="BX49" s="2">
        <f t="shared" si="65"/>
        <v>33647.11405552247</v>
      </c>
      <c r="BY49" s="2">
        <f t="shared" si="12"/>
        <v>3192.7194484186889</v>
      </c>
      <c r="BZ49" s="2">
        <f t="shared" si="66"/>
        <v>30454.394607103783</v>
      </c>
      <c r="CA49" s="2">
        <f t="shared" si="13"/>
        <v>2889.7675382046273</v>
      </c>
      <c r="CB49" s="2">
        <f t="shared" si="67"/>
        <v>27564.627068899157</v>
      </c>
      <c r="CC49" s="2">
        <f t="shared" si="14"/>
        <v>2615.5622377021728</v>
      </c>
      <c r="CD49" s="2">
        <f t="shared" si="68"/>
        <v>24949.064831196985</v>
      </c>
      <c r="CE49" s="2">
        <f t="shared" si="15"/>
        <v>2367.3758282799172</v>
      </c>
      <c r="CF49" s="2">
        <f t="shared" si="69"/>
        <v>22581.689002917068</v>
      </c>
      <c r="CG49" s="2">
        <f t="shared" si="16"/>
        <v>2142.7394200520607</v>
      </c>
      <c r="CH49" s="2">
        <f t="shared" si="70"/>
        <v>20438.949582865007</v>
      </c>
      <c r="CI49" s="2">
        <f t="shared" si="17"/>
        <v>1939.4183920433966</v>
      </c>
      <c r="CJ49" s="2">
        <f t="shared" si="71"/>
        <v>18499.53119082161</v>
      </c>
      <c r="CK49" s="2">
        <f t="shared" si="18"/>
        <v>1755.3901627967468</v>
      </c>
      <c r="CL49" s="2">
        <f t="shared" si="72"/>
        <v>16744.141028024864</v>
      </c>
      <c r="CM49" s="2">
        <f t="shared" si="19"/>
        <v>1588.8240702909868</v>
      </c>
      <c r="CN49" s="2">
        <f t="shared" si="73"/>
        <v>15155.316957733878</v>
      </c>
      <c r="CO49" s="2">
        <f t="shared" si="20"/>
        <v>1438.0631610206358</v>
      </c>
      <c r="CP49" s="2">
        <f t="shared" si="74"/>
        <v>13717.253796713241</v>
      </c>
      <c r="CQ49" s="2">
        <f t="shared" si="21"/>
        <v>1301.6077070798106</v>
      </c>
      <c r="CR49" s="2">
        <f t="shared" si="75"/>
        <v>12415.64608963343</v>
      </c>
      <c r="CS49" s="2">
        <f t="shared" si="22"/>
        <v>1178.1002872830359</v>
      </c>
      <c r="CT49" s="2">
        <f t="shared" si="76"/>
        <v>11237.545802350394</v>
      </c>
      <c r="CU49" s="2">
        <f t="shared" si="23"/>
        <v>1066.3122839140265</v>
      </c>
      <c r="CV49" s="2">
        <f t="shared" si="77"/>
        <v>10171.233518436367</v>
      </c>
      <c r="CW49" s="2">
        <f t="shared" si="24"/>
        <v>965.13166077582002</v>
      </c>
      <c r="CX49" s="2">
        <f t="shared" si="78"/>
        <v>9206.1018576605475</v>
      </c>
      <c r="CY49" s="2">
        <f t="shared" si="25"/>
        <v>873.55190096168394</v>
      </c>
      <c r="CZ49" s="2">
        <f t="shared" si="79"/>
        <v>8332.5499566988638</v>
      </c>
      <c r="DA49" s="2">
        <f t="shared" si="80"/>
        <v>790.661994302788</v>
      </c>
      <c r="DB49" s="2">
        <f t="shared" si="95"/>
        <v>7541.8879623960756</v>
      </c>
      <c r="DC49" s="2">
        <f t="shared" si="108"/>
        <v>715.63737489054165</v>
      </c>
      <c r="DD49" s="2">
        <f t="shared" si="96"/>
        <v>6826.250587505534</v>
      </c>
      <c r="DE49" s="2">
        <f t="shared" si="103"/>
        <v>647.74605340024743</v>
      </c>
      <c r="DF49" s="2">
        <f t="shared" si="97"/>
        <v>6178.5045341052864</v>
      </c>
      <c r="DG49" s="2">
        <f t="shared" si="104"/>
        <v>223.69453410528604</v>
      </c>
      <c r="DH49" s="2">
        <f t="shared" si="98"/>
        <v>5954.81</v>
      </c>
      <c r="DI49" s="2">
        <f t="shared" si="105"/>
        <v>0</v>
      </c>
      <c r="DJ49" s="2">
        <f t="shared" si="82"/>
        <v>5954.81</v>
      </c>
      <c r="DK49" s="2">
        <f t="shared" si="106"/>
        <v>0</v>
      </c>
      <c r="DL49" s="2">
        <f t="shared" si="83"/>
        <v>5954.81</v>
      </c>
      <c r="DM49" s="2">
        <f t="shared" si="107"/>
        <v>0</v>
      </c>
      <c r="DN49" s="2">
        <f t="shared" si="84"/>
        <v>5954.81</v>
      </c>
      <c r="DO49" s="2"/>
      <c r="DP49" s="2">
        <f t="shared" si="85"/>
        <v>5954.81</v>
      </c>
      <c r="DQ49" s="2"/>
      <c r="DR49" s="2">
        <f t="shared" si="86"/>
        <v>5954.81</v>
      </c>
      <c r="DS49" s="2"/>
      <c r="DT49" s="2">
        <f t="shared" si="26"/>
        <v>5954.81</v>
      </c>
      <c r="DU49" s="2"/>
      <c r="DV49" s="2"/>
      <c r="DW49" s="266">
        <f t="shared" si="27"/>
        <v>5954.81</v>
      </c>
      <c r="DX49" s="441">
        <f t="shared" si="87"/>
        <v>0</v>
      </c>
    </row>
    <row r="50" spans="1:128">
      <c r="A50" s="433">
        <f t="shared" si="28"/>
        <v>43</v>
      </c>
      <c r="B50" s="433" t="s">
        <v>493</v>
      </c>
      <c r="C50" s="434" t="s">
        <v>494</v>
      </c>
      <c r="D50" s="435">
        <v>0.1</v>
      </c>
      <c r="E50" s="442">
        <v>15055</v>
      </c>
      <c r="F50" s="437" t="s">
        <v>1001</v>
      </c>
      <c r="G50" s="438">
        <v>40770</v>
      </c>
      <c r="H50" s="438"/>
      <c r="I50" s="438"/>
      <c r="J50" s="438"/>
      <c r="K50" s="438"/>
      <c r="L50" s="438"/>
      <c r="M50" s="439"/>
      <c r="N50" s="436"/>
      <c r="O50" s="436"/>
      <c r="P50" s="433"/>
      <c r="Q50" s="436"/>
      <c r="R50" s="436"/>
      <c r="S50" s="433"/>
      <c r="T50" s="436"/>
      <c r="U50" s="436"/>
      <c r="V50" s="433">
        <f t="shared" si="33"/>
        <v>230</v>
      </c>
      <c r="W50" s="436">
        <f>186694/(U59+825639)*E50</f>
        <v>824.45493358285898</v>
      </c>
      <c r="X50" s="436">
        <f t="shared" si="34"/>
        <v>14230.54506641714</v>
      </c>
      <c r="Y50" s="433">
        <f t="shared" si="35"/>
        <v>365</v>
      </c>
      <c r="Z50" s="436">
        <f t="shared" si="88"/>
        <v>1423</v>
      </c>
      <c r="AA50" s="436">
        <f t="shared" si="89"/>
        <v>12807.54506641714</v>
      </c>
      <c r="AB50" s="433">
        <f t="shared" si="36"/>
        <v>365</v>
      </c>
      <c r="AC50" s="436">
        <f t="shared" si="37"/>
        <v>1281</v>
      </c>
      <c r="AD50" s="436">
        <f t="shared" si="38"/>
        <v>11526.54506641714</v>
      </c>
      <c r="AE50" s="436">
        <f t="shared" si="39"/>
        <v>3528.4549335828588</v>
      </c>
      <c r="AF50" s="436">
        <f t="shared" si="40"/>
        <v>11526.54506641714</v>
      </c>
      <c r="AG50" s="436">
        <f t="shared" si="1"/>
        <v>0</v>
      </c>
      <c r="AH50" s="436">
        <f t="shared" si="41"/>
        <v>2.6301369863013697</v>
      </c>
      <c r="AI50" s="439">
        <v>30</v>
      </c>
      <c r="AJ50" s="436">
        <f t="shared" si="2"/>
        <v>27.36986301369863</v>
      </c>
      <c r="AK50" s="440">
        <f t="shared" si="42"/>
        <v>9.4887763585391416E-2</v>
      </c>
      <c r="AL50" s="2">
        <f t="shared" si="43"/>
        <v>0</v>
      </c>
      <c r="AM50" s="433">
        <f t="shared" si="44"/>
        <v>365</v>
      </c>
      <c r="AN50" s="436">
        <f t="shared" si="90"/>
        <v>1153</v>
      </c>
      <c r="AO50" s="436">
        <f t="shared" si="45"/>
        <v>1094</v>
      </c>
      <c r="AP50" s="436">
        <f t="shared" si="46"/>
        <v>10433</v>
      </c>
      <c r="AQ50" s="436">
        <f t="shared" si="91"/>
        <v>10432.54506641714</v>
      </c>
      <c r="AR50" s="436">
        <f t="shared" si="92"/>
        <v>-0.45493358285966679</v>
      </c>
      <c r="AS50" s="436">
        <f t="shared" si="93"/>
        <v>-59</v>
      </c>
      <c r="AT50" s="2">
        <f t="shared" si="94"/>
        <v>10373.54506641714</v>
      </c>
      <c r="AU50" s="2">
        <f t="shared" si="3"/>
        <v>10432.54506641714</v>
      </c>
      <c r="AV50" s="2">
        <f t="shared" si="4"/>
        <v>0</v>
      </c>
      <c r="AW50" s="433">
        <f t="shared" si="47"/>
        <v>365</v>
      </c>
      <c r="AX50" s="2">
        <f t="shared" si="48"/>
        <v>989.92086985613116</v>
      </c>
      <c r="AY50" s="2">
        <f t="shared" si="49"/>
        <v>9442.6241965610097</v>
      </c>
      <c r="AZ50" s="433">
        <f t="shared" si="50"/>
        <v>365</v>
      </c>
      <c r="BA50" s="2">
        <f t="shared" si="51"/>
        <v>895.98949238897762</v>
      </c>
      <c r="BB50" s="2">
        <f t="shared" si="52"/>
        <v>8546.6347041720328</v>
      </c>
      <c r="BC50" s="2">
        <f t="shared" si="53"/>
        <v>21900</v>
      </c>
      <c r="BD50" s="433">
        <f t="shared" si="54"/>
        <v>2055</v>
      </c>
      <c r="BE50" s="439">
        <f t="shared" si="55"/>
        <v>19845</v>
      </c>
      <c r="BF50" s="433">
        <f t="shared" si="56"/>
        <v>365</v>
      </c>
      <c r="BG50" s="2">
        <f t="shared" si="57"/>
        <v>810.97105326017754</v>
      </c>
      <c r="BH50" s="2">
        <f t="shared" si="58"/>
        <v>7735.6636509118553</v>
      </c>
      <c r="BI50" s="2">
        <f t="shared" si="5"/>
        <v>734.01982368382994</v>
      </c>
      <c r="BJ50" s="2">
        <f t="shared" si="6"/>
        <v>7001.6438272280257</v>
      </c>
      <c r="BK50" s="2">
        <f t="shared" si="59"/>
        <v>664.37</v>
      </c>
      <c r="BL50" s="2">
        <f t="shared" si="7"/>
        <v>6337.2738272280258</v>
      </c>
      <c r="BM50" s="2"/>
      <c r="BN50" s="2">
        <f t="shared" si="60"/>
        <v>6337.2738272280258</v>
      </c>
      <c r="BO50" s="2">
        <f t="shared" si="8"/>
        <v>601.3297406939015</v>
      </c>
      <c r="BP50" s="2">
        <f t="shared" si="61"/>
        <v>5735.9440865341239</v>
      </c>
      <c r="BQ50" s="2"/>
      <c r="BR50" s="2">
        <f t="shared" si="9"/>
        <v>5735.9440865341239</v>
      </c>
      <c r="BS50" s="2">
        <f t="shared" si="62"/>
        <v>544.27090642207384</v>
      </c>
      <c r="BT50" s="2">
        <f t="shared" si="63"/>
        <v>5191.6731801120504</v>
      </c>
      <c r="BU50" s="2">
        <f t="shared" si="10"/>
        <v>492.62625732708949</v>
      </c>
      <c r="BV50" s="2">
        <f t="shared" si="64"/>
        <v>4699.0469227849608</v>
      </c>
      <c r="BW50" s="2">
        <f t="shared" si="11"/>
        <v>445.88205348588036</v>
      </c>
      <c r="BX50" s="2">
        <f t="shared" si="65"/>
        <v>4253.1648692990802</v>
      </c>
      <c r="BY50" s="2">
        <f t="shared" si="12"/>
        <v>403.5733026077433</v>
      </c>
      <c r="BZ50" s="2">
        <f t="shared" si="66"/>
        <v>3849.591566691337</v>
      </c>
      <c r="CA50" s="2">
        <f t="shared" si="13"/>
        <v>365.27913448052414</v>
      </c>
      <c r="CB50" s="2">
        <f t="shared" si="67"/>
        <v>3484.3124322108129</v>
      </c>
      <c r="CC50" s="2">
        <f t="shared" si="14"/>
        <v>330.61861432525978</v>
      </c>
      <c r="CD50" s="2">
        <f t="shared" si="68"/>
        <v>3153.693817885553</v>
      </c>
      <c r="CE50" s="2">
        <f t="shared" si="15"/>
        <v>299.2469534122348</v>
      </c>
      <c r="CF50" s="2">
        <f t="shared" si="69"/>
        <v>2854.4468644733183</v>
      </c>
      <c r="CG50" s="2">
        <f t="shared" si="16"/>
        <v>270.85207924320605</v>
      </c>
      <c r="CH50" s="2">
        <f t="shared" si="70"/>
        <v>2583.5947852301124</v>
      </c>
      <c r="CI50" s="2">
        <f t="shared" si="17"/>
        <v>245.15153118136502</v>
      </c>
      <c r="CJ50" s="2">
        <f t="shared" si="71"/>
        <v>2338.4432540487473</v>
      </c>
      <c r="CK50" s="2">
        <f t="shared" si="18"/>
        <v>221.88965064803094</v>
      </c>
      <c r="CL50" s="2">
        <f t="shared" si="72"/>
        <v>2116.5536034007164</v>
      </c>
      <c r="CM50" s="2">
        <f t="shared" si="19"/>
        <v>200.83503793529547</v>
      </c>
      <c r="CN50" s="2">
        <f t="shared" si="73"/>
        <v>1915.7185654654209</v>
      </c>
      <c r="CO50" s="2">
        <f t="shared" si="20"/>
        <v>181.77825033602804</v>
      </c>
      <c r="CP50" s="2">
        <f t="shared" si="74"/>
        <v>1733.9403151293927</v>
      </c>
      <c r="CQ50" s="2">
        <f t="shared" si="21"/>
        <v>164.5297186931769</v>
      </c>
      <c r="CR50" s="2">
        <f t="shared" si="75"/>
        <v>1569.4105964362159</v>
      </c>
      <c r="CS50" s="2">
        <f t="shared" si="22"/>
        <v>148.91786164304779</v>
      </c>
      <c r="CT50" s="2">
        <f t="shared" si="76"/>
        <v>1420.492734793168</v>
      </c>
      <c r="CU50" s="2">
        <f t="shared" si="23"/>
        <v>134.78737879382024</v>
      </c>
      <c r="CV50" s="2">
        <f t="shared" si="77"/>
        <v>1285.7053559993478</v>
      </c>
      <c r="CW50" s="2">
        <f t="shared" si="24"/>
        <v>121.99770586053762</v>
      </c>
      <c r="CX50" s="2">
        <f t="shared" si="78"/>
        <v>1163.7076501388101</v>
      </c>
      <c r="CY50" s="2">
        <f t="shared" si="25"/>
        <v>110.4216163888828</v>
      </c>
      <c r="CZ50" s="2">
        <f t="shared" si="79"/>
        <v>1053.2860337499274</v>
      </c>
      <c r="DA50" s="2">
        <f t="shared" si="80"/>
        <v>99.943956158257706</v>
      </c>
      <c r="DB50" s="2">
        <f t="shared" si="95"/>
        <v>953.34207759166964</v>
      </c>
      <c r="DC50" s="2">
        <f t="shared" si="108"/>
        <v>90.460497674524234</v>
      </c>
      <c r="DD50" s="2">
        <f t="shared" si="96"/>
        <v>862.88157991714536</v>
      </c>
      <c r="DE50" s="2">
        <f t="shared" si="103"/>
        <v>81.879229421512647</v>
      </c>
      <c r="DF50" s="2">
        <f t="shared" si="97"/>
        <v>781.00235049563275</v>
      </c>
      <c r="DG50" s="2">
        <f t="shared" si="104"/>
        <v>28.252350495632754</v>
      </c>
      <c r="DH50" s="2">
        <f t="shared" si="98"/>
        <v>752.75</v>
      </c>
      <c r="DI50" s="2">
        <f t="shared" si="105"/>
        <v>0</v>
      </c>
      <c r="DJ50" s="2">
        <f t="shared" si="82"/>
        <v>752.75</v>
      </c>
      <c r="DK50" s="2">
        <f t="shared" si="106"/>
        <v>0</v>
      </c>
      <c r="DL50" s="2">
        <f t="shared" si="83"/>
        <v>752.75</v>
      </c>
      <c r="DM50" s="2">
        <f t="shared" si="107"/>
        <v>0</v>
      </c>
      <c r="DN50" s="2">
        <f t="shared" si="84"/>
        <v>752.75</v>
      </c>
      <c r="DO50" s="2"/>
      <c r="DP50" s="2">
        <f t="shared" si="85"/>
        <v>752.75</v>
      </c>
      <c r="DQ50" s="2"/>
      <c r="DR50" s="2">
        <f t="shared" si="86"/>
        <v>752.75</v>
      </c>
      <c r="DS50" s="2"/>
      <c r="DT50" s="2">
        <f t="shared" si="26"/>
        <v>752.75</v>
      </c>
      <c r="DU50" s="2"/>
      <c r="DV50" s="2"/>
      <c r="DW50" s="266">
        <f t="shared" si="27"/>
        <v>752.75</v>
      </c>
      <c r="DX50" s="441">
        <f t="shared" si="87"/>
        <v>0</v>
      </c>
    </row>
    <row r="51" spans="1:128">
      <c r="A51" s="433">
        <f>A50+1</f>
        <v>44</v>
      </c>
      <c r="B51" s="433" t="s">
        <v>493</v>
      </c>
      <c r="C51" s="434" t="s">
        <v>494</v>
      </c>
      <c r="D51" s="435">
        <v>0.1</v>
      </c>
      <c r="E51" s="442">
        <v>201808</v>
      </c>
      <c r="F51" s="437" t="s">
        <v>1001</v>
      </c>
      <c r="G51" s="438">
        <v>40770</v>
      </c>
      <c r="H51" s="438"/>
      <c r="I51" s="438"/>
      <c r="J51" s="438"/>
      <c r="K51" s="438"/>
      <c r="L51" s="438"/>
      <c r="M51" s="439"/>
      <c r="N51" s="436"/>
      <c r="O51" s="436"/>
      <c r="P51" s="433"/>
      <c r="Q51" s="436"/>
      <c r="R51" s="436"/>
      <c r="S51" s="433"/>
      <c r="T51" s="436"/>
      <c r="U51" s="436"/>
      <c r="V51" s="433">
        <f t="shared" si="33"/>
        <v>230</v>
      </c>
      <c r="W51" s="436">
        <f>186694/(U59+825639)*E51</f>
        <v>11051.584273430062</v>
      </c>
      <c r="X51" s="436">
        <f t="shared" si="34"/>
        <v>190756.41572656995</v>
      </c>
      <c r="Y51" s="433">
        <f t="shared" si="35"/>
        <v>365</v>
      </c>
      <c r="Z51" s="436">
        <f t="shared" si="88"/>
        <v>19076</v>
      </c>
      <c r="AA51" s="436">
        <f t="shared" si="89"/>
        <v>171680.41572656995</v>
      </c>
      <c r="AB51" s="433">
        <f t="shared" si="36"/>
        <v>365</v>
      </c>
      <c r="AC51" s="436">
        <f t="shared" si="37"/>
        <v>17168</v>
      </c>
      <c r="AD51" s="436">
        <f t="shared" si="38"/>
        <v>154512.41572656995</v>
      </c>
      <c r="AE51" s="436">
        <f t="shared" si="39"/>
        <v>47295.58427343006</v>
      </c>
      <c r="AF51" s="436">
        <f t="shared" si="40"/>
        <v>154512.41572656995</v>
      </c>
      <c r="AG51" s="436">
        <f t="shared" si="1"/>
        <v>0</v>
      </c>
      <c r="AH51" s="436">
        <f t="shared" si="41"/>
        <v>2.6301369863013697</v>
      </c>
      <c r="AI51" s="439">
        <v>30</v>
      </c>
      <c r="AJ51" s="436">
        <f t="shared" si="2"/>
        <v>27.36986301369863</v>
      </c>
      <c r="AK51" s="440">
        <f t="shared" si="42"/>
        <v>9.4888267015644567E-2</v>
      </c>
      <c r="AL51" s="2">
        <f t="shared" si="43"/>
        <v>0</v>
      </c>
      <c r="AM51" s="433">
        <f t="shared" si="44"/>
        <v>365</v>
      </c>
      <c r="AN51" s="436">
        <f t="shared" si="90"/>
        <v>15451</v>
      </c>
      <c r="AO51" s="436">
        <f t="shared" si="45"/>
        <v>14661</v>
      </c>
      <c r="AP51" s="436">
        <f t="shared" si="46"/>
        <v>139851</v>
      </c>
      <c r="AQ51" s="436">
        <f t="shared" si="91"/>
        <v>139851.41572656995</v>
      </c>
      <c r="AR51" s="436">
        <f t="shared" si="92"/>
        <v>0.41572656994685531</v>
      </c>
      <c r="AS51" s="436">
        <f t="shared" si="93"/>
        <v>-790</v>
      </c>
      <c r="AT51" s="2">
        <f t="shared" si="94"/>
        <v>139061.41572656995</v>
      </c>
      <c r="AU51" s="2">
        <f t="shared" si="3"/>
        <v>139851.41572656995</v>
      </c>
      <c r="AV51" s="2">
        <f t="shared" si="4"/>
        <v>0</v>
      </c>
      <c r="AW51" s="433">
        <f t="shared" si="47"/>
        <v>365</v>
      </c>
      <c r="AX51" s="2">
        <f t="shared" si="48"/>
        <v>13270.258477978683</v>
      </c>
      <c r="AY51" s="2">
        <f t="shared" si="49"/>
        <v>126581.15724859126</v>
      </c>
      <c r="AZ51" s="433">
        <f t="shared" si="50"/>
        <v>365</v>
      </c>
      <c r="BA51" s="2">
        <f t="shared" si="51"/>
        <v>12011.066648153621</v>
      </c>
      <c r="BB51" s="2">
        <f t="shared" si="52"/>
        <v>114570.09060043764</v>
      </c>
      <c r="BC51" s="2">
        <f t="shared" si="53"/>
        <v>21900</v>
      </c>
      <c r="BD51" s="433">
        <f t="shared" si="54"/>
        <v>2055</v>
      </c>
      <c r="BE51" s="439">
        <f t="shared" si="55"/>
        <v>19845</v>
      </c>
      <c r="BF51" s="433">
        <f t="shared" si="56"/>
        <v>365</v>
      </c>
      <c r="BG51" s="2">
        <f t="shared" si="57"/>
        <v>10871.357348900918</v>
      </c>
      <c r="BH51" s="2">
        <f t="shared" si="58"/>
        <v>103698.73325153673</v>
      </c>
      <c r="BI51" s="2">
        <f t="shared" si="5"/>
        <v>9839.7930899559178</v>
      </c>
      <c r="BJ51" s="2">
        <f t="shared" si="6"/>
        <v>93858.940161580816</v>
      </c>
      <c r="BK51" s="2">
        <f t="shared" si="59"/>
        <v>8906.11</v>
      </c>
      <c r="BL51" s="2">
        <f t="shared" si="7"/>
        <v>84952.830161580816</v>
      </c>
      <c r="BM51" s="2"/>
      <c r="BN51" s="2">
        <f t="shared" si="60"/>
        <v>84952.830161580816</v>
      </c>
      <c r="BO51" s="2">
        <f t="shared" si="8"/>
        <v>8061.0268321067842</v>
      </c>
      <c r="BP51" s="2">
        <f t="shared" si="61"/>
        <v>76891.803329474031</v>
      </c>
      <c r="BQ51" s="2"/>
      <c r="BR51" s="2">
        <f t="shared" si="9"/>
        <v>76891.803329474031</v>
      </c>
      <c r="BS51" s="2">
        <f t="shared" si="62"/>
        <v>7296.1299656415595</v>
      </c>
      <c r="BT51" s="2">
        <f t="shared" si="63"/>
        <v>69595.673363832466</v>
      </c>
      <c r="BU51" s="2">
        <f t="shared" si="10"/>
        <v>6603.8128372809169</v>
      </c>
      <c r="BV51" s="2">
        <f t="shared" si="64"/>
        <v>62991.860526551551</v>
      </c>
      <c r="BW51" s="2">
        <f t="shared" si="11"/>
        <v>5977.1884814556643</v>
      </c>
      <c r="BX51" s="2">
        <f t="shared" si="65"/>
        <v>57014.672045095889</v>
      </c>
      <c r="BY51" s="2">
        <f t="shared" si="12"/>
        <v>5410.0234248244642</v>
      </c>
      <c r="BZ51" s="2">
        <f t="shared" si="66"/>
        <v>51604.648620271422</v>
      </c>
      <c r="CA51" s="2">
        <f t="shared" si="13"/>
        <v>4896.6756775288286</v>
      </c>
      <c r="CB51" s="2">
        <f t="shared" si="67"/>
        <v>46707.972942742592</v>
      </c>
      <c r="CC51" s="2">
        <f t="shared" si="14"/>
        <v>4432.0386083504609</v>
      </c>
      <c r="CD51" s="2">
        <f t="shared" si="68"/>
        <v>42275.934334392128</v>
      </c>
      <c r="CE51" s="2">
        <f t="shared" si="15"/>
        <v>4011.4901454576561</v>
      </c>
      <c r="CF51" s="2">
        <f t="shared" si="69"/>
        <v>38264.444188934474</v>
      </c>
      <c r="CG51" s="2">
        <f t="shared" si="16"/>
        <v>3630.8467974048435</v>
      </c>
      <c r="CH51" s="2">
        <f t="shared" si="70"/>
        <v>34633.597391529634</v>
      </c>
      <c r="CI51" s="2">
        <f t="shared" si="17"/>
        <v>3286.3220369997953</v>
      </c>
      <c r="CJ51" s="2">
        <f t="shared" si="71"/>
        <v>31347.27535452984</v>
      </c>
      <c r="CK51" s="2">
        <f t="shared" si="18"/>
        <v>2974.4886340535618</v>
      </c>
      <c r="CL51" s="2">
        <f t="shared" si="72"/>
        <v>28372.786720476277</v>
      </c>
      <c r="CM51" s="2">
        <f t="shared" si="19"/>
        <v>2692.2445623104873</v>
      </c>
      <c r="CN51" s="2">
        <f t="shared" si="73"/>
        <v>25680.54215816579</v>
      </c>
      <c r="CO51" s="2">
        <f t="shared" si="20"/>
        <v>2436.7821414105529</v>
      </c>
      <c r="CP51" s="2">
        <f t="shared" si="74"/>
        <v>23243.760016755237</v>
      </c>
      <c r="CQ51" s="2">
        <f t="shared" si="21"/>
        <v>2205.560106917434</v>
      </c>
      <c r="CR51" s="2">
        <f t="shared" si="75"/>
        <v>21038.199909837804</v>
      </c>
      <c r="CS51" s="2">
        <f t="shared" si="22"/>
        <v>1996.2783305731989</v>
      </c>
      <c r="CT51" s="2">
        <f t="shared" si="76"/>
        <v>19041.921579264606</v>
      </c>
      <c r="CU51" s="2">
        <f t="shared" si="23"/>
        <v>1806.8549393042242</v>
      </c>
      <c r="CV51" s="2">
        <f t="shared" si="77"/>
        <v>17235.066639960383</v>
      </c>
      <c r="CW51" s="2">
        <f t="shared" si="24"/>
        <v>1635.4056053649888</v>
      </c>
      <c r="CX51" s="2">
        <f t="shared" si="78"/>
        <v>15599.661034595394</v>
      </c>
      <c r="CY51" s="2">
        <f t="shared" si="25"/>
        <v>1480.224801604234</v>
      </c>
      <c r="CZ51" s="2">
        <f t="shared" si="79"/>
        <v>14119.43623299116</v>
      </c>
      <c r="DA51" s="2">
        <f t="shared" si="80"/>
        <v>1339.7688353864319</v>
      </c>
      <c r="DB51" s="2">
        <f t="shared" si="95"/>
        <v>12779.667397604728</v>
      </c>
      <c r="DC51" s="2">
        <f t="shared" si="108"/>
        <v>1212.6404923950449</v>
      </c>
      <c r="DD51" s="2">
        <f t="shared" si="96"/>
        <v>11567.026905209683</v>
      </c>
      <c r="DE51" s="2">
        <f t="shared" si="103"/>
        <v>1097.6004955250226</v>
      </c>
      <c r="DF51" s="2">
        <f t="shared" si="97"/>
        <v>10469.42640968466</v>
      </c>
      <c r="DG51" s="2">
        <f t="shared" si="104"/>
        <v>379.02640968465857</v>
      </c>
      <c r="DH51" s="2">
        <f t="shared" si="98"/>
        <v>10090.400000000001</v>
      </c>
      <c r="DI51" s="2">
        <f t="shared" si="105"/>
        <v>0</v>
      </c>
      <c r="DJ51" s="2">
        <f t="shared" si="82"/>
        <v>10090.400000000001</v>
      </c>
      <c r="DK51" s="2">
        <f t="shared" si="106"/>
        <v>0</v>
      </c>
      <c r="DL51" s="2">
        <f t="shared" si="83"/>
        <v>10090.400000000001</v>
      </c>
      <c r="DM51" s="2">
        <f t="shared" si="107"/>
        <v>0</v>
      </c>
      <c r="DN51" s="2">
        <f t="shared" si="84"/>
        <v>10090.400000000001</v>
      </c>
      <c r="DO51" s="2"/>
      <c r="DP51" s="2">
        <f t="shared" si="85"/>
        <v>10090.400000000001</v>
      </c>
      <c r="DQ51" s="2"/>
      <c r="DR51" s="2">
        <f t="shared" si="86"/>
        <v>10090.400000000001</v>
      </c>
      <c r="DS51" s="2"/>
      <c r="DT51" s="2">
        <f t="shared" si="26"/>
        <v>10090.400000000001</v>
      </c>
      <c r="DU51" s="2"/>
      <c r="DV51" s="2"/>
      <c r="DW51" s="266">
        <f t="shared" si="27"/>
        <v>10090.400000000001</v>
      </c>
      <c r="DX51" s="441">
        <f t="shared" si="87"/>
        <v>0</v>
      </c>
    </row>
    <row r="52" spans="1:128">
      <c r="A52" s="433">
        <f t="shared" si="28"/>
        <v>45</v>
      </c>
      <c r="B52" s="433" t="s">
        <v>493</v>
      </c>
      <c r="C52" s="434" t="s">
        <v>494</v>
      </c>
      <c r="D52" s="435">
        <v>0.1</v>
      </c>
      <c r="E52" s="442">
        <v>213431.5</v>
      </c>
      <c r="F52" s="437" t="s">
        <v>1001</v>
      </c>
      <c r="G52" s="438">
        <v>40770</v>
      </c>
      <c r="H52" s="438"/>
      <c r="I52" s="438"/>
      <c r="J52" s="438"/>
      <c r="K52" s="438"/>
      <c r="L52" s="438"/>
      <c r="M52" s="439"/>
      <c r="N52" s="436"/>
      <c r="O52" s="436"/>
      <c r="P52" s="433"/>
      <c r="Q52" s="436"/>
      <c r="R52" s="436"/>
      <c r="S52" s="433"/>
      <c r="T52" s="436"/>
      <c r="U52" s="436"/>
      <c r="V52" s="433">
        <f t="shared" si="33"/>
        <v>230</v>
      </c>
      <c r="W52" s="436">
        <f>186694/(U59+825639)*E52</f>
        <v>11688.1204355357</v>
      </c>
      <c r="X52" s="436">
        <f t="shared" si="34"/>
        <v>201743.3795644643</v>
      </c>
      <c r="Y52" s="433">
        <f t="shared" si="35"/>
        <v>365</v>
      </c>
      <c r="Z52" s="436">
        <f t="shared" si="88"/>
        <v>20174</v>
      </c>
      <c r="AA52" s="436">
        <f t="shared" si="89"/>
        <v>181569.3795644643</v>
      </c>
      <c r="AB52" s="433">
        <f t="shared" si="36"/>
        <v>365</v>
      </c>
      <c r="AC52" s="436">
        <f t="shared" si="37"/>
        <v>18157</v>
      </c>
      <c r="AD52" s="436">
        <f t="shared" si="38"/>
        <v>163412.3795644643</v>
      </c>
      <c r="AE52" s="436">
        <f t="shared" si="39"/>
        <v>50019.120435535704</v>
      </c>
      <c r="AF52" s="436">
        <f t="shared" si="40"/>
        <v>163412.3795644643</v>
      </c>
      <c r="AG52" s="436">
        <f t="shared" si="1"/>
        <v>0</v>
      </c>
      <c r="AH52" s="436">
        <f t="shared" si="41"/>
        <v>2.6301369863013697</v>
      </c>
      <c r="AI52" s="439">
        <v>30</v>
      </c>
      <c r="AJ52" s="436">
        <f t="shared" si="2"/>
        <v>27.36986301369863</v>
      </c>
      <c r="AK52" s="440">
        <f t="shared" si="42"/>
        <v>9.4888376156532228E-2</v>
      </c>
      <c r="AL52" s="2">
        <f t="shared" si="43"/>
        <v>0</v>
      </c>
      <c r="AM52" s="433">
        <f t="shared" si="44"/>
        <v>365</v>
      </c>
      <c r="AN52" s="436">
        <f t="shared" si="90"/>
        <v>16341</v>
      </c>
      <c r="AO52" s="436">
        <f t="shared" si="45"/>
        <v>15506</v>
      </c>
      <c r="AP52" s="436">
        <f t="shared" si="46"/>
        <v>147906</v>
      </c>
      <c r="AQ52" s="436">
        <f t="shared" si="91"/>
        <v>147906.3795644643</v>
      </c>
      <c r="AR52" s="436">
        <f t="shared" si="92"/>
        <v>0.37956446429598145</v>
      </c>
      <c r="AS52" s="436">
        <f t="shared" si="93"/>
        <v>-835</v>
      </c>
      <c r="AT52" s="2">
        <f t="shared" si="94"/>
        <v>147071.3795644643</v>
      </c>
      <c r="AU52" s="2">
        <f t="shared" si="3"/>
        <v>147906.3795644643</v>
      </c>
      <c r="AV52" s="2">
        <f t="shared" si="4"/>
        <v>0</v>
      </c>
      <c r="AW52" s="433">
        <f t="shared" si="47"/>
        <v>365</v>
      </c>
      <c r="AX52" s="2">
        <f t="shared" si="48"/>
        <v>14034.59618006372</v>
      </c>
      <c r="AY52" s="2">
        <f t="shared" si="49"/>
        <v>133871.78338440057</v>
      </c>
      <c r="AZ52" s="433">
        <f t="shared" si="50"/>
        <v>365</v>
      </c>
      <c r="BA52" s="2">
        <f t="shared" si="51"/>
        <v>12702.876138524802</v>
      </c>
      <c r="BB52" s="2">
        <f t="shared" si="52"/>
        <v>121168.90724587576</v>
      </c>
      <c r="BC52" s="2">
        <f t="shared" si="53"/>
        <v>21900</v>
      </c>
      <c r="BD52" s="433">
        <f t="shared" si="54"/>
        <v>2055</v>
      </c>
      <c r="BE52" s="439">
        <f t="shared" si="55"/>
        <v>19845</v>
      </c>
      <c r="BF52" s="433">
        <f t="shared" si="56"/>
        <v>365</v>
      </c>
      <c r="BG52" s="2">
        <f t="shared" si="57"/>
        <v>11497.520849222623</v>
      </c>
      <c r="BH52" s="2">
        <f t="shared" si="58"/>
        <v>109671.38639665314</v>
      </c>
      <c r="BI52" s="2">
        <f t="shared" si="5"/>
        <v>10406.539766014015</v>
      </c>
      <c r="BJ52" s="2">
        <f t="shared" si="6"/>
        <v>99264.84663063912</v>
      </c>
      <c r="BK52" s="2">
        <f t="shared" si="59"/>
        <v>9419.08</v>
      </c>
      <c r="BL52" s="2">
        <f t="shared" si="7"/>
        <v>89845.766630639118</v>
      </c>
      <c r="BM52" s="2"/>
      <c r="BN52" s="2">
        <f t="shared" si="60"/>
        <v>89845.766630639118</v>
      </c>
      <c r="BO52" s="2">
        <f t="shared" si="8"/>
        <v>8525.3189001200953</v>
      </c>
      <c r="BP52" s="2">
        <f t="shared" si="61"/>
        <v>81320.447730519023</v>
      </c>
      <c r="BQ52" s="2"/>
      <c r="BR52" s="2">
        <f t="shared" si="9"/>
        <v>81320.447730519023</v>
      </c>
      <c r="BS52" s="2">
        <f t="shared" si="62"/>
        <v>7716.3652334711069</v>
      </c>
      <c r="BT52" s="2">
        <f t="shared" si="63"/>
        <v>73604.082497047915</v>
      </c>
      <c r="BU52" s="2">
        <f t="shared" si="10"/>
        <v>6984.1718666363122</v>
      </c>
      <c r="BV52" s="2">
        <f t="shared" si="64"/>
        <v>66619.910630411599</v>
      </c>
      <c r="BW52" s="2">
        <f t="shared" si="11"/>
        <v>6321.4551394130558</v>
      </c>
      <c r="BX52" s="2">
        <f t="shared" si="65"/>
        <v>60298.455490998545</v>
      </c>
      <c r="BY52" s="2">
        <f t="shared" si="12"/>
        <v>5721.6225262877861</v>
      </c>
      <c r="BZ52" s="2">
        <f t="shared" si="66"/>
        <v>54576.83296471076</v>
      </c>
      <c r="CA52" s="2">
        <f t="shared" si="13"/>
        <v>5178.7070557877023</v>
      </c>
      <c r="CB52" s="2">
        <f t="shared" si="67"/>
        <v>49398.125908923059</v>
      </c>
      <c r="CC52" s="2">
        <f t="shared" si="14"/>
        <v>4687.3079526736319</v>
      </c>
      <c r="CD52" s="2">
        <f t="shared" si="68"/>
        <v>44710.817956249426</v>
      </c>
      <c r="CE52" s="2">
        <f t="shared" si="15"/>
        <v>4242.536912498831</v>
      </c>
      <c r="CF52" s="2">
        <f t="shared" si="69"/>
        <v>40468.281043750598</v>
      </c>
      <c r="CG52" s="2">
        <f t="shared" si="16"/>
        <v>3839.9694740876694</v>
      </c>
      <c r="CH52" s="2">
        <f t="shared" si="70"/>
        <v>36628.311569662925</v>
      </c>
      <c r="CI52" s="2">
        <f t="shared" si="17"/>
        <v>3475.6010062008372</v>
      </c>
      <c r="CJ52" s="2">
        <f t="shared" si="71"/>
        <v>33152.710563462089</v>
      </c>
      <c r="CK52" s="2">
        <f t="shared" si="18"/>
        <v>3145.8068705544301</v>
      </c>
      <c r="CL52" s="2">
        <f t="shared" si="72"/>
        <v>30006.903692907661</v>
      </c>
      <c r="CM52" s="2">
        <f t="shared" si="19"/>
        <v>2847.3063649054579</v>
      </c>
      <c r="CN52" s="2">
        <f t="shared" si="73"/>
        <v>27159.597328002204</v>
      </c>
      <c r="CO52" s="2">
        <f t="shared" si="20"/>
        <v>2577.1300875194206</v>
      </c>
      <c r="CP52" s="2">
        <f t="shared" si="74"/>
        <v>24582.467240482783</v>
      </c>
      <c r="CQ52" s="2">
        <f t="shared" si="21"/>
        <v>2332.5903983705612</v>
      </c>
      <c r="CR52" s="2">
        <f t="shared" si="75"/>
        <v>22249.876842112222</v>
      </c>
      <c r="CS52" s="2">
        <f t="shared" si="22"/>
        <v>2111.2546832308599</v>
      </c>
      <c r="CT52" s="2">
        <f t="shared" si="76"/>
        <v>20138.622158881364</v>
      </c>
      <c r="CU52" s="2">
        <f t="shared" si="23"/>
        <v>1910.92115468621</v>
      </c>
      <c r="CV52" s="2">
        <f t="shared" si="77"/>
        <v>18227.701004195154</v>
      </c>
      <c r="CW52" s="2">
        <f t="shared" si="24"/>
        <v>1729.59694935487</v>
      </c>
      <c r="CX52" s="2">
        <f t="shared" si="78"/>
        <v>16498.104054840285</v>
      </c>
      <c r="CY52" s="2">
        <f t="shared" si="25"/>
        <v>1565.4783034252946</v>
      </c>
      <c r="CZ52" s="2">
        <f t="shared" si="79"/>
        <v>14932.625751414991</v>
      </c>
      <c r="DA52" s="2">
        <f t="shared" si="80"/>
        <v>1416.9326093049854</v>
      </c>
      <c r="DB52" s="2">
        <f t="shared" si="95"/>
        <v>13515.693142110005</v>
      </c>
      <c r="DC52" s="2">
        <f t="shared" si="108"/>
        <v>1282.4821748847971</v>
      </c>
      <c r="DD52" s="2">
        <f t="shared" si="96"/>
        <v>12233.210967225208</v>
      </c>
      <c r="DE52" s="2">
        <f t="shared" si="103"/>
        <v>1160.8150071338598</v>
      </c>
      <c r="DF52" s="2">
        <f t="shared" si="97"/>
        <v>11072.395960091348</v>
      </c>
      <c r="DG52" s="2">
        <f t="shared" si="104"/>
        <v>400.82096009134693</v>
      </c>
      <c r="DH52" s="2">
        <f t="shared" si="98"/>
        <v>10671.575000000001</v>
      </c>
      <c r="DI52" s="2">
        <f t="shared" si="105"/>
        <v>0</v>
      </c>
      <c r="DJ52" s="2">
        <f t="shared" si="82"/>
        <v>10671.575000000001</v>
      </c>
      <c r="DK52" s="2">
        <f t="shared" si="106"/>
        <v>0</v>
      </c>
      <c r="DL52" s="2">
        <f t="shared" si="83"/>
        <v>10671.575000000001</v>
      </c>
      <c r="DM52" s="2">
        <f t="shared" si="107"/>
        <v>0</v>
      </c>
      <c r="DN52" s="2">
        <f t="shared" si="84"/>
        <v>10671.575000000001</v>
      </c>
      <c r="DO52" s="2"/>
      <c r="DP52" s="2">
        <f t="shared" si="85"/>
        <v>10671.575000000001</v>
      </c>
      <c r="DQ52" s="2"/>
      <c r="DR52" s="2">
        <f t="shared" si="86"/>
        <v>10671.575000000001</v>
      </c>
      <c r="DS52" s="2"/>
      <c r="DT52" s="2">
        <f t="shared" si="26"/>
        <v>10671.575000000001</v>
      </c>
      <c r="DU52" s="2"/>
      <c r="DV52" s="2"/>
      <c r="DW52" s="266">
        <f t="shared" si="27"/>
        <v>10671.575000000001</v>
      </c>
      <c r="DX52" s="441">
        <f t="shared" si="87"/>
        <v>0</v>
      </c>
    </row>
    <row r="53" spans="1:128">
      <c r="A53" s="433">
        <f t="shared" si="28"/>
        <v>46</v>
      </c>
      <c r="B53" s="433" t="s">
        <v>493</v>
      </c>
      <c r="C53" s="434" t="s">
        <v>494</v>
      </c>
      <c r="D53" s="435">
        <v>0.1</v>
      </c>
      <c r="E53" s="442">
        <v>44572</v>
      </c>
      <c r="F53" s="437" t="s">
        <v>1001</v>
      </c>
      <c r="G53" s="438">
        <v>40770</v>
      </c>
      <c r="H53" s="438"/>
      <c r="I53" s="438"/>
      <c r="J53" s="438"/>
      <c r="K53" s="438"/>
      <c r="L53" s="438"/>
      <c r="M53" s="439"/>
      <c r="N53" s="436"/>
      <c r="O53" s="436"/>
      <c r="P53" s="433"/>
      <c r="Q53" s="436"/>
      <c r="R53" s="436"/>
      <c r="S53" s="433"/>
      <c r="T53" s="436"/>
      <c r="U53" s="436"/>
      <c r="V53" s="433">
        <f t="shared" si="33"/>
        <v>230</v>
      </c>
      <c r="W53" s="436">
        <f>186694/(U59+825639)*E53</f>
        <v>2440.8904217638783</v>
      </c>
      <c r="X53" s="436">
        <f t="shared" si="34"/>
        <v>42131.109578236123</v>
      </c>
      <c r="Y53" s="433">
        <f t="shared" si="35"/>
        <v>365</v>
      </c>
      <c r="Z53" s="436">
        <f t="shared" si="88"/>
        <v>4213</v>
      </c>
      <c r="AA53" s="436">
        <f t="shared" si="89"/>
        <v>37918.109578236123</v>
      </c>
      <c r="AB53" s="433">
        <f t="shared" si="36"/>
        <v>365</v>
      </c>
      <c r="AC53" s="436">
        <f t="shared" si="37"/>
        <v>3792</v>
      </c>
      <c r="AD53" s="436">
        <f t="shared" si="38"/>
        <v>34126.109578236123</v>
      </c>
      <c r="AE53" s="436">
        <f t="shared" si="39"/>
        <v>10445.890421763877</v>
      </c>
      <c r="AF53" s="436">
        <f t="shared" si="40"/>
        <v>34126.109578236123</v>
      </c>
      <c r="AG53" s="436">
        <f t="shared" si="1"/>
        <v>0</v>
      </c>
      <c r="AH53" s="436">
        <f t="shared" si="41"/>
        <v>2.6301369863013697</v>
      </c>
      <c r="AI53" s="439">
        <v>30</v>
      </c>
      <c r="AJ53" s="436">
        <f t="shared" si="2"/>
        <v>27.36986301369863</v>
      </c>
      <c r="AK53" s="440">
        <f t="shared" si="42"/>
        <v>9.4888240740184204E-2</v>
      </c>
      <c r="AL53" s="2">
        <f t="shared" si="43"/>
        <v>0</v>
      </c>
      <c r="AM53" s="433">
        <f t="shared" si="44"/>
        <v>365</v>
      </c>
      <c r="AN53" s="436">
        <f t="shared" si="90"/>
        <v>3413</v>
      </c>
      <c r="AO53" s="436">
        <f t="shared" si="45"/>
        <v>3238</v>
      </c>
      <c r="AP53" s="436">
        <f t="shared" si="46"/>
        <v>30888</v>
      </c>
      <c r="AQ53" s="436">
        <f t="shared" si="91"/>
        <v>30888.109578236123</v>
      </c>
      <c r="AR53" s="436">
        <f t="shared" si="92"/>
        <v>0.10957823612261564</v>
      </c>
      <c r="AS53" s="436">
        <f t="shared" si="93"/>
        <v>-175</v>
      </c>
      <c r="AT53" s="2">
        <f t="shared" si="94"/>
        <v>30713.109578236123</v>
      </c>
      <c r="AU53" s="2">
        <f t="shared" si="3"/>
        <v>30888.109578236123</v>
      </c>
      <c r="AV53" s="2">
        <f t="shared" si="4"/>
        <v>0</v>
      </c>
      <c r="AW53" s="433">
        <f t="shared" si="47"/>
        <v>365</v>
      </c>
      <c r="AX53" s="2">
        <f t="shared" si="48"/>
        <v>2930.9183776688587</v>
      </c>
      <c r="AY53" s="2">
        <f t="shared" si="49"/>
        <v>27957.191200567264</v>
      </c>
      <c r="AZ53" s="433">
        <f t="shared" si="50"/>
        <v>365</v>
      </c>
      <c r="BA53" s="2">
        <f t="shared" si="51"/>
        <v>2652.8086890587861</v>
      </c>
      <c r="BB53" s="2">
        <f t="shared" si="52"/>
        <v>25304.382511508476</v>
      </c>
      <c r="BC53" s="2">
        <f t="shared" si="53"/>
        <v>21900</v>
      </c>
      <c r="BD53" s="433">
        <f t="shared" si="54"/>
        <v>2055</v>
      </c>
      <c r="BE53" s="439">
        <f t="shared" si="55"/>
        <v>19845</v>
      </c>
      <c r="BF53" s="433">
        <f t="shared" si="56"/>
        <v>365</v>
      </c>
      <c r="BG53" s="2">
        <f t="shared" si="57"/>
        <v>2401.0883395337232</v>
      </c>
      <c r="BH53" s="2">
        <f t="shared" si="58"/>
        <v>22903.294171974754</v>
      </c>
      <c r="BI53" s="2">
        <f t="shared" si="5"/>
        <v>2173.2532911335984</v>
      </c>
      <c r="BJ53" s="2">
        <f t="shared" si="6"/>
        <v>20730.040880841156</v>
      </c>
      <c r="BK53" s="2">
        <f t="shared" si="59"/>
        <v>1967.04</v>
      </c>
      <c r="BL53" s="2">
        <f t="shared" si="7"/>
        <v>18763.000880841155</v>
      </c>
      <c r="BM53" s="2"/>
      <c r="BN53" s="2">
        <f t="shared" si="60"/>
        <v>18763.000880841155</v>
      </c>
      <c r="BO53" s="2">
        <f t="shared" si="8"/>
        <v>1780.3881445895438</v>
      </c>
      <c r="BP53" s="2">
        <f t="shared" si="61"/>
        <v>16982.612736251613</v>
      </c>
      <c r="BQ53" s="2"/>
      <c r="BR53" s="2">
        <f t="shared" si="9"/>
        <v>16982.612736251613</v>
      </c>
      <c r="BS53" s="2">
        <f t="shared" si="62"/>
        <v>1611.4502457147614</v>
      </c>
      <c r="BT53" s="2">
        <f t="shared" si="63"/>
        <v>15371.162490536852</v>
      </c>
      <c r="BU53" s="2">
        <f t="shared" si="10"/>
        <v>1458.5425668585501</v>
      </c>
      <c r="BV53" s="2">
        <f t="shared" si="64"/>
        <v>13912.619923678301</v>
      </c>
      <c r="BW53" s="2">
        <f t="shared" si="11"/>
        <v>1320.1440286446698</v>
      </c>
      <c r="BX53" s="2">
        <f t="shared" si="65"/>
        <v>12592.475895033631</v>
      </c>
      <c r="BY53" s="2">
        <f t="shared" si="12"/>
        <v>1194.8778842429176</v>
      </c>
      <c r="BZ53" s="2">
        <f t="shared" si="66"/>
        <v>11397.598010790713</v>
      </c>
      <c r="CA53" s="2">
        <f t="shared" si="13"/>
        <v>1081.4980239077538</v>
      </c>
      <c r="CB53" s="2">
        <f t="shared" si="67"/>
        <v>10316.099986882959</v>
      </c>
      <c r="CC53" s="2">
        <f t="shared" si="14"/>
        <v>978.8765790551613</v>
      </c>
      <c r="CD53" s="2">
        <f t="shared" si="68"/>
        <v>9337.2234078277979</v>
      </c>
      <c r="CE53" s="2">
        <f t="shared" si="15"/>
        <v>885.99270256684724</v>
      </c>
      <c r="CF53" s="2">
        <f t="shared" si="69"/>
        <v>8451.2307052609503</v>
      </c>
      <c r="CG53" s="2">
        <f t="shared" si="16"/>
        <v>801.92241371163777</v>
      </c>
      <c r="CH53" s="2">
        <f t="shared" si="70"/>
        <v>7649.3082915493123</v>
      </c>
      <c r="CI53" s="2">
        <f t="shared" si="17"/>
        <v>725.82940666441834</v>
      </c>
      <c r="CJ53" s="2">
        <f t="shared" si="71"/>
        <v>6923.4788848848939</v>
      </c>
      <c r="CK53" s="2">
        <f t="shared" si="18"/>
        <v>656.95673118853995</v>
      </c>
      <c r="CL53" s="2">
        <f t="shared" si="72"/>
        <v>6266.5221536963536</v>
      </c>
      <c r="CM53" s="2">
        <f t="shared" si="19"/>
        <v>594.61926272363723</v>
      </c>
      <c r="CN53" s="2">
        <f t="shared" si="73"/>
        <v>5671.9028909727167</v>
      </c>
      <c r="CO53" s="2">
        <f t="shared" si="20"/>
        <v>538.19688697356594</v>
      </c>
      <c r="CP53" s="2">
        <f t="shared" si="74"/>
        <v>5133.7060039991511</v>
      </c>
      <c r="CQ53" s="2">
        <f t="shared" si="21"/>
        <v>487.1283311968005</v>
      </c>
      <c r="CR53" s="2">
        <f t="shared" si="75"/>
        <v>4646.5776728023502</v>
      </c>
      <c r="CS53" s="2">
        <f t="shared" si="22"/>
        <v>440.90558083483427</v>
      </c>
      <c r="CT53" s="2">
        <f t="shared" si="76"/>
        <v>4205.6720919675163</v>
      </c>
      <c r="CU53" s="2">
        <f t="shared" si="23"/>
        <v>399.06882593688783</v>
      </c>
      <c r="CV53" s="2">
        <f t="shared" si="77"/>
        <v>3806.6032660306282</v>
      </c>
      <c r="CW53" s="2">
        <f t="shared" si="24"/>
        <v>361.20188710948571</v>
      </c>
      <c r="CX53" s="2">
        <f t="shared" si="78"/>
        <v>3445.4013789211426</v>
      </c>
      <c r="CY53" s="2">
        <f t="shared" si="25"/>
        <v>326.92807548963202</v>
      </c>
      <c r="CZ53" s="2">
        <f t="shared" si="79"/>
        <v>3118.4733034315104</v>
      </c>
      <c r="DA53" s="2">
        <f t="shared" si="80"/>
        <v>295.90644555784667</v>
      </c>
      <c r="DB53" s="2">
        <f t="shared" si="95"/>
        <v>2822.5668578736636</v>
      </c>
      <c r="DC53" s="2">
        <f t="shared" si="108"/>
        <v>267.82840351518149</v>
      </c>
      <c r="DD53" s="2">
        <f t="shared" si="96"/>
        <v>2554.7384543584822</v>
      </c>
      <c r="DE53" s="2">
        <f t="shared" si="103"/>
        <v>242.4203052711641</v>
      </c>
      <c r="DF53" s="2">
        <f t="shared" si="97"/>
        <v>2312.318149087318</v>
      </c>
      <c r="DG53" s="2">
        <f t="shared" si="104"/>
        <v>83.718149087318125</v>
      </c>
      <c r="DH53" s="2">
        <f t="shared" si="98"/>
        <v>2228.6</v>
      </c>
      <c r="DI53" s="2">
        <f t="shared" si="105"/>
        <v>0</v>
      </c>
      <c r="DJ53" s="2">
        <f t="shared" si="82"/>
        <v>2228.6</v>
      </c>
      <c r="DK53" s="2">
        <f t="shared" si="106"/>
        <v>0</v>
      </c>
      <c r="DL53" s="2">
        <f t="shared" si="83"/>
        <v>2228.6</v>
      </c>
      <c r="DM53" s="2">
        <f t="shared" si="107"/>
        <v>0</v>
      </c>
      <c r="DN53" s="2">
        <f t="shared" si="84"/>
        <v>2228.6</v>
      </c>
      <c r="DO53" s="2"/>
      <c r="DP53" s="2">
        <f t="shared" si="85"/>
        <v>2228.6</v>
      </c>
      <c r="DQ53" s="2"/>
      <c r="DR53" s="2">
        <f t="shared" si="86"/>
        <v>2228.6</v>
      </c>
      <c r="DS53" s="2"/>
      <c r="DT53" s="2">
        <f t="shared" si="26"/>
        <v>2228.6</v>
      </c>
      <c r="DU53" s="2"/>
      <c r="DV53" s="2"/>
      <c r="DW53" s="266">
        <f t="shared" si="27"/>
        <v>2228.6</v>
      </c>
      <c r="DX53" s="441">
        <f t="shared" si="87"/>
        <v>0</v>
      </c>
    </row>
    <row r="54" spans="1:128">
      <c r="A54" s="433">
        <f t="shared" si="28"/>
        <v>47</v>
      </c>
      <c r="B54" s="433" t="s">
        <v>493</v>
      </c>
      <c r="C54" s="434" t="s">
        <v>494</v>
      </c>
      <c r="D54" s="435">
        <v>0.1</v>
      </c>
      <c r="E54" s="442">
        <v>40858</v>
      </c>
      <c r="F54" s="437" t="s">
        <v>1001</v>
      </c>
      <c r="G54" s="438">
        <v>40770</v>
      </c>
      <c r="H54" s="438"/>
      <c r="I54" s="438"/>
      <c r="J54" s="438"/>
      <c r="K54" s="438"/>
      <c r="L54" s="438"/>
      <c r="M54" s="439"/>
      <c r="N54" s="436"/>
      <c r="O54" s="436"/>
      <c r="P54" s="433"/>
      <c r="Q54" s="436"/>
      <c r="R54" s="436"/>
      <c r="S54" s="433"/>
      <c r="T54" s="436"/>
      <c r="U54" s="436"/>
      <c r="V54" s="433">
        <f t="shared" si="33"/>
        <v>230</v>
      </c>
      <c r="W54" s="436">
        <f>186694/(U59+825639)*E54</f>
        <v>2237.501140905244</v>
      </c>
      <c r="X54" s="436">
        <f t="shared" si="34"/>
        <v>38620.498859094754</v>
      </c>
      <c r="Y54" s="433">
        <f t="shared" si="35"/>
        <v>365</v>
      </c>
      <c r="Z54" s="436">
        <f t="shared" si="88"/>
        <v>3862</v>
      </c>
      <c r="AA54" s="436">
        <f t="shared" si="89"/>
        <v>34758.498859094754</v>
      </c>
      <c r="AB54" s="433">
        <f t="shared" si="36"/>
        <v>365</v>
      </c>
      <c r="AC54" s="436">
        <f t="shared" si="37"/>
        <v>3476</v>
      </c>
      <c r="AD54" s="436">
        <f t="shared" si="38"/>
        <v>31282.498859094754</v>
      </c>
      <c r="AE54" s="436">
        <f t="shared" si="39"/>
        <v>9575.501140905244</v>
      </c>
      <c r="AF54" s="436">
        <f t="shared" si="40"/>
        <v>31282.498859094754</v>
      </c>
      <c r="AG54" s="436">
        <f t="shared" si="1"/>
        <v>0</v>
      </c>
      <c r="AH54" s="436">
        <f t="shared" si="41"/>
        <v>2.6301369863013697</v>
      </c>
      <c r="AI54" s="439">
        <v>30</v>
      </c>
      <c r="AJ54" s="436">
        <f t="shared" si="2"/>
        <v>27.36986301369863</v>
      </c>
      <c r="AK54" s="440">
        <f t="shared" si="42"/>
        <v>9.4888215931853037E-2</v>
      </c>
      <c r="AL54" s="2">
        <f t="shared" si="43"/>
        <v>0</v>
      </c>
      <c r="AM54" s="433">
        <f t="shared" si="44"/>
        <v>365</v>
      </c>
      <c r="AN54" s="436">
        <f t="shared" si="90"/>
        <v>3128</v>
      </c>
      <c r="AO54" s="436">
        <f t="shared" si="45"/>
        <v>2968</v>
      </c>
      <c r="AP54" s="436">
        <f t="shared" si="46"/>
        <v>28314</v>
      </c>
      <c r="AQ54" s="436">
        <f t="shared" si="91"/>
        <v>28314.498859094754</v>
      </c>
      <c r="AR54" s="436">
        <f t="shared" si="92"/>
        <v>0.49885909475415247</v>
      </c>
      <c r="AS54" s="436">
        <f t="shared" si="93"/>
        <v>-160</v>
      </c>
      <c r="AT54" s="2">
        <f t="shared" si="94"/>
        <v>28154.498859094754</v>
      </c>
      <c r="AU54" s="2">
        <f t="shared" si="3"/>
        <v>28314.498859094754</v>
      </c>
      <c r="AV54" s="2">
        <f t="shared" si="4"/>
        <v>0</v>
      </c>
      <c r="AW54" s="433">
        <f t="shared" si="47"/>
        <v>365</v>
      </c>
      <c r="AX54" s="2">
        <f t="shared" si="48"/>
        <v>2686.7122817439895</v>
      </c>
      <c r="AY54" s="2">
        <f t="shared" si="49"/>
        <v>25627.786577350766</v>
      </c>
      <c r="AZ54" s="433">
        <f t="shared" si="50"/>
        <v>365</v>
      </c>
      <c r="BA54" s="2">
        <f t="shared" si="51"/>
        <v>2431.7749466071045</v>
      </c>
      <c r="BB54" s="2">
        <f t="shared" si="52"/>
        <v>23196.011630743662</v>
      </c>
      <c r="BC54" s="2">
        <f t="shared" si="53"/>
        <v>21900</v>
      </c>
      <c r="BD54" s="433">
        <f t="shared" si="54"/>
        <v>2055</v>
      </c>
      <c r="BE54" s="439">
        <f t="shared" si="55"/>
        <v>19845</v>
      </c>
      <c r="BF54" s="433">
        <f t="shared" si="56"/>
        <v>365</v>
      </c>
      <c r="BG54" s="2">
        <f t="shared" si="57"/>
        <v>2201.028160375779</v>
      </c>
      <c r="BH54" s="2">
        <f t="shared" si="58"/>
        <v>20994.983470367883</v>
      </c>
      <c r="BI54" s="2">
        <f t="shared" si="5"/>
        <v>1992.1765250219528</v>
      </c>
      <c r="BJ54" s="2">
        <f t="shared" si="6"/>
        <v>19002.806945345928</v>
      </c>
      <c r="BK54" s="2">
        <f t="shared" si="59"/>
        <v>1803.14</v>
      </c>
      <c r="BL54" s="2">
        <f t="shared" si="7"/>
        <v>17199.666945345929</v>
      </c>
      <c r="BM54" s="2"/>
      <c r="BN54" s="2">
        <f t="shared" si="60"/>
        <v>17199.666945345929</v>
      </c>
      <c r="BO54" s="2">
        <f t="shared" si="8"/>
        <v>1632.0457110659397</v>
      </c>
      <c r="BP54" s="2">
        <f t="shared" si="61"/>
        <v>15567.62123427999</v>
      </c>
      <c r="BQ54" s="2"/>
      <c r="BR54" s="2">
        <f t="shared" si="9"/>
        <v>15567.62123427999</v>
      </c>
      <c r="BS54" s="2">
        <f t="shared" si="62"/>
        <v>1477.1838052236601</v>
      </c>
      <c r="BT54" s="2">
        <f t="shared" si="63"/>
        <v>14090.43742905633</v>
      </c>
      <c r="BU54" s="2">
        <f t="shared" si="10"/>
        <v>1337.0164693425611</v>
      </c>
      <c r="BV54" s="2">
        <f t="shared" si="64"/>
        <v>12753.420959713769</v>
      </c>
      <c r="BW54" s="2">
        <f t="shared" si="11"/>
        <v>1210.1493618951404</v>
      </c>
      <c r="BX54" s="2">
        <f t="shared" si="65"/>
        <v>11543.271597818628</v>
      </c>
      <c r="BY54" s="2">
        <f t="shared" si="12"/>
        <v>1095.3204479338401</v>
      </c>
      <c r="BZ54" s="2">
        <f t="shared" si="66"/>
        <v>10447.951149884788</v>
      </c>
      <c r="CA54" s="2">
        <f t="shared" si="13"/>
        <v>991.38744475572003</v>
      </c>
      <c r="CB54" s="2">
        <f t="shared" si="67"/>
        <v>9456.5637051290687</v>
      </c>
      <c r="CC54" s="2">
        <f t="shared" si="14"/>
        <v>897.31645882561133</v>
      </c>
      <c r="CD54" s="2">
        <f t="shared" si="68"/>
        <v>8559.2472463034574</v>
      </c>
      <c r="CE54" s="2">
        <f t="shared" si="15"/>
        <v>812.17170092136098</v>
      </c>
      <c r="CF54" s="2">
        <f t="shared" si="69"/>
        <v>7747.0755453820966</v>
      </c>
      <c r="CG54" s="2">
        <f t="shared" si="16"/>
        <v>735.10617719059451</v>
      </c>
      <c r="CH54" s="2">
        <f t="shared" si="70"/>
        <v>7011.9693681915023</v>
      </c>
      <c r="CI54" s="2">
        <f t="shared" si="17"/>
        <v>665.35326351649439</v>
      </c>
      <c r="CJ54" s="2">
        <f t="shared" si="71"/>
        <v>6346.6161046750076</v>
      </c>
      <c r="CK54" s="2">
        <f t="shared" si="18"/>
        <v>602.21907937697813</v>
      </c>
      <c r="CL54" s="2">
        <f t="shared" si="72"/>
        <v>5744.3970252980298</v>
      </c>
      <c r="CM54" s="2">
        <f t="shared" si="19"/>
        <v>545.07558533477368</v>
      </c>
      <c r="CN54" s="2">
        <f t="shared" si="73"/>
        <v>5199.3214399632561</v>
      </c>
      <c r="CO54" s="2">
        <f t="shared" si="20"/>
        <v>493.35433549434651</v>
      </c>
      <c r="CP54" s="2">
        <f t="shared" si="74"/>
        <v>4705.9671044689094</v>
      </c>
      <c r="CQ54" s="2">
        <f t="shared" si="21"/>
        <v>446.54082277704305</v>
      </c>
      <c r="CR54" s="2">
        <f t="shared" si="75"/>
        <v>4259.4262816918663</v>
      </c>
      <c r="CS54" s="2">
        <f t="shared" si="22"/>
        <v>404.16936076298771</v>
      </c>
      <c r="CT54" s="2">
        <f t="shared" si="76"/>
        <v>3855.2569209288786</v>
      </c>
      <c r="CU54" s="2">
        <f t="shared" si="23"/>
        <v>365.81845118587029</v>
      </c>
      <c r="CV54" s="2">
        <f t="shared" si="77"/>
        <v>3489.4384697430082</v>
      </c>
      <c r="CW54" s="2">
        <f t="shared" si="24"/>
        <v>331.10659099788938</v>
      </c>
      <c r="CX54" s="2">
        <f t="shared" si="78"/>
        <v>3158.331878745119</v>
      </c>
      <c r="CY54" s="2">
        <f t="shared" si="25"/>
        <v>299.68847729482195</v>
      </c>
      <c r="CZ54" s="2">
        <f t="shared" si="79"/>
        <v>2858.643401450297</v>
      </c>
      <c r="DA54" s="2">
        <f t="shared" si="80"/>
        <v>271.25157234898262</v>
      </c>
      <c r="DB54" s="2">
        <f t="shared" si="95"/>
        <v>2587.3918291013142</v>
      </c>
      <c r="DC54" s="2">
        <f t="shared" si="108"/>
        <v>245.5129945800777</v>
      </c>
      <c r="DD54" s="2">
        <f t="shared" si="96"/>
        <v>2341.8788345212365</v>
      </c>
      <c r="DE54" s="2">
        <f t="shared" si="103"/>
        <v>222.22195818290743</v>
      </c>
      <c r="DF54" s="2">
        <f t="shared" si="97"/>
        <v>2119.6568763383293</v>
      </c>
      <c r="DG54" s="2">
        <f t="shared" si="104"/>
        <v>76.756876338329221</v>
      </c>
      <c r="DH54" s="2">
        <f t="shared" si="98"/>
        <v>2042.9</v>
      </c>
      <c r="DI54" s="2">
        <f t="shared" si="105"/>
        <v>0</v>
      </c>
      <c r="DJ54" s="2">
        <f t="shared" si="82"/>
        <v>2042.9</v>
      </c>
      <c r="DK54" s="2">
        <f t="shared" si="106"/>
        <v>0</v>
      </c>
      <c r="DL54" s="2">
        <f t="shared" si="83"/>
        <v>2042.9</v>
      </c>
      <c r="DM54" s="2">
        <f t="shared" si="107"/>
        <v>0</v>
      </c>
      <c r="DN54" s="2">
        <f t="shared" si="84"/>
        <v>2042.9</v>
      </c>
      <c r="DO54" s="2"/>
      <c r="DP54" s="2">
        <f t="shared" si="85"/>
        <v>2042.9</v>
      </c>
      <c r="DQ54" s="2"/>
      <c r="DR54" s="2">
        <f t="shared" si="86"/>
        <v>2042.9</v>
      </c>
      <c r="DS54" s="2"/>
      <c r="DT54" s="2">
        <f t="shared" si="26"/>
        <v>2042.9</v>
      </c>
      <c r="DU54" s="2"/>
      <c r="DV54" s="2"/>
      <c r="DW54" s="266">
        <f t="shared" si="27"/>
        <v>2042.9</v>
      </c>
      <c r="DX54" s="441">
        <f t="shared" si="87"/>
        <v>0</v>
      </c>
    </row>
    <row r="55" spans="1:128">
      <c r="A55" s="433">
        <f t="shared" si="28"/>
        <v>48</v>
      </c>
      <c r="B55" s="433" t="s">
        <v>493</v>
      </c>
      <c r="C55" s="434" t="s">
        <v>494</v>
      </c>
      <c r="D55" s="435">
        <v>0.1</v>
      </c>
      <c r="E55" s="442">
        <v>30000</v>
      </c>
      <c r="F55" s="437" t="s">
        <v>1001</v>
      </c>
      <c r="G55" s="438">
        <v>40770</v>
      </c>
      <c r="H55" s="438"/>
      <c r="I55" s="438"/>
      <c r="J55" s="438"/>
      <c r="K55" s="438"/>
      <c r="L55" s="438"/>
      <c r="M55" s="439"/>
      <c r="N55" s="436"/>
      <c r="O55" s="436"/>
      <c r="P55" s="433"/>
      <c r="Q55" s="436"/>
      <c r="R55" s="436"/>
      <c r="S55" s="433"/>
      <c r="T55" s="436"/>
      <c r="U55" s="436"/>
      <c r="V55" s="433">
        <f t="shared" si="33"/>
        <v>230</v>
      </c>
      <c r="W55" s="436">
        <f>186694/(U59+825639)*E55</f>
        <v>1642.885952008354</v>
      </c>
      <c r="X55" s="436">
        <f t="shared" si="34"/>
        <v>28357.114047991647</v>
      </c>
      <c r="Y55" s="433">
        <f t="shared" si="35"/>
        <v>365</v>
      </c>
      <c r="Z55" s="436">
        <f t="shared" si="88"/>
        <v>2836</v>
      </c>
      <c r="AA55" s="436">
        <f t="shared" si="89"/>
        <v>25521.114047991647</v>
      </c>
      <c r="AB55" s="433">
        <f t="shared" si="36"/>
        <v>365</v>
      </c>
      <c r="AC55" s="436">
        <f t="shared" si="37"/>
        <v>2552</v>
      </c>
      <c r="AD55" s="436">
        <f t="shared" si="38"/>
        <v>22969.114047991647</v>
      </c>
      <c r="AE55" s="436">
        <f t="shared" si="39"/>
        <v>7030.8859520083543</v>
      </c>
      <c r="AF55" s="436">
        <f t="shared" si="40"/>
        <v>22969.114047991647</v>
      </c>
      <c r="AG55" s="436">
        <f t="shared" si="1"/>
        <v>0</v>
      </c>
      <c r="AH55" s="436">
        <f t="shared" si="41"/>
        <v>2.6301369863013697</v>
      </c>
      <c r="AI55" s="439">
        <v>30</v>
      </c>
      <c r="AJ55" s="436">
        <f t="shared" si="2"/>
        <v>27.36986301369863</v>
      </c>
      <c r="AK55" s="440">
        <f t="shared" si="42"/>
        <v>9.4888113601561352E-2</v>
      </c>
      <c r="AL55" s="2">
        <f t="shared" si="43"/>
        <v>0</v>
      </c>
      <c r="AM55" s="433">
        <f t="shared" si="44"/>
        <v>365</v>
      </c>
      <c r="AN55" s="436">
        <f t="shared" si="90"/>
        <v>2297</v>
      </c>
      <c r="AO55" s="436">
        <f t="shared" si="45"/>
        <v>2179</v>
      </c>
      <c r="AP55" s="436">
        <f t="shared" si="46"/>
        <v>20790</v>
      </c>
      <c r="AQ55" s="436">
        <f t="shared" si="91"/>
        <v>20790.114047991647</v>
      </c>
      <c r="AR55" s="436">
        <f t="shared" si="92"/>
        <v>0.11404799164665747</v>
      </c>
      <c r="AS55" s="436">
        <f t="shared" si="93"/>
        <v>-118</v>
      </c>
      <c r="AT55" s="2">
        <f t="shared" si="94"/>
        <v>20672.114047991647</v>
      </c>
      <c r="AU55" s="2">
        <f t="shared" si="3"/>
        <v>20790.114047991647</v>
      </c>
      <c r="AV55" s="2">
        <f t="shared" si="4"/>
        <v>0</v>
      </c>
      <c r="AW55" s="433">
        <f t="shared" si="47"/>
        <v>365</v>
      </c>
      <c r="AX55" s="2">
        <f t="shared" si="48"/>
        <v>1972.734703575248</v>
      </c>
      <c r="AY55" s="2">
        <f t="shared" si="49"/>
        <v>18817.3793444164</v>
      </c>
      <c r="AZ55" s="433">
        <f t="shared" si="50"/>
        <v>365</v>
      </c>
      <c r="BA55" s="2">
        <f t="shared" si="51"/>
        <v>1785.5456289166575</v>
      </c>
      <c r="BB55" s="2">
        <f t="shared" si="52"/>
        <v>17031.833715499743</v>
      </c>
      <c r="BC55" s="2">
        <f t="shared" si="53"/>
        <v>21900</v>
      </c>
      <c r="BD55" s="433">
        <f t="shared" si="54"/>
        <v>2055</v>
      </c>
      <c r="BE55" s="439">
        <f t="shared" si="55"/>
        <v>19845</v>
      </c>
      <c r="BF55" s="433">
        <f t="shared" si="56"/>
        <v>365</v>
      </c>
      <c r="BG55" s="2">
        <f t="shared" si="57"/>
        <v>1616.1185724392424</v>
      </c>
      <c r="BH55" s="2">
        <f t="shared" si="58"/>
        <v>15415.715143060501</v>
      </c>
      <c r="BI55" s="2">
        <f t="shared" si="5"/>
        <v>1462.7681297440345</v>
      </c>
      <c r="BJ55" s="2">
        <f t="shared" si="6"/>
        <v>13952.947013316467</v>
      </c>
      <c r="BK55" s="2">
        <f t="shared" si="59"/>
        <v>1323.97</v>
      </c>
      <c r="BL55" s="2">
        <f t="shared" si="7"/>
        <v>12628.977013316467</v>
      </c>
      <c r="BM55" s="2"/>
      <c r="BN55" s="2">
        <f t="shared" si="60"/>
        <v>12628.977013316467</v>
      </c>
      <c r="BO55" s="2">
        <f t="shared" si="8"/>
        <v>1198.3398055110799</v>
      </c>
      <c r="BP55" s="2">
        <f t="shared" si="61"/>
        <v>11430.637207805388</v>
      </c>
      <c r="BQ55" s="2"/>
      <c r="BR55" s="2">
        <f t="shared" si="9"/>
        <v>11430.637207805388</v>
      </c>
      <c r="BS55" s="2">
        <f t="shared" si="62"/>
        <v>1084.6316019124718</v>
      </c>
      <c r="BT55" s="2">
        <f t="shared" si="63"/>
        <v>10346.005605892917</v>
      </c>
      <c r="BU55" s="2">
        <f t="shared" si="10"/>
        <v>981.71295525435767</v>
      </c>
      <c r="BV55" s="2">
        <f t="shared" si="64"/>
        <v>9364.2926506385593</v>
      </c>
      <c r="BW55" s="2">
        <f t="shared" si="11"/>
        <v>888.56006483205772</v>
      </c>
      <c r="BX55" s="2">
        <f t="shared" si="65"/>
        <v>8475.7325858065014</v>
      </c>
      <c r="BY55" s="2">
        <f t="shared" si="12"/>
        <v>804.24627645846272</v>
      </c>
      <c r="BZ55" s="2">
        <f t="shared" si="66"/>
        <v>7671.486309348039</v>
      </c>
      <c r="CA55" s="2">
        <f t="shared" si="13"/>
        <v>727.93286441423936</v>
      </c>
      <c r="CB55" s="2">
        <f t="shared" si="67"/>
        <v>6943.5534449337993</v>
      </c>
      <c r="CC55" s="2">
        <f t="shared" si="14"/>
        <v>658.860688081391</v>
      </c>
      <c r="CD55" s="2">
        <f t="shared" si="68"/>
        <v>6284.6927568524079</v>
      </c>
      <c r="CE55" s="2">
        <f t="shared" si="15"/>
        <v>596.3426402631211</v>
      </c>
      <c r="CF55" s="2">
        <f t="shared" si="69"/>
        <v>5688.3501165892867</v>
      </c>
      <c r="CG55" s="2">
        <f t="shared" si="16"/>
        <v>539.75681206837896</v>
      </c>
      <c r="CH55" s="2">
        <f t="shared" si="70"/>
        <v>5148.5933045209076</v>
      </c>
      <c r="CI55" s="2">
        <f t="shared" si="17"/>
        <v>488.54030636761803</v>
      </c>
      <c r="CJ55" s="2">
        <f t="shared" si="71"/>
        <v>4660.05299815329</v>
      </c>
      <c r="CK55" s="2">
        <f t="shared" si="18"/>
        <v>442.18363827806593</v>
      </c>
      <c r="CL55" s="2">
        <f t="shared" si="72"/>
        <v>4217.8693598752243</v>
      </c>
      <c r="CM55" s="2">
        <f t="shared" si="19"/>
        <v>400.22566697638513</v>
      </c>
      <c r="CN55" s="2">
        <f t="shared" si="73"/>
        <v>3817.6436928988392</v>
      </c>
      <c r="CO55" s="2">
        <f t="shared" si="20"/>
        <v>362.24900842206927</v>
      </c>
      <c r="CP55" s="2">
        <f t="shared" si="74"/>
        <v>3455.3946844767697</v>
      </c>
      <c r="CQ55" s="2">
        <f t="shared" si="21"/>
        <v>327.87588335886295</v>
      </c>
      <c r="CR55" s="2">
        <f t="shared" si="75"/>
        <v>3127.5188011179066</v>
      </c>
      <c r="CS55" s="2">
        <f t="shared" si="22"/>
        <v>296.76435929149488</v>
      </c>
      <c r="CT55" s="2">
        <f t="shared" si="76"/>
        <v>2830.7544418264115</v>
      </c>
      <c r="CU55" s="2">
        <f t="shared" si="23"/>
        <v>268.6049490541489</v>
      </c>
      <c r="CV55" s="2">
        <f t="shared" si="77"/>
        <v>2562.1494927722624</v>
      </c>
      <c r="CW55" s="2">
        <f t="shared" si="24"/>
        <v>243.11753213435725</v>
      </c>
      <c r="CX55" s="2">
        <f t="shared" si="78"/>
        <v>2319.0319606379053</v>
      </c>
      <c r="CY55" s="2">
        <f t="shared" si="25"/>
        <v>220.04856812666111</v>
      </c>
      <c r="CZ55" s="2">
        <f t="shared" si="79"/>
        <v>2098.9833925112443</v>
      </c>
      <c r="DA55" s="2">
        <f t="shared" si="80"/>
        <v>199.1685745963976</v>
      </c>
      <c r="DB55" s="2">
        <f t="shared" si="95"/>
        <v>1899.8148179148468</v>
      </c>
      <c r="DC55" s="2">
        <f t="shared" si="108"/>
        <v>180.26984426423357</v>
      </c>
      <c r="DD55" s="2">
        <f t="shared" si="96"/>
        <v>1719.5449736506132</v>
      </c>
      <c r="DE55" s="2">
        <f t="shared" si="103"/>
        <v>163.16841230017533</v>
      </c>
      <c r="DF55" s="2">
        <f t="shared" si="97"/>
        <v>1556.3765613504379</v>
      </c>
      <c r="DG55" s="2">
        <f t="shared" si="104"/>
        <v>56.376561350437896</v>
      </c>
      <c r="DH55" s="2">
        <f t="shared" si="98"/>
        <v>1500</v>
      </c>
      <c r="DI55" s="2">
        <f t="shared" si="105"/>
        <v>0</v>
      </c>
      <c r="DJ55" s="2">
        <f t="shared" si="82"/>
        <v>1500</v>
      </c>
      <c r="DK55" s="2">
        <f t="shared" si="106"/>
        <v>0</v>
      </c>
      <c r="DL55" s="2">
        <f t="shared" si="83"/>
        <v>1500</v>
      </c>
      <c r="DM55" s="2">
        <f t="shared" si="107"/>
        <v>0</v>
      </c>
      <c r="DN55" s="2">
        <f t="shared" si="84"/>
        <v>1500</v>
      </c>
      <c r="DO55" s="2"/>
      <c r="DP55" s="2">
        <f t="shared" si="85"/>
        <v>1500</v>
      </c>
      <c r="DQ55" s="2"/>
      <c r="DR55" s="2">
        <f t="shared" si="86"/>
        <v>1500</v>
      </c>
      <c r="DS55" s="2"/>
      <c r="DT55" s="2">
        <f t="shared" si="26"/>
        <v>1500</v>
      </c>
      <c r="DU55" s="2"/>
      <c r="DV55" s="2"/>
      <c r="DW55" s="266">
        <f t="shared" si="27"/>
        <v>1500</v>
      </c>
      <c r="DX55" s="441">
        <f t="shared" si="87"/>
        <v>0</v>
      </c>
    </row>
    <row r="56" spans="1:128">
      <c r="A56" s="433">
        <f t="shared" si="28"/>
        <v>49</v>
      </c>
      <c r="B56" s="433" t="s">
        <v>493</v>
      </c>
      <c r="C56" s="434" t="s">
        <v>494</v>
      </c>
      <c r="D56" s="435">
        <v>0.1</v>
      </c>
      <c r="E56" s="442">
        <v>11800</v>
      </c>
      <c r="F56" s="437" t="s">
        <v>1001</v>
      </c>
      <c r="G56" s="438">
        <v>40770</v>
      </c>
      <c r="H56" s="438"/>
      <c r="I56" s="438"/>
      <c r="J56" s="438"/>
      <c r="K56" s="438"/>
      <c r="L56" s="438"/>
      <c r="M56" s="439"/>
      <c r="N56" s="436"/>
      <c r="O56" s="436"/>
      <c r="P56" s="433"/>
      <c r="Q56" s="436"/>
      <c r="R56" s="436"/>
      <c r="S56" s="433"/>
      <c r="T56" s="436"/>
      <c r="U56" s="436"/>
      <c r="V56" s="433">
        <f t="shared" si="33"/>
        <v>230</v>
      </c>
      <c r="W56" s="436">
        <f>186694/(U59+825639)*E56-0.04</f>
        <v>646.1618077899526</v>
      </c>
      <c r="X56" s="436">
        <f t="shared" si="34"/>
        <v>11153.838192210047</v>
      </c>
      <c r="Y56" s="433">
        <f t="shared" si="35"/>
        <v>365</v>
      </c>
      <c r="Z56" s="436">
        <f t="shared" si="88"/>
        <v>1115</v>
      </c>
      <c r="AA56" s="436">
        <f t="shared" si="89"/>
        <v>10038.838192210047</v>
      </c>
      <c r="AB56" s="433">
        <f t="shared" si="36"/>
        <v>365</v>
      </c>
      <c r="AC56" s="436">
        <f t="shared" si="37"/>
        <v>1004</v>
      </c>
      <c r="AD56" s="436">
        <f t="shared" si="38"/>
        <v>9034.8381922100471</v>
      </c>
      <c r="AE56" s="436">
        <f t="shared" si="39"/>
        <v>2765.1618077899525</v>
      </c>
      <c r="AF56" s="436">
        <f t="shared" si="40"/>
        <v>9034.8381922100471</v>
      </c>
      <c r="AG56" s="436">
        <f t="shared" si="1"/>
        <v>0</v>
      </c>
      <c r="AH56" s="436">
        <f t="shared" si="41"/>
        <v>2.6301369863013697</v>
      </c>
      <c r="AI56" s="439">
        <v>30</v>
      </c>
      <c r="AJ56" s="436">
        <f t="shared" si="2"/>
        <v>27.36986301369863</v>
      </c>
      <c r="AK56" s="440">
        <f t="shared" si="42"/>
        <v>9.4889284897544557E-2</v>
      </c>
      <c r="AL56" s="2">
        <f t="shared" si="43"/>
        <v>0</v>
      </c>
      <c r="AM56" s="433">
        <f t="shared" si="44"/>
        <v>365</v>
      </c>
      <c r="AN56" s="436">
        <f t="shared" si="90"/>
        <v>903</v>
      </c>
      <c r="AO56" s="436">
        <f t="shared" si="45"/>
        <v>857</v>
      </c>
      <c r="AP56" s="436">
        <f t="shared" si="46"/>
        <v>8178</v>
      </c>
      <c r="AQ56" s="436">
        <f t="shared" si="91"/>
        <v>8177.8381922100471</v>
      </c>
      <c r="AR56" s="436">
        <f t="shared" si="92"/>
        <v>-0.16180778995294531</v>
      </c>
      <c r="AS56" s="436">
        <f t="shared" si="93"/>
        <v>-46</v>
      </c>
      <c r="AT56" s="2">
        <f t="shared" si="94"/>
        <v>8131.8381922100471</v>
      </c>
      <c r="AU56" s="2">
        <f t="shared" si="3"/>
        <v>8177.8381922100471</v>
      </c>
      <c r="AV56" s="2">
        <f t="shared" si="4"/>
        <v>0</v>
      </c>
      <c r="AW56" s="433">
        <f t="shared" si="47"/>
        <v>365</v>
      </c>
      <c r="AX56" s="2">
        <f t="shared" si="48"/>
        <v>775.98921806663986</v>
      </c>
      <c r="AY56" s="2">
        <f t="shared" si="49"/>
        <v>7401.8489741434068</v>
      </c>
      <c r="AZ56" s="433">
        <f t="shared" si="50"/>
        <v>365</v>
      </c>
      <c r="BA56" s="2">
        <f t="shared" si="51"/>
        <v>702.35615607609168</v>
      </c>
      <c r="BB56" s="2">
        <f t="shared" si="52"/>
        <v>6699.4928180673151</v>
      </c>
      <c r="BC56" s="2">
        <f t="shared" si="53"/>
        <v>21900</v>
      </c>
      <c r="BD56" s="433">
        <f t="shared" si="54"/>
        <v>2055</v>
      </c>
      <c r="BE56" s="439">
        <f t="shared" si="55"/>
        <v>19845</v>
      </c>
      <c r="BF56" s="433">
        <f t="shared" si="56"/>
        <v>365</v>
      </c>
      <c r="BG56" s="2">
        <f>IF(BE56&gt;365,IF(BF56=365,BB56*AK56,BB56*AK56*BF56/365),0)</f>
        <v>635.71008268264313</v>
      </c>
      <c r="BH56" s="2">
        <f t="shared" si="58"/>
        <v>6063.7827353846715</v>
      </c>
      <c r="BI56" s="2">
        <f t="shared" si="5"/>
        <v>575.3880075347281</v>
      </c>
      <c r="BJ56" s="2">
        <f t="shared" si="6"/>
        <v>5488.3947278499436</v>
      </c>
      <c r="BK56" s="2">
        <f t="shared" si="59"/>
        <v>520.79</v>
      </c>
      <c r="BL56" s="2">
        <f t="shared" si="7"/>
        <v>4967.6047278499436</v>
      </c>
      <c r="BM56" s="2"/>
      <c r="BN56" s="2">
        <f t="shared" si="60"/>
        <v>4967.6047278499436</v>
      </c>
      <c r="BO56" s="2">
        <f t="shared" si="8"/>
        <v>471.37246027934259</v>
      </c>
      <c r="BP56" s="2">
        <f t="shared" si="61"/>
        <v>4496.2322675706009</v>
      </c>
      <c r="BQ56" s="2"/>
      <c r="BR56" s="2">
        <f t="shared" si="9"/>
        <v>4496.2322675706009</v>
      </c>
      <c r="BS56" s="2">
        <f t="shared" si="62"/>
        <v>426.64426460303952</v>
      </c>
      <c r="BT56" s="2">
        <f t="shared" si="63"/>
        <v>4069.5880029675614</v>
      </c>
      <c r="BU56" s="2">
        <f t="shared" si="10"/>
        <v>386.16029542921831</v>
      </c>
      <c r="BV56" s="2">
        <f t="shared" si="64"/>
        <v>3683.4277075383429</v>
      </c>
      <c r="BW56" s="2">
        <f t="shared" si="11"/>
        <v>349.51782114011525</v>
      </c>
      <c r="BX56" s="2">
        <f t="shared" si="65"/>
        <v>3333.9098863982276</v>
      </c>
      <c r="BY56" s="2">
        <f t="shared" si="12"/>
        <v>316.35232503318184</v>
      </c>
      <c r="BZ56" s="2">
        <f t="shared" si="66"/>
        <v>3017.5575613650458</v>
      </c>
      <c r="CA56" s="2">
        <f t="shared" si="13"/>
        <v>286.33387913510762</v>
      </c>
      <c r="CB56" s="2">
        <f t="shared" si="67"/>
        <v>2731.2236822299383</v>
      </c>
      <c r="CC56" s="2">
        <f t="shared" si="14"/>
        <v>259.16386210203734</v>
      </c>
      <c r="CD56" s="2">
        <f t="shared" si="68"/>
        <v>2472.0598201279008</v>
      </c>
      <c r="CE56" s="2">
        <f t="shared" si="15"/>
        <v>234.57198855588913</v>
      </c>
      <c r="CF56" s="2">
        <f t="shared" si="69"/>
        <v>2237.4878315720116</v>
      </c>
      <c r="CG56" s="2">
        <f t="shared" si="16"/>
        <v>212.3136203048258</v>
      </c>
      <c r="CH56" s="2">
        <f t="shared" si="70"/>
        <v>2025.1742112671859</v>
      </c>
      <c r="CI56" s="2">
        <f t="shared" si="17"/>
        <v>192.16733270009209</v>
      </c>
      <c r="CJ56" s="2">
        <f t="shared" si="71"/>
        <v>1833.0068785670937</v>
      </c>
      <c r="CK56" s="2">
        <f t="shared" si="18"/>
        <v>173.9327119195118</v>
      </c>
      <c r="CL56" s="2">
        <f t="shared" si="72"/>
        <v>1659.0741666475819</v>
      </c>
      <c r="CM56" s="2">
        <f t="shared" si="19"/>
        <v>157.42836126517872</v>
      </c>
      <c r="CN56" s="2">
        <f t="shared" si="73"/>
        <v>1501.6458053824033</v>
      </c>
      <c r="CO56" s="2">
        <f t="shared" si="20"/>
        <v>142.49009664213361</v>
      </c>
      <c r="CP56" s="2">
        <f t="shared" si="74"/>
        <v>1359.1557087402698</v>
      </c>
      <c r="CQ56" s="2">
        <f t="shared" si="21"/>
        <v>128.96931326677955</v>
      </c>
      <c r="CR56" s="2">
        <f t="shared" si="75"/>
        <v>1230.1863954734902</v>
      </c>
      <c r="CS56" s="2">
        <f t="shared" si="22"/>
        <v>116.73150735716743</v>
      </c>
      <c r="CT56" s="2">
        <f t="shared" si="76"/>
        <v>1113.4548881163228</v>
      </c>
      <c r="CU56" s="2">
        <f t="shared" si="23"/>
        <v>105.65493809903334</v>
      </c>
      <c r="CV56" s="2">
        <f t="shared" si="77"/>
        <v>1007.7999500172895</v>
      </c>
      <c r="CW56" s="2">
        <f t="shared" si="24"/>
        <v>95.629416576921741</v>
      </c>
      <c r="CX56" s="2">
        <f t="shared" si="78"/>
        <v>912.17053344036776</v>
      </c>
      <c r="CY56" s="2">
        <f t="shared" si="25"/>
        <v>86.555209622768245</v>
      </c>
      <c r="CZ56" s="2">
        <f t="shared" si="79"/>
        <v>825.61532381759957</v>
      </c>
      <c r="DA56" s="2">
        <f t="shared" si="80"/>
        <v>78.342047677506713</v>
      </c>
      <c r="DB56" s="2">
        <f t="shared" si="95"/>
        <v>747.27327614009289</v>
      </c>
      <c r="DC56" s="2">
        <f t="shared" si="108"/>
        <v>70.908226795978763</v>
      </c>
      <c r="DD56" s="2">
        <f t="shared" si="96"/>
        <v>676.36504934411414</v>
      </c>
      <c r="DE56" s="2">
        <f t="shared" si="103"/>
        <v>64.180590172358421</v>
      </c>
      <c r="DF56" s="2">
        <f t="shared" si="97"/>
        <v>612.18445917175575</v>
      </c>
      <c r="DG56" s="2">
        <f t="shared" si="104"/>
        <v>22.184459171755748</v>
      </c>
      <c r="DH56" s="2">
        <f t="shared" si="98"/>
        <v>590</v>
      </c>
      <c r="DI56" s="2">
        <f t="shared" si="105"/>
        <v>0</v>
      </c>
      <c r="DJ56" s="2">
        <f t="shared" si="82"/>
        <v>590</v>
      </c>
      <c r="DK56" s="2">
        <f t="shared" si="106"/>
        <v>0</v>
      </c>
      <c r="DL56" s="2">
        <f t="shared" si="83"/>
        <v>590</v>
      </c>
      <c r="DM56" s="2">
        <f t="shared" si="107"/>
        <v>0</v>
      </c>
      <c r="DN56" s="2">
        <f t="shared" si="84"/>
        <v>590</v>
      </c>
      <c r="DO56" s="2"/>
      <c r="DP56" s="2">
        <f t="shared" si="85"/>
        <v>590</v>
      </c>
      <c r="DQ56" s="2"/>
      <c r="DR56" s="2">
        <f t="shared" si="86"/>
        <v>590</v>
      </c>
      <c r="DS56" s="2"/>
      <c r="DT56" s="2">
        <f t="shared" si="26"/>
        <v>590</v>
      </c>
      <c r="DU56" s="2"/>
      <c r="DV56" s="2"/>
      <c r="DW56" s="266">
        <f t="shared" si="27"/>
        <v>590</v>
      </c>
      <c r="DX56" s="441">
        <f t="shared" si="87"/>
        <v>0</v>
      </c>
    </row>
    <row r="57" spans="1:128">
      <c r="A57" s="433">
        <f t="shared" si="28"/>
        <v>50</v>
      </c>
      <c r="B57" s="433" t="s">
        <v>924</v>
      </c>
      <c r="C57" s="434" t="s">
        <v>494</v>
      </c>
      <c r="D57" s="435">
        <v>0.1</v>
      </c>
      <c r="E57" s="330">
        <v>75875767.75</v>
      </c>
      <c r="F57" s="269" t="s">
        <v>921</v>
      </c>
      <c r="G57" s="438">
        <v>43221</v>
      </c>
      <c r="H57" s="443">
        <f>DATE(YEAR(G57)+I57,MONTH(G57),DAY(G57))-1</f>
        <v>54178</v>
      </c>
      <c r="I57" s="267">
        <v>30</v>
      </c>
      <c r="J57" s="267">
        <f>IF(($BI$6-$G57+1)&gt;365,365,($BI$6-$G57+1))</f>
        <v>335</v>
      </c>
      <c r="K57" s="267">
        <f>365-J57</f>
        <v>30</v>
      </c>
      <c r="L57" s="149"/>
      <c r="M57" s="439"/>
      <c r="N57" s="436"/>
      <c r="O57" s="436"/>
      <c r="P57" s="433"/>
      <c r="Q57" s="436"/>
      <c r="R57" s="436"/>
      <c r="S57" s="433"/>
      <c r="T57" s="436"/>
      <c r="U57" s="436"/>
      <c r="V57" s="433"/>
      <c r="W57" s="436"/>
      <c r="X57" s="436"/>
      <c r="Y57" s="433"/>
      <c r="Z57" s="436"/>
      <c r="AA57" s="436"/>
      <c r="AB57" s="433"/>
      <c r="AC57" s="436"/>
      <c r="AD57" s="436"/>
      <c r="AE57" s="436"/>
      <c r="AF57" s="436"/>
      <c r="AG57" s="436"/>
      <c r="AH57" s="436">
        <v>0</v>
      </c>
      <c r="AI57" s="439">
        <v>30</v>
      </c>
      <c r="AJ57" s="436">
        <f t="shared" si="2"/>
        <v>30</v>
      </c>
      <c r="AK57" s="440">
        <v>9.5000000000000001E-2</v>
      </c>
      <c r="AL57" s="2"/>
      <c r="AM57" s="433"/>
      <c r="AN57" s="436"/>
      <c r="AO57" s="436"/>
      <c r="AP57" s="436"/>
      <c r="AQ57" s="436"/>
      <c r="AR57" s="436"/>
      <c r="AS57" s="436"/>
      <c r="AT57" s="2"/>
      <c r="AU57" s="2"/>
      <c r="AV57" s="2"/>
      <c r="AW57" s="433"/>
      <c r="AX57" s="2"/>
      <c r="AY57" s="2"/>
      <c r="AZ57" s="433"/>
      <c r="BA57" s="2"/>
      <c r="BB57" s="2"/>
      <c r="BC57" s="2"/>
      <c r="BD57" s="433"/>
      <c r="BE57" s="439"/>
      <c r="BF57" s="433"/>
      <c r="BG57" s="2"/>
      <c r="BH57" s="2"/>
      <c r="BI57" s="2">
        <f>ROUND(+E57*AK57*J57/365,0)</f>
        <v>6615743</v>
      </c>
      <c r="BJ57" s="2">
        <f>+E57-BI57</f>
        <v>69260024.75</v>
      </c>
      <c r="BK57" s="2">
        <f t="shared" si="59"/>
        <v>6579702.3499999996</v>
      </c>
      <c r="BL57" s="2">
        <f t="shared" si="7"/>
        <v>62680322.399999999</v>
      </c>
      <c r="BM57" s="2"/>
      <c r="BN57" s="2">
        <f t="shared" si="60"/>
        <v>62680322.399999999</v>
      </c>
      <c r="BO57" s="2">
        <f>ROUND(+BL57*$AK57,0)</f>
        <v>5954631</v>
      </c>
      <c r="BP57" s="2">
        <f t="shared" si="61"/>
        <v>56725691.399999999</v>
      </c>
      <c r="BQ57" s="2"/>
      <c r="BR57" s="2">
        <f t="shared" si="9"/>
        <v>56725691.399999999</v>
      </c>
      <c r="BS57" s="2">
        <f t="shared" si="62"/>
        <v>5388940.6830000002</v>
      </c>
      <c r="BT57" s="2">
        <f t="shared" si="63"/>
        <v>51336750.717</v>
      </c>
      <c r="BU57" s="2">
        <f>ROUND(+BT57*$AK57,0)</f>
        <v>4876991</v>
      </c>
      <c r="BV57" s="2">
        <f t="shared" si="64"/>
        <v>46459759.717</v>
      </c>
      <c r="BW57" s="2">
        <f>ROUND(+BV57*$AK57,0)</f>
        <v>4413677</v>
      </c>
      <c r="BX57" s="2">
        <f t="shared" si="65"/>
        <v>42046082.717</v>
      </c>
      <c r="BY57" s="2">
        <f>ROUND(+BX57*$AK57,0)</f>
        <v>3994378</v>
      </c>
      <c r="BZ57" s="2">
        <f t="shared" si="66"/>
        <v>38051704.717</v>
      </c>
      <c r="CA57" s="2">
        <f>ROUND(+BZ57*$AK57,0)</f>
        <v>3614912</v>
      </c>
      <c r="CB57" s="2">
        <f t="shared" si="67"/>
        <v>34436792.717</v>
      </c>
      <c r="CC57" s="2">
        <f>ROUND(+CB57*$AK57,0)</f>
        <v>3271495</v>
      </c>
      <c r="CD57" s="2">
        <f t="shared" si="68"/>
        <v>31165297.717</v>
      </c>
      <c r="CE57" s="2">
        <f>ROUND(+CD57*$AK57,0)</f>
        <v>2960703</v>
      </c>
      <c r="CF57" s="2">
        <f t="shared" si="69"/>
        <v>28204594.717</v>
      </c>
      <c r="CG57" s="2">
        <f>ROUND(+CF57*$AK57,0)</f>
        <v>2679436</v>
      </c>
      <c r="CH57" s="2">
        <f t="shared" si="70"/>
        <v>25525158.717</v>
      </c>
      <c r="CI57" s="2">
        <f>ROUND(+CH57*$AK57,0)</f>
        <v>2424890</v>
      </c>
      <c r="CJ57" s="2">
        <f t="shared" si="71"/>
        <v>23100268.717</v>
      </c>
      <c r="CK57" s="2">
        <f>ROUND(+CJ57*$AK57,0)</f>
        <v>2194526</v>
      </c>
      <c r="CL57" s="2">
        <f t="shared" si="72"/>
        <v>20905742.717</v>
      </c>
      <c r="CM57" s="2">
        <f>ROUND(+CL57*$AK57,0)</f>
        <v>1986046</v>
      </c>
      <c r="CN57" s="2">
        <f t="shared" si="73"/>
        <v>18919696.717</v>
      </c>
      <c r="CO57" s="2">
        <f>ROUND(+CN57*$AK57,0)</f>
        <v>1797371</v>
      </c>
      <c r="CP57" s="2">
        <f t="shared" si="74"/>
        <v>17122325.717</v>
      </c>
      <c r="CQ57" s="2">
        <f>ROUND(+CP57*$AK57,0)</f>
        <v>1626621</v>
      </c>
      <c r="CR57" s="2">
        <f t="shared" si="75"/>
        <v>15495704.717</v>
      </c>
      <c r="CS57" s="2">
        <f>ROUND(+CR57*$AK57,0)</f>
        <v>1472092</v>
      </c>
      <c r="CT57" s="2">
        <f t="shared" si="76"/>
        <v>14023612.717</v>
      </c>
      <c r="CU57" s="2">
        <f>ROUND(+CT57*$AK57,0)</f>
        <v>1332243</v>
      </c>
      <c r="CV57" s="2">
        <f t="shared" si="77"/>
        <v>12691369.717</v>
      </c>
      <c r="CW57" s="2">
        <f>ROUND(+CV57*$AK57,0)</f>
        <v>1205680</v>
      </c>
      <c r="CX57" s="2">
        <f t="shared" si="78"/>
        <v>11485689.717</v>
      </c>
      <c r="CY57" s="2">
        <f>ROUND(+CX57*$AK57,0)</f>
        <v>1091141</v>
      </c>
      <c r="CZ57" s="2">
        <f t="shared" si="79"/>
        <v>10394548.717</v>
      </c>
      <c r="DA57" s="2">
        <f>ROUND(+CZ57*$AK57,0)</f>
        <v>987482</v>
      </c>
      <c r="DB57" s="2">
        <f t="shared" si="95"/>
        <v>9407066.7170000002</v>
      </c>
      <c r="DC57" s="2">
        <f>ROUND(+DB57*$AK57,0)</f>
        <v>893671</v>
      </c>
      <c r="DD57" s="2">
        <f t="shared" si="96"/>
        <v>8513395.7170000002</v>
      </c>
      <c r="DE57" s="2">
        <f>ROUND(+DD57*$AK57,0)</f>
        <v>808773</v>
      </c>
      <c r="DF57" s="2">
        <f t="shared" si="97"/>
        <v>7704622.7170000002</v>
      </c>
      <c r="DG57" s="2">
        <f>ROUND(+DF57*$AK57,0)</f>
        <v>731939</v>
      </c>
      <c r="DH57" s="2">
        <f t="shared" si="98"/>
        <v>6972683.7170000002</v>
      </c>
      <c r="DI57" s="2">
        <f>ROUND(+DH57*$AK57,0)</f>
        <v>662405</v>
      </c>
      <c r="DJ57" s="2">
        <f t="shared" si="82"/>
        <v>6310278.7170000002</v>
      </c>
      <c r="DK57" s="2">
        <f>ROUND(+DJ57*$AK57,0)</f>
        <v>599476</v>
      </c>
      <c r="DL57" s="2">
        <f t="shared" si="83"/>
        <v>5710802.7170000002</v>
      </c>
      <c r="DM57" s="2">
        <f>ROUND(+DL57*$AK57,0)</f>
        <v>542526</v>
      </c>
      <c r="DN57" s="2">
        <f t="shared" si="84"/>
        <v>5168276.7170000002</v>
      </c>
      <c r="DO57" s="2">
        <f>ROUND(+DN57*$AK57,0)</f>
        <v>490986</v>
      </c>
      <c r="DP57" s="2">
        <f t="shared" si="85"/>
        <v>4677290.7170000002</v>
      </c>
      <c r="DQ57" s="2">
        <f>ROUND(+DP57*$AK57,0)</f>
        <v>444343</v>
      </c>
      <c r="DR57" s="2">
        <f t="shared" si="86"/>
        <v>4232947.7170000002</v>
      </c>
      <c r="DS57" s="2">
        <f>ROUND(+DR57*$AK57,0)</f>
        <v>402130</v>
      </c>
      <c r="DT57" s="2">
        <f t="shared" si="26"/>
        <v>3830817.7170000002</v>
      </c>
      <c r="DU57" s="331">
        <f>+(1-(E57*5%)/DT57)*DT57</f>
        <v>37029.329499999934</v>
      </c>
      <c r="DV57" s="2">
        <f>+DT57-DU57</f>
        <v>3793788.3875000002</v>
      </c>
      <c r="DW57" s="266">
        <f t="shared" si="27"/>
        <v>3793788.3875000002</v>
      </c>
      <c r="DX57" s="441">
        <f>+DW57-DV57</f>
        <v>0</v>
      </c>
    </row>
    <row r="58" spans="1:128">
      <c r="B58" s="433" t="s">
        <v>987</v>
      </c>
      <c r="C58" s="434" t="s">
        <v>494</v>
      </c>
      <c r="D58" s="435">
        <v>0.1</v>
      </c>
      <c r="E58" s="330">
        <v>3125568.12</v>
      </c>
      <c r="F58" s="269" t="s">
        <v>921</v>
      </c>
      <c r="G58" s="438">
        <v>43435</v>
      </c>
      <c r="H58" s="443">
        <f>DATE(YEAR(G58)+I58,MONTH(G58),DAY(G58))-1</f>
        <v>54392</v>
      </c>
      <c r="I58" s="267">
        <v>30</v>
      </c>
      <c r="J58" s="267">
        <f>IF(($BI$6-$G58+1)&gt;365,365,($BI$6-$G58+1))</f>
        <v>121</v>
      </c>
      <c r="K58" s="267">
        <f>365-J58</f>
        <v>244</v>
      </c>
      <c r="L58" s="149"/>
      <c r="M58" s="439"/>
      <c r="N58" s="436"/>
      <c r="O58" s="436"/>
      <c r="P58" s="433"/>
      <c r="Q58" s="436"/>
      <c r="R58" s="436"/>
      <c r="S58" s="433"/>
      <c r="T58" s="436"/>
      <c r="U58" s="436"/>
      <c r="V58" s="433"/>
      <c r="W58" s="436"/>
      <c r="X58" s="436"/>
      <c r="Y58" s="433"/>
      <c r="Z58" s="436"/>
      <c r="AA58" s="436"/>
      <c r="AB58" s="433"/>
      <c r="AC58" s="436"/>
      <c r="AD58" s="436"/>
      <c r="AE58" s="436"/>
      <c r="AF58" s="436"/>
      <c r="AG58" s="436"/>
      <c r="AH58" s="436"/>
      <c r="AI58" s="439">
        <v>30</v>
      </c>
      <c r="AJ58" s="436">
        <f t="shared" si="2"/>
        <v>30</v>
      </c>
      <c r="AK58" s="440">
        <v>9.5000000000000001E-2</v>
      </c>
      <c r="AL58" s="2"/>
      <c r="AM58" s="433"/>
      <c r="AN58" s="436"/>
      <c r="AO58" s="436"/>
      <c r="AP58" s="436"/>
      <c r="AQ58" s="436"/>
      <c r="AR58" s="436"/>
      <c r="AS58" s="436"/>
      <c r="AT58" s="2"/>
      <c r="AU58" s="2"/>
      <c r="AV58" s="2"/>
      <c r="AW58" s="433"/>
      <c r="AX58" s="2"/>
      <c r="AY58" s="2"/>
      <c r="AZ58" s="433"/>
      <c r="BA58" s="2"/>
      <c r="BB58" s="2"/>
      <c r="BC58" s="2"/>
      <c r="BD58" s="433"/>
      <c r="BE58" s="439"/>
      <c r="BF58" s="433"/>
      <c r="BG58" s="2"/>
      <c r="BH58" s="2"/>
      <c r="BI58" s="2">
        <f>ROUND(+E58*AK58*J58/365,0)</f>
        <v>98434</v>
      </c>
      <c r="BJ58" s="2">
        <f>+E58-BI58</f>
        <v>3027134.12</v>
      </c>
      <c r="BK58" s="2">
        <f t="shared" si="59"/>
        <v>287577.74</v>
      </c>
      <c r="BL58" s="2">
        <f t="shared" si="7"/>
        <v>2739556.38</v>
      </c>
      <c r="BM58" s="2"/>
      <c r="BN58" s="2">
        <f t="shared" si="60"/>
        <v>2739556.38</v>
      </c>
      <c r="BO58" s="2">
        <f>ROUND(+BL58*$AK58,0)</f>
        <v>260258</v>
      </c>
      <c r="BP58" s="2">
        <f t="shared" si="61"/>
        <v>2479298.38</v>
      </c>
      <c r="BQ58" s="2"/>
      <c r="BR58" s="2">
        <f t="shared" si="9"/>
        <v>2479298.38</v>
      </c>
      <c r="BS58" s="2">
        <f t="shared" si="62"/>
        <v>235533.3461</v>
      </c>
      <c r="BT58" s="2">
        <f t="shared" si="63"/>
        <v>2243765.0338999997</v>
      </c>
      <c r="BU58" s="2">
        <f>ROUND(+BT58*$AK58,0)</f>
        <v>213158</v>
      </c>
      <c r="BV58" s="2">
        <f t="shared" si="64"/>
        <v>2030607.0338999997</v>
      </c>
      <c r="BW58" s="2">
        <f>ROUND(+BV58*$AK58,0)</f>
        <v>192908</v>
      </c>
      <c r="BX58" s="2">
        <f t="shared" si="65"/>
        <v>1837699.0338999997</v>
      </c>
      <c r="BY58" s="2">
        <f>ROUND(+BX58*$AK58,0)</f>
        <v>174581</v>
      </c>
      <c r="BZ58" s="2">
        <f t="shared" si="66"/>
        <v>1663118.0338999997</v>
      </c>
      <c r="CA58" s="2">
        <f>ROUND(+BZ58*$AK58,0)</f>
        <v>157996</v>
      </c>
      <c r="CB58" s="2">
        <f t="shared" si="67"/>
        <v>1505122.0338999997</v>
      </c>
      <c r="CC58" s="2">
        <f>ROUND(+CB58*$AK58,0)</f>
        <v>142987</v>
      </c>
      <c r="CD58" s="2">
        <f t="shared" si="68"/>
        <v>1362135.0338999997</v>
      </c>
      <c r="CE58" s="2">
        <f>ROUND(+CD58*$AK58,0)</f>
        <v>129403</v>
      </c>
      <c r="CF58" s="2">
        <f t="shared" si="69"/>
        <v>1232732.0338999997</v>
      </c>
      <c r="CG58" s="2">
        <f>ROUND(+CF58*$AK58,0)</f>
        <v>117110</v>
      </c>
      <c r="CH58" s="2">
        <f t="shared" si="70"/>
        <v>1115622.0338999997</v>
      </c>
      <c r="CI58" s="2">
        <f>ROUND(+CH58*$AK58,0)</f>
        <v>105984</v>
      </c>
      <c r="CJ58" s="2">
        <f t="shared" si="71"/>
        <v>1009638.0338999997</v>
      </c>
      <c r="CK58" s="2">
        <f>ROUND(+CJ58*$AK58,0)</f>
        <v>95916</v>
      </c>
      <c r="CL58" s="2">
        <f t="shared" si="72"/>
        <v>913722.03389999969</v>
      </c>
      <c r="CM58" s="2">
        <f>ROUND(+CL58*$AK58,0)</f>
        <v>86804</v>
      </c>
      <c r="CN58" s="2">
        <f t="shared" si="73"/>
        <v>826918.03389999969</v>
      </c>
      <c r="CO58" s="2">
        <f>ROUND(+CN58*$AK58,0)</f>
        <v>78557</v>
      </c>
      <c r="CP58" s="2">
        <f t="shared" si="74"/>
        <v>748361.03389999969</v>
      </c>
      <c r="CQ58" s="2">
        <f>ROUND(+CP58*$AK58,0)</f>
        <v>71094</v>
      </c>
      <c r="CR58" s="2">
        <f t="shared" si="75"/>
        <v>677267.03389999969</v>
      </c>
      <c r="CS58" s="2">
        <f>ROUND(+CR58*$AK58,0)</f>
        <v>64340</v>
      </c>
      <c r="CT58" s="2">
        <f t="shared" si="76"/>
        <v>612927.03389999969</v>
      </c>
      <c r="CU58" s="2">
        <f>ROUND(+CT58*$AK58,0)</f>
        <v>58228</v>
      </c>
      <c r="CV58" s="2">
        <f t="shared" si="77"/>
        <v>554699.03389999969</v>
      </c>
      <c r="CW58" s="2">
        <f>ROUND(+CV58*$AK58,0)</f>
        <v>52696</v>
      </c>
      <c r="CX58" s="2">
        <f t="shared" si="78"/>
        <v>502003.03389999969</v>
      </c>
      <c r="CY58" s="2">
        <f>ROUND(+CX58*$AK58,0)</f>
        <v>47690</v>
      </c>
      <c r="CZ58" s="2">
        <f t="shared" si="79"/>
        <v>454313.03389999969</v>
      </c>
      <c r="DA58" s="2">
        <f>ROUND(+CZ58*$AK58,0)</f>
        <v>43160</v>
      </c>
      <c r="DB58" s="2">
        <f t="shared" si="95"/>
        <v>411153.03389999969</v>
      </c>
      <c r="DC58" s="2">
        <f>ROUND(+DB58*$AK58,0)</f>
        <v>39060</v>
      </c>
      <c r="DD58" s="2">
        <f t="shared" si="96"/>
        <v>372093.03389999969</v>
      </c>
      <c r="DE58" s="2">
        <f>ROUND(+DD58*$AK58,0)</f>
        <v>35349</v>
      </c>
      <c r="DF58" s="2">
        <f t="shared" si="97"/>
        <v>336744.03389999969</v>
      </c>
      <c r="DG58" s="2">
        <f>ROUND(+DF58*$AK58,0)</f>
        <v>31991</v>
      </c>
      <c r="DH58" s="2">
        <f t="shared" si="98"/>
        <v>304753.03389999969</v>
      </c>
      <c r="DI58" s="2">
        <f>ROUND(+DH58*$AK58,0)</f>
        <v>28952</v>
      </c>
      <c r="DJ58" s="2">
        <f t="shared" si="82"/>
        <v>275801.03389999969</v>
      </c>
      <c r="DK58" s="2">
        <f>ROUND(+DJ58*$AK58,0)</f>
        <v>26201</v>
      </c>
      <c r="DL58" s="2">
        <f t="shared" si="83"/>
        <v>249600.03389999969</v>
      </c>
      <c r="DM58" s="2">
        <f>ROUND(+DL58*$AK58,0)</f>
        <v>23712</v>
      </c>
      <c r="DN58" s="2">
        <f t="shared" si="84"/>
        <v>225888.03389999969</v>
      </c>
      <c r="DO58" s="2">
        <f>ROUND(+DN58*$AK58,0)</f>
        <v>21459</v>
      </c>
      <c r="DP58" s="2">
        <f t="shared" si="85"/>
        <v>204429.03389999969</v>
      </c>
      <c r="DQ58" s="2">
        <f>ROUND(+DP58*$AK58,0)</f>
        <v>19421</v>
      </c>
      <c r="DR58" s="2">
        <f t="shared" si="86"/>
        <v>185008.03389999969</v>
      </c>
      <c r="DS58" s="2">
        <f>ROUND(+DR58*$AK58,0)</f>
        <v>17576</v>
      </c>
      <c r="DT58" s="2">
        <f t="shared" si="26"/>
        <v>167432.03389999969</v>
      </c>
      <c r="DU58" s="331">
        <f>+(1-(E58*5%)/DT58)*DT58</f>
        <v>11153.627899999674</v>
      </c>
      <c r="DV58" s="2">
        <f>+DT58-DU58</f>
        <v>156278.40600000002</v>
      </c>
      <c r="DW58" s="266">
        <f t="shared" si="27"/>
        <v>156278.40600000002</v>
      </c>
      <c r="DX58" s="441"/>
    </row>
    <row r="59" spans="1:128">
      <c r="B59" s="444" t="s">
        <v>93</v>
      </c>
      <c r="C59" s="445"/>
      <c r="D59" s="444"/>
      <c r="E59" s="446">
        <f>SUM(E8:E58)</f>
        <v>82773608.570000008</v>
      </c>
      <c r="F59" s="446">
        <f t="shared" ref="F59:BU59" si="109">SUM(F8:F58)</f>
        <v>0</v>
      </c>
      <c r="G59" s="446">
        <f t="shared" si="109"/>
        <v>2076741</v>
      </c>
      <c r="H59" s="446">
        <f t="shared" si="109"/>
        <v>108570</v>
      </c>
      <c r="I59" s="446">
        <f t="shared" si="109"/>
        <v>60</v>
      </c>
      <c r="J59" s="446">
        <f t="shared" si="109"/>
        <v>456</v>
      </c>
      <c r="K59" s="446">
        <f t="shared" si="109"/>
        <v>274</v>
      </c>
      <c r="L59" s="446">
        <f t="shared" si="109"/>
        <v>0</v>
      </c>
      <c r="M59" s="446">
        <f t="shared" si="109"/>
        <v>351</v>
      </c>
      <c r="N59" s="446">
        <f t="shared" si="109"/>
        <v>81312</v>
      </c>
      <c r="O59" s="446">
        <f t="shared" si="109"/>
        <v>764243</v>
      </c>
      <c r="P59" s="446">
        <f t="shared" si="109"/>
        <v>1801</v>
      </c>
      <c r="Q59" s="446">
        <f t="shared" si="109"/>
        <v>118825</v>
      </c>
      <c r="R59" s="446">
        <f t="shared" si="109"/>
        <v>1171818</v>
      </c>
      <c r="S59" s="446">
        <f t="shared" si="109"/>
        <v>4015</v>
      </c>
      <c r="T59" s="446">
        <f t="shared" si="109"/>
        <v>163000</v>
      </c>
      <c r="U59" s="446">
        <f t="shared" si="109"/>
        <v>2583496</v>
      </c>
      <c r="V59" s="446">
        <f t="shared" si="109"/>
        <v>12755</v>
      </c>
      <c r="W59" s="446">
        <f t="shared" si="109"/>
        <v>186693.99833400559</v>
      </c>
      <c r="X59" s="446">
        <f t="shared" si="109"/>
        <v>3222441.7016659942</v>
      </c>
      <c r="Y59" s="446">
        <f t="shared" si="109"/>
        <v>17885</v>
      </c>
      <c r="Z59" s="446">
        <f t="shared" si="109"/>
        <v>322244</v>
      </c>
      <c r="AA59" s="446">
        <f t="shared" si="109"/>
        <v>2900197.7016659938</v>
      </c>
      <c r="AB59" s="446">
        <f t="shared" si="109"/>
        <v>17885</v>
      </c>
      <c r="AC59" s="446">
        <f t="shared" si="109"/>
        <v>290023</v>
      </c>
      <c r="AD59" s="446">
        <f t="shared" si="109"/>
        <v>2610174.7016659942</v>
      </c>
      <c r="AE59" s="446">
        <f t="shared" si="109"/>
        <v>1162097.9983340057</v>
      </c>
      <c r="AF59" s="446">
        <f t="shared" si="109"/>
        <v>2610174.7016659947</v>
      </c>
      <c r="AG59" s="446">
        <f t="shared" si="109"/>
        <v>0</v>
      </c>
      <c r="AH59" s="446">
        <f t="shared" si="109"/>
        <v>149.82191780821915</v>
      </c>
      <c r="AI59" s="446">
        <f t="shared" si="109"/>
        <v>1530</v>
      </c>
      <c r="AJ59" s="446">
        <f t="shared" si="109"/>
        <v>1380.178082191781</v>
      </c>
      <c r="AK59" s="446">
        <f t="shared" si="109"/>
        <v>4.8317306568727405</v>
      </c>
      <c r="AL59" s="446">
        <f t="shared" si="109"/>
        <v>0</v>
      </c>
      <c r="AM59" s="446">
        <f t="shared" si="109"/>
        <v>17885</v>
      </c>
      <c r="AN59" s="446">
        <f t="shared" si="109"/>
        <v>261016</v>
      </c>
      <c r="AO59" s="446">
        <f t="shared" si="109"/>
        <v>246411</v>
      </c>
      <c r="AP59" s="446">
        <f t="shared" si="109"/>
        <v>2363761</v>
      </c>
      <c r="AQ59" s="446">
        <f t="shared" si="109"/>
        <v>2363763.7016659947</v>
      </c>
      <c r="AR59" s="446">
        <f t="shared" si="109"/>
        <v>2.7016659945179526</v>
      </c>
      <c r="AS59" s="446">
        <f t="shared" si="109"/>
        <v>-14605</v>
      </c>
      <c r="AT59" s="446">
        <f t="shared" si="109"/>
        <v>2349158.7016659947</v>
      </c>
      <c r="AU59" s="446">
        <f t="shared" si="109"/>
        <v>2363763.7016659947</v>
      </c>
      <c r="AV59" s="446">
        <f t="shared" si="109"/>
        <v>0</v>
      </c>
      <c r="AW59" s="446">
        <f t="shared" si="109"/>
        <v>17885</v>
      </c>
      <c r="AX59" s="446">
        <f t="shared" si="109"/>
        <v>223149.40967192376</v>
      </c>
      <c r="AY59" s="446">
        <f t="shared" si="109"/>
        <v>2140614.2919940711</v>
      </c>
      <c r="AZ59" s="446">
        <f t="shared" si="109"/>
        <v>17885</v>
      </c>
      <c r="BA59" s="446">
        <f t="shared" si="109"/>
        <v>202081.13907021735</v>
      </c>
      <c r="BB59" s="446">
        <f t="shared" si="109"/>
        <v>1938533.1529238538</v>
      </c>
      <c r="BC59" s="446">
        <f t="shared" si="109"/>
        <v>1073100</v>
      </c>
      <c r="BD59" s="446">
        <f t="shared" si="109"/>
        <v>108340</v>
      </c>
      <c r="BE59" s="446">
        <f t="shared" si="109"/>
        <v>964760</v>
      </c>
      <c r="BF59" s="446">
        <f t="shared" si="109"/>
        <v>17885</v>
      </c>
      <c r="BG59" s="446">
        <f t="shared" si="109"/>
        <v>183002.18003125521</v>
      </c>
      <c r="BH59" s="446">
        <f t="shared" si="109"/>
        <v>1755530.9728925987</v>
      </c>
      <c r="BI59" s="446">
        <f t="shared" si="109"/>
        <v>6879901.680125922</v>
      </c>
      <c r="BJ59" s="446">
        <f t="shared" si="109"/>
        <v>73876965.16276668</v>
      </c>
      <c r="BK59" s="447">
        <f>SUM(BK8:BK58)</f>
        <v>7017358.5899999999</v>
      </c>
      <c r="BL59" s="447">
        <f>SUM(BL8:BL58)</f>
        <v>66859606.572766677</v>
      </c>
      <c r="BM59" s="447"/>
      <c r="BN59" s="2">
        <f t="shared" si="60"/>
        <v>66859606.572766677</v>
      </c>
      <c r="BO59" s="446">
        <f t="shared" si="109"/>
        <v>6350798.6784378849</v>
      </c>
      <c r="BP59" s="446">
        <f t="shared" si="109"/>
        <v>60508807.894328795</v>
      </c>
      <c r="BQ59" s="446">
        <f t="shared" si="109"/>
        <v>0</v>
      </c>
      <c r="BR59" s="446">
        <f t="shared" si="109"/>
        <v>60508807.894328795</v>
      </c>
      <c r="BS59" s="446">
        <f>SUM(BS8:BS58)</f>
        <v>5747552.6574209314</v>
      </c>
      <c r="BT59" s="446">
        <f t="shared" si="109"/>
        <v>54761255.236907862</v>
      </c>
      <c r="BU59" s="446">
        <f t="shared" si="109"/>
        <v>5201608.0551284449</v>
      </c>
      <c r="BV59" s="446">
        <f t="shared" ref="BV59:DX59" si="110">SUM(BV8:BV58)</f>
        <v>49559647.181779414</v>
      </c>
      <c r="BW59" s="446">
        <f t="shared" si="110"/>
        <v>4707521.563467768</v>
      </c>
      <c r="BX59" s="446">
        <f t="shared" si="110"/>
        <v>44852125.618311644</v>
      </c>
      <c r="BY59" s="446">
        <f t="shared" si="110"/>
        <v>4260366.5608791821</v>
      </c>
      <c r="BZ59" s="446">
        <f t="shared" si="110"/>
        <v>40591759.057432465</v>
      </c>
      <c r="CA59" s="446">
        <f t="shared" si="110"/>
        <v>3855686.2375687454</v>
      </c>
      <c r="CB59" s="446">
        <f t="shared" si="110"/>
        <v>36736072.819863722</v>
      </c>
      <c r="CC59" s="446">
        <f t="shared" si="110"/>
        <v>3489445.6425072872</v>
      </c>
      <c r="CD59" s="446">
        <f t="shared" si="110"/>
        <v>33246627.177356433</v>
      </c>
      <c r="CE59" s="446">
        <f t="shared" si="110"/>
        <v>3157992.8467928041</v>
      </c>
      <c r="CF59" s="446">
        <f t="shared" si="110"/>
        <v>30088634.330563627</v>
      </c>
      <c r="CG59" s="446">
        <f t="shared" si="110"/>
        <v>2858024.1860334254</v>
      </c>
      <c r="CH59" s="446">
        <f t="shared" si="110"/>
        <v>27230610.144530203</v>
      </c>
      <c r="CI59" s="446">
        <f t="shared" si="110"/>
        <v>2586548.5742867859</v>
      </c>
      <c r="CJ59" s="446">
        <f t="shared" si="110"/>
        <v>24644061.570243418</v>
      </c>
      <c r="CK59" s="446">
        <f t="shared" si="110"/>
        <v>2340860.8827967648</v>
      </c>
      <c r="CL59" s="446">
        <f t="shared" si="110"/>
        <v>22303200.68744665</v>
      </c>
      <c r="CM59" s="446">
        <f t="shared" si="110"/>
        <v>2118509.3774070418</v>
      </c>
      <c r="CN59" s="446">
        <f t="shared" si="110"/>
        <v>20184691.31003961</v>
      </c>
      <c r="CO59" s="446">
        <f t="shared" si="110"/>
        <v>1917277.2091091028</v>
      </c>
      <c r="CP59" s="446">
        <f t="shared" si="110"/>
        <v>18267414.100930508</v>
      </c>
      <c r="CQ59" s="446">
        <f t="shared" si="110"/>
        <v>1735160.952705876</v>
      </c>
      <c r="CR59" s="446">
        <f t="shared" si="110"/>
        <v>16532253.148224631</v>
      </c>
      <c r="CS59" s="446">
        <f t="shared" si="110"/>
        <v>1570343.1890462793</v>
      </c>
      <c r="CT59" s="446">
        <f t="shared" si="110"/>
        <v>14961909.959178351</v>
      </c>
      <c r="CU59" s="446">
        <f t="shared" si="110"/>
        <v>1421181.1267152617</v>
      </c>
      <c r="CV59" s="446">
        <f t="shared" si="110"/>
        <v>13540728.832463089</v>
      </c>
      <c r="CW59" s="446">
        <f t="shared" si="110"/>
        <v>1286187.2594526666</v>
      </c>
      <c r="CX59" s="446">
        <f t="shared" si="110"/>
        <v>12254541.573010424</v>
      </c>
      <c r="CY59" s="446">
        <f t="shared" si="110"/>
        <v>1164017.0559262757</v>
      </c>
      <c r="CZ59" s="446">
        <f t="shared" si="110"/>
        <v>11090524.517084148</v>
      </c>
      <c r="DA59" s="446">
        <f t="shared" si="110"/>
        <v>1049616.6234298202</v>
      </c>
      <c r="DB59" s="446">
        <f t="shared" si="110"/>
        <v>10040907.893654328</v>
      </c>
      <c r="DC59" s="446">
        <f t="shared" si="110"/>
        <v>949242.55991370219</v>
      </c>
      <c r="DD59" s="446">
        <f t="shared" si="110"/>
        <v>9091665.3337406255</v>
      </c>
      <c r="DE59" s="446">
        <f t="shared" si="110"/>
        <v>857176.82478069258</v>
      </c>
      <c r="DF59" s="446">
        <f t="shared" si="110"/>
        <v>8234488.5089599323</v>
      </c>
      <c r="DG59" s="446">
        <f t="shared" si="110"/>
        <v>768438.12305993249</v>
      </c>
      <c r="DH59" s="446">
        <f t="shared" si="110"/>
        <v>7466050.3859000001</v>
      </c>
      <c r="DI59" s="446">
        <f t="shared" si="110"/>
        <v>691357</v>
      </c>
      <c r="DJ59" s="446">
        <f t="shared" si="110"/>
        <v>6774693.3859000001</v>
      </c>
      <c r="DK59" s="446">
        <f t="shared" si="110"/>
        <v>625677</v>
      </c>
      <c r="DL59" s="446">
        <f t="shared" si="110"/>
        <v>6149016.3859000001</v>
      </c>
      <c r="DM59" s="446">
        <f t="shared" si="110"/>
        <v>566238</v>
      </c>
      <c r="DN59" s="446">
        <f t="shared" si="110"/>
        <v>5582778.3859000001</v>
      </c>
      <c r="DO59" s="446">
        <f t="shared" si="110"/>
        <v>512445</v>
      </c>
      <c r="DP59" s="446">
        <f t="shared" si="110"/>
        <v>5070333.3859000001</v>
      </c>
      <c r="DQ59" s="446">
        <f t="shared" si="110"/>
        <v>463764</v>
      </c>
      <c r="DR59" s="446">
        <f t="shared" si="110"/>
        <v>4606569.3859000001</v>
      </c>
      <c r="DS59" s="446">
        <f t="shared" si="110"/>
        <v>419706</v>
      </c>
      <c r="DT59" s="446">
        <f t="shared" si="110"/>
        <v>4186863.3858999996</v>
      </c>
      <c r="DU59" s="446">
        <f t="shared" si="110"/>
        <v>48182.957399999606</v>
      </c>
      <c r="DV59" s="446">
        <f t="shared" si="110"/>
        <v>3950066.7935000001</v>
      </c>
      <c r="DW59" s="446">
        <f t="shared" si="110"/>
        <v>4138680.4284999999</v>
      </c>
      <c r="DX59" s="446">
        <f t="shared" si="110"/>
        <v>0</v>
      </c>
    </row>
    <row r="60" spans="1:128">
      <c r="A60" s="433"/>
      <c r="B60" s="422"/>
      <c r="C60" s="423"/>
      <c r="D60" s="422"/>
      <c r="E60" s="425"/>
      <c r="F60" s="422"/>
      <c r="G60" s="422"/>
      <c r="H60" s="422"/>
      <c r="I60" s="422"/>
      <c r="J60" s="422"/>
      <c r="K60" s="422"/>
      <c r="L60" s="422"/>
      <c r="M60" s="427"/>
      <c r="N60" s="422"/>
      <c r="O60" s="422"/>
      <c r="P60" s="427"/>
      <c r="Q60" s="448"/>
      <c r="R60" s="449"/>
      <c r="S60" s="324"/>
      <c r="T60" s="422"/>
      <c r="U60" s="449"/>
      <c r="V60" s="427"/>
      <c r="W60" s="422"/>
      <c r="X60" s="449"/>
      <c r="Y60" s="427"/>
      <c r="Z60" s="422"/>
      <c r="AA60" s="422"/>
      <c r="AB60" s="427"/>
      <c r="AC60" s="449"/>
      <c r="AD60" s="422"/>
      <c r="AE60" s="422"/>
      <c r="AF60" s="422"/>
      <c r="AG60" s="422"/>
      <c r="AH60" s="429"/>
      <c r="AI60" s="429"/>
      <c r="AJ60" s="429"/>
      <c r="AK60" s="430"/>
      <c r="AL60" s="326"/>
      <c r="AM60" s="429"/>
      <c r="AN60" s="429"/>
      <c r="AO60" s="429"/>
      <c r="AP60" s="429"/>
      <c r="AQ60" s="429"/>
      <c r="AR60" s="433"/>
      <c r="AS60" s="422"/>
      <c r="AT60" s="326"/>
      <c r="AU60" s="326"/>
      <c r="AV60" s="326"/>
      <c r="AW60" s="326"/>
      <c r="AX60" s="326"/>
      <c r="AY60" s="326"/>
      <c r="AZ60" s="326"/>
      <c r="BA60" s="326"/>
      <c r="BB60" s="326"/>
      <c r="BC60" s="326"/>
      <c r="BD60" s="326"/>
      <c r="BE60" s="326"/>
      <c r="BF60" s="326"/>
      <c r="BG60" s="326"/>
      <c r="BH60" s="326"/>
      <c r="BI60" s="326"/>
      <c r="BJ60" s="326"/>
      <c r="BK60" s="326"/>
      <c r="BL60" s="326"/>
      <c r="BM60" s="326"/>
      <c r="BN60" s="2">
        <f t="shared" si="60"/>
        <v>0</v>
      </c>
      <c r="BO60" s="326"/>
      <c r="BP60" s="326"/>
      <c r="BQ60" s="326"/>
      <c r="BR60" s="326"/>
      <c r="BS60" s="326"/>
      <c r="BT60" s="326"/>
      <c r="BU60" s="326"/>
      <c r="BV60" s="326"/>
      <c r="BW60" s="326"/>
      <c r="BX60" s="326"/>
      <c r="BY60" s="326"/>
      <c r="BZ60" s="326"/>
      <c r="CA60" s="326"/>
      <c r="CB60" s="326"/>
      <c r="CC60" s="326"/>
      <c r="CD60" s="326"/>
      <c r="CE60" s="326"/>
      <c r="CF60" s="326"/>
      <c r="CG60" s="326"/>
      <c r="CH60" s="326"/>
      <c r="CI60" s="326"/>
      <c r="CJ60" s="326"/>
      <c r="CK60" s="326"/>
      <c r="CL60" s="326"/>
      <c r="CM60" s="326"/>
      <c r="CN60" s="326"/>
      <c r="CO60" s="326"/>
      <c r="CP60" s="326"/>
      <c r="CQ60" s="326"/>
      <c r="CR60" s="326"/>
      <c r="CS60" s="326"/>
      <c r="CT60" s="326"/>
      <c r="CU60" s="326"/>
      <c r="CV60" s="326"/>
      <c r="CW60" s="326"/>
      <c r="CX60" s="326"/>
      <c r="CY60" s="326"/>
      <c r="CZ60" s="326"/>
      <c r="DA60" s="326"/>
      <c r="DB60" s="326"/>
      <c r="DC60" s="326"/>
      <c r="DD60" s="326"/>
      <c r="DE60" s="326"/>
      <c r="DF60" s="326"/>
      <c r="DG60" s="326"/>
      <c r="DH60" s="326"/>
      <c r="DI60" s="326"/>
      <c r="DJ60" s="326"/>
      <c r="DK60" s="326"/>
      <c r="DL60" s="326"/>
      <c r="DM60" s="326"/>
      <c r="DN60" s="326"/>
      <c r="DO60" s="326"/>
      <c r="DP60" s="326"/>
      <c r="DQ60" s="326"/>
      <c r="DR60" s="326"/>
      <c r="DS60" s="326"/>
      <c r="DT60" s="326"/>
      <c r="DU60" s="326"/>
      <c r="DV60" s="326"/>
      <c r="DW60" s="266" t="str">
        <f>IF(AJ60&lt;0,AP60/E60,"")</f>
        <v/>
      </c>
    </row>
    <row r="61" spans="1:128">
      <c r="A61" s="433">
        <v>1</v>
      </c>
      <c r="B61" s="433" t="s">
        <v>496</v>
      </c>
      <c r="C61" s="434" t="s">
        <v>497</v>
      </c>
      <c r="D61" s="435">
        <v>0.4</v>
      </c>
      <c r="E61" s="442">
        <v>44230</v>
      </c>
      <c r="F61" s="437" t="s">
        <v>1001</v>
      </c>
      <c r="G61" s="438">
        <v>39666</v>
      </c>
      <c r="H61" s="438"/>
      <c r="I61" s="438"/>
      <c r="J61" s="438"/>
      <c r="K61" s="438"/>
      <c r="L61" s="438"/>
      <c r="M61" s="439">
        <f>$M$6-G61+1-4</f>
        <v>234</v>
      </c>
      <c r="N61" s="436">
        <f>ROUND(E61*M61/365*D61,0)</f>
        <v>11342</v>
      </c>
      <c r="O61" s="436">
        <f>E61-N61</f>
        <v>32888</v>
      </c>
      <c r="P61" s="433">
        <f>IF(($P$6-G61+1)&gt;365,365,($P$6-G61+1))</f>
        <v>365</v>
      </c>
      <c r="Q61" s="436">
        <f>ROUND(IF(O61&gt;0,O61*$D61/365*P61,($E61*$D61*P61/365)),0)</f>
        <v>13155</v>
      </c>
      <c r="R61" s="436">
        <f>O61-Q61</f>
        <v>19733</v>
      </c>
      <c r="S61" s="433">
        <f>IF(($S$6-G61+1)&gt;365,365,($S$6-G61+1))</f>
        <v>365</v>
      </c>
      <c r="T61" s="436">
        <f>ROUND(IF(R61&gt;0,R61*$D61/365*S61,($E61*$D61*S61/365)),0)</f>
        <v>7893</v>
      </c>
      <c r="U61" s="436">
        <f>R61-T61</f>
        <v>11840</v>
      </c>
      <c r="V61" s="433">
        <f>IF(($V$6-G61+1)&gt;365,365,($V$6-G61+1))</f>
        <v>365</v>
      </c>
      <c r="W61" s="436">
        <f>ROUND(IF(U61&gt;0,U61*$D61/365*V61,($E61*$D61*V61/365)),0)</f>
        <v>4736</v>
      </c>
      <c r="X61" s="436">
        <f>IF((U61-W61)&gt;0,U61-W61,E61-W61)</f>
        <v>7104</v>
      </c>
      <c r="Y61" s="433">
        <f t="shared" ref="Y61:Y66" si="111">IF(($Y$6-G61+1)&gt;365,365,($Y$6-G61+1))</f>
        <v>365</v>
      </c>
      <c r="Z61" s="436">
        <f t="shared" ref="Z61:Z66" si="112">ROUND(IF(X61&gt;0,X61*$D61/365*Y61,($E61*$D61*Y61/365)),0)</f>
        <v>2842</v>
      </c>
      <c r="AA61" s="436">
        <f t="shared" ref="AA61:AA66" si="113">IF((X61-Z61)&gt;0,X61-Z61,$E61-Z61)</f>
        <v>4262</v>
      </c>
      <c r="AB61" s="433">
        <f t="shared" ref="AB61:AB66" si="114">IF(($AB$6-G61+1)&gt;365,365,($AB$6-G61+1))</f>
        <v>365</v>
      </c>
      <c r="AC61" s="436">
        <f t="shared" ref="AC61:AC67" si="115">ROUND(IF(AA61&gt;0,AA61*$D61/365*AB61,($E61*$D61*AB61/365)),0)</f>
        <v>1705</v>
      </c>
      <c r="AD61" s="436">
        <f t="shared" ref="AD61:AD67" si="116">IF((AA61-AC61)&gt;0,AA61-AC61,$E61-AC61)</f>
        <v>2557</v>
      </c>
      <c r="AE61" s="436">
        <f t="shared" ref="AE61:AE67" si="117">T61+W61+Z61+AC61+Q61+N61</f>
        <v>41673</v>
      </c>
      <c r="AF61" s="436">
        <f t="shared" ref="AF61:AF67" si="118">E61-AE61</f>
        <v>2557</v>
      </c>
      <c r="AG61" s="436">
        <f t="shared" ref="AG61:AG67" si="119">AD61-AF61</f>
        <v>0</v>
      </c>
      <c r="AH61" s="436">
        <f t="shared" ref="AH61:AH67" si="120">($AH$6-G61+1)/365</f>
        <v>5.6547945205479451</v>
      </c>
      <c r="AI61" s="439">
        <v>3</v>
      </c>
      <c r="AJ61" s="436">
        <f t="shared" ref="AJ61:AJ87" si="121">AI61-AH61</f>
        <v>-2.6547945205479451</v>
      </c>
      <c r="AK61" s="440">
        <f t="shared" ref="AK61:AK67" si="122">IF(AJ61&gt;0,1-(((E61*$AJ$4)/AF61)^(1/AJ61)),0)</f>
        <v>0</v>
      </c>
      <c r="AL61" s="6">
        <f t="shared" ref="AL61:AL67" si="123">ROUND(IF(AJ61&lt;0,AF61-(E61*5%),0),0)</f>
        <v>346</v>
      </c>
      <c r="AM61" s="433">
        <f t="shared" ref="AM61:AM67" si="124">IF(($AM$6-$G61+1)&gt;365,365,($AM$6-$G61+1))</f>
        <v>365</v>
      </c>
      <c r="AN61" s="436">
        <f t="shared" ref="AN61:AN67" si="125">ROUND(IF(AF61&gt;0,AF61*$D61/365*AM61,($E61*$D61*AM61/365)),0)</f>
        <v>1023</v>
      </c>
      <c r="AO61" s="436">
        <f t="shared" ref="AO61:AO67" si="126">MIN(ROUND(IF(AL61&gt;0,0,(AK61*AF61)*AM61/365),0),AF61-(E61*5%))</f>
        <v>0</v>
      </c>
      <c r="AP61" s="436">
        <f t="shared" ref="AP61:AP67" si="127">ROUND(+IF(AJ61&lt;1,(E61*5%),IF(AF61&gt;0,AF61-AO61,E61-AO61)),0)</f>
        <v>2212</v>
      </c>
      <c r="AQ61" s="436">
        <f t="shared" ref="AQ61:AQ67" si="128">AF61-AO61-AL61</f>
        <v>2211</v>
      </c>
      <c r="AR61" s="436">
        <f t="shared" ref="AR61:AR67" si="129">$AF61-($AL61+$AO61+$AP61)</f>
        <v>-1</v>
      </c>
      <c r="AS61" s="436">
        <f t="shared" ref="AS61:AS67" si="130">AO61-AN61</f>
        <v>-1023</v>
      </c>
      <c r="AT61" s="2">
        <f t="shared" ref="AT61:AT67" si="131">AF61-AN61</f>
        <v>1534</v>
      </c>
      <c r="AU61" s="2">
        <f t="shared" ref="AU61:AU67" si="132">AT61-AS61-AL61</f>
        <v>2211</v>
      </c>
      <c r="AV61" s="2">
        <f t="shared" ref="AV61:AV67" si="133">AU61-AQ61</f>
        <v>0</v>
      </c>
      <c r="AW61" s="433">
        <f t="shared" ref="AW61:AW67" si="134">IF(($AW$6-$G61+1)&gt;365,365,($AW$6-$G61+1))</f>
        <v>365</v>
      </c>
      <c r="AX61" s="2">
        <f>AU61*AK61</f>
        <v>0</v>
      </c>
      <c r="AY61" s="2">
        <f t="shared" ref="AY61:AY67" si="135">AU61-AX61</f>
        <v>2211</v>
      </c>
      <c r="AZ61" s="433">
        <f t="shared" ref="AZ61:AZ67" si="136">IF(($AZ$6-$G61+1)&gt;365,365,($AZ$6-$G61+1))</f>
        <v>365</v>
      </c>
      <c r="BA61" s="2">
        <f>AY61*AK61</f>
        <v>0</v>
      </c>
      <c r="BB61" s="2">
        <f>AY61-BA61</f>
        <v>2211</v>
      </c>
      <c r="BC61" s="2">
        <f>3*365</f>
        <v>1095</v>
      </c>
      <c r="BD61" s="433">
        <f t="shared" ref="BD61:BD67" si="137">+$BD$6-G61</f>
        <v>3159</v>
      </c>
      <c r="BE61" s="439">
        <f t="shared" ref="BE61:BE67" si="138">+BC61-BD61</f>
        <v>-2064</v>
      </c>
      <c r="BF61" s="433">
        <f t="shared" ref="BF61:BF72" si="139">IF(($BF$6-$G61+1)&gt;365,365,($BF$6-$G61+1))</f>
        <v>365</v>
      </c>
      <c r="BG61" s="2">
        <f t="shared" ref="BG61:BG67" si="140">IF(BE61&gt;365,IF(BF61=365,BB61*AK61,BB61*AK61*BF61/365),0)</f>
        <v>0</v>
      </c>
      <c r="BH61" s="2">
        <f t="shared" ref="BH61:BH67" si="141">+BB61-BG61</f>
        <v>2211</v>
      </c>
      <c r="BI61" s="2">
        <v>0</v>
      </c>
      <c r="BJ61" s="2">
        <f t="shared" ref="BJ61:BJ72" si="142">+BH61-BI61</f>
        <v>2211</v>
      </c>
      <c r="BK61" s="2"/>
      <c r="BL61" s="2">
        <f t="shared" ref="BL61:BL82" si="143">+BJ61-BK61</f>
        <v>2211</v>
      </c>
      <c r="BM61" s="2"/>
      <c r="BN61" s="2">
        <f t="shared" si="60"/>
        <v>2211</v>
      </c>
      <c r="BO61" s="2"/>
      <c r="BP61" s="2">
        <f t="shared" ref="BP61:BP82" si="144">+BL61-BO61</f>
        <v>2211</v>
      </c>
      <c r="BQ61" s="2"/>
      <c r="BR61" s="2">
        <f t="shared" ref="BR61:BR93" si="145">BP61-BQ61</f>
        <v>2211</v>
      </c>
      <c r="BS61" s="2"/>
      <c r="BT61" s="2">
        <f>BR61-BS61</f>
        <v>2211</v>
      </c>
      <c r="BU61" s="2"/>
      <c r="BV61" s="2">
        <f t="shared" ref="BV61:BV72" si="146">+BT61-BU61</f>
        <v>2211</v>
      </c>
      <c r="BW61" s="2"/>
      <c r="BX61" s="2">
        <f t="shared" ref="BX61:BX72" si="147">+BV61-BW61</f>
        <v>2211</v>
      </c>
      <c r="BY61" s="2"/>
      <c r="BZ61" s="2">
        <f t="shared" ref="BZ61:BZ72" si="148">+BX61-BY61</f>
        <v>2211</v>
      </c>
      <c r="CA61" s="2"/>
      <c r="CB61" s="2">
        <f t="shared" ref="CB61:CB72" si="149">+BZ61-CA61</f>
        <v>2211</v>
      </c>
      <c r="CC61" s="2"/>
      <c r="CD61" s="2">
        <f t="shared" ref="CD61:CD72" si="150">+CB61-CC61</f>
        <v>2211</v>
      </c>
      <c r="CE61" s="2"/>
      <c r="CF61" s="2">
        <f t="shared" ref="CF61:CF72" si="151">+CD61-CE61</f>
        <v>2211</v>
      </c>
      <c r="CG61" s="2"/>
      <c r="CH61" s="2">
        <f t="shared" ref="CH61:CH72" si="152">+CF61-CG61</f>
        <v>2211</v>
      </c>
      <c r="CI61" s="2"/>
      <c r="CJ61" s="2">
        <f t="shared" ref="CJ61:CJ72" si="153">+CH61-CI61</f>
        <v>2211</v>
      </c>
      <c r="CK61" s="2"/>
      <c r="CL61" s="2">
        <f t="shared" ref="CL61:CL72" si="154">+CJ61-CK61</f>
        <v>2211</v>
      </c>
      <c r="CM61" s="2"/>
      <c r="CN61" s="2">
        <f t="shared" ref="CN61:CN72" si="155">+CL61-CM61</f>
        <v>2211</v>
      </c>
      <c r="CO61" s="2"/>
      <c r="CP61" s="2">
        <f t="shared" ref="CP61:CP72" si="156">+CN61-CO61</f>
        <v>2211</v>
      </c>
      <c r="CQ61" s="2"/>
      <c r="CR61" s="2">
        <f t="shared" ref="CR61:CR72" si="157">+CP61-CQ61</f>
        <v>2211</v>
      </c>
      <c r="CS61" s="2"/>
      <c r="CT61" s="2">
        <f t="shared" ref="CT61:CT72" si="158">+CR61-CS61</f>
        <v>2211</v>
      </c>
      <c r="CU61" s="2"/>
      <c r="CV61" s="2">
        <f t="shared" ref="CV61:CV72" si="159">+CT61-CU61</f>
        <v>2211</v>
      </c>
      <c r="CW61" s="2"/>
      <c r="CX61" s="2">
        <f t="shared" ref="CX61:CX72" si="160">+CV61-CW61</f>
        <v>2211</v>
      </c>
      <c r="CY61" s="2"/>
      <c r="CZ61" s="2">
        <f t="shared" ref="CZ61:CZ72" si="161">+CX61-CY61</f>
        <v>2211</v>
      </c>
      <c r="DA61" s="2"/>
      <c r="DB61" s="2">
        <f t="shared" ref="DB61:DB72" si="162">+CZ61-DA61</f>
        <v>2211</v>
      </c>
      <c r="DC61" s="2"/>
      <c r="DD61" s="2">
        <f t="shared" ref="DD61:DD72" si="163">+DB61-DC61</f>
        <v>2211</v>
      </c>
      <c r="DE61" s="2"/>
      <c r="DF61" s="2">
        <f t="shared" ref="DF61:DF72" si="164">+DD61-DE61</f>
        <v>2211</v>
      </c>
      <c r="DG61" s="2"/>
      <c r="DH61" s="2">
        <f>+DF61-DG61</f>
        <v>2211</v>
      </c>
      <c r="DI61" s="2"/>
      <c r="DJ61" s="2">
        <f>+DH61-DI61</f>
        <v>2211</v>
      </c>
      <c r="DK61" s="2"/>
      <c r="DL61" s="2">
        <f>+DJ61-DK61</f>
        <v>2211</v>
      </c>
      <c r="DM61" s="2"/>
      <c r="DN61" s="2">
        <f>+DL61-DM61</f>
        <v>2211</v>
      </c>
      <c r="DO61" s="2"/>
      <c r="DP61" s="2">
        <f>+DN61-DO61</f>
        <v>2211</v>
      </c>
      <c r="DQ61" s="2"/>
      <c r="DR61" s="2">
        <f>+DP61-DQ61</f>
        <v>2211</v>
      </c>
      <c r="DS61" s="2"/>
      <c r="DT61" s="2">
        <f t="shared" ref="DT61:DT72" si="165">+DR61-DS61</f>
        <v>2211</v>
      </c>
      <c r="DU61" s="2"/>
      <c r="DV61" s="2"/>
      <c r="DW61" s="266">
        <f t="shared" ref="DW61:DW82" si="166">+E61*5%</f>
        <v>2211.5</v>
      </c>
      <c r="DX61" s="441">
        <f t="shared" ref="DX61:DX72" si="167">+DW61-DR61</f>
        <v>0.5</v>
      </c>
    </row>
    <row r="62" spans="1:128">
      <c r="A62" s="433">
        <f t="shared" ref="A62:A82" si="168">A61+1</f>
        <v>2</v>
      </c>
      <c r="B62" s="433" t="s">
        <v>498</v>
      </c>
      <c r="C62" s="434" t="s">
        <v>497</v>
      </c>
      <c r="D62" s="435">
        <v>0.4</v>
      </c>
      <c r="E62" s="442">
        <v>3750</v>
      </c>
      <c r="F62" s="437" t="s">
        <v>1001</v>
      </c>
      <c r="G62" s="438">
        <v>40166</v>
      </c>
      <c r="H62" s="438"/>
      <c r="I62" s="438"/>
      <c r="J62" s="438"/>
      <c r="K62" s="438"/>
      <c r="L62" s="438"/>
      <c r="M62" s="439"/>
      <c r="N62" s="439"/>
      <c r="O62" s="439"/>
      <c r="P62" s="433">
        <f>IF(($P$6-G62+1)&gt;365,365,($P$6-G62+1))+3</f>
        <v>106</v>
      </c>
      <c r="Q62" s="436">
        <f>ROUND(IF(O62&gt;0,O62*$D62/365*P62,($E62*$D62*P62/365)),0)</f>
        <v>436</v>
      </c>
      <c r="R62" s="436">
        <f>E62-Q62</f>
        <v>3314</v>
      </c>
      <c r="S62" s="433">
        <f>IF(($S$6-G62+1)&gt;365,365,($S$6-G62+1))</f>
        <v>365</v>
      </c>
      <c r="T62" s="436">
        <f>ROUND(IF(R62&gt;0,R62*$D62/365*S62,($E62*$D62*S62/365)),0)</f>
        <v>1326</v>
      </c>
      <c r="U62" s="436">
        <f>R62-T62</f>
        <v>1988</v>
      </c>
      <c r="V62" s="433">
        <f>IF(($V$6-G62+1)&gt;365,365,($V$6-G62+1))</f>
        <v>365</v>
      </c>
      <c r="W62" s="436">
        <f>ROUND(IF(U62&gt;0,U62*$D62/365*V62,($E62*$D62*V62/365)),0)</f>
        <v>795</v>
      </c>
      <c r="X62" s="436">
        <f>IF((U62-W62)&gt;0,U62-W62,E62-W62)</f>
        <v>1193</v>
      </c>
      <c r="Y62" s="433">
        <f t="shared" si="111"/>
        <v>365</v>
      </c>
      <c r="Z62" s="436">
        <f t="shared" si="112"/>
        <v>477</v>
      </c>
      <c r="AA62" s="436">
        <f t="shared" si="113"/>
        <v>716</v>
      </c>
      <c r="AB62" s="433">
        <f t="shared" si="114"/>
        <v>365</v>
      </c>
      <c r="AC62" s="436">
        <f t="shared" si="115"/>
        <v>286</v>
      </c>
      <c r="AD62" s="436">
        <f t="shared" si="116"/>
        <v>430</v>
      </c>
      <c r="AE62" s="436">
        <f t="shared" si="117"/>
        <v>3320</v>
      </c>
      <c r="AF62" s="436">
        <f t="shared" si="118"/>
        <v>430</v>
      </c>
      <c r="AG62" s="436">
        <f t="shared" si="119"/>
        <v>0</v>
      </c>
      <c r="AH62" s="436">
        <f t="shared" si="120"/>
        <v>4.2849315068493148</v>
      </c>
      <c r="AI62" s="439">
        <v>3</v>
      </c>
      <c r="AJ62" s="436">
        <f t="shared" si="121"/>
        <v>-1.2849315068493148</v>
      </c>
      <c r="AK62" s="440">
        <f t="shared" si="122"/>
        <v>0</v>
      </c>
      <c r="AL62" s="6">
        <f t="shared" si="123"/>
        <v>243</v>
      </c>
      <c r="AM62" s="433">
        <f t="shared" si="124"/>
        <v>365</v>
      </c>
      <c r="AN62" s="436">
        <f t="shared" si="125"/>
        <v>172</v>
      </c>
      <c r="AO62" s="436">
        <f t="shared" si="126"/>
        <v>0</v>
      </c>
      <c r="AP62" s="436">
        <f t="shared" si="127"/>
        <v>188</v>
      </c>
      <c r="AQ62" s="436">
        <f t="shared" si="128"/>
        <v>187</v>
      </c>
      <c r="AR62" s="436">
        <f t="shared" si="129"/>
        <v>-1</v>
      </c>
      <c r="AS62" s="436">
        <f t="shared" si="130"/>
        <v>-172</v>
      </c>
      <c r="AT62" s="2">
        <f t="shared" si="131"/>
        <v>258</v>
      </c>
      <c r="AU62" s="2">
        <f t="shared" si="132"/>
        <v>187</v>
      </c>
      <c r="AV62" s="2">
        <f t="shared" si="133"/>
        <v>0</v>
      </c>
      <c r="AW62" s="433">
        <f t="shared" si="134"/>
        <v>365</v>
      </c>
      <c r="AX62" s="2">
        <f>AU62*AK62</f>
        <v>0</v>
      </c>
      <c r="AY62" s="2">
        <f t="shared" si="135"/>
        <v>187</v>
      </c>
      <c r="AZ62" s="433">
        <f t="shared" si="136"/>
        <v>365</v>
      </c>
      <c r="BA62" s="2">
        <f t="shared" ref="BA62:BA67" si="169">AY62*AK62</f>
        <v>0</v>
      </c>
      <c r="BB62" s="2">
        <f t="shared" ref="BB62:BB67" si="170">AY62-BA62</f>
        <v>187</v>
      </c>
      <c r="BC62" s="2">
        <f t="shared" ref="BC62:BC72" si="171">3*365</f>
        <v>1095</v>
      </c>
      <c r="BD62" s="433">
        <f t="shared" si="137"/>
        <v>2659</v>
      </c>
      <c r="BE62" s="439">
        <f t="shared" si="138"/>
        <v>-1564</v>
      </c>
      <c r="BF62" s="433">
        <f t="shared" si="139"/>
        <v>365</v>
      </c>
      <c r="BG62" s="2">
        <f t="shared" si="140"/>
        <v>0</v>
      </c>
      <c r="BH62" s="2">
        <f t="shared" si="141"/>
        <v>187</v>
      </c>
      <c r="BI62" s="2">
        <v>0</v>
      </c>
      <c r="BJ62" s="2">
        <f t="shared" si="142"/>
        <v>187</v>
      </c>
      <c r="BK62" s="2"/>
      <c r="BL62" s="2">
        <f t="shared" si="143"/>
        <v>187</v>
      </c>
      <c r="BM62" s="2"/>
      <c r="BN62" s="2">
        <f t="shared" si="60"/>
        <v>187</v>
      </c>
      <c r="BO62" s="2"/>
      <c r="BP62" s="2">
        <f t="shared" si="144"/>
        <v>187</v>
      </c>
      <c r="BQ62" s="2"/>
      <c r="BR62" s="2">
        <f t="shared" si="145"/>
        <v>187</v>
      </c>
      <c r="BS62" s="2"/>
      <c r="BT62" s="2">
        <f t="shared" ref="BT62:BT87" si="172">BR62-BS62</f>
        <v>187</v>
      </c>
      <c r="BU62" s="2"/>
      <c r="BV62" s="2">
        <f t="shared" si="146"/>
        <v>187</v>
      </c>
      <c r="BW62" s="2"/>
      <c r="BX62" s="2">
        <f t="shared" si="147"/>
        <v>187</v>
      </c>
      <c r="BY62" s="2"/>
      <c r="BZ62" s="2">
        <f t="shared" si="148"/>
        <v>187</v>
      </c>
      <c r="CA62" s="2"/>
      <c r="CB62" s="2">
        <f t="shared" si="149"/>
        <v>187</v>
      </c>
      <c r="CC62" s="2"/>
      <c r="CD62" s="2">
        <f t="shared" si="150"/>
        <v>187</v>
      </c>
      <c r="CE62" s="2"/>
      <c r="CF62" s="2">
        <f t="shared" si="151"/>
        <v>187</v>
      </c>
      <c r="CG62" s="2"/>
      <c r="CH62" s="2">
        <f t="shared" si="152"/>
        <v>187</v>
      </c>
      <c r="CI62" s="2"/>
      <c r="CJ62" s="2">
        <f t="shared" si="153"/>
        <v>187</v>
      </c>
      <c r="CK62" s="2"/>
      <c r="CL62" s="2">
        <f t="shared" si="154"/>
        <v>187</v>
      </c>
      <c r="CM62" s="2"/>
      <c r="CN62" s="2">
        <f t="shared" si="155"/>
        <v>187</v>
      </c>
      <c r="CO62" s="2"/>
      <c r="CP62" s="2">
        <f t="shared" si="156"/>
        <v>187</v>
      </c>
      <c r="CQ62" s="2"/>
      <c r="CR62" s="2">
        <f t="shared" si="157"/>
        <v>187</v>
      </c>
      <c r="CS62" s="2"/>
      <c r="CT62" s="2">
        <f t="shared" si="158"/>
        <v>187</v>
      </c>
      <c r="CU62" s="2"/>
      <c r="CV62" s="2">
        <f t="shared" si="159"/>
        <v>187</v>
      </c>
      <c r="CW62" s="2"/>
      <c r="CX62" s="2">
        <f t="shared" si="160"/>
        <v>187</v>
      </c>
      <c r="CY62" s="2"/>
      <c r="CZ62" s="2">
        <f t="shared" si="161"/>
        <v>187</v>
      </c>
      <c r="DA62" s="2"/>
      <c r="DB62" s="2">
        <f t="shared" si="162"/>
        <v>187</v>
      </c>
      <c r="DC62" s="2"/>
      <c r="DD62" s="2">
        <f t="shared" si="163"/>
        <v>187</v>
      </c>
      <c r="DE62" s="2"/>
      <c r="DF62" s="2">
        <f t="shared" si="164"/>
        <v>187</v>
      </c>
      <c r="DG62" s="2"/>
      <c r="DH62" s="2">
        <f>+DF62-DG62</f>
        <v>187</v>
      </c>
      <c r="DI62" s="2"/>
      <c r="DJ62" s="2">
        <f t="shared" ref="DJ62:DJ72" si="173">+DH62-DI62</f>
        <v>187</v>
      </c>
      <c r="DK62" s="2"/>
      <c r="DL62" s="2">
        <f t="shared" ref="DL62:DL72" si="174">+DJ62-DK62</f>
        <v>187</v>
      </c>
      <c r="DM62" s="2"/>
      <c r="DN62" s="2">
        <f t="shared" ref="DN62:DN72" si="175">+DL62-DM62</f>
        <v>187</v>
      </c>
      <c r="DO62" s="2"/>
      <c r="DP62" s="2">
        <f t="shared" ref="DP62:DP72" si="176">+DN62-DO62</f>
        <v>187</v>
      </c>
      <c r="DQ62" s="2"/>
      <c r="DR62" s="2">
        <f t="shared" ref="DR62:DR72" si="177">+DP62-DQ62</f>
        <v>187</v>
      </c>
      <c r="DS62" s="2"/>
      <c r="DT62" s="2">
        <f t="shared" si="165"/>
        <v>187</v>
      </c>
      <c r="DU62" s="2"/>
      <c r="DV62" s="2"/>
      <c r="DW62" s="266">
        <f t="shared" si="166"/>
        <v>187.5</v>
      </c>
      <c r="DX62" s="441">
        <f t="shared" si="167"/>
        <v>0.5</v>
      </c>
    </row>
    <row r="63" spans="1:128">
      <c r="A63" s="433">
        <f t="shared" si="168"/>
        <v>3</v>
      </c>
      <c r="B63" s="433" t="s">
        <v>499</v>
      </c>
      <c r="C63" s="434" t="s">
        <v>497</v>
      </c>
      <c r="D63" s="435">
        <v>0.4</v>
      </c>
      <c r="E63" s="442">
        <v>4737</v>
      </c>
      <c r="F63" s="437" t="s">
        <v>1001</v>
      </c>
      <c r="G63" s="438">
        <v>39909</v>
      </c>
      <c r="H63" s="438"/>
      <c r="I63" s="438"/>
      <c r="J63" s="438"/>
      <c r="K63" s="438"/>
      <c r="L63" s="438"/>
      <c r="M63" s="439"/>
      <c r="N63" s="439"/>
      <c r="O63" s="439"/>
      <c r="P63" s="433">
        <f>IF(($P$6-G63+1)&gt;365,365,($P$6-G63+1))-1</f>
        <v>359</v>
      </c>
      <c r="Q63" s="436">
        <f>ROUND(IF(O63&gt;0,O63*$D63/365*P63,($E63*$D63*P63/365)),0)</f>
        <v>1864</v>
      </c>
      <c r="R63" s="436">
        <f>E63-Q63</f>
        <v>2873</v>
      </c>
      <c r="S63" s="433">
        <f>IF(($S$6-G63+1)&gt;365,365,($S$6-G63+1))</f>
        <v>365</v>
      </c>
      <c r="T63" s="436">
        <f>ROUND(IF(R63&gt;0,R63*$D63/365*S63,($E63*$D63*S63/365)),0)</f>
        <v>1149</v>
      </c>
      <c r="U63" s="436">
        <f>R63-T63</f>
        <v>1724</v>
      </c>
      <c r="V63" s="433">
        <f>IF(($V$6-G63+1)&gt;365,365,($V$6-G63+1))</f>
        <v>365</v>
      </c>
      <c r="W63" s="436">
        <f>ROUND(IF(U63&gt;0,U63*$D63/365*V63,($E63*$D63*V63/365)),0)</f>
        <v>690</v>
      </c>
      <c r="X63" s="436">
        <f>IF((U63-W63)&gt;0,U63-W63,E63-W63)</f>
        <v>1034</v>
      </c>
      <c r="Y63" s="433">
        <f t="shared" si="111"/>
        <v>365</v>
      </c>
      <c r="Z63" s="436">
        <f t="shared" si="112"/>
        <v>414</v>
      </c>
      <c r="AA63" s="436">
        <f t="shared" si="113"/>
        <v>620</v>
      </c>
      <c r="AB63" s="433">
        <f t="shared" si="114"/>
        <v>365</v>
      </c>
      <c r="AC63" s="436">
        <f t="shared" si="115"/>
        <v>248</v>
      </c>
      <c r="AD63" s="436">
        <f t="shared" si="116"/>
        <v>372</v>
      </c>
      <c r="AE63" s="436">
        <f t="shared" si="117"/>
        <v>4365</v>
      </c>
      <c r="AF63" s="436">
        <f t="shared" si="118"/>
        <v>372</v>
      </c>
      <c r="AG63" s="436">
        <f t="shared" si="119"/>
        <v>0</v>
      </c>
      <c r="AH63" s="436">
        <f t="shared" si="120"/>
        <v>4.9890410958904106</v>
      </c>
      <c r="AI63" s="439">
        <v>3</v>
      </c>
      <c r="AJ63" s="436">
        <f t="shared" si="121"/>
        <v>-1.9890410958904106</v>
      </c>
      <c r="AK63" s="440">
        <f t="shared" si="122"/>
        <v>0</v>
      </c>
      <c r="AL63" s="6">
        <f t="shared" si="123"/>
        <v>135</v>
      </c>
      <c r="AM63" s="433">
        <f t="shared" si="124"/>
        <v>365</v>
      </c>
      <c r="AN63" s="436">
        <f t="shared" si="125"/>
        <v>149</v>
      </c>
      <c r="AO63" s="436">
        <f t="shared" si="126"/>
        <v>0</v>
      </c>
      <c r="AP63" s="436">
        <f t="shared" si="127"/>
        <v>237</v>
      </c>
      <c r="AQ63" s="436">
        <f t="shared" si="128"/>
        <v>237</v>
      </c>
      <c r="AR63" s="436">
        <f t="shared" si="129"/>
        <v>0</v>
      </c>
      <c r="AS63" s="436">
        <f t="shared" si="130"/>
        <v>-149</v>
      </c>
      <c r="AT63" s="2">
        <f t="shared" si="131"/>
        <v>223</v>
      </c>
      <c r="AU63" s="2">
        <f t="shared" si="132"/>
        <v>237</v>
      </c>
      <c r="AV63" s="2">
        <f t="shared" si="133"/>
        <v>0</v>
      </c>
      <c r="AW63" s="433">
        <f t="shared" si="134"/>
        <v>365</v>
      </c>
      <c r="AX63" s="2">
        <f>AU63*AK63</f>
        <v>0</v>
      </c>
      <c r="AY63" s="2">
        <f t="shared" si="135"/>
        <v>237</v>
      </c>
      <c r="AZ63" s="433">
        <f t="shared" si="136"/>
        <v>365</v>
      </c>
      <c r="BA63" s="2">
        <f t="shared" si="169"/>
        <v>0</v>
      </c>
      <c r="BB63" s="2">
        <f t="shared" si="170"/>
        <v>237</v>
      </c>
      <c r="BC63" s="2">
        <f t="shared" si="171"/>
        <v>1095</v>
      </c>
      <c r="BD63" s="433">
        <f t="shared" si="137"/>
        <v>2916</v>
      </c>
      <c r="BE63" s="439">
        <f t="shared" si="138"/>
        <v>-1821</v>
      </c>
      <c r="BF63" s="433">
        <f t="shared" si="139"/>
        <v>365</v>
      </c>
      <c r="BG63" s="2">
        <f t="shared" si="140"/>
        <v>0</v>
      </c>
      <c r="BH63" s="2">
        <f t="shared" si="141"/>
        <v>237</v>
      </c>
      <c r="BI63" s="2">
        <v>0</v>
      </c>
      <c r="BJ63" s="2">
        <f t="shared" si="142"/>
        <v>237</v>
      </c>
      <c r="BK63" s="2"/>
      <c r="BL63" s="2">
        <f t="shared" si="143"/>
        <v>237</v>
      </c>
      <c r="BM63" s="2"/>
      <c r="BN63" s="2">
        <f t="shared" si="60"/>
        <v>237</v>
      </c>
      <c r="BO63" s="2"/>
      <c r="BP63" s="2">
        <f t="shared" si="144"/>
        <v>237</v>
      </c>
      <c r="BQ63" s="2"/>
      <c r="BR63" s="2">
        <f t="shared" si="145"/>
        <v>237</v>
      </c>
      <c r="BS63" s="2"/>
      <c r="BT63" s="2">
        <f t="shared" si="172"/>
        <v>237</v>
      </c>
      <c r="BU63" s="2"/>
      <c r="BV63" s="2">
        <f t="shared" si="146"/>
        <v>237</v>
      </c>
      <c r="BW63" s="2"/>
      <c r="BX63" s="2">
        <f t="shared" si="147"/>
        <v>237</v>
      </c>
      <c r="BY63" s="2"/>
      <c r="BZ63" s="2">
        <f t="shared" si="148"/>
        <v>237</v>
      </c>
      <c r="CA63" s="2"/>
      <c r="CB63" s="2">
        <f t="shared" si="149"/>
        <v>237</v>
      </c>
      <c r="CC63" s="2"/>
      <c r="CD63" s="2">
        <f t="shared" si="150"/>
        <v>237</v>
      </c>
      <c r="CE63" s="2"/>
      <c r="CF63" s="2">
        <f t="shared" si="151"/>
        <v>237</v>
      </c>
      <c r="CG63" s="2"/>
      <c r="CH63" s="2">
        <f t="shared" si="152"/>
        <v>237</v>
      </c>
      <c r="CI63" s="2"/>
      <c r="CJ63" s="2">
        <f t="shared" si="153"/>
        <v>237</v>
      </c>
      <c r="CK63" s="2"/>
      <c r="CL63" s="2">
        <f t="shared" si="154"/>
        <v>237</v>
      </c>
      <c r="CM63" s="2"/>
      <c r="CN63" s="2">
        <f t="shared" si="155"/>
        <v>237</v>
      </c>
      <c r="CO63" s="2"/>
      <c r="CP63" s="2">
        <f t="shared" si="156"/>
        <v>237</v>
      </c>
      <c r="CQ63" s="2"/>
      <c r="CR63" s="2">
        <f t="shared" si="157"/>
        <v>237</v>
      </c>
      <c r="CS63" s="2"/>
      <c r="CT63" s="2">
        <f t="shared" si="158"/>
        <v>237</v>
      </c>
      <c r="CU63" s="2"/>
      <c r="CV63" s="2">
        <f t="shared" si="159"/>
        <v>237</v>
      </c>
      <c r="CW63" s="2"/>
      <c r="CX63" s="2">
        <f t="shared" si="160"/>
        <v>237</v>
      </c>
      <c r="CY63" s="2"/>
      <c r="CZ63" s="2">
        <f t="shared" si="161"/>
        <v>237</v>
      </c>
      <c r="DA63" s="2"/>
      <c r="DB63" s="2">
        <f t="shared" si="162"/>
        <v>237</v>
      </c>
      <c r="DC63" s="2"/>
      <c r="DD63" s="2">
        <f t="shared" si="163"/>
        <v>237</v>
      </c>
      <c r="DE63" s="2"/>
      <c r="DF63" s="2">
        <f t="shared" si="164"/>
        <v>237</v>
      </c>
      <c r="DG63" s="2"/>
      <c r="DH63" s="2">
        <f>+DF63-DG63</f>
        <v>237</v>
      </c>
      <c r="DI63" s="2"/>
      <c r="DJ63" s="2">
        <f t="shared" si="173"/>
        <v>237</v>
      </c>
      <c r="DK63" s="2"/>
      <c r="DL63" s="2">
        <f t="shared" si="174"/>
        <v>237</v>
      </c>
      <c r="DM63" s="2"/>
      <c r="DN63" s="2">
        <f t="shared" si="175"/>
        <v>237</v>
      </c>
      <c r="DO63" s="2"/>
      <c r="DP63" s="2">
        <f t="shared" si="176"/>
        <v>237</v>
      </c>
      <c r="DQ63" s="2"/>
      <c r="DR63" s="2">
        <f t="shared" si="177"/>
        <v>237</v>
      </c>
      <c r="DS63" s="2"/>
      <c r="DT63" s="2">
        <f t="shared" si="165"/>
        <v>237</v>
      </c>
      <c r="DU63" s="2"/>
      <c r="DV63" s="2"/>
      <c r="DW63" s="266">
        <f t="shared" si="166"/>
        <v>236.85000000000002</v>
      </c>
      <c r="DX63" s="441">
        <f t="shared" si="167"/>
        <v>-0.14999999999997726</v>
      </c>
    </row>
    <row r="64" spans="1:128">
      <c r="A64" s="433">
        <f t="shared" si="168"/>
        <v>4</v>
      </c>
      <c r="B64" s="433" t="s">
        <v>500</v>
      </c>
      <c r="C64" s="434" t="s">
        <v>497</v>
      </c>
      <c r="D64" s="435">
        <v>0.4</v>
      </c>
      <c r="E64" s="442">
        <v>31731</v>
      </c>
      <c r="F64" s="437" t="s">
        <v>1001</v>
      </c>
      <c r="G64" s="438">
        <v>40626</v>
      </c>
      <c r="H64" s="438"/>
      <c r="I64" s="438"/>
      <c r="J64" s="438"/>
      <c r="K64" s="438"/>
      <c r="L64" s="438"/>
      <c r="M64" s="439"/>
      <c r="N64" s="439"/>
      <c r="O64" s="439"/>
      <c r="P64" s="439"/>
      <c r="Q64" s="436"/>
      <c r="R64" s="436"/>
      <c r="S64" s="433">
        <f>IF(($S$6-G64+1)&gt;365,365,($S$6-G64+1))</f>
        <v>8</v>
      </c>
      <c r="T64" s="436">
        <f>ROUND(IF(R64&gt;0,R64*$D64/365*S64,($E64*$D64*S64/365)),0)</f>
        <v>278</v>
      </c>
      <c r="U64" s="436">
        <f>E64-T64</f>
        <v>31453</v>
      </c>
      <c r="V64" s="433">
        <f>IF(($V$6-G64+1)&gt;365,365,($V$6-G64+1))</f>
        <v>365</v>
      </c>
      <c r="W64" s="436">
        <f>ROUND(IF(U64&gt;0,U64*$D64/365*V64,($E64*$D64*V64/365)),0)</f>
        <v>12581</v>
      </c>
      <c r="X64" s="436">
        <f>IF((U64-W64)&gt;0,U64-W64,$E64-W64)</f>
        <v>18872</v>
      </c>
      <c r="Y64" s="433">
        <f t="shared" si="111"/>
        <v>365</v>
      </c>
      <c r="Z64" s="436">
        <f t="shared" si="112"/>
        <v>7549</v>
      </c>
      <c r="AA64" s="436">
        <f t="shared" si="113"/>
        <v>11323</v>
      </c>
      <c r="AB64" s="433">
        <f t="shared" si="114"/>
        <v>365</v>
      </c>
      <c r="AC64" s="436">
        <f t="shared" si="115"/>
        <v>4529</v>
      </c>
      <c r="AD64" s="436">
        <f t="shared" si="116"/>
        <v>6794</v>
      </c>
      <c r="AE64" s="436">
        <f t="shared" si="117"/>
        <v>24937</v>
      </c>
      <c r="AF64" s="436">
        <f t="shared" si="118"/>
        <v>6794</v>
      </c>
      <c r="AG64" s="436">
        <f t="shared" si="119"/>
        <v>0</v>
      </c>
      <c r="AH64" s="436">
        <f t="shared" si="120"/>
        <v>3.0246575342465754</v>
      </c>
      <c r="AI64" s="439">
        <v>3</v>
      </c>
      <c r="AJ64" s="436">
        <f t="shared" si="121"/>
        <v>-2.4657534246575352E-2</v>
      </c>
      <c r="AK64" s="440">
        <f t="shared" si="122"/>
        <v>0</v>
      </c>
      <c r="AL64" s="6">
        <f t="shared" si="123"/>
        <v>5207</v>
      </c>
      <c r="AM64" s="433">
        <f t="shared" si="124"/>
        <v>365</v>
      </c>
      <c r="AN64" s="436">
        <f t="shared" si="125"/>
        <v>2718</v>
      </c>
      <c r="AO64" s="436">
        <f t="shared" si="126"/>
        <v>0</v>
      </c>
      <c r="AP64" s="436">
        <f t="shared" si="127"/>
        <v>1587</v>
      </c>
      <c r="AQ64" s="436">
        <f t="shared" si="128"/>
        <v>1587</v>
      </c>
      <c r="AR64" s="436">
        <f t="shared" si="129"/>
        <v>0</v>
      </c>
      <c r="AS64" s="436">
        <f t="shared" si="130"/>
        <v>-2718</v>
      </c>
      <c r="AT64" s="2">
        <f t="shared" si="131"/>
        <v>4076</v>
      </c>
      <c r="AU64" s="2">
        <f t="shared" si="132"/>
        <v>1587</v>
      </c>
      <c r="AV64" s="2">
        <f t="shared" si="133"/>
        <v>0</v>
      </c>
      <c r="AW64" s="433">
        <f t="shared" si="134"/>
        <v>365</v>
      </c>
      <c r="AX64" s="2">
        <f>AU64*AK64</f>
        <v>0</v>
      </c>
      <c r="AY64" s="2">
        <f t="shared" si="135"/>
        <v>1587</v>
      </c>
      <c r="AZ64" s="433">
        <f t="shared" si="136"/>
        <v>365</v>
      </c>
      <c r="BA64" s="2">
        <f t="shared" si="169"/>
        <v>0</v>
      </c>
      <c r="BB64" s="2">
        <f t="shared" si="170"/>
        <v>1587</v>
      </c>
      <c r="BC64" s="2">
        <f t="shared" si="171"/>
        <v>1095</v>
      </c>
      <c r="BD64" s="433">
        <f t="shared" si="137"/>
        <v>2199</v>
      </c>
      <c r="BE64" s="439">
        <f t="shared" si="138"/>
        <v>-1104</v>
      </c>
      <c r="BF64" s="433">
        <f t="shared" si="139"/>
        <v>365</v>
      </c>
      <c r="BG64" s="2">
        <f t="shared" si="140"/>
        <v>0</v>
      </c>
      <c r="BH64" s="2">
        <f t="shared" si="141"/>
        <v>1587</v>
      </c>
      <c r="BI64" s="2">
        <v>0</v>
      </c>
      <c r="BJ64" s="2">
        <f t="shared" si="142"/>
        <v>1587</v>
      </c>
      <c r="BK64" s="2"/>
      <c r="BL64" s="2">
        <f t="shared" si="143"/>
        <v>1587</v>
      </c>
      <c r="BM64" s="2"/>
      <c r="BN64" s="2">
        <f t="shared" si="60"/>
        <v>1587</v>
      </c>
      <c r="BO64" s="2"/>
      <c r="BP64" s="2">
        <f t="shared" si="144"/>
        <v>1587</v>
      </c>
      <c r="BQ64" s="2"/>
      <c r="BR64" s="2">
        <f t="shared" si="145"/>
        <v>1587</v>
      </c>
      <c r="BS64" s="2"/>
      <c r="BT64" s="2">
        <f t="shared" si="172"/>
        <v>1587</v>
      </c>
      <c r="BU64" s="2"/>
      <c r="BV64" s="2">
        <f t="shared" si="146"/>
        <v>1587</v>
      </c>
      <c r="BW64" s="2"/>
      <c r="BX64" s="2">
        <f t="shared" si="147"/>
        <v>1587</v>
      </c>
      <c r="BY64" s="2"/>
      <c r="BZ64" s="2">
        <f t="shared" si="148"/>
        <v>1587</v>
      </c>
      <c r="CA64" s="2"/>
      <c r="CB64" s="2">
        <f t="shared" si="149"/>
        <v>1587</v>
      </c>
      <c r="CC64" s="2"/>
      <c r="CD64" s="2">
        <f t="shared" si="150"/>
        <v>1587</v>
      </c>
      <c r="CE64" s="2"/>
      <c r="CF64" s="2">
        <f t="shared" si="151"/>
        <v>1587</v>
      </c>
      <c r="CG64" s="2"/>
      <c r="CH64" s="2">
        <f t="shared" si="152"/>
        <v>1587</v>
      </c>
      <c r="CI64" s="2"/>
      <c r="CJ64" s="2">
        <f t="shared" si="153"/>
        <v>1587</v>
      </c>
      <c r="CK64" s="2"/>
      <c r="CL64" s="2">
        <f t="shared" si="154"/>
        <v>1587</v>
      </c>
      <c r="CM64" s="2"/>
      <c r="CN64" s="2">
        <f t="shared" si="155"/>
        <v>1587</v>
      </c>
      <c r="CO64" s="2"/>
      <c r="CP64" s="2">
        <f t="shared" si="156"/>
        <v>1587</v>
      </c>
      <c r="CQ64" s="2"/>
      <c r="CR64" s="2">
        <f t="shared" si="157"/>
        <v>1587</v>
      </c>
      <c r="CS64" s="2"/>
      <c r="CT64" s="2">
        <f t="shared" si="158"/>
        <v>1587</v>
      </c>
      <c r="CU64" s="2"/>
      <c r="CV64" s="2">
        <f t="shared" si="159"/>
        <v>1587</v>
      </c>
      <c r="CW64" s="2"/>
      <c r="CX64" s="2">
        <f t="shared" si="160"/>
        <v>1587</v>
      </c>
      <c r="CY64" s="2"/>
      <c r="CZ64" s="2">
        <f t="shared" si="161"/>
        <v>1587</v>
      </c>
      <c r="DA64" s="2"/>
      <c r="DB64" s="2">
        <f t="shared" si="162"/>
        <v>1587</v>
      </c>
      <c r="DC64" s="2"/>
      <c r="DD64" s="2">
        <f t="shared" si="163"/>
        <v>1587</v>
      </c>
      <c r="DE64" s="2"/>
      <c r="DF64" s="2">
        <f t="shared" si="164"/>
        <v>1587</v>
      </c>
      <c r="DG64" s="2"/>
      <c r="DH64" s="2">
        <f t="shared" ref="DH64:DH72" si="178">+DF64-DG64</f>
        <v>1587</v>
      </c>
      <c r="DI64" s="2"/>
      <c r="DJ64" s="2">
        <f t="shared" si="173"/>
        <v>1587</v>
      </c>
      <c r="DK64" s="2"/>
      <c r="DL64" s="2">
        <f t="shared" si="174"/>
        <v>1587</v>
      </c>
      <c r="DM64" s="2"/>
      <c r="DN64" s="2">
        <f t="shared" si="175"/>
        <v>1587</v>
      </c>
      <c r="DO64" s="2"/>
      <c r="DP64" s="2">
        <f t="shared" si="176"/>
        <v>1587</v>
      </c>
      <c r="DQ64" s="2"/>
      <c r="DR64" s="2">
        <f t="shared" si="177"/>
        <v>1587</v>
      </c>
      <c r="DS64" s="2"/>
      <c r="DT64" s="2">
        <f t="shared" si="165"/>
        <v>1587</v>
      </c>
      <c r="DU64" s="2"/>
      <c r="DV64" s="2"/>
      <c r="DW64" s="266">
        <f t="shared" si="166"/>
        <v>1586.5500000000002</v>
      </c>
      <c r="DX64" s="441">
        <f t="shared" si="167"/>
        <v>-0.4499999999998181</v>
      </c>
    </row>
    <row r="65" spans="1:128">
      <c r="A65" s="433">
        <f t="shared" si="168"/>
        <v>5</v>
      </c>
      <c r="B65" s="433" t="s">
        <v>500</v>
      </c>
      <c r="C65" s="434" t="s">
        <v>497</v>
      </c>
      <c r="D65" s="435">
        <v>0.4</v>
      </c>
      <c r="E65" s="442">
        <v>38000</v>
      </c>
      <c r="F65" s="437" t="s">
        <v>1001</v>
      </c>
      <c r="G65" s="438">
        <v>41245</v>
      </c>
      <c r="H65" s="438"/>
      <c r="I65" s="438"/>
      <c r="J65" s="438"/>
      <c r="K65" s="438"/>
      <c r="L65" s="438"/>
      <c r="M65" s="439"/>
      <c r="N65" s="436"/>
      <c r="O65" s="436"/>
      <c r="P65" s="439"/>
      <c r="Q65" s="436"/>
      <c r="R65" s="436"/>
      <c r="S65" s="436"/>
      <c r="T65" s="436"/>
      <c r="U65" s="436"/>
      <c r="V65" s="436"/>
      <c r="W65" s="436"/>
      <c r="X65" s="436"/>
      <c r="Y65" s="433">
        <f t="shared" si="111"/>
        <v>120</v>
      </c>
      <c r="Z65" s="436">
        <f t="shared" si="112"/>
        <v>4997</v>
      </c>
      <c r="AA65" s="436">
        <f t="shared" si="113"/>
        <v>33003</v>
      </c>
      <c r="AB65" s="433">
        <f t="shared" si="114"/>
        <v>365</v>
      </c>
      <c r="AC65" s="436">
        <f t="shared" si="115"/>
        <v>13201</v>
      </c>
      <c r="AD65" s="436">
        <f t="shared" si="116"/>
        <v>19802</v>
      </c>
      <c r="AE65" s="436">
        <f t="shared" si="117"/>
        <v>18198</v>
      </c>
      <c r="AF65" s="436">
        <f t="shared" si="118"/>
        <v>19802</v>
      </c>
      <c r="AG65" s="436">
        <f t="shared" si="119"/>
        <v>0</v>
      </c>
      <c r="AH65" s="436">
        <f t="shared" si="120"/>
        <v>1.3287671232876712</v>
      </c>
      <c r="AI65" s="439">
        <v>3</v>
      </c>
      <c r="AJ65" s="436">
        <f t="shared" si="121"/>
        <v>1.6712328767123288</v>
      </c>
      <c r="AK65" s="440">
        <f t="shared" si="122"/>
        <v>0.7540224302947065</v>
      </c>
      <c r="AL65" s="6">
        <f t="shared" si="123"/>
        <v>0</v>
      </c>
      <c r="AM65" s="433">
        <f t="shared" si="124"/>
        <v>365</v>
      </c>
      <c r="AN65" s="436">
        <f t="shared" si="125"/>
        <v>7921</v>
      </c>
      <c r="AO65" s="436">
        <f t="shared" si="126"/>
        <v>14931</v>
      </c>
      <c r="AP65" s="436">
        <f t="shared" si="127"/>
        <v>4871</v>
      </c>
      <c r="AQ65" s="436">
        <f t="shared" si="128"/>
        <v>4871</v>
      </c>
      <c r="AR65" s="436">
        <f t="shared" si="129"/>
        <v>0</v>
      </c>
      <c r="AS65" s="436">
        <f t="shared" si="130"/>
        <v>7010</v>
      </c>
      <c r="AT65" s="2">
        <f t="shared" si="131"/>
        <v>11881</v>
      </c>
      <c r="AU65" s="2">
        <f t="shared" si="132"/>
        <v>4871</v>
      </c>
      <c r="AV65" s="2">
        <f t="shared" si="133"/>
        <v>0</v>
      </c>
      <c r="AW65" s="433">
        <f t="shared" si="134"/>
        <v>365</v>
      </c>
      <c r="AX65" s="2">
        <f>AU65*(365-Y65)/365*AK65+506</f>
        <v>2971.3331457576746</v>
      </c>
      <c r="AY65" s="2">
        <f t="shared" si="135"/>
        <v>1899.6668542423254</v>
      </c>
      <c r="AZ65" s="433">
        <f t="shared" si="136"/>
        <v>365</v>
      </c>
      <c r="BA65" s="2">
        <f t="shared" si="169"/>
        <v>1432.3914181860982</v>
      </c>
      <c r="BB65" s="2">
        <f t="shared" si="170"/>
        <v>467.27543605622714</v>
      </c>
      <c r="BC65" s="2">
        <f t="shared" si="171"/>
        <v>1095</v>
      </c>
      <c r="BD65" s="433">
        <f t="shared" si="137"/>
        <v>1580</v>
      </c>
      <c r="BE65" s="439">
        <f t="shared" si="138"/>
        <v>-485</v>
      </c>
      <c r="BF65" s="433">
        <f t="shared" si="139"/>
        <v>365</v>
      </c>
      <c r="BG65" s="2">
        <f t="shared" si="140"/>
        <v>0</v>
      </c>
      <c r="BH65" s="2">
        <f t="shared" si="141"/>
        <v>467.27543605622714</v>
      </c>
      <c r="BI65" s="2">
        <v>0</v>
      </c>
      <c r="BJ65" s="2">
        <f t="shared" si="142"/>
        <v>467.27543605622714</v>
      </c>
      <c r="BK65" s="2"/>
      <c r="BL65" s="2">
        <f t="shared" si="143"/>
        <v>467.27543605622714</v>
      </c>
      <c r="BM65" s="2"/>
      <c r="BN65" s="2">
        <f t="shared" si="60"/>
        <v>467.27543605622714</v>
      </c>
      <c r="BO65" s="2"/>
      <c r="BP65" s="2">
        <f t="shared" si="144"/>
        <v>467.27543605622714</v>
      </c>
      <c r="BQ65" s="2"/>
      <c r="BR65" s="2">
        <f t="shared" si="145"/>
        <v>467.27543605622714</v>
      </c>
      <c r="BS65" s="2"/>
      <c r="BT65" s="2">
        <f t="shared" si="172"/>
        <v>467.27543605622714</v>
      </c>
      <c r="BU65" s="2"/>
      <c r="BV65" s="2">
        <f t="shared" si="146"/>
        <v>467.27543605622714</v>
      </c>
      <c r="BW65" s="2"/>
      <c r="BX65" s="2">
        <f t="shared" si="147"/>
        <v>467.27543605622714</v>
      </c>
      <c r="BY65" s="2"/>
      <c r="BZ65" s="2">
        <f t="shared" si="148"/>
        <v>467.27543605622714</v>
      </c>
      <c r="CA65" s="2"/>
      <c r="CB65" s="2">
        <f t="shared" si="149"/>
        <v>467.27543605622714</v>
      </c>
      <c r="CC65" s="2"/>
      <c r="CD65" s="2">
        <f t="shared" si="150"/>
        <v>467.27543605622714</v>
      </c>
      <c r="CE65" s="2"/>
      <c r="CF65" s="2">
        <f t="shared" si="151"/>
        <v>467.27543605622714</v>
      </c>
      <c r="CG65" s="2"/>
      <c r="CH65" s="2">
        <f t="shared" si="152"/>
        <v>467.27543605622714</v>
      </c>
      <c r="CI65" s="2"/>
      <c r="CJ65" s="2">
        <f t="shared" si="153"/>
        <v>467.27543605622714</v>
      </c>
      <c r="CK65" s="2"/>
      <c r="CL65" s="2">
        <f t="shared" si="154"/>
        <v>467.27543605622714</v>
      </c>
      <c r="CM65" s="2"/>
      <c r="CN65" s="2">
        <f t="shared" si="155"/>
        <v>467.27543605622714</v>
      </c>
      <c r="CO65" s="2"/>
      <c r="CP65" s="2">
        <f t="shared" si="156"/>
        <v>467.27543605622714</v>
      </c>
      <c r="CQ65" s="2"/>
      <c r="CR65" s="2">
        <f t="shared" si="157"/>
        <v>467.27543605622714</v>
      </c>
      <c r="CS65" s="2"/>
      <c r="CT65" s="2">
        <f t="shared" si="158"/>
        <v>467.27543605622714</v>
      </c>
      <c r="CU65" s="2"/>
      <c r="CV65" s="2">
        <f t="shared" si="159"/>
        <v>467.27543605622714</v>
      </c>
      <c r="CW65" s="2"/>
      <c r="CX65" s="2">
        <f t="shared" si="160"/>
        <v>467.27543605622714</v>
      </c>
      <c r="CY65" s="2"/>
      <c r="CZ65" s="2">
        <f t="shared" si="161"/>
        <v>467.27543605622714</v>
      </c>
      <c r="DA65" s="2"/>
      <c r="DB65" s="2">
        <f t="shared" si="162"/>
        <v>467.27543605622714</v>
      </c>
      <c r="DC65" s="2"/>
      <c r="DD65" s="2">
        <f t="shared" si="163"/>
        <v>467.27543605622714</v>
      </c>
      <c r="DE65" s="2"/>
      <c r="DF65" s="2">
        <f t="shared" si="164"/>
        <v>467.27543605622714</v>
      </c>
      <c r="DG65" s="2"/>
      <c r="DH65" s="2">
        <f t="shared" si="178"/>
        <v>467.27543605622714</v>
      </c>
      <c r="DI65" s="2"/>
      <c r="DJ65" s="2">
        <f t="shared" si="173"/>
        <v>467.27543605622714</v>
      </c>
      <c r="DK65" s="2"/>
      <c r="DL65" s="2">
        <f t="shared" si="174"/>
        <v>467.27543605622714</v>
      </c>
      <c r="DM65" s="2"/>
      <c r="DN65" s="2">
        <f t="shared" si="175"/>
        <v>467.27543605622714</v>
      </c>
      <c r="DO65" s="2"/>
      <c r="DP65" s="2">
        <f t="shared" si="176"/>
        <v>467.27543605622714</v>
      </c>
      <c r="DQ65" s="2"/>
      <c r="DR65" s="2">
        <f t="shared" si="177"/>
        <v>467.27543605622714</v>
      </c>
      <c r="DS65" s="2"/>
      <c r="DT65" s="2">
        <f t="shared" si="165"/>
        <v>467.27543605622714</v>
      </c>
      <c r="DU65" s="2"/>
      <c r="DV65" s="2"/>
      <c r="DW65" s="266">
        <f t="shared" si="166"/>
        <v>1900</v>
      </c>
      <c r="DX65" s="441">
        <f t="shared" si="167"/>
        <v>1432.7245639437729</v>
      </c>
    </row>
    <row r="66" spans="1:128">
      <c r="A66" s="433">
        <f t="shared" si="168"/>
        <v>6</v>
      </c>
      <c r="B66" s="433" t="s">
        <v>500</v>
      </c>
      <c r="C66" s="434" t="s">
        <v>497</v>
      </c>
      <c r="D66" s="435">
        <v>0.4</v>
      </c>
      <c r="E66" s="442">
        <v>34500</v>
      </c>
      <c r="F66" s="437" t="s">
        <v>1001</v>
      </c>
      <c r="G66" s="438">
        <v>41277</v>
      </c>
      <c r="H66" s="438"/>
      <c r="I66" s="438"/>
      <c r="J66" s="438"/>
      <c r="K66" s="438"/>
      <c r="L66" s="438"/>
      <c r="M66" s="439"/>
      <c r="N66" s="436"/>
      <c r="O66" s="436"/>
      <c r="P66" s="439"/>
      <c r="Q66" s="436"/>
      <c r="R66" s="436"/>
      <c r="S66" s="439"/>
      <c r="T66" s="436"/>
      <c r="U66" s="436"/>
      <c r="V66" s="433"/>
      <c r="W66" s="436"/>
      <c r="X66" s="436"/>
      <c r="Y66" s="433">
        <f t="shared" si="111"/>
        <v>88</v>
      </c>
      <c r="Z66" s="436">
        <f t="shared" si="112"/>
        <v>3327</v>
      </c>
      <c r="AA66" s="436">
        <f t="shared" si="113"/>
        <v>31173</v>
      </c>
      <c r="AB66" s="433">
        <f t="shared" si="114"/>
        <v>365</v>
      </c>
      <c r="AC66" s="436">
        <f t="shared" si="115"/>
        <v>12469</v>
      </c>
      <c r="AD66" s="436">
        <f t="shared" si="116"/>
        <v>18704</v>
      </c>
      <c r="AE66" s="436">
        <f t="shared" si="117"/>
        <v>15796</v>
      </c>
      <c r="AF66" s="436">
        <f t="shared" si="118"/>
        <v>18704</v>
      </c>
      <c r="AG66" s="436">
        <f t="shared" si="119"/>
        <v>0</v>
      </c>
      <c r="AH66" s="436">
        <f t="shared" si="120"/>
        <v>1.2410958904109588</v>
      </c>
      <c r="AI66" s="439">
        <v>3</v>
      </c>
      <c r="AJ66" s="436">
        <f t="shared" si="121"/>
        <v>1.7589041095890412</v>
      </c>
      <c r="AK66" s="440">
        <f t="shared" si="122"/>
        <v>0.74208134305895035</v>
      </c>
      <c r="AL66" s="6">
        <f t="shared" si="123"/>
        <v>0</v>
      </c>
      <c r="AM66" s="433">
        <f t="shared" si="124"/>
        <v>365</v>
      </c>
      <c r="AN66" s="436">
        <f t="shared" si="125"/>
        <v>7482</v>
      </c>
      <c r="AO66" s="436">
        <f t="shared" si="126"/>
        <v>13880</v>
      </c>
      <c r="AP66" s="436">
        <f t="shared" si="127"/>
        <v>4824</v>
      </c>
      <c r="AQ66" s="436">
        <f t="shared" si="128"/>
        <v>4824</v>
      </c>
      <c r="AR66" s="436">
        <f t="shared" si="129"/>
        <v>0</v>
      </c>
      <c r="AS66" s="436">
        <f t="shared" si="130"/>
        <v>6398</v>
      </c>
      <c r="AT66" s="2">
        <f t="shared" si="131"/>
        <v>11222</v>
      </c>
      <c r="AU66" s="2">
        <f t="shared" si="132"/>
        <v>4824</v>
      </c>
      <c r="AV66" s="2">
        <f t="shared" si="133"/>
        <v>0</v>
      </c>
      <c r="AW66" s="433">
        <f t="shared" si="134"/>
        <v>365</v>
      </c>
      <c r="AX66" s="2">
        <f>AU66*(365-Y66)/365*AK66+382</f>
        <v>3098.725234246127</v>
      </c>
      <c r="AY66" s="2">
        <f t="shared" si="135"/>
        <v>1725.274765753873</v>
      </c>
      <c r="AZ66" s="433">
        <f t="shared" si="136"/>
        <v>365</v>
      </c>
      <c r="BA66" s="2">
        <f t="shared" si="169"/>
        <v>1280.2942153163501</v>
      </c>
      <c r="BB66" s="2">
        <f t="shared" si="170"/>
        <v>444.98055043752288</v>
      </c>
      <c r="BC66" s="2">
        <f t="shared" si="171"/>
        <v>1095</v>
      </c>
      <c r="BD66" s="433">
        <f t="shared" si="137"/>
        <v>1548</v>
      </c>
      <c r="BE66" s="439">
        <f t="shared" si="138"/>
        <v>-453</v>
      </c>
      <c r="BF66" s="433">
        <f t="shared" si="139"/>
        <v>365</v>
      </c>
      <c r="BG66" s="2">
        <f t="shared" si="140"/>
        <v>0</v>
      </c>
      <c r="BH66" s="2">
        <f t="shared" si="141"/>
        <v>444.98055043752288</v>
      </c>
      <c r="BI66" s="2">
        <v>0</v>
      </c>
      <c r="BJ66" s="2">
        <f t="shared" si="142"/>
        <v>444.98055043752288</v>
      </c>
      <c r="BK66" s="2"/>
      <c r="BL66" s="2">
        <f t="shared" si="143"/>
        <v>444.98055043752288</v>
      </c>
      <c r="BM66" s="2"/>
      <c r="BN66" s="2">
        <f t="shared" si="60"/>
        <v>444.98055043752288</v>
      </c>
      <c r="BO66" s="2"/>
      <c r="BP66" s="2">
        <f t="shared" si="144"/>
        <v>444.98055043752288</v>
      </c>
      <c r="BQ66" s="2"/>
      <c r="BR66" s="2">
        <f t="shared" si="145"/>
        <v>444.98055043752288</v>
      </c>
      <c r="BS66" s="2"/>
      <c r="BT66" s="2">
        <f t="shared" si="172"/>
        <v>444.98055043752288</v>
      </c>
      <c r="BU66" s="2"/>
      <c r="BV66" s="2">
        <f t="shared" si="146"/>
        <v>444.98055043752288</v>
      </c>
      <c r="BW66" s="2"/>
      <c r="BX66" s="2">
        <f t="shared" si="147"/>
        <v>444.98055043752288</v>
      </c>
      <c r="BY66" s="2"/>
      <c r="BZ66" s="2">
        <f t="shared" si="148"/>
        <v>444.98055043752288</v>
      </c>
      <c r="CA66" s="2"/>
      <c r="CB66" s="2">
        <f t="shared" si="149"/>
        <v>444.98055043752288</v>
      </c>
      <c r="CC66" s="2"/>
      <c r="CD66" s="2">
        <f t="shared" si="150"/>
        <v>444.98055043752288</v>
      </c>
      <c r="CE66" s="2"/>
      <c r="CF66" s="2">
        <f t="shared" si="151"/>
        <v>444.98055043752288</v>
      </c>
      <c r="CG66" s="2"/>
      <c r="CH66" s="2">
        <f t="shared" si="152"/>
        <v>444.98055043752288</v>
      </c>
      <c r="CI66" s="2"/>
      <c r="CJ66" s="2">
        <f t="shared" si="153"/>
        <v>444.98055043752288</v>
      </c>
      <c r="CK66" s="2"/>
      <c r="CL66" s="2">
        <f t="shared" si="154"/>
        <v>444.98055043752288</v>
      </c>
      <c r="CM66" s="2"/>
      <c r="CN66" s="2">
        <f t="shared" si="155"/>
        <v>444.98055043752288</v>
      </c>
      <c r="CO66" s="2"/>
      <c r="CP66" s="2">
        <f t="shared" si="156"/>
        <v>444.98055043752288</v>
      </c>
      <c r="CQ66" s="2"/>
      <c r="CR66" s="2">
        <f t="shared" si="157"/>
        <v>444.98055043752288</v>
      </c>
      <c r="CS66" s="2"/>
      <c r="CT66" s="2">
        <f t="shared" si="158"/>
        <v>444.98055043752288</v>
      </c>
      <c r="CU66" s="2"/>
      <c r="CV66" s="2">
        <f t="shared" si="159"/>
        <v>444.98055043752288</v>
      </c>
      <c r="CW66" s="2"/>
      <c r="CX66" s="2">
        <f t="shared" si="160"/>
        <v>444.98055043752288</v>
      </c>
      <c r="CY66" s="2"/>
      <c r="CZ66" s="2">
        <f t="shared" si="161"/>
        <v>444.98055043752288</v>
      </c>
      <c r="DA66" s="2"/>
      <c r="DB66" s="2">
        <f t="shared" si="162"/>
        <v>444.98055043752288</v>
      </c>
      <c r="DC66" s="2"/>
      <c r="DD66" s="2">
        <f t="shared" si="163"/>
        <v>444.98055043752288</v>
      </c>
      <c r="DE66" s="2"/>
      <c r="DF66" s="2">
        <f t="shared" si="164"/>
        <v>444.98055043752288</v>
      </c>
      <c r="DG66" s="2"/>
      <c r="DH66" s="2">
        <f t="shared" si="178"/>
        <v>444.98055043752288</v>
      </c>
      <c r="DI66" s="2"/>
      <c r="DJ66" s="2">
        <f t="shared" si="173"/>
        <v>444.98055043752288</v>
      </c>
      <c r="DK66" s="2"/>
      <c r="DL66" s="2">
        <f t="shared" si="174"/>
        <v>444.98055043752288</v>
      </c>
      <c r="DM66" s="2"/>
      <c r="DN66" s="2">
        <f t="shared" si="175"/>
        <v>444.98055043752288</v>
      </c>
      <c r="DO66" s="2"/>
      <c r="DP66" s="2">
        <f t="shared" si="176"/>
        <v>444.98055043752288</v>
      </c>
      <c r="DQ66" s="2"/>
      <c r="DR66" s="2">
        <f t="shared" si="177"/>
        <v>444.98055043752288</v>
      </c>
      <c r="DS66" s="2"/>
      <c r="DT66" s="2">
        <f t="shared" si="165"/>
        <v>444.98055043752288</v>
      </c>
      <c r="DU66" s="2"/>
      <c r="DV66" s="2"/>
      <c r="DW66" s="266">
        <f t="shared" si="166"/>
        <v>1725</v>
      </c>
      <c r="DX66" s="441">
        <f t="shared" si="167"/>
        <v>1280.0194495624771</v>
      </c>
    </row>
    <row r="67" spans="1:128">
      <c r="A67" s="433">
        <f t="shared" si="168"/>
        <v>7</v>
      </c>
      <c r="B67" s="433" t="s">
        <v>501</v>
      </c>
      <c r="C67" s="434" t="s">
        <v>497</v>
      </c>
      <c r="D67" s="435">
        <v>0.4</v>
      </c>
      <c r="E67" s="442">
        <v>47397</v>
      </c>
      <c r="F67" s="437" t="s">
        <v>1001</v>
      </c>
      <c r="G67" s="438">
        <v>41445</v>
      </c>
      <c r="H67" s="438"/>
      <c r="I67" s="438"/>
      <c r="J67" s="438"/>
      <c r="K67" s="438"/>
      <c r="L67" s="438"/>
      <c r="M67" s="439"/>
      <c r="N67" s="436"/>
      <c r="O67" s="436"/>
      <c r="P67" s="439"/>
      <c r="Q67" s="436"/>
      <c r="R67" s="436"/>
      <c r="S67" s="439"/>
      <c r="T67" s="436"/>
      <c r="U67" s="436"/>
      <c r="V67" s="433"/>
      <c r="W67" s="436"/>
      <c r="X67" s="436"/>
      <c r="Y67" s="433"/>
      <c r="Z67" s="436"/>
      <c r="AA67" s="436"/>
      <c r="AB67" s="433">
        <f>IF(($AB$6-G67+1)&gt;365,365,($AB$6-G67+1))-1</f>
        <v>284</v>
      </c>
      <c r="AC67" s="436">
        <f t="shared" si="115"/>
        <v>14752</v>
      </c>
      <c r="AD67" s="436">
        <f t="shared" si="116"/>
        <v>32645</v>
      </c>
      <c r="AE67" s="436">
        <f t="shared" si="117"/>
        <v>14752</v>
      </c>
      <c r="AF67" s="436">
        <f t="shared" si="118"/>
        <v>32645</v>
      </c>
      <c r="AG67" s="436">
        <f t="shared" si="119"/>
        <v>0</v>
      </c>
      <c r="AH67" s="436">
        <f t="shared" si="120"/>
        <v>0.78082191780821919</v>
      </c>
      <c r="AI67" s="439">
        <v>3</v>
      </c>
      <c r="AJ67" s="436">
        <f t="shared" si="121"/>
        <v>2.2191780821917808</v>
      </c>
      <c r="AK67" s="440">
        <f t="shared" si="122"/>
        <v>0.69330708892627402</v>
      </c>
      <c r="AL67" s="6">
        <f t="shared" si="123"/>
        <v>0</v>
      </c>
      <c r="AM67" s="433">
        <f t="shared" si="124"/>
        <v>365</v>
      </c>
      <c r="AN67" s="436">
        <f t="shared" si="125"/>
        <v>13058</v>
      </c>
      <c r="AO67" s="436">
        <f t="shared" si="126"/>
        <v>22633</v>
      </c>
      <c r="AP67" s="436">
        <f t="shared" si="127"/>
        <v>10012</v>
      </c>
      <c r="AQ67" s="436">
        <f t="shared" si="128"/>
        <v>10012</v>
      </c>
      <c r="AR67" s="436">
        <f t="shared" si="129"/>
        <v>0</v>
      </c>
      <c r="AS67" s="436">
        <f t="shared" si="130"/>
        <v>9575</v>
      </c>
      <c r="AT67" s="2">
        <f t="shared" si="131"/>
        <v>19587</v>
      </c>
      <c r="AU67" s="2">
        <f t="shared" si="132"/>
        <v>10012</v>
      </c>
      <c r="AV67" s="2">
        <f t="shared" si="133"/>
        <v>0</v>
      </c>
      <c r="AW67" s="433">
        <f t="shared" si="134"/>
        <v>365</v>
      </c>
      <c r="AX67" s="2">
        <f>AU67*AK67</f>
        <v>6941.3905743298556</v>
      </c>
      <c r="AY67" s="2">
        <f t="shared" si="135"/>
        <v>3070.6094256701444</v>
      </c>
      <c r="AZ67" s="433">
        <f t="shared" si="136"/>
        <v>365</v>
      </c>
      <c r="BA67" s="2">
        <f t="shared" si="169"/>
        <v>2128.8752821409462</v>
      </c>
      <c r="BB67" s="2">
        <f t="shared" si="170"/>
        <v>941.73414352919826</v>
      </c>
      <c r="BC67" s="2">
        <f t="shared" si="171"/>
        <v>1095</v>
      </c>
      <c r="BD67" s="433">
        <f t="shared" si="137"/>
        <v>1380</v>
      </c>
      <c r="BE67" s="439">
        <f t="shared" si="138"/>
        <v>-285</v>
      </c>
      <c r="BF67" s="433">
        <f t="shared" si="139"/>
        <v>365</v>
      </c>
      <c r="BG67" s="2">
        <f t="shared" si="140"/>
        <v>0</v>
      </c>
      <c r="BH67" s="2">
        <f t="shared" si="141"/>
        <v>941.73414352919826</v>
      </c>
      <c r="BI67" s="2">
        <v>0</v>
      </c>
      <c r="BJ67" s="2">
        <f t="shared" si="142"/>
        <v>941.73414352919826</v>
      </c>
      <c r="BK67" s="2"/>
      <c r="BL67" s="2">
        <f t="shared" si="143"/>
        <v>941.73414352919826</v>
      </c>
      <c r="BM67" s="2"/>
      <c r="BN67" s="2">
        <f t="shared" si="60"/>
        <v>941.73414352919826</v>
      </c>
      <c r="BO67" s="2"/>
      <c r="BP67" s="2">
        <f t="shared" si="144"/>
        <v>941.73414352919826</v>
      </c>
      <c r="BQ67" s="2"/>
      <c r="BR67" s="2">
        <f t="shared" si="145"/>
        <v>941.73414352919826</v>
      </c>
      <c r="BS67" s="2"/>
      <c r="BT67" s="2">
        <f t="shared" si="172"/>
        <v>941.73414352919826</v>
      </c>
      <c r="BU67" s="2"/>
      <c r="BV67" s="2">
        <f t="shared" si="146"/>
        <v>941.73414352919826</v>
      </c>
      <c r="BW67" s="2"/>
      <c r="BX67" s="2">
        <f t="shared" si="147"/>
        <v>941.73414352919826</v>
      </c>
      <c r="BY67" s="2"/>
      <c r="BZ67" s="2">
        <f t="shared" si="148"/>
        <v>941.73414352919826</v>
      </c>
      <c r="CA67" s="2"/>
      <c r="CB67" s="2">
        <f t="shared" si="149"/>
        <v>941.73414352919826</v>
      </c>
      <c r="CC67" s="2"/>
      <c r="CD67" s="2">
        <f t="shared" si="150"/>
        <v>941.73414352919826</v>
      </c>
      <c r="CE67" s="2"/>
      <c r="CF67" s="2">
        <f t="shared" si="151"/>
        <v>941.73414352919826</v>
      </c>
      <c r="CG67" s="2"/>
      <c r="CH67" s="2">
        <f t="shared" si="152"/>
        <v>941.73414352919826</v>
      </c>
      <c r="CI67" s="2"/>
      <c r="CJ67" s="2">
        <f t="shared" si="153"/>
        <v>941.73414352919826</v>
      </c>
      <c r="CK67" s="2"/>
      <c r="CL67" s="2">
        <f t="shared" si="154"/>
        <v>941.73414352919826</v>
      </c>
      <c r="CM67" s="2"/>
      <c r="CN67" s="2">
        <f t="shared" si="155"/>
        <v>941.73414352919826</v>
      </c>
      <c r="CO67" s="2"/>
      <c r="CP67" s="2">
        <f t="shared" si="156"/>
        <v>941.73414352919826</v>
      </c>
      <c r="CQ67" s="2"/>
      <c r="CR67" s="2">
        <f t="shared" si="157"/>
        <v>941.73414352919826</v>
      </c>
      <c r="CS67" s="2"/>
      <c r="CT67" s="2">
        <f t="shared" si="158"/>
        <v>941.73414352919826</v>
      </c>
      <c r="CU67" s="2"/>
      <c r="CV67" s="2">
        <f t="shared" si="159"/>
        <v>941.73414352919826</v>
      </c>
      <c r="CW67" s="2"/>
      <c r="CX67" s="2">
        <f t="shared" si="160"/>
        <v>941.73414352919826</v>
      </c>
      <c r="CY67" s="2"/>
      <c r="CZ67" s="2">
        <f t="shared" si="161"/>
        <v>941.73414352919826</v>
      </c>
      <c r="DA67" s="2"/>
      <c r="DB67" s="2">
        <f t="shared" si="162"/>
        <v>941.73414352919826</v>
      </c>
      <c r="DC67" s="2"/>
      <c r="DD67" s="2">
        <f t="shared" si="163"/>
        <v>941.73414352919826</v>
      </c>
      <c r="DE67" s="2"/>
      <c r="DF67" s="2">
        <f t="shared" si="164"/>
        <v>941.73414352919826</v>
      </c>
      <c r="DG67" s="2"/>
      <c r="DH67" s="2">
        <f t="shared" si="178"/>
        <v>941.73414352919826</v>
      </c>
      <c r="DI67" s="2"/>
      <c r="DJ67" s="2">
        <f t="shared" si="173"/>
        <v>941.73414352919826</v>
      </c>
      <c r="DK67" s="2"/>
      <c r="DL67" s="2">
        <f t="shared" si="174"/>
        <v>941.73414352919826</v>
      </c>
      <c r="DM67" s="2"/>
      <c r="DN67" s="2">
        <f t="shared" si="175"/>
        <v>941.73414352919826</v>
      </c>
      <c r="DO67" s="2"/>
      <c r="DP67" s="2">
        <f t="shared" si="176"/>
        <v>941.73414352919826</v>
      </c>
      <c r="DQ67" s="2"/>
      <c r="DR67" s="2">
        <f t="shared" si="177"/>
        <v>941.73414352919826</v>
      </c>
      <c r="DS67" s="2"/>
      <c r="DT67" s="2">
        <f t="shared" si="165"/>
        <v>941.73414352919826</v>
      </c>
      <c r="DU67" s="2"/>
      <c r="DV67" s="2"/>
      <c r="DW67" s="266">
        <f t="shared" si="166"/>
        <v>2369.85</v>
      </c>
      <c r="DX67" s="441">
        <f t="shared" si="167"/>
        <v>1428.1158564708016</v>
      </c>
    </row>
    <row r="68" spans="1:128">
      <c r="A68" s="433">
        <f t="shared" si="168"/>
        <v>8</v>
      </c>
      <c r="B68" s="433"/>
      <c r="C68" s="434" t="s">
        <v>497</v>
      </c>
      <c r="D68" s="435">
        <v>0.4</v>
      </c>
      <c r="E68" s="442">
        <v>58000</v>
      </c>
      <c r="F68" s="437" t="s">
        <v>1001</v>
      </c>
      <c r="G68" s="438">
        <v>42879</v>
      </c>
      <c r="H68" s="438"/>
      <c r="I68" s="438"/>
      <c r="J68" s="438"/>
      <c r="K68" s="438"/>
      <c r="L68" s="433">
        <f>365-BF68</f>
        <v>53</v>
      </c>
      <c r="M68" s="439"/>
      <c r="N68" s="436"/>
      <c r="O68" s="436"/>
      <c r="P68" s="439"/>
      <c r="Q68" s="436"/>
      <c r="R68" s="436"/>
      <c r="S68" s="439"/>
      <c r="T68" s="436"/>
      <c r="U68" s="436"/>
      <c r="V68" s="433"/>
      <c r="W68" s="436"/>
      <c r="X68" s="436"/>
      <c r="Y68" s="433"/>
      <c r="Z68" s="436"/>
      <c r="AA68" s="436"/>
      <c r="AB68" s="433"/>
      <c r="AC68" s="436"/>
      <c r="AD68" s="436"/>
      <c r="AE68" s="436"/>
      <c r="AF68" s="436"/>
      <c r="AG68" s="436"/>
      <c r="AH68" s="436"/>
      <c r="AI68" s="439">
        <v>3</v>
      </c>
      <c r="AJ68" s="436">
        <f t="shared" si="121"/>
        <v>3</v>
      </c>
      <c r="AK68" s="440">
        <v>0.63160000000000005</v>
      </c>
      <c r="AL68" s="6"/>
      <c r="AM68" s="433"/>
      <c r="AN68" s="436"/>
      <c r="AO68" s="436"/>
      <c r="AP68" s="436"/>
      <c r="AQ68" s="436"/>
      <c r="AR68" s="436"/>
      <c r="AS68" s="436"/>
      <c r="AT68" s="2"/>
      <c r="AU68" s="2"/>
      <c r="AV68" s="2"/>
      <c r="AW68" s="433"/>
      <c r="AX68" s="2"/>
      <c r="AY68" s="2"/>
      <c r="AZ68" s="433"/>
      <c r="BA68" s="2"/>
      <c r="BB68" s="2"/>
      <c r="BC68" s="2">
        <f t="shared" si="171"/>
        <v>1095</v>
      </c>
      <c r="BD68" s="433"/>
      <c r="BE68" s="439"/>
      <c r="BF68" s="433">
        <f t="shared" si="139"/>
        <v>312</v>
      </c>
      <c r="BG68" s="2">
        <f>+E68*AK68*BF68/365</f>
        <v>31313.516712328772</v>
      </c>
      <c r="BH68" s="2">
        <f>+E68-BG68</f>
        <v>26686.483287671228</v>
      </c>
      <c r="BI68" s="2">
        <f>+BH68*AK68</f>
        <v>16855.182844493149</v>
      </c>
      <c r="BJ68" s="2">
        <f t="shared" si="142"/>
        <v>9831.3004431780791</v>
      </c>
      <c r="BK68" s="2">
        <f>+BJ68-E68*5%</f>
        <v>6931.3004431780791</v>
      </c>
      <c r="BL68" s="2">
        <f t="shared" si="143"/>
        <v>2900</v>
      </c>
      <c r="BM68" s="2"/>
      <c r="BN68" s="2">
        <f t="shared" si="60"/>
        <v>2900</v>
      </c>
      <c r="BO68" s="2"/>
      <c r="BP68" s="2">
        <f t="shared" si="144"/>
        <v>2900</v>
      </c>
      <c r="BQ68" s="2"/>
      <c r="BR68" s="2">
        <f t="shared" si="145"/>
        <v>2900</v>
      </c>
      <c r="BS68" s="2"/>
      <c r="BT68" s="2">
        <f t="shared" si="172"/>
        <v>2900</v>
      </c>
      <c r="BU68" s="2"/>
      <c r="BV68" s="2">
        <f t="shared" si="146"/>
        <v>2900</v>
      </c>
      <c r="BW68" s="2"/>
      <c r="BX68" s="2">
        <f t="shared" si="147"/>
        <v>2900</v>
      </c>
      <c r="BY68" s="2"/>
      <c r="BZ68" s="2">
        <f t="shared" si="148"/>
        <v>2900</v>
      </c>
      <c r="CA68" s="2"/>
      <c r="CB68" s="2">
        <f t="shared" si="149"/>
        <v>2900</v>
      </c>
      <c r="CC68" s="2"/>
      <c r="CD68" s="2">
        <f t="shared" si="150"/>
        <v>2900</v>
      </c>
      <c r="CE68" s="2"/>
      <c r="CF68" s="2">
        <f t="shared" si="151"/>
        <v>2900</v>
      </c>
      <c r="CG68" s="2"/>
      <c r="CH68" s="2">
        <f t="shared" si="152"/>
        <v>2900</v>
      </c>
      <c r="CI68" s="2"/>
      <c r="CJ68" s="2">
        <f t="shared" si="153"/>
        <v>2900</v>
      </c>
      <c r="CK68" s="2"/>
      <c r="CL68" s="2">
        <f t="shared" si="154"/>
        <v>2900</v>
      </c>
      <c r="CM68" s="2"/>
      <c r="CN68" s="2">
        <f t="shared" si="155"/>
        <v>2900</v>
      </c>
      <c r="CO68" s="2"/>
      <c r="CP68" s="2">
        <f t="shared" si="156"/>
        <v>2900</v>
      </c>
      <c r="CQ68" s="2"/>
      <c r="CR68" s="2">
        <f t="shared" si="157"/>
        <v>2900</v>
      </c>
      <c r="CS68" s="2"/>
      <c r="CT68" s="2">
        <f t="shared" si="158"/>
        <v>2900</v>
      </c>
      <c r="CU68" s="2"/>
      <c r="CV68" s="2">
        <f t="shared" si="159"/>
        <v>2900</v>
      </c>
      <c r="CW68" s="2"/>
      <c r="CX68" s="2">
        <f t="shared" si="160"/>
        <v>2900</v>
      </c>
      <c r="CY68" s="2"/>
      <c r="CZ68" s="2">
        <f t="shared" si="161"/>
        <v>2900</v>
      </c>
      <c r="DA68" s="2"/>
      <c r="DB68" s="2">
        <f t="shared" si="162"/>
        <v>2900</v>
      </c>
      <c r="DC68" s="2"/>
      <c r="DD68" s="2">
        <f t="shared" si="163"/>
        <v>2900</v>
      </c>
      <c r="DE68" s="2"/>
      <c r="DF68" s="2">
        <f t="shared" si="164"/>
        <v>2900</v>
      </c>
      <c r="DG68" s="2"/>
      <c r="DH68" s="2">
        <f t="shared" si="178"/>
        <v>2900</v>
      </c>
      <c r="DI68" s="2"/>
      <c r="DJ68" s="2">
        <f t="shared" si="173"/>
        <v>2900</v>
      </c>
      <c r="DK68" s="2"/>
      <c r="DL68" s="2">
        <f t="shared" si="174"/>
        <v>2900</v>
      </c>
      <c r="DM68" s="2"/>
      <c r="DN68" s="2">
        <f t="shared" si="175"/>
        <v>2900</v>
      </c>
      <c r="DO68" s="2"/>
      <c r="DP68" s="2">
        <f t="shared" si="176"/>
        <v>2900</v>
      </c>
      <c r="DQ68" s="2"/>
      <c r="DR68" s="2">
        <f t="shared" si="177"/>
        <v>2900</v>
      </c>
      <c r="DS68" s="2"/>
      <c r="DT68" s="2">
        <f t="shared" si="165"/>
        <v>2900</v>
      </c>
      <c r="DU68" s="2"/>
      <c r="DV68" s="2"/>
      <c r="DW68" s="266">
        <f t="shared" si="166"/>
        <v>2900</v>
      </c>
      <c r="DX68" s="441">
        <f t="shared" si="167"/>
        <v>0</v>
      </c>
    </row>
    <row r="69" spans="1:128">
      <c r="A69" s="433">
        <f t="shared" si="168"/>
        <v>9</v>
      </c>
      <c r="B69" s="433"/>
      <c r="C69" s="434" t="s">
        <v>497</v>
      </c>
      <c r="D69" s="435">
        <v>0.4</v>
      </c>
      <c r="E69" s="442">
        <v>14285.71</v>
      </c>
      <c r="F69" s="437" t="s">
        <v>1001</v>
      </c>
      <c r="G69" s="438">
        <v>42900</v>
      </c>
      <c r="H69" s="438"/>
      <c r="I69" s="438"/>
      <c r="J69" s="438"/>
      <c r="K69" s="438"/>
      <c r="L69" s="433">
        <f>365-BF69</f>
        <v>74</v>
      </c>
      <c r="M69" s="439"/>
      <c r="N69" s="436"/>
      <c r="O69" s="436"/>
      <c r="P69" s="439"/>
      <c r="Q69" s="436"/>
      <c r="R69" s="436"/>
      <c r="S69" s="439"/>
      <c r="T69" s="436"/>
      <c r="U69" s="436"/>
      <c r="V69" s="433"/>
      <c r="W69" s="436"/>
      <c r="X69" s="436"/>
      <c r="Y69" s="433"/>
      <c r="Z69" s="436"/>
      <c r="AA69" s="436"/>
      <c r="AB69" s="433"/>
      <c r="AC69" s="436"/>
      <c r="AD69" s="436"/>
      <c r="AE69" s="436"/>
      <c r="AF69" s="436"/>
      <c r="AG69" s="436"/>
      <c r="AH69" s="436"/>
      <c r="AI69" s="439">
        <v>3</v>
      </c>
      <c r="AJ69" s="436">
        <f t="shared" si="121"/>
        <v>3</v>
      </c>
      <c r="AK69" s="440">
        <v>0.63160000000000005</v>
      </c>
      <c r="AL69" s="6"/>
      <c r="AM69" s="433"/>
      <c r="AN69" s="436"/>
      <c r="AO69" s="436"/>
      <c r="AP69" s="436"/>
      <c r="AQ69" s="436"/>
      <c r="AR69" s="436"/>
      <c r="AS69" s="436"/>
      <c r="AT69" s="2"/>
      <c r="AU69" s="2"/>
      <c r="AV69" s="2"/>
      <c r="AW69" s="433"/>
      <c r="AX69" s="2"/>
      <c r="AY69" s="2"/>
      <c r="AZ69" s="433"/>
      <c r="BA69" s="2"/>
      <c r="BB69" s="2"/>
      <c r="BC69" s="2">
        <f t="shared" si="171"/>
        <v>1095</v>
      </c>
      <c r="BD69" s="433"/>
      <c r="BE69" s="439"/>
      <c r="BF69" s="433">
        <f t="shared" si="139"/>
        <v>291</v>
      </c>
      <c r="BG69" s="2">
        <f>+E69*AK69*BF69/365</f>
        <v>7193.5633996602737</v>
      </c>
      <c r="BH69" s="2">
        <f>+E69-BG69</f>
        <v>7092.1466003397254</v>
      </c>
      <c r="BI69" s="2">
        <f>+BH69*AK69</f>
        <v>4479.3997927745713</v>
      </c>
      <c r="BJ69" s="2">
        <f t="shared" si="142"/>
        <v>2612.7468075651541</v>
      </c>
      <c r="BK69" s="2">
        <f>+BJ69-E69*5%</f>
        <v>1898.4613075651541</v>
      </c>
      <c r="BL69" s="2">
        <f t="shared" si="143"/>
        <v>714.28549999999996</v>
      </c>
      <c r="BM69" s="2"/>
      <c r="BN69" s="2">
        <f t="shared" si="60"/>
        <v>714.28549999999996</v>
      </c>
      <c r="BO69" s="2"/>
      <c r="BP69" s="2">
        <f t="shared" si="144"/>
        <v>714.28549999999996</v>
      </c>
      <c r="BQ69" s="2"/>
      <c r="BR69" s="2">
        <f t="shared" si="145"/>
        <v>714.28549999999996</v>
      </c>
      <c r="BS69" s="2"/>
      <c r="BT69" s="2">
        <f t="shared" si="172"/>
        <v>714.28549999999996</v>
      </c>
      <c r="BU69" s="2"/>
      <c r="BV69" s="2">
        <f t="shared" si="146"/>
        <v>714.28549999999996</v>
      </c>
      <c r="BW69" s="2"/>
      <c r="BX69" s="2">
        <f t="shared" si="147"/>
        <v>714.28549999999996</v>
      </c>
      <c r="BY69" s="2"/>
      <c r="BZ69" s="2">
        <f t="shared" si="148"/>
        <v>714.28549999999996</v>
      </c>
      <c r="CA69" s="2"/>
      <c r="CB69" s="2">
        <f t="shared" si="149"/>
        <v>714.28549999999996</v>
      </c>
      <c r="CC69" s="2"/>
      <c r="CD69" s="2">
        <f t="shared" si="150"/>
        <v>714.28549999999996</v>
      </c>
      <c r="CE69" s="2"/>
      <c r="CF69" s="2">
        <f t="shared" si="151"/>
        <v>714.28549999999996</v>
      </c>
      <c r="CG69" s="2"/>
      <c r="CH69" s="2">
        <f t="shared" si="152"/>
        <v>714.28549999999996</v>
      </c>
      <c r="CI69" s="2"/>
      <c r="CJ69" s="2">
        <f t="shared" si="153"/>
        <v>714.28549999999996</v>
      </c>
      <c r="CK69" s="2"/>
      <c r="CL69" s="2">
        <f t="shared" si="154"/>
        <v>714.28549999999996</v>
      </c>
      <c r="CM69" s="2"/>
      <c r="CN69" s="2">
        <f t="shared" si="155"/>
        <v>714.28549999999996</v>
      </c>
      <c r="CO69" s="2"/>
      <c r="CP69" s="2">
        <f t="shared" si="156"/>
        <v>714.28549999999996</v>
      </c>
      <c r="CQ69" s="2"/>
      <c r="CR69" s="2">
        <f t="shared" si="157"/>
        <v>714.28549999999996</v>
      </c>
      <c r="CS69" s="2"/>
      <c r="CT69" s="2">
        <f t="shared" si="158"/>
        <v>714.28549999999996</v>
      </c>
      <c r="CU69" s="2"/>
      <c r="CV69" s="2">
        <f t="shared" si="159"/>
        <v>714.28549999999996</v>
      </c>
      <c r="CW69" s="2"/>
      <c r="CX69" s="2">
        <f t="shared" si="160"/>
        <v>714.28549999999996</v>
      </c>
      <c r="CY69" s="2"/>
      <c r="CZ69" s="2">
        <f t="shared" si="161"/>
        <v>714.28549999999996</v>
      </c>
      <c r="DA69" s="2"/>
      <c r="DB69" s="2">
        <f t="shared" si="162"/>
        <v>714.28549999999996</v>
      </c>
      <c r="DC69" s="2"/>
      <c r="DD69" s="2">
        <f t="shared" si="163"/>
        <v>714.28549999999996</v>
      </c>
      <c r="DE69" s="2"/>
      <c r="DF69" s="2">
        <f t="shared" si="164"/>
        <v>714.28549999999996</v>
      </c>
      <c r="DG69" s="2"/>
      <c r="DH69" s="2">
        <f t="shared" si="178"/>
        <v>714.28549999999996</v>
      </c>
      <c r="DI69" s="2"/>
      <c r="DJ69" s="2">
        <f t="shared" si="173"/>
        <v>714.28549999999996</v>
      </c>
      <c r="DK69" s="2"/>
      <c r="DL69" s="2">
        <f t="shared" si="174"/>
        <v>714.28549999999996</v>
      </c>
      <c r="DM69" s="2"/>
      <c r="DN69" s="2">
        <f t="shared" si="175"/>
        <v>714.28549999999996</v>
      </c>
      <c r="DO69" s="2"/>
      <c r="DP69" s="2">
        <f t="shared" si="176"/>
        <v>714.28549999999996</v>
      </c>
      <c r="DQ69" s="2"/>
      <c r="DR69" s="2">
        <f t="shared" si="177"/>
        <v>714.28549999999996</v>
      </c>
      <c r="DS69" s="2"/>
      <c r="DT69" s="2">
        <f t="shared" si="165"/>
        <v>714.28549999999996</v>
      </c>
      <c r="DU69" s="2"/>
      <c r="DV69" s="2"/>
      <c r="DW69" s="266">
        <f t="shared" si="166"/>
        <v>714.28549999999996</v>
      </c>
      <c r="DX69" s="441">
        <f t="shared" si="167"/>
        <v>0</v>
      </c>
    </row>
    <row r="70" spans="1:128">
      <c r="A70" s="433">
        <f t="shared" si="168"/>
        <v>10</v>
      </c>
      <c r="B70" s="433"/>
      <c r="C70" s="434" t="s">
        <v>497</v>
      </c>
      <c r="D70" s="435">
        <v>0.4</v>
      </c>
      <c r="E70" s="442">
        <v>18048</v>
      </c>
      <c r="F70" s="437" t="s">
        <v>1001</v>
      </c>
      <c r="G70" s="438">
        <v>42964</v>
      </c>
      <c r="H70" s="438"/>
      <c r="I70" s="438"/>
      <c r="J70" s="438"/>
      <c r="K70" s="438"/>
      <c r="L70" s="433">
        <f>365-BF70</f>
        <v>138</v>
      </c>
      <c r="M70" s="439"/>
      <c r="N70" s="436"/>
      <c r="O70" s="436"/>
      <c r="P70" s="439"/>
      <c r="Q70" s="436"/>
      <c r="R70" s="436"/>
      <c r="S70" s="439"/>
      <c r="T70" s="436"/>
      <c r="U70" s="436"/>
      <c r="V70" s="433"/>
      <c r="W70" s="436"/>
      <c r="X70" s="436"/>
      <c r="Y70" s="433"/>
      <c r="Z70" s="436"/>
      <c r="AA70" s="436"/>
      <c r="AB70" s="433"/>
      <c r="AC70" s="436"/>
      <c r="AD70" s="436"/>
      <c r="AE70" s="436"/>
      <c r="AF70" s="436"/>
      <c r="AG70" s="436"/>
      <c r="AH70" s="436"/>
      <c r="AI70" s="439">
        <v>3</v>
      </c>
      <c r="AJ70" s="436">
        <f t="shared" si="121"/>
        <v>3</v>
      </c>
      <c r="AK70" s="440">
        <v>0.63160000000000005</v>
      </c>
      <c r="AL70" s="6"/>
      <c r="AM70" s="433"/>
      <c r="AN70" s="436"/>
      <c r="AO70" s="436"/>
      <c r="AP70" s="436"/>
      <c r="AQ70" s="436"/>
      <c r="AR70" s="436"/>
      <c r="AS70" s="436"/>
      <c r="AT70" s="2"/>
      <c r="AU70" s="2"/>
      <c r="AV70" s="2"/>
      <c r="AW70" s="433"/>
      <c r="AX70" s="2"/>
      <c r="AY70" s="2"/>
      <c r="AZ70" s="433"/>
      <c r="BA70" s="2"/>
      <c r="BB70" s="2"/>
      <c r="BC70" s="2">
        <f t="shared" si="171"/>
        <v>1095</v>
      </c>
      <c r="BD70" s="433"/>
      <c r="BE70" s="439"/>
      <c r="BF70" s="433">
        <f t="shared" si="139"/>
        <v>227</v>
      </c>
      <c r="BG70" s="2">
        <f>+E70*AK70*BF70/365</f>
        <v>7089.3137358904114</v>
      </c>
      <c r="BH70" s="2">
        <f>+E70-BG70</f>
        <v>10958.686264109589</v>
      </c>
      <c r="BI70" s="2">
        <f>+BH70*AK70</f>
        <v>6921.5062444116165</v>
      </c>
      <c r="BJ70" s="2">
        <f t="shared" si="142"/>
        <v>4037.1800196979721</v>
      </c>
      <c r="BK70" s="2">
        <f>+BJ70-E70*5%</f>
        <v>3134.780019697972</v>
      </c>
      <c r="BL70" s="2">
        <f t="shared" si="143"/>
        <v>902.40000000000009</v>
      </c>
      <c r="BM70" s="2"/>
      <c r="BN70" s="2">
        <f t="shared" si="60"/>
        <v>902.40000000000009</v>
      </c>
      <c r="BO70" s="2"/>
      <c r="BP70" s="2">
        <f t="shared" si="144"/>
        <v>902.40000000000009</v>
      </c>
      <c r="BQ70" s="2"/>
      <c r="BR70" s="2">
        <f t="shared" si="145"/>
        <v>902.40000000000009</v>
      </c>
      <c r="BS70" s="2"/>
      <c r="BT70" s="2">
        <f t="shared" si="172"/>
        <v>902.40000000000009</v>
      </c>
      <c r="BU70" s="2"/>
      <c r="BV70" s="2">
        <f t="shared" si="146"/>
        <v>902.40000000000009</v>
      </c>
      <c r="BW70" s="2"/>
      <c r="BX70" s="2">
        <f t="shared" si="147"/>
        <v>902.40000000000009</v>
      </c>
      <c r="BY70" s="2"/>
      <c r="BZ70" s="2">
        <f t="shared" si="148"/>
        <v>902.40000000000009</v>
      </c>
      <c r="CA70" s="2"/>
      <c r="CB70" s="2">
        <f t="shared" si="149"/>
        <v>902.40000000000009</v>
      </c>
      <c r="CC70" s="2"/>
      <c r="CD70" s="2">
        <f t="shared" si="150"/>
        <v>902.40000000000009</v>
      </c>
      <c r="CE70" s="2"/>
      <c r="CF70" s="2">
        <f t="shared" si="151"/>
        <v>902.40000000000009</v>
      </c>
      <c r="CG70" s="2"/>
      <c r="CH70" s="2">
        <f t="shared" si="152"/>
        <v>902.40000000000009</v>
      </c>
      <c r="CI70" s="2"/>
      <c r="CJ70" s="2">
        <f t="shared" si="153"/>
        <v>902.40000000000009</v>
      </c>
      <c r="CK70" s="2"/>
      <c r="CL70" s="2">
        <f t="shared" si="154"/>
        <v>902.40000000000009</v>
      </c>
      <c r="CM70" s="2"/>
      <c r="CN70" s="2">
        <f t="shared" si="155"/>
        <v>902.40000000000009</v>
      </c>
      <c r="CO70" s="2"/>
      <c r="CP70" s="2">
        <f t="shared" si="156"/>
        <v>902.40000000000009</v>
      </c>
      <c r="CQ70" s="2"/>
      <c r="CR70" s="2">
        <f t="shared" si="157"/>
        <v>902.40000000000009</v>
      </c>
      <c r="CS70" s="2"/>
      <c r="CT70" s="2">
        <f t="shared" si="158"/>
        <v>902.40000000000009</v>
      </c>
      <c r="CU70" s="2"/>
      <c r="CV70" s="2">
        <f t="shared" si="159"/>
        <v>902.40000000000009</v>
      </c>
      <c r="CW70" s="2"/>
      <c r="CX70" s="2">
        <f t="shared" si="160"/>
        <v>902.40000000000009</v>
      </c>
      <c r="CY70" s="2"/>
      <c r="CZ70" s="2">
        <f t="shared" si="161"/>
        <v>902.40000000000009</v>
      </c>
      <c r="DA70" s="2"/>
      <c r="DB70" s="2">
        <f t="shared" si="162"/>
        <v>902.40000000000009</v>
      </c>
      <c r="DC70" s="2"/>
      <c r="DD70" s="2">
        <f t="shared" si="163"/>
        <v>902.40000000000009</v>
      </c>
      <c r="DE70" s="2"/>
      <c r="DF70" s="2">
        <f t="shared" si="164"/>
        <v>902.40000000000009</v>
      </c>
      <c r="DG70" s="2"/>
      <c r="DH70" s="2">
        <f t="shared" si="178"/>
        <v>902.40000000000009</v>
      </c>
      <c r="DI70" s="2"/>
      <c r="DJ70" s="2">
        <f t="shared" si="173"/>
        <v>902.40000000000009</v>
      </c>
      <c r="DK70" s="2"/>
      <c r="DL70" s="2">
        <f t="shared" si="174"/>
        <v>902.40000000000009</v>
      </c>
      <c r="DM70" s="2"/>
      <c r="DN70" s="2">
        <f t="shared" si="175"/>
        <v>902.40000000000009</v>
      </c>
      <c r="DO70" s="2"/>
      <c r="DP70" s="2">
        <f t="shared" si="176"/>
        <v>902.40000000000009</v>
      </c>
      <c r="DQ70" s="2"/>
      <c r="DR70" s="2">
        <f t="shared" si="177"/>
        <v>902.40000000000009</v>
      </c>
      <c r="DS70" s="2"/>
      <c r="DT70" s="2">
        <f t="shared" si="165"/>
        <v>902.40000000000009</v>
      </c>
      <c r="DU70" s="2"/>
      <c r="DV70" s="2"/>
      <c r="DW70" s="266">
        <f t="shared" si="166"/>
        <v>902.40000000000009</v>
      </c>
      <c r="DX70" s="441">
        <f t="shared" si="167"/>
        <v>0</v>
      </c>
    </row>
    <row r="71" spans="1:128">
      <c r="A71" s="433">
        <f t="shared" si="168"/>
        <v>11</v>
      </c>
      <c r="B71" s="433"/>
      <c r="C71" s="434" t="s">
        <v>497</v>
      </c>
      <c r="D71" s="435">
        <v>0.4</v>
      </c>
      <c r="E71" s="442">
        <v>78970.009999999995</v>
      </c>
      <c r="F71" s="437" t="s">
        <v>1001</v>
      </c>
      <c r="G71" s="438">
        <v>43090</v>
      </c>
      <c r="H71" s="438"/>
      <c r="I71" s="438"/>
      <c r="J71" s="438"/>
      <c r="K71" s="438"/>
      <c r="L71" s="433">
        <f>365-BF71</f>
        <v>264</v>
      </c>
      <c r="M71" s="439"/>
      <c r="N71" s="436"/>
      <c r="O71" s="436"/>
      <c r="P71" s="439"/>
      <c r="Q71" s="436"/>
      <c r="R71" s="436"/>
      <c r="S71" s="439"/>
      <c r="T71" s="436"/>
      <c r="U71" s="436"/>
      <c r="V71" s="433"/>
      <c r="W71" s="436"/>
      <c r="X71" s="436"/>
      <c r="Y71" s="433"/>
      <c r="Z71" s="436"/>
      <c r="AA71" s="436"/>
      <c r="AB71" s="433"/>
      <c r="AC71" s="436"/>
      <c r="AD71" s="436"/>
      <c r="AE71" s="436"/>
      <c r="AF71" s="436"/>
      <c r="AG71" s="436"/>
      <c r="AH71" s="436"/>
      <c r="AI71" s="439">
        <v>3</v>
      </c>
      <c r="AJ71" s="436">
        <f t="shared" si="121"/>
        <v>3</v>
      </c>
      <c r="AK71" s="440">
        <v>0.63160000000000005</v>
      </c>
      <c r="AL71" s="6"/>
      <c r="AM71" s="433"/>
      <c r="AN71" s="436"/>
      <c r="AO71" s="436"/>
      <c r="AP71" s="436"/>
      <c r="AQ71" s="436"/>
      <c r="AR71" s="436"/>
      <c r="AS71" s="436"/>
      <c r="AT71" s="2"/>
      <c r="AU71" s="2"/>
      <c r="AV71" s="2"/>
      <c r="AW71" s="433"/>
      <c r="AX71" s="2"/>
      <c r="AY71" s="2"/>
      <c r="AZ71" s="433"/>
      <c r="BA71" s="2"/>
      <c r="BB71" s="2"/>
      <c r="BC71" s="2">
        <f t="shared" si="171"/>
        <v>1095</v>
      </c>
      <c r="BD71" s="433"/>
      <c r="BE71" s="439"/>
      <c r="BF71" s="433">
        <f t="shared" si="139"/>
        <v>101</v>
      </c>
      <c r="BG71" s="2">
        <f>+E71*AK71*BF71/365</f>
        <v>13801.707643605479</v>
      </c>
      <c r="BH71" s="2">
        <f>+E71-BG71</f>
        <v>65168.302356394517</v>
      </c>
      <c r="BI71" s="2">
        <f>+BH71*AK71</f>
        <v>41160.299768298777</v>
      </c>
      <c r="BJ71" s="2">
        <f t="shared" si="142"/>
        <v>24008.00258809574</v>
      </c>
      <c r="BK71" s="2">
        <f>+BJ71-E71*5%</f>
        <v>20059.502088095738</v>
      </c>
      <c r="BL71" s="2">
        <f t="shared" si="143"/>
        <v>3948.5005000000019</v>
      </c>
      <c r="BM71" s="2"/>
      <c r="BN71" s="2">
        <f t="shared" si="60"/>
        <v>3948.5005000000019</v>
      </c>
      <c r="BO71" s="2"/>
      <c r="BP71" s="2">
        <f t="shared" si="144"/>
        <v>3948.5005000000019</v>
      </c>
      <c r="BQ71" s="2"/>
      <c r="BR71" s="2">
        <f t="shared" si="145"/>
        <v>3948.5005000000019</v>
      </c>
      <c r="BS71" s="2"/>
      <c r="BT71" s="2">
        <f t="shared" si="172"/>
        <v>3948.5005000000019</v>
      </c>
      <c r="BU71" s="2"/>
      <c r="BV71" s="2">
        <f t="shared" si="146"/>
        <v>3948.5005000000019</v>
      </c>
      <c r="BW71" s="2"/>
      <c r="BX71" s="2">
        <f t="shared" si="147"/>
        <v>3948.5005000000019</v>
      </c>
      <c r="BY71" s="2"/>
      <c r="BZ71" s="2">
        <f t="shared" si="148"/>
        <v>3948.5005000000019</v>
      </c>
      <c r="CA71" s="2"/>
      <c r="CB71" s="2">
        <f t="shared" si="149"/>
        <v>3948.5005000000019</v>
      </c>
      <c r="CC71" s="2"/>
      <c r="CD71" s="2">
        <f t="shared" si="150"/>
        <v>3948.5005000000019</v>
      </c>
      <c r="CE71" s="2"/>
      <c r="CF71" s="2">
        <f t="shared" si="151"/>
        <v>3948.5005000000019</v>
      </c>
      <c r="CG71" s="2"/>
      <c r="CH71" s="2">
        <f t="shared" si="152"/>
        <v>3948.5005000000019</v>
      </c>
      <c r="CI71" s="2"/>
      <c r="CJ71" s="2">
        <f t="shared" si="153"/>
        <v>3948.5005000000019</v>
      </c>
      <c r="CK71" s="2"/>
      <c r="CL71" s="2">
        <f t="shared" si="154"/>
        <v>3948.5005000000019</v>
      </c>
      <c r="CM71" s="2"/>
      <c r="CN71" s="2">
        <f t="shared" si="155"/>
        <v>3948.5005000000019</v>
      </c>
      <c r="CO71" s="2"/>
      <c r="CP71" s="2">
        <f t="shared" si="156"/>
        <v>3948.5005000000019</v>
      </c>
      <c r="CQ71" s="2"/>
      <c r="CR71" s="2">
        <f t="shared" si="157"/>
        <v>3948.5005000000019</v>
      </c>
      <c r="CS71" s="2"/>
      <c r="CT71" s="2">
        <f t="shared" si="158"/>
        <v>3948.5005000000019</v>
      </c>
      <c r="CU71" s="2"/>
      <c r="CV71" s="2">
        <f t="shared" si="159"/>
        <v>3948.5005000000019</v>
      </c>
      <c r="CW71" s="2"/>
      <c r="CX71" s="2">
        <f t="shared" si="160"/>
        <v>3948.5005000000019</v>
      </c>
      <c r="CY71" s="2"/>
      <c r="CZ71" s="2">
        <f t="shared" si="161"/>
        <v>3948.5005000000019</v>
      </c>
      <c r="DA71" s="2"/>
      <c r="DB71" s="2">
        <f t="shared" si="162"/>
        <v>3948.5005000000019</v>
      </c>
      <c r="DC71" s="2"/>
      <c r="DD71" s="2">
        <f t="shared" si="163"/>
        <v>3948.5005000000019</v>
      </c>
      <c r="DE71" s="2"/>
      <c r="DF71" s="2">
        <f t="shared" si="164"/>
        <v>3948.5005000000019</v>
      </c>
      <c r="DG71" s="2"/>
      <c r="DH71" s="2">
        <f t="shared" si="178"/>
        <v>3948.5005000000019</v>
      </c>
      <c r="DI71" s="2"/>
      <c r="DJ71" s="2">
        <f t="shared" si="173"/>
        <v>3948.5005000000019</v>
      </c>
      <c r="DK71" s="2"/>
      <c r="DL71" s="2">
        <f t="shared" si="174"/>
        <v>3948.5005000000019</v>
      </c>
      <c r="DM71" s="2"/>
      <c r="DN71" s="2">
        <f t="shared" si="175"/>
        <v>3948.5005000000019</v>
      </c>
      <c r="DO71" s="2"/>
      <c r="DP71" s="2">
        <f t="shared" si="176"/>
        <v>3948.5005000000019</v>
      </c>
      <c r="DQ71" s="2"/>
      <c r="DR71" s="2">
        <f t="shared" si="177"/>
        <v>3948.5005000000019</v>
      </c>
      <c r="DS71" s="2"/>
      <c r="DT71" s="2">
        <f t="shared" si="165"/>
        <v>3948.5005000000019</v>
      </c>
      <c r="DU71" s="2"/>
      <c r="DV71" s="2"/>
      <c r="DW71" s="266">
        <f t="shared" si="166"/>
        <v>3948.5005000000001</v>
      </c>
      <c r="DX71" s="441">
        <f>+DW71-DR71</f>
        <v>0</v>
      </c>
    </row>
    <row r="72" spans="1:128">
      <c r="A72" s="433">
        <f t="shared" si="168"/>
        <v>12</v>
      </c>
      <c r="B72" s="433"/>
      <c r="C72" s="434" t="s">
        <v>497</v>
      </c>
      <c r="D72" s="435">
        <v>0.4</v>
      </c>
      <c r="E72" s="442">
        <v>23386</v>
      </c>
      <c r="F72" s="437" t="s">
        <v>1001</v>
      </c>
      <c r="G72" s="438">
        <v>43146</v>
      </c>
      <c r="H72" s="438"/>
      <c r="I72" s="438"/>
      <c r="J72" s="438"/>
      <c r="K72" s="438"/>
      <c r="L72" s="433">
        <f>365-BF72</f>
        <v>320</v>
      </c>
      <c r="M72" s="439"/>
      <c r="N72" s="436"/>
      <c r="O72" s="436"/>
      <c r="P72" s="439"/>
      <c r="Q72" s="436"/>
      <c r="R72" s="436"/>
      <c r="S72" s="439"/>
      <c r="T72" s="436"/>
      <c r="U72" s="436"/>
      <c r="V72" s="433"/>
      <c r="W72" s="436"/>
      <c r="X72" s="436"/>
      <c r="Y72" s="433"/>
      <c r="Z72" s="436"/>
      <c r="AA72" s="436"/>
      <c r="AB72" s="433"/>
      <c r="AC72" s="436"/>
      <c r="AD72" s="436"/>
      <c r="AE72" s="436"/>
      <c r="AF72" s="436"/>
      <c r="AG72" s="436"/>
      <c r="AH72" s="436"/>
      <c r="AI72" s="439">
        <v>3</v>
      </c>
      <c r="AJ72" s="436">
        <f t="shared" si="121"/>
        <v>3</v>
      </c>
      <c r="AK72" s="440">
        <v>0.63160000000000005</v>
      </c>
      <c r="AL72" s="6"/>
      <c r="AM72" s="433"/>
      <c r="AN72" s="436"/>
      <c r="AO72" s="436"/>
      <c r="AP72" s="436"/>
      <c r="AQ72" s="436"/>
      <c r="AR72" s="436"/>
      <c r="AS72" s="436"/>
      <c r="AT72" s="2"/>
      <c r="AU72" s="2"/>
      <c r="AV72" s="2"/>
      <c r="AW72" s="433"/>
      <c r="AX72" s="2"/>
      <c r="AY72" s="2"/>
      <c r="AZ72" s="433"/>
      <c r="BA72" s="2"/>
      <c r="BB72" s="2"/>
      <c r="BC72" s="2">
        <f t="shared" si="171"/>
        <v>1095</v>
      </c>
      <c r="BD72" s="433"/>
      <c r="BE72" s="439"/>
      <c r="BF72" s="433">
        <f t="shared" si="139"/>
        <v>45</v>
      </c>
      <c r="BG72" s="2">
        <f>+E72*AK72*BF72/365</f>
        <v>1821.0325808219177</v>
      </c>
      <c r="BH72" s="2">
        <f>+E72-BG72</f>
        <v>21564.967419178083</v>
      </c>
      <c r="BI72" s="2">
        <f>+BH72*AK72</f>
        <v>13620.433421952879</v>
      </c>
      <c r="BJ72" s="2">
        <f t="shared" si="142"/>
        <v>7944.5339972252041</v>
      </c>
      <c r="BK72" s="2">
        <f>+BJ72-E72*5%</f>
        <v>6775.2339972252039</v>
      </c>
      <c r="BL72" s="2">
        <f t="shared" si="143"/>
        <v>1169.3000000000002</v>
      </c>
      <c r="BM72" s="2"/>
      <c r="BN72" s="2">
        <f t="shared" si="60"/>
        <v>1169.3000000000002</v>
      </c>
      <c r="BO72" s="2"/>
      <c r="BP72" s="2">
        <f t="shared" si="144"/>
        <v>1169.3000000000002</v>
      </c>
      <c r="BQ72" s="2"/>
      <c r="BR72" s="2">
        <f t="shared" si="145"/>
        <v>1169.3000000000002</v>
      </c>
      <c r="BS72" s="2"/>
      <c r="BT72" s="2">
        <f t="shared" si="172"/>
        <v>1169.3000000000002</v>
      </c>
      <c r="BU72" s="2"/>
      <c r="BV72" s="2">
        <f t="shared" si="146"/>
        <v>1169.3000000000002</v>
      </c>
      <c r="BW72" s="2"/>
      <c r="BX72" s="2">
        <f t="shared" si="147"/>
        <v>1169.3000000000002</v>
      </c>
      <c r="BY72" s="2"/>
      <c r="BZ72" s="2">
        <f t="shared" si="148"/>
        <v>1169.3000000000002</v>
      </c>
      <c r="CA72" s="2"/>
      <c r="CB72" s="2">
        <f t="shared" si="149"/>
        <v>1169.3000000000002</v>
      </c>
      <c r="CC72" s="2"/>
      <c r="CD72" s="2">
        <f t="shared" si="150"/>
        <v>1169.3000000000002</v>
      </c>
      <c r="CE72" s="2"/>
      <c r="CF72" s="2">
        <f t="shared" si="151"/>
        <v>1169.3000000000002</v>
      </c>
      <c r="CG72" s="2"/>
      <c r="CH72" s="2">
        <f t="shared" si="152"/>
        <v>1169.3000000000002</v>
      </c>
      <c r="CI72" s="2"/>
      <c r="CJ72" s="2">
        <f t="shared" si="153"/>
        <v>1169.3000000000002</v>
      </c>
      <c r="CK72" s="2"/>
      <c r="CL72" s="2">
        <f t="shared" si="154"/>
        <v>1169.3000000000002</v>
      </c>
      <c r="CM72" s="2"/>
      <c r="CN72" s="2">
        <f t="shared" si="155"/>
        <v>1169.3000000000002</v>
      </c>
      <c r="CO72" s="2"/>
      <c r="CP72" s="2">
        <f t="shared" si="156"/>
        <v>1169.3000000000002</v>
      </c>
      <c r="CQ72" s="2"/>
      <c r="CR72" s="2">
        <f t="shared" si="157"/>
        <v>1169.3000000000002</v>
      </c>
      <c r="CS72" s="2"/>
      <c r="CT72" s="2">
        <f t="shared" si="158"/>
        <v>1169.3000000000002</v>
      </c>
      <c r="CU72" s="2"/>
      <c r="CV72" s="2">
        <f t="shared" si="159"/>
        <v>1169.3000000000002</v>
      </c>
      <c r="CW72" s="2"/>
      <c r="CX72" s="2">
        <f t="shared" si="160"/>
        <v>1169.3000000000002</v>
      </c>
      <c r="CY72" s="2"/>
      <c r="CZ72" s="2">
        <f t="shared" si="161"/>
        <v>1169.3000000000002</v>
      </c>
      <c r="DA72" s="2"/>
      <c r="DB72" s="2">
        <f t="shared" si="162"/>
        <v>1169.3000000000002</v>
      </c>
      <c r="DC72" s="2"/>
      <c r="DD72" s="2">
        <f t="shared" si="163"/>
        <v>1169.3000000000002</v>
      </c>
      <c r="DE72" s="2"/>
      <c r="DF72" s="2">
        <f t="shared" si="164"/>
        <v>1169.3000000000002</v>
      </c>
      <c r="DG72" s="2"/>
      <c r="DH72" s="2">
        <f t="shared" si="178"/>
        <v>1169.3000000000002</v>
      </c>
      <c r="DI72" s="2"/>
      <c r="DJ72" s="2">
        <f t="shared" si="173"/>
        <v>1169.3000000000002</v>
      </c>
      <c r="DK72" s="2"/>
      <c r="DL72" s="2">
        <f t="shared" si="174"/>
        <v>1169.3000000000002</v>
      </c>
      <c r="DM72" s="2"/>
      <c r="DN72" s="2">
        <f t="shared" si="175"/>
        <v>1169.3000000000002</v>
      </c>
      <c r="DO72" s="2"/>
      <c r="DP72" s="2">
        <f t="shared" si="176"/>
        <v>1169.3000000000002</v>
      </c>
      <c r="DQ72" s="2"/>
      <c r="DR72" s="2">
        <f t="shared" si="177"/>
        <v>1169.3000000000002</v>
      </c>
      <c r="DS72" s="2"/>
      <c r="DT72" s="2">
        <f t="shared" si="165"/>
        <v>1169.3000000000002</v>
      </c>
      <c r="DU72" s="2"/>
      <c r="DV72" s="2"/>
      <c r="DW72" s="266">
        <f t="shared" si="166"/>
        <v>1169.3</v>
      </c>
      <c r="DX72" s="441">
        <f t="shared" si="167"/>
        <v>0</v>
      </c>
    </row>
    <row r="73" spans="1:128">
      <c r="A73" s="433">
        <f t="shared" si="168"/>
        <v>13</v>
      </c>
      <c r="B73" s="450" t="s">
        <v>839</v>
      </c>
      <c r="C73" s="434" t="s">
        <v>497</v>
      </c>
      <c r="D73" s="435">
        <v>0.4</v>
      </c>
      <c r="E73" s="330">
        <v>31826</v>
      </c>
      <c r="F73" s="269" t="s">
        <v>921</v>
      </c>
      <c r="G73" s="451">
        <v>43217</v>
      </c>
      <c r="H73" s="443">
        <f t="shared" ref="H73:H91" si="179">DATE(YEAR(G73)+I73,MONTH(G73),DAY(G73))-1</f>
        <v>44312</v>
      </c>
      <c r="I73" s="149">
        <v>3</v>
      </c>
      <c r="J73" s="267">
        <f t="shared" ref="J73:J82" si="180">IF(($BI$6-$G73+1)&gt;365,365,($BI$6-$G73+1))</f>
        <v>339</v>
      </c>
      <c r="K73" s="267">
        <f>365-J73</f>
        <v>26</v>
      </c>
      <c r="L73" s="433"/>
      <c r="M73" s="439"/>
      <c r="N73" s="436"/>
      <c r="O73" s="436"/>
      <c r="P73" s="439"/>
      <c r="Q73" s="436"/>
      <c r="R73" s="436"/>
      <c r="S73" s="439"/>
      <c r="T73" s="436"/>
      <c r="U73" s="436"/>
      <c r="V73" s="433"/>
      <c r="W73" s="436"/>
      <c r="X73" s="436"/>
      <c r="Y73" s="433"/>
      <c r="Z73" s="436"/>
      <c r="AA73" s="436"/>
      <c r="AB73" s="433"/>
      <c r="AC73" s="436"/>
      <c r="AD73" s="436"/>
      <c r="AE73" s="436"/>
      <c r="AF73" s="436"/>
      <c r="AG73" s="436"/>
      <c r="AH73" s="436"/>
      <c r="AI73" s="439">
        <v>3</v>
      </c>
      <c r="AJ73" s="436">
        <f t="shared" si="121"/>
        <v>3</v>
      </c>
      <c r="AK73" s="440">
        <f t="shared" ref="AK73:AK93" si="181">1-((E73*5%)/E73)^(1/I73)</f>
        <v>0.63159685013596123</v>
      </c>
      <c r="AL73" s="6"/>
      <c r="AM73" s="433"/>
      <c r="AN73" s="436"/>
      <c r="AO73" s="436"/>
      <c r="AP73" s="436"/>
      <c r="AQ73" s="436"/>
      <c r="AR73" s="436"/>
      <c r="AS73" s="436"/>
      <c r="AT73" s="2"/>
      <c r="AU73" s="2"/>
      <c r="AV73" s="2"/>
      <c r="AW73" s="433"/>
      <c r="AX73" s="2"/>
      <c r="AY73" s="2"/>
      <c r="AZ73" s="433"/>
      <c r="BA73" s="2"/>
      <c r="BB73" s="2"/>
      <c r="BC73" s="2"/>
      <c r="BD73" s="433"/>
      <c r="BE73" s="439"/>
      <c r="BF73" s="433"/>
      <c r="BG73" s="2"/>
      <c r="BH73" s="2"/>
      <c r="BI73" s="2">
        <f t="shared" ref="BI73:BI81" si="182">ROUND(+E73*AK73*J73/365,0)</f>
        <v>18669</v>
      </c>
      <c r="BJ73" s="2">
        <f t="shared" ref="BJ73:BJ82" si="183">+E73-BI73</f>
        <v>13157</v>
      </c>
      <c r="BK73" s="2">
        <f t="shared" ref="BK73:BK82" si="184">+ROUND(BJ73*AK73,2)</f>
        <v>8309.92</v>
      </c>
      <c r="BL73" s="2">
        <f t="shared" si="143"/>
        <v>4847.08</v>
      </c>
      <c r="BM73" s="2"/>
      <c r="BN73" s="2">
        <f t="shared" ref="BN73:BN84" si="185">BL73-BM73</f>
        <v>4847.08</v>
      </c>
      <c r="BO73" s="2">
        <f>ROUND(+BL73*$AK73,0)</f>
        <v>3061</v>
      </c>
      <c r="BP73" s="2">
        <f t="shared" si="144"/>
        <v>1786.08</v>
      </c>
      <c r="BQ73" s="2"/>
      <c r="BR73" s="2">
        <f t="shared" si="145"/>
        <v>1786.08</v>
      </c>
      <c r="BS73" s="2">
        <f>+(1-(E73*5%)/BP73)*BP73</f>
        <v>194.77999999999969</v>
      </c>
      <c r="BT73" s="2">
        <f t="shared" si="172"/>
        <v>1591.3000000000002</v>
      </c>
      <c r="BU73" s="2">
        <v>0</v>
      </c>
      <c r="BV73" s="2">
        <f>+BT73-BU73</f>
        <v>1591.3000000000002</v>
      </c>
      <c r="BW73" s="2"/>
      <c r="BX73" s="2">
        <f>+BV73-BW73</f>
        <v>1591.3000000000002</v>
      </c>
      <c r="BY73" s="2"/>
      <c r="BZ73" s="2">
        <f>+BX73-BY73</f>
        <v>1591.3000000000002</v>
      </c>
      <c r="CA73" s="2"/>
      <c r="CB73" s="2">
        <f>+BZ73-CA73</f>
        <v>1591.3000000000002</v>
      </c>
      <c r="CC73" s="2"/>
      <c r="CD73" s="2">
        <f>+CB73-CC73</f>
        <v>1591.3000000000002</v>
      </c>
      <c r="CE73" s="2"/>
      <c r="CF73" s="2">
        <f>+CD73-CE73</f>
        <v>1591.3000000000002</v>
      </c>
      <c r="CG73" s="2"/>
      <c r="CH73" s="2">
        <f>+CF73-CG73</f>
        <v>1591.3000000000002</v>
      </c>
      <c r="CI73" s="2"/>
      <c r="CJ73" s="2">
        <f>+CH73-CI73</f>
        <v>1591.3000000000002</v>
      </c>
      <c r="CK73" s="2"/>
      <c r="CL73" s="2">
        <f>+CJ73-CK73</f>
        <v>1591.3000000000002</v>
      </c>
      <c r="CM73" s="2"/>
      <c r="CN73" s="2">
        <f>+CL73-CM73</f>
        <v>1591.3000000000002</v>
      </c>
      <c r="CO73" s="2"/>
      <c r="CP73" s="2">
        <f>+CN73-CO73</f>
        <v>1591.3000000000002</v>
      </c>
      <c r="CQ73" s="2"/>
      <c r="CR73" s="2">
        <f>+CP73-CQ73</f>
        <v>1591.3000000000002</v>
      </c>
      <c r="CS73" s="2"/>
      <c r="CT73" s="2">
        <f>+CR73-CS73</f>
        <v>1591.3000000000002</v>
      </c>
      <c r="CU73" s="2"/>
      <c r="CV73" s="2">
        <f>+CT73-CU73</f>
        <v>1591.3000000000002</v>
      </c>
      <c r="CW73" s="2"/>
      <c r="CX73" s="2">
        <f>+CV73-CW73</f>
        <v>1591.3000000000002</v>
      </c>
      <c r="CY73" s="2"/>
      <c r="CZ73" s="2">
        <f>+CX73-CY73</f>
        <v>1591.3000000000002</v>
      </c>
      <c r="DA73" s="2"/>
      <c r="DB73" s="2">
        <f>+CZ73-DA73</f>
        <v>1591.3000000000002</v>
      </c>
      <c r="DC73" s="2"/>
      <c r="DD73" s="2">
        <f>+DB73-DC73</f>
        <v>1591.3000000000002</v>
      </c>
      <c r="DE73" s="2"/>
      <c r="DF73" s="2">
        <f>+DD73-DE73</f>
        <v>1591.3000000000002</v>
      </c>
      <c r="DG73" s="2"/>
      <c r="DH73" s="2">
        <f>+DF73-DG73</f>
        <v>1591.3000000000002</v>
      </c>
      <c r="DI73" s="2"/>
      <c r="DJ73" s="2">
        <f>+DH73-DI73</f>
        <v>1591.3000000000002</v>
      </c>
      <c r="DK73" s="2"/>
      <c r="DL73" s="2">
        <f>+DJ73-DK73</f>
        <v>1591.3000000000002</v>
      </c>
      <c r="DM73" s="2"/>
      <c r="DN73" s="2">
        <f>+DL73-DM73</f>
        <v>1591.3000000000002</v>
      </c>
      <c r="DO73" s="2"/>
      <c r="DP73" s="2">
        <f>+DN73-DO73</f>
        <v>1591.3000000000002</v>
      </c>
      <c r="DQ73" s="2"/>
      <c r="DR73" s="2">
        <f>+DP73-DQ73</f>
        <v>1591.3000000000002</v>
      </c>
      <c r="DS73" s="2"/>
      <c r="DT73" s="2">
        <f>+DR73-DS73</f>
        <v>1591.3000000000002</v>
      </c>
      <c r="DU73" s="2"/>
      <c r="DV73" s="2">
        <f>+DT73-DU73</f>
        <v>1591.3000000000002</v>
      </c>
      <c r="DW73" s="266">
        <f t="shared" si="166"/>
        <v>1591.3000000000002</v>
      </c>
      <c r="DX73" s="441">
        <f>+DW73-DV73</f>
        <v>0</v>
      </c>
    </row>
    <row r="74" spans="1:128">
      <c r="A74" s="433">
        <f t="shared" si="168"/>
        <v>14</v>
      </c>
      <c r="B74" s="450" t="s">
        <v>840</v>
      </c>
      <c r="C74" s="434" t="s">
        <v>497</v>
      </c>
      <c r="D74" s="435">
        <v>0.4</v>
      </c>
      <c r="E74" s="330">
        <v>38535</v>
      </c>
      <c r="F74" s="269" t="s">
        <v>921</v>
      </c>
      <c r="G74" s="451">
        <v>43266</v>
      </c>
      <c r="H74" s="443">
        <f t="shared" si="179"/>
        <v>44361</v>
      </c>
      <c r="I74" s="149">
        <v>3</v>
      </c>
      <c r="J74" s="267">
        <f t="shared" si="180"/>
        <v>290</v>
      </c>
      <c r="K74" s="267">
        <f t="shared" ref="K74:K82" si="186">365-J74</f>
        <v>75</v>
      </c>
      <c r="L74" s="433"/>
      <c r="M74" s="452"/>
      <c r="N74" s="436"/>
      <c r="O74" s="436"/>
      <c r="P74" s="439"/>
      <c r="Q74" s="436"/>
      <c r="R74" s="436"/>
      <c r="S74" s="439"/>
      <c r="T74" s="436"/>
      <c r="U74" s="436"/>
      <c r="V74" s="433"/>
      <c r="W74" s="436"/>
      <c r="X74" s="436"/>
      <c r="Y74" s="433"/>
      <c r="Z74" s="436"/>
      <c r="AA74" s="436"/>
      <c r="AB74" s="433"/>
      <c r="AC74" s="436"/>
      <c r="AD74" s="436"/>
      <c r="AE74" s="436"/>
      <c r="AF74" s="436"/>
      <c r="AG74" s="436"/>
      <c r="AH74" s="436"/>
      <c r="AI74" s="439">
        <v>3</v>
      </c>
      <c r="AJ74" s="436">
        <f t="shared" si="121"/>
        <v>3</v>
      </c>
      <c r="AK74" s="440">
        <f t="shared" si="181"/>
        <v>0.63159685013596123</v>
      </c>
      <c r="AL74" s="6"/>
      <c r="AM74" s="433"/>
      <c r="AN74" s="436"/>
      <c r="AO74" s="436"/>
      <c r="AP74" s="436"/>
      <c r="AQ74" s="436"/>
      <c r="AR74" s="436"/>
      <c r="AS74" s="436"/>
      <c r="AT74" s="2"/>
      <c r="AU74" s="2"/>
      <c r="AV74" s="2"/>
      <c r="AW74" s="433"/>
      <c r="AX74" s="2"/>
      <c r="AY74" s="2"/>
      <c r="AZ74" s="433"/>
      <c r="BA74" s="2"/>
      <c r="BB74" s="2"/>
      <c r="BC74" s="2"/>
      <c r="BD74" s="433"/>
      <c r="BE74" s="439"/>
      <c r="BF74" s="433"/>
      <c r="BG74" s="2"/>
      <c r="BH74" s="2"/>
      <c r="BI74" s="2">
        <f>ROUND(+E74*AK74*J74/365,0)</f>
        <v>19338</v>
      </c>
      <c r="BJ74" s="2">
        <f t="shared" si="183"/>
        <v>19197</v>
      </c>
      <c r="BK74" s="2">
        <f t="shared" si="184"/>
        <v>12124.76</v>
      </c>
      <c r="BL74" s="2">
        <f t="shared" si="143"/>
        <v>7072.24</v>
      </c>
      <c r="BM74" s="2"/>
      <c r="BN74" s="2">
        <f t="shared" si="185"/>
        <v>7072.24</v>
      </c>
      <c r="BO74" s="2">
        <f t="shared" ref="BO74:BO82" si="187">ROUND(+BL74*$AK74,0)</f>
        <v>4467</v>
      </c>
      <c r="BP74" s="2">
        <f t="shared" si="144"/>
        <v>2605.2399999999998</v>
      </c>
      <c r="BQ74" s="2"/>
      <c r="BR74" s="2">
        <f t="shared" si="145"/>
        <v>2605.2399999999998</v>
      </c>
      <c r="BS74" s="2">
        <f t="shared" ref="BS74:BS82" si="188">+(1-(E74*5%)/BP74)*BP74</f>
        <v>678.4899999999999</v>
      </c>
      <c r="BT74" s="2">
        <f t="shared" si="172"/>
        <v>1926.75</v>
      </c>
      <c r="BU74" s="2">
        <v>0</v>
      </c>
      <c r="BV74" s="2">
        <f t="shared" ref="BV74:BV82" si="189">+BT74-BU74</f>
        <v>1926.75</v>
      </c>
      <c r="BW74" s="2"/>
      <c r="BX74" s="2">
        <f t="shared" ref="BX74:BX82" si="190">+BV74-BW74</f>
        <v>1926.75</v>
      </c>
      <c r="BY74" s="2"/>
      <c r="BZ74" s="2">
        <f t="shared" ref="BZ74:BZ82" si="191">+BX74-BY74</f>
        <v>1926.75</v>
      </c>
      <c r="CA74" s="2"/>
      <c r="CB74" s="2">
        <f t="shared" ref="CB74:CB82" si="192">+BZ74-CA74</f>
        <v>1926.75</v>
      </c>
      <c r="CC74" s="2"/>
      <c r="CD74" s="2">
        <f t="shared" ref="CD74:CD82" si="193">+CB74-CC74</f>
        <v>1926.75</v>
      </c>
      <c r="CE74" s="2"/>
      <c r="CF74" s="2">
        <f t="shared" ref="CF74:CF82" si="194">+CD74-CE74</f>
        <v>1926.75</v>
      </c>
      <c r="CG74" s="2"/>
      <c r="CH74" s="2">
        <f t="shared" ref="CH74:CH84" si="195">+CF74-CG74</f>
        <v>1926.75</v>
      </c>
      <c r="CI74" s="2"/>
      <c r="CJ74" s="2">
        <f t="shared" ref="CJ74:CJ82" si="196">+CH74-CI74</f>
        <v>1926.75</v>
      </c>
      <c r="CK74" s="2"/>
      <c r="CL74" s="2">
        <f t="shared" ref="CL74:CL84" si="197">+CJ74-CK74</f>
        <v>1926.75</v>
      </c>
      <c r="CM74" s="2"/>
      <c r="CN74" s="2">
        <f t="shared" ref="CN74:CN84" si="198">+CL74-CM74</f>
        <v>1926.75</v>
      </c>
      <c r="CO74" s="2"/>
      <c r="CP74" s="2">
        <f t="shared" ref="CP74:CP84" si="199">+CN74-CO74</f>
        <v>1926.75</v>
      </c>
      <c r="CQ74" s="2"/>
      <c r="CR74" s="2">
        <f t="shared" ref="CR74:CR84" si="200">+CP74-CQ74</f>
        <v>1926.75</v>
      </c>
      <c r="CS74" s="2"/>
      <c r="CT74" s="2">
        <f t="shared" ref="CT74:CT84" si="201">+CR74-CS74</f>
        <v>1926.75</v>
      </c>
      <c r="CU74" s="2"/>
      <c r="CV74" s="2">
        <f t="shared" ref="CV74:CV84" si="202">+CT74-CU74</f>
        <v>1926.75</v>
      </c>
      <c r="CW74" s="2"/>
      <c r="CX74" s="2">
        <f t="shared" ref="CX74:CX84" si="203">+CV74-CW74</f>
        <v>1926.75</v>
      </c>
      <c r="CY74" s="2"/>
      <c r="CZ74" s="2">
        <f t="shared" ref="CZ74:CZ84" si="204">+CX74-CY74</f>
        <v>1926.75</v>
      </c>
      <c r="DA74" s="2"/>
      <c r="DB74" s="2">
        <f t="shared" ref="DB74:DB84" si="205">+CZ74-DA74</f>
        <v>1926.75</v>
      </c>
      <c r="DC74" s="2"/>
      <c r="DD74" s="2">
        <f t="shared" ref="DD74:DD84" si="206">+DB74-DC74</f>
        <v>1926.75</v>
      </c>
      <c r="DE74" s="2"/>
      <c r="DF74" s="2">
        <f t="shared" ref="DF74:DF84" si="207">+DD74-DE74</f>
        <v>1926.75</v>
      </c>
      <c r="DG74" s="2"/>
      <c r="DH74" s="2">
        <f t="shared" ref="DH74:DH84" si="208">+DF74-DG74</f>
        <v>1926.75</v>
      </c>
      <c r="DI74" s="2"/>
      <c r="DJ74" s="2">
        <f t="shared" ref="DJ74:DJ84" si="209">+DH74-DI74</f>
        <v>1926.75</v>
      </c>
      <c r="DK74" s="2"/>
      <c r="DL74" s="2">
        <f t="shared" ref="DL74:DL84" si="210">+DJ74-DK74</f>
        <v>1926.75</v>
      </c>
      <c r="DM74" s="2"/>
      <c r="DN74" s="2">
        <f t="shared" ref="DN74:DN84" si="211">+DL74-DM74</f>
        <v>1926.75</v>
      </c>
      <c r="DO74" s="2"/>
      <c r="DP74" s="2">
        <f t="shared" ref="DP74:DP84" si="212">+DN74-DO74</f>
        <v>1926.75</v>
      </c>
      <c r="DQ74" s="2"/>
      <c r="DR74" s="2">
        <f t="shared" ref="DR74:DR84" si="213">+DP74-DQ74</f>
        <v>1926.75</v>
      </c>
      <c r="DS74" s="2"/>
      <c r="DT74" s="2">
        <f t="shared" ref="DT74:DT84" si="214">+DR74-DS74</f>
        <v>1926.75</v>
      </c>
      <c r="DU74" s="2"/>
      <c r="DV74" s="2">
        <f t="shared" ref="DV74:DV84" si="215">+DT74-DU74</f>
        <v>1926.75</v>
      </c>
      <c r="DW74" s="266">
        <f t="shared" si="166"/>
        <v>1926.75</v>
      </c>
      <c r="DX74" s="441">
        <f t="shared" ref="DX74:DX82" si="216">+DW74-DV74</f>
        <v>0</v>
      </c>
    </row>
    <row r="75" spans="1:128">
      <c r="A75" s="433">
        <f t="shared" si="168"/>
        <v>15</v>
      </c>
      <c r="B75" s="450" t="s">
        <v>839</v>
      </c>
      <c r="C75" s="434" t="s">
        <v>497</v>
      </c>
      <c r="D75" s="435">
        <v>0.4</v>
      </c>
      <c r="E75" s="330">
        <v>31652</v>
      </c>
      <c r="F75" s="269" t="s">
        <v>921</v>
      </c>
      <c r="G75" s="451">
        <v>43295</v>
      </c>
      <c r="H75" s="443">
        <f t="shared" si="179"/>
        <v>44390</v>
      </c>
      <c r="I75" s="149">
        <v>3</v>
      </c>
      <c r="J75" s="267">
        <f t="shared" si="180"/>
        <v>261</v>
      </c>
      <c r="K75" s="267">
        <f t="shared" si="186"/>
        <v>104</v>
      </c>
      <c r="L75" s="433"/>
      <c r="M75" s="439"/>
      <c r="N75" s="436"/>
      <c r="O75" s="436"/>
      <c r="P75" s="439"/>
      <c r="Q75" s="436"/>
      <c r="R75" s="436"/>
      <c r="S75" s="439"/>
      <c r="T75" s="436"/>
      <c r="U75" s="436"/>
      <c r="V75" s="433"/>
      <c r="W75" s="436"/>
      <c r="X75" s="436"/>
      <c r="Y75" s="433"/>
      <c r="Z75" s="436"/>
      <c r="AA75" s="436"/>
      <c r="AB75" s="433"/>
      <c r="AC75" s="436"/>
      <c r="AD75" s="436"/>
      <c r="AE75" s="436"/>
      <c r="AF75" s="436"/>
      <c r="AG75" s="436"/>
      <c r="AH75" s="436"/>
      <c r="AI75" s="439">
        <v>3</v>
      </c>
      <c r="AJ75" s="436">
        <f t="shared" si="121"/>
        <v>3</v>
      </c>
      <c r="AK75" s="440">
        <f t="shared" si="181"/>
        <v>0.63159685013596123</v>
      </c>
      <c r="AL75" s="6"/>
      <c r="AM75" s="433"/>
      <c r="AN75" s="436"/>
      <c r="AO75" s="436"/>
      <c r="AP75" s="436"/>
      <c r="AQ75" s="436"/>
      <c r="AR75" s="436"/>
      <c r="AS75" s="436"/>
      <c r="AT75" s="2"/>
      <c r="AU75" s="2"/>
      <c r="AV75" s="2"/>
      <c r="AW75" s="433"/>
      <c r="AX75" s="2"/>
      <c r="AY75" s="2"/>
      <c r="AZ75" s="433"/>
      <c r="BA75" s="2"/>
      <c r="BB75" s="2"/>
      <c r="BC75" s="2"/>
      <c r="BD75" s="433"/>
      <c r="BE75" s="439"/>
      <c r="BF75" s="433"/>
      <c r="BG75" s="2"/>
      <c r="BH75" s="2"/>
      <c r="BI75" s="2">
        <f t="shared" si="182"/>
        <v>14295</v>
      </c>
      <c r="BJ75" s="2">
        <f t="shared" si="183"/>
        <v>17357</v>
      </c>
      <c r="BK75" s="2">
        <f t="shared" si="184"/>
        <v>10962.63</v>
      </c>
      <c r="BL75" s="2">
        <f t="shared" si="143"/>
        <v>6394.3700000000008</v>
      </c>
      <c r="BM75" s="2"/>
      <c r="BN75" s="2">
        <f t="shared" si="185"/>
        <v>6394.3700000000008</v>
      </c>
      <c r="BO75" s="2">
        <f t="shared" si="187"/>
        <v>4039</v>
      </c>
      <c r="BP75" s="2">
        <f t="shared" si="144"/>
        <v>2355.3700000000008</v>
      </c>
      <c r="BQ75" s="2"/>
      <c r="BR75" s="2">
        <f t="shared" si="145"/>
        <v>2355.3700000000008</v>
      </c>
      <c r="BS75" s="2">
        <f t="shared" si="188"/>
        <v>772.77000000000055</v>
      </c>
      <c r="BT75" s="2">
        <f t="shared" si="172"/>
        <v>1582.6000000000004</v>
      </c>
      <c r="BU75" s="2">
        <v>0</v>
      </c>
      <c r="BV75" s="2">
        <f t="shared" si="189"/>
        <v>1582.6000000000004</v>
      </c>
      <c r="BW75" s="2"/>
      <c r="BX75" s="2">
        <f t="shared" si="190"/>
        <v>1582.6000000000004</v>
      </c>
      <c r="BY75" s="2"/>
      <c r="BZ75" s="2">
        <f t="shared" si="191"/>
        <v>1582.6000000000004</v>
      </c>
      <c r="CA75" s="2"/>
      <c r="CB75" s="2">
        <f t="shared" si="192"/>
        <v>1582.6000000000004</v>
      </c>
      <c r="CC75" s="2"/>
      <c r="CD75" s="2">
        <f t="shared" si="193"/>
        <v>1582.6000000000004</v>
      </c>
      <c r="CE75" s="2"/>
      <c r="CF75" s="2">
        <f t="shared" si="194"/>
        <v>1582.6000000000004</v>
      </c>
      <c r="CG75" s="2"/>
      <c r="CH75" s="2">
        <f t="shared" si="195"/>
        <v>1582.6000000000004</v>
      </c>
      <c r="CI75" s="2"/>
      <c r="CJ75" s="2">
        <f t="shared" si="196"/>
        <v>1582.6000000000004</v>
      </c>
      <c r="CK75" s="2"/>
      <c r="CL75" s="2">
        <f t="shared" si="197"/>
        <v>1582.6000000000004</v>
      </c>
      <c r="CM75" s="2"/>
      <c r="CN75" s="2">
        <f t="shared" si="198"/>
        <v>1582.6000000000004</v>
      </c>
      <c r="CO75" s="2"/>
      <c r="CP75" s="2">
        <f t="shared" si="199"/>
        <v>1582.6000000000004</v>
      </c>
      <c r="CQ75" s="2"/>
      <c r="CR75" s="2">
        <f t="shared" si="200"/>
        <v>1582.6000000000004</v>
      </c>
      <c r="CS75" s="2"/>
      <c r="CT75" s="2">
        <f t="shared" si="201"/>
        <v>1582.6000000000004</v>
      </c>
      <c r="CU75" s="2"/>
      <c r="CV75" s="2">
        <f t="shared" si="202"/>
        <v>1582.6000000000004</v>
      </c>
      <c r="CW75" s="2"/>
      <c r="CX75" s="2">
        <f t="shared" si="203"/>
        <v>1582.6000000000004</v>
      </c>
      <c r="CY75" s="2"/>
      <c r="CZ75" s="2">
        <f t="shared" si="204"/>
        <v>1582.6000000000004</v>
      </c>
      <c r="DA75" s="2"/>
      <c r="DB75" s="2">
        <f t="shared" si="205"/>
        <v>1582.6000000000004</v>
      </c>
      <c r="DC75" s="2"/>
      <c r="DD75" s="2">
        <f t="shared" si="206"/>
        <v>1582.6000000000004</v>
      </c>
      <c r="DE75" s="2"/>
      <c r="DF75" s="2">
        <f t="shared" si="207"/>
        <v>1582.6000000000004</v>
      </c>
      <c r="DG75" s="2"/>
      <c r="DH75" s="2">
        <f t="shared" si="208"/>
        <v>1582.6000000000004</v>
      </c>
      <c r="DI75" s="2"/>
      <c r="DJ75" s="2">
        <f t="shared" si="209"/>
        <v>1582.6000000000004</v>
      </c>
      <c r="DK75" s="2"/>
      <c r="DL75" s="2">
        <f t="shared" si="210"/>
        <v>1582.6000000000004</v>
      </c>
      <c r="DM75" s="2"/>
      <c r="DN75" s="2">
        <f t="shared" si="211"/>
        <v>1582.6000000000004</v>
      </c>
      <c r="DO75" s="2"/>
      <c r="DP75" s="2">
        <f t="shared" si="212"/>
        <v>1582.6000000000004</v>
      </c>
      <c r="DQ75" s="2"/>
      <c r="DR75" s="2">
        <f t="shared" si="213"/>
        <v>1582.6000000000004</v>
      </c>
      <c r="DS75" s="2"/>
      <c r="DT75" s="2">
        <f t="shared" si="214"/>
        <v>1582.6000000000004</v>
      </c>
      <c r="DU75" s="2"/>
      <c r="DV75" s="2">
        <f t="shared" si="215"/>
        <v>1582.6000000000004</v>
      </c>
      <c r="DW75" s="266">
        <f t="shared" si="166"/>
        <v>1582.6000000000001</v>
      </c>
      <c r="DX75" s="441">
        <f t="shared" si="216"/>
        <v>0</v>
      </c>
    </row>
    <row r="76" spans="1:128">
      <c r="A76" s="433">
        <f t="shared" si="168"/>
        <v>16</v>
      </c>
      <c r="B76" s="450" t="s">
        <v>841</v>
      </c>
      <c r="C76" s="434" t="s">
        <v>497</v>
      </c>
      <c r="D76" s="435">
        <v>0.4</v>
      </c>
      <c r="E76" s="330">
        <v>30249</v>
      </c>
      <c r="F76" s="269" t="s">
        <v>921</v>
      </c>
      <c r="G76" s="451">
        <v>43374</v>
      </c>
      <c r="H76" s="443">
        <f t="shared" si="179"/>
        <v>44469</v>
      </c>
      <c r="I76" s="149">
        <v>3</v>
      </c>
      <c r="J76" s="267">
        <f t="shared" si="180"/>
        <v>182</v>
      </c>
      <c r="K76" s="267">
        <f t="shared" si="186"/>
        <v>183</v>
      </c>
      <c r="L76" s="433"/>
      <c r="M76" s="439"/>
      <c r="N76" s="436"/>
      <c r="O76" s="436"/>
      <c r="P76" s="439"/>
      <c r="Q76" s="436"/>
      <c r="R76" s="436"/>
      <c r="S76" s="439"/>
      <c r="T76" s="436"/>
      <c r="U76" s="436"/>
      <c r="V76" s="433"/>
      <c r="W76" s="436"/>
      <c r="X76" s="436"/>
      <c r="Y76" s="433"/>
      <c r="Z76" s="436"/>
      <c r="AA76" s="436"/>
      <c r="AB76" s="433"/>
      <c r="AC76" s="436"/>
      <c r="AD76" s="436"/>
      <c r="AE76" s="436"/>
      <c r="AF76" s="436"/>
      <c r="AG76" s="436"/>
      <c r="AH76" s="436"/>
      <c r="AI76" s="439">
        <v>3</v>
      </c>
      <c r="AJ76" s="436">
        <f t="shared" si="121"/>
        <v>3</v>
      </c>
      <c r="AK76" s="440">
        <f t="shared" si="181"/>
        <v>0.63159685013596123</v>
      </c>
      <c r="AL76" s="6"/>
      <c r="AM76" s="433"/>
      <c r="AN76" s="436"/>
      <c r="AO76" s="436"/>
      <c r="AP76" s="436"/>
      <c r="AQ76" s="436"/>
      <c r="AR76" s="436"/>
      <c r="AS76" s="436"/>
      <c r="AT76" s="2"/>
      <c r="AU76" s="2"/>
      <c r="AV76" s="2"/>
      <c r="AW76" s="433"/>
      <c r="AX76" s="2"/>
      <c r="AY76" s="2"/>
      <c r="AZ76" s="433"/>
      <c r="BA76" s="2"/>
      <c r="BB76" s="2"/>
      <c r="BC76" s="2"/>
      <c r="BD76" s="433"/>
      <c r="BE76" s="439"/>
      <c r="BF76" s="433"/>
      <c r="BG76" s="2"/>
      <c r="BH76" s="2"/>
      <c r="BI76" s="2">
        <f t="shared" si="182"/>
        <v>9526</v>
      </c>
      <c r="BJ76" s="2">
        <f t="shared" si="183"/>
        <v>20723</v>
      </c>
      <c r="BK76" s="2">
        <f t="shared" si="184"/>
        <v>13088.58</v>
      </c>
      <c r="BL76" s="2">
        <f t="shared" si="143"/>
        <v>7634.42</v>
      </c>
      <c r="BM76" s="2"/>
      <c r="BN76" s="2">
        <f t="shared" si="185"/>
        <v>7634.42</v>
      </c>
      <c r="BO76" s="2">
        <f t="shared" si="187"/>
        <v>4822</v>
      </c>
      <c r="BP76" s="2">
        <f t="shared" si="144"/>
        <v>2812.42</v>
      </c>
      <c r="BQ76" s="2"/>
      <c r="BR76" s="2">
        <f t="shared" si="145"/>
        <v>2812.42</v>
      </c>
      <c r="BS76" s="2">
        <f t="shared" si="188"/>
        <v>1299.97</v>
      </c>
      <c r="BT76" s="2">
        <f t="shared" si="172"/>
        <v>1512.45</v>
      </c>
      <c r="BU76" s="2">
        <v>0</v>
      </c>
      <c r="BV76" s="2">
        <f t="shared" si="189"/>
        <v>1512.45</v>
      </c>
      <c r="BW76" s="2"/>
      <c r="BX76" s="2">
        <f t="shared" si="190"/>
        <v>1512.45</v>
      </c>
      <c r="BY76" s="2"/>
      <c r="BZ76" s="2">
        <f t="shared" si="191"/>
        <v>1512.45</v>
      </c>
      <c r="CA76" s="2"/>
      <c r="CB76" s="2">
        <f t="shared" si="192"/>
        <v>1512.45</v>
      </c>
      <c r="CC76" s="2"/>
      <c r="CD76" s="2">
        <f t="shared" si="193"/>
        <v>1512.45</v>
      </c>
      <c r="CE76" s="2"/>
      <c r="CF76" s="2">
        <f t="shared" si="194"/>
        <v>1512.45</v>
      </c>
      <c r="CG76" s="2"/>
      <c r="CH76" s="2">
        <f t="shared" si="195"/>
        <v>1512.45</v>
      </c>
      <c r="CI76" s="2"/>
      <c r="CJ76" s="2">
        <f t="shared" si="196"/>
        <v>1512.45</v>
      </c>
      <c r="CK76" s="2"/>
      <c r="CL76" s="2">
        <f t="shared" si="197"/>
        <v>1512.45</v>
      </c>
      <c r="CM76" s="2"/>
      <c r="CN76" s="2">
        <f t="shared" si="198"/>
        <v>1512.45</v>
      </c>
      <c r="CO76" s="2"/>
      <c r="CP76" s="2">
        <f t="shared" si="199"/>
        <v>1512.45</v>
      </c>
      <c r="CQ76" s="2"/>
      <c r="CR76" s="2">
        <f t="shared" si="200"/>
        <v>1512.45</v>
      </c>
      <c r="CS76" s="2"/>
      <c r="CT76" s="2">
        <f t="shared" si="201"/>
        <v>1512.45</v>
      </c>
      <c r="CU76" s="2"/>
      <c r="CV76" s="2">
        <f t="shared" si="202"/>
        <v>1512.45</v>
      </c>
      <c r="CW76" s="2"/>
      <c r="CX76" s="2">
        <f t="shared" si="203"/>
        <v>1512.45</v>
      </c>
      <c r="CY76" s="2"/>
      <c r="CZ76" s="2">
        <f t="shared" si="204"/>
        <v>1512.45</v>
      </c>
      <c r="DA76" s="2"/>
      <c r="DB76" s="2">
        <f t="shared" si="205"/>
        <v>1512.45</v>
      </c>
      <c r="DC76" s="2"/>
      <c r="DD76" s="2">
        <f t="shared" si="206"/>
        <v>1512.45</v>
      </c>
      <c r="DE76" s="2"/>
      <c r="DF76" s="2">
        <f t="shared" si="207"/>
        <v>1512.45</v>
      </c>
      <c r="DG76" s="2"/>
      <c r="DH76" s="2">
        <f t="shared" si="208"/>
        <v>1512.45</v>
      </c>
      <c r="DI76" s="2"/>
      <c r="DJ76" s="2">
        <f t="shared" si="209"/>
        <v>1512.45</v>
      </c>
      <c r="DK76" s="2"/>
      <c r="DL76" s="2">
        <f t="shared" si="210"/>
        <v>1512.45</v>
      </c>
      <c r="DM76" s="2"/>
      <c r="DN76" s="2">
        <f t="shared" si="211"/>
        <v>1512.45</v>
      </c>
      <c r="DO76" s="2"/>
      <c r="DP76" s="2">
        <f t="shared" si="212"/>
        <v>1512.45</v>
      </c>
      <c r="DQ76" s="2"/>
      <c r="DR76" s="2">
        <f t="shared" si="213"/>
        <v>1512.45</v>
      </c>
      <c r="DS76" s="2"/>
      <c r="DT76" s="2">
        <f t="shared" si="214"/>
        <v>1512.45</v>
      </c>
      <c r="DU76" s="2"/>
      <c r="DV76" s="2">
        <f t="shared" si="215"/>
        <v>1512.45</v>
      </c>
      <c r="DW76" s="266">
        <f t="shared" si="166"/>
        <v>1512.45</v>
      </c>
      <c r="DX76" s="441">
        <f t="shared" si="216"/>
        <v>0</v>
      </c>
    </row>
    <row r="77" spans="1:128">
      <c r="A77" s="433">
        <f t="shared" si="168"/>
        <v>17</v>
      </c>
      <c r="B77" s="450" t="s">
        <v>842</v>
      </c>
      <c r="C77" s="434" t="s">
        <v>497</v>
      </c>
      <c r="D77" s="435">
        <v>0.4</v>
      </c>
      <c r="E77" s="330">
        <v>898</v>
      </c>
      <c r="F77" s="269" t="s">
        <v>921</v>
      </c>
      <c r="G77" s="451">
        <v>43383</v>
      </c>
      <c r="H77" s="443">
        <f t="shared" si="179"/>
        <v>44478</v>
      </c>
      <c r="I77" s="149">
        <v>3</v>
      </c>
      <c r="J77" s="267">
        <f t="shared" si="180"/>
        <v>173</v>
      </c>
      <c r="K77" s="267">
        <f t="shared" si="186"/>
        <v>192</v>
      </c>
      <c r="L77" s="433"/>
      <c r="M77" s="439"/>
      <c r="N77" s="436"/>
      <c r="O77" s="436"/>
      <c r="P77" s="439"/>
      <c r="Q77" s="436"/>
      <c r="R77" s="436"/>
      <c r="S77" s="439"/>
      <c r="T77" s="436"/>
      <c r="U77" s="436"/>
      <c r="V77" s="433"/>
      <c r="W77" s="436"/>
      <c r="X77" s="436"/>
      <c r="Y77" s="433"/>
      <c r="Z77" s="436"/>
      <c r="AA77" s="436"/>
      <c r="AB77" s="433"/>
      <c r="AC77" s="436"/>
      <c r="AD77" s="436"/>
      <c r="AE77" s="436"/>
      <c r="AF77" s="436"/>
      <c r="AG77" s="436"/>
      <c r="AH77" s="436"/>
      <c r="AI77" s="439">
        <v>3</v>
      </c>
      <c r="AJ77" s="436">
        <f t="shared" si="121"/>
        <v>3</v>
      </c>
      <c r="AK77" s="440">
        <f t="shared" si="181"/>
        <v>0.63159685013596123</v>
      </c>
      <c r="AL77" s="6"/>
      <c r="AM77" s="433"/>
      <c r="AN77" s="436"/>
      <c r="AO77" s="436"/>
      <c r="AP77" s="436"/>
      <c r="AQ77" s="436"/>
      <c r="AR77" s="436"/>
      <c r="AS77" s="436"/>
      <c r="AT77" s="2"/>
      <c r="AU77" s="2"/>
      <c r="AV77" s="2"/>
      <c r="AW77" s="433"/>
      <c r="AX77" s="2"/>
      <c r="AY77" s="2"/>
      <c r="AZ77" s="433"/>
      <c r="BA77" s="2"/>
      <c r="BB77" s="2"/>
      <c r="BC77" s="2"/>
      <c r="BD77" s="433"/>
      <c r="BE77" s="439"/>
      <c r="BF77" s="433"/>
      <c r="BG77" s="2"/>
      <c r="BH77" s="2"/>
      <c r="BI77" s="2">
        <f t="shared" si="182"/>
        <v>269</v>
      </c>
      <c r="BJ77" s="2">
        <f t="shared" si="183"/>
        <v>629</v>
      </c>
      <c r="BK77" s="2">
        <f t="shared" si="184"/>
        <v>397.27</v>
      </c>
      <c r="BL77" s="2">
        <f t="shared" si="143"/>
        <v>231.73000000000002</v>
      </c>
      <c r="BM77" s="2"/>
      <c r="BN77" s="2">
        <f t="shared" si="185"/>
        <v>231.73000000000002</v>
      </c>
      <c r="BO77" s="2">
        <f t="shared" si="187"/>
        <v>146</v>
      </c>
      <c r="BP77" s="2">
        <f t="shared" si="144"/>
        <v>85.730000000000018</v>
      </c>
      <c r="BQ77" s="2"/>
      <c r="BR77" s="2">
        <f t="shared" si="145"/>
        <v>85.730000000000018</v>
      </c>
      <c r="BS77" s="2">
        <f t="shared" si="188"/>
        <v>40.830000000000013</v>
      </c>
      <c r="BT77" s="2">
        <f t="shared" si="172"/>
        <v>44.900000000000006</v>
      </c>
      <c r="BU77" s="2">
        <v>0</v>
      </c>
      <c r="BV77" s="2">
        <f t="shared" si="189"/>
        <v>44.900000000000006</v>
      </c>
      <c r="BW77" s="2"/>
      <c r="BX77" s="2">
        <f t="shared" si="190"/>
        <v>44.900000000000006</v>
      </c>
      <c r="BY77" s="2"/>
      <c r="BZ77" s="2">
        <f t="shared" si="191"/>
        <v>44.900000000000006</v>
      </c>
      <c r="CA77" s="2"/>
      <c r="CB77" s="2">
        <f t="shared" si="192"/>
        <v>44.900000000000006</v>
      </c>
      <c r="CC77" s="2"/>
      <c r="CD77" s="2">
        <f t="shared" si="193"/>
        <v>44.900000000000006</v>
      </c>
      <c r="CE77" s="2"/>
      <c r="CF77" s="2">
        <f t="shared" si="194"/>
        <v>44.900000000000006</v>
      </c>
      <c r="CG77" s="2"/>
      <c r="CH77" s="2">
        <f t="shared" si="195"/>
        <v>44.900000000000006</v>
      </c>
      <c r="CI77" s="2"/>
      <c r="CJ77" s="2">
        <f t="shared" si="196"/>
        <v>44.900000000000006</v>
      </c>
      <c r="CK77" s="2"/>
      <c r="CL77" s="2">
        <f t="shared" si="197"/>
        <v>44.900000000000006</v>
      </c>
      <c r="CM77" s="2"/>
      <c r="CN77" s="2">
        <f t="shared" si="198"/>
        <v>44.900000000000006</v>
      </c>
      <c r="CO77" s="2"/>
      <c r="CP77" s="2">
        <f t="shared" si="199"/>
        <v>44.900000000000006</v>
      </c>
      <c r="CQ77" s="2"/>
      <c r="CR77" s="2">
        <f t="shared" si="200"/>
        <v>44.900000000000006</v>
      </c>
      <c r="CS77" s="2"/>
      <c r="CT77" s="2">
        <f t="shared" si="201"/>
        <v>44.900000000000006</v>
      </c>
      <c r="CU77" s="2"/>
      <c r="CV77" s="2">
        <f t="shared" si="202"/>
        <v>44.900000000000006</v>
      </c>
      <c r="CW77" s="2"/>
      <c r="CX77" s="2">
        <f t="shared" si="203"/>
        <v>44.900000000000006</v>
      </c>
      <c r="CY77" s="2"/>
      <c r="CZ77" s="2">
        <f t="shared" si="204"/>
        <v>44.900000000000006</v>
      </c>
      <c r="DA77" s="2"/>
      <c r="DB77" s="2">
        <f t="shared" si="205"/>
        <v>44.900000000000006</v>
      </c>
      <c r="DC77" s="2"/>
      <c r="DD77" s="2">
        <f t="shared" si="206"/>
        <v>44.900000000000006</v>
      </c>
      <c r="DE77" s="2"/>
      <c r="DF77" s="2">
        <f t="shared" si="207"/>
        <v>44.900000000000006</v>
      </c>
      <c r="DG77" s="2"/>
      <c r="DH77" s="2">
        <f t="shared" si="208"/>
        <v>44.900000000000006</v>
      </c>
      <c r="DI77" s="2"/>
      <c r="DJ77" s="2">
        <f t="shared" si="209"/>
        <v>44.900000000000006</v>
      </c>
      <c r="DK77" s="2"/>
      <c r="DL77" s="2">
        <f t="shared" si="210"/>
        <v>44.900000000000006</v>
      </c>
      <c r="DM77" s="2"/>
      <c r="DN77" s="2">
        <f t="shared" si="211"/>
        <v>44.900000000000006</v>
      </c>
      <c r="DO77" s="2"/>
      <c r="DP77" s="2">
        <f t="shared" si="212"/>
        <v>44.900000000000006</v>
      </c>
      <c r="DQ77" s="2"/>
      <c r="DR77" s="2">
        <f t="shared" si="213"/>
        <v>44.900000000000006</v>
      </c>
      <c r="DS77" s="2"/>
      <c r="DT77" s="2">
        <f t="shared" si="214"/>
        <v>44.900000000000006</v>
      </c>
      <c r="DU77" s="2"/>
      <c r="DV77" s="2">
        <f t="shared" si="215"/>
        <v>44.900000000000006</v>
      </c>
      <c r="DW77" s="266">
        <f t="shared" si="166"/>
        <v>44.900000000000006</v>
      </c>
      <c r="DX77" s="441">
        <f t="shared" si="216"/>
        <v>0</v>
      </c>
    </row>
    <row r="78" spans="1:128">
      <c r="A78" s="433">
        <f t="shared" si="168"/>
        <v>18</v>
      </c>
      <c r="B78" s="450" t="s">
        <v>843</v>
      </c>
      <c r="C78" s="434" t="s">
        <v>497</v>
      </c>
      <c r="D78" s="435">
        <v>0.4</v>
      </c>
      <c r="E78" s="330">
        <v>999</v>
      </c>
      <c r="F78" s="269" t="s">
        <v>921</v>
      </c>
      <c r="G78" s="451">
        <v>43383</v>
      </c>
      <c r="H78" s="443">
        <f t="shared" si="179"/>
        <v>44478</v>
      </c>
      <c r="I78" s="149">
        <v>3</v>
      </c>
      <c r="J78" s="267">
        <f t="shared" si="180"/>
        <v>173</v>
      </c>
      <c r="K78" s="267">
        <f t="shared" si="186"/>
        <v>192</v>
      </c>
      <c r="L78" s="433"/>
      <c r="M78" s="439"/>
      <c r="N78" s="436"/>
      <c r="O78" s="436"/>
      <c r="P78" s="439"/>
      <c r="Q78" s="436"/>
      <c r="R78" s="436"/>
      <c r="S78" s="439"/>
      <c r="T78" s="436"/>
      <c r="U78" s="436"/>
      <c r="V78" s="433"/>
      <c r="W78" s="436"/>
      <c r="X78" s="436"/>
      <c r="Y78" s="433"/>
      <c r="Z78" s="436"/>
      <c r="AA78" s="436"/>
      <c r="AB78" s="433"/>
      <c r="AC78" s="436"/>
      <c r="AD78" s="436"/>
      <c r="AE78" s="436"/>
      <c r="AF78" s="436"/>
      <c r="AG78" s="436"/>
      <c r="AH78" s="436"/>
      <c r="AI78" s="439">
        <v>3</v>
      </c>
      <c r="AJ78" s="436">
        <f t="shared" si="121"/>
        <v>3</v>
      </c>
      <c r="AK78" s="440">
        <f t="shared" si="181"/>
        <v>0.63159685013596123</v>
      </c>
      <c r="AL78" s="6"/>
      <c r="AM78" s="433"/>
      <c r="AN78" s="436"/>
      <c r="AO78" s="436"/>
      <c r="AP78" s="436"/>
      <c r="AQ78" s="436"/>
      <c r="AR78" s="436"/>
      <c r="AS78" s="436"/>
      <c r="AT78" s="2"/>
      <c r="AU78" s="2"/>
      <c r="AV78" s="2"/>
      <c r="AW78" s="433"/>
      <c r="AX78" s="2"/>
      <c r="AY78" s="2"/>
      <c r="AZ78" s="433"/>
      <c r="BA78" s="2"/>
      <c r="BB78" s="2"/>
      <c r="BC78" s="2"/>
      <c r="BD78" s="433"/>
      <c r="BE78" s="439"/>
      <c r="BF78" s="433"/>
      <c r="BG78" s="2"/>
      <c r="BH78" s="2"/>
      <c r="BI78" s="2">
        <f t="shared" si="182"/>
        <v>299</v>
      </c>
      <c r="BJ78" s="2">
        <f t="shared" si="183"/>
        <v>700</v>
      </c>
      <c r="BK78" s="2">
        <f t="shared" si="184"/>
        <v>442.12</v>
      </c>
      <c r="BL78" s="2">
        <f t="shared" si="143"/>
        <v>257.88</v>
      </c>
      <c r="BM78" s="2"/>
      <c r="BN78" s="2">
        <f t="shared" si="185"/>
        <v>257.88</v>
      </c>
      <c r="BO78" s="2">
        <f t="shared" si="187"/>
        <v>163</v>
      </c>
      <c r="BP78" s="2">
        <f t="shared" si="144"/>
        <v>94.88</v>
      </c>
      <c r="BQ78" s="2"/>
      <c r="BR78" s="2">
        <f t="shared" si="145"/>
        <v>94.88</v>
      </c>
      <c r="BS78" s="2">
        <f t="shared" si="188"/>
        <v>44.929999999999993</v>
      </c>
      <c r="BT78" s="2">
        <f t="shared" si="172"/>
        <v>49.95</v>
      </c>
      <c r="BU78" s="2">
        <v>0</v>
      </c>
      <c r="BV78" s="2">
        <f t="shared" si="189"/>
        <v>49.95</v>
      </c>
      <c r="BW78" s="2"/>
      <c r="BX78" s="2">
        <f t="shared" si="190"/>
        <v>49.95</v>
      </c>
      <c r="BY78" s="2"/>
      <c r="BZ78" s="2">
        <f t="shared" si="191"/>
        <v>49.95</v>
      </c>
      <c r="CA78" s="2"/>
      <c r="CB78" s="2">
        <f t="shared" si="192"/>
        <v>49.95</v>
      </c>
      <c r="CC78" s="2"/>
      <c r="CD78" s="2">
        <f t="shared" si="193"/>
        <v>49.95</v>
      </c>
      <c r="CE78" s="2"/>
      <c r="CF78" s="2">
        <f t="shared" si="194"/>
        <v>49.95</v>
      </c>
      <c r="CG78" s="2"/>
      <c r="CH78" s="2">
        <f t="shared" si="195"/>
        <v>49.95</v>
      </c>
      <c r="CI78" s="2"/>
      <c r="CJ78" s="2">
        <f t="shared" si="196"/>
        <v>49.95</v>
      </c>
      <c r="CK78" s="2"/>
      <c r="CL78" s="2">
        <f t="shared" si="197"/>
        <v>49.95</v>
      </c>
      <c r="CM78" s="2"/>
      <c r="CN78" s="2">
        <f t="shared" si="198"/>
        <v>49.95</v>
      </c>
      <c r="CO78" s="2"/>
      <c r="CP78" s="2">
        <f t="shared" si="199"/>
        <v>49.95</v>
      </c>
      <c r="CQ78" s="2"/>
      <c r="CR78" s="2">
        <f t="shared" si="200"/>
        <v>49.95</v>
      </c>
      <c r="CS78" s="2"/>
      <c r="CT78" s="2">
        <f t="shared" si="201"/>
        <v>49.95</v>
      </c>
      <c r="CU78" s="2"/>
      <c r="CV78" s="2">
        <f t="shared" si="202"/>
        <v>49.95</v>
      </c>
      <c r="CW78" s="2"/>
      <c r="CX78" s="2">
        <f t="shared" si="203"/>
        <v>49.95</v>
      </c>
      <c r="CY78" s="2"/>
      <c r="CZ78" s="2">
        <f t="shared" si="204"/>
        <v>49.95</v>
      </c>
      <c r="DA78" s="2"/>
      <c r="DB78" s="2">
        <f t="shared" si="205"/>
        <v>49.95</v>
      </c>
      <c r="DC78" s="2"/>
      <c r="DD78" s="2">
        <f t="shared" si="206"/>
        <v>49.95</v>
      </c>
      <c r="DE78" s="2"/>
      <c r="DF78" s="2">
        <f t="shared" si="207"/>
        <v>49.95</v>
      </c>
      <c r="DG78" s="2"/>
      <c r="DH78" s="2">
        <f t="shared" si="208"/>
        <v>49.95</v>
      </c>
      <c r="DI78" s="2"/>
      <c r="DJ78" s="2">
        <f t="shared" si="209"/>
        <v>49.95</v>
      </c>
      <c r="DK78" s="2"/>
      <c r="DL78" s="2">
        <f t="shared" si="210"/>
        <v>49.95</v>
      </c>
      <c r="DM78" s="2"/>
      <c r="DN78" s="2">
        <f t="shared" si="211"/>
        <v>49.95</v>
      </c>
      <c r="DO78" s="2"/>
      <c r="DP78" s="2">
        <f t="shared" si="212"/>
        <v>49.95</v>
      </c>
      <c r="DQ78" s="2"/>
      <c r="DR78" s="2">
        <f t="shared" si="213"/>
        <v>49.95</v>
      </c>
      <c r="DS78" s="2"/>
      <c r="DT78" s="2">
        <f t="shared" si="214"/>
        <v>49.95</v>
      </c>
      <c r="DU78" s="2"/>
      <c r="DV78" s="2">
        <f t="shared" si="215"/>
        <v>49.95</v>
      </c>
      <c r="DW78" s="266">
        <f t="shared" si="166"/>
        <v>49.95</v>
      </c>
      <c r="DX78" s="441">
        <f t="shared" si="216"/>
        <v>0</v>
      </c>
    </row>
    <row r="79" spans="1:128">
      <c r="A79" s="433">
        <f t="shared" si="168"/>
        <v>19</v>
      </c>
      <c r="B79" s="450" t="s">
        <v>844</v>
      </c>
      <c r="C79" s="434" t="s">
        <v>497</v>
      </c>
      <c r="D79" s="435">
        <v>0.4</v>
      </c>
      <c r="E79" s="330">
        <v>94450</v>
      </c>
      <c r="F79" s="269" t="s">
        <v>921</v>
      </c>
      <c r="G79" s="451">
        <v>43384</v>
      </c>
      <c r="H79" s="443">
        <f t="shared" si="179"/>
        <v>44479</v>
      </c>
      <c r="I79" s="149">
        <v>3</v>
      </c>
      <c r="J79" s="267">
        <f t="shared" si="180"/>
        <v>172</v>
      </c>
      <c r="K79" s="267">
        <f t="shared" si="186"/>
        <v>193</v>
      </c>
      <c r="L79" s="433"/>
      <c r="M79" s="439"/>
      <c r="N79" s="436"/>
      <c r="O79" s="436"/>
      <c r="P79" s="439"/>
      <c r="Q79" s="436"/>
      <c r="R79" s="436"/>
      <c r="S79" s="439"/>
      <c r="T79" s="436"/>
      <c r="U79" s="436"/>
      <c r="V79" s="433"/>
      <c r="W79" s="436"/>
      <c r="X79" s="436"/>
      <c r="Y79" s="433"/>
      <c r="Z79" s="436"/>
      <c r="AA79" s="436"/>
      <c r="AB79" s="433"/>
      <c r="AC79" s="436"/>
      <c r="AD79" s="436"/>
      <c r="AE79" s="436"/>
      <c r="AF79" s="436"/>
      <c r="AG79" s="436"/>
      <c r="AH79" s="436"/>
      <c r="AI79" s="439">
        <v>3</v>
      </c>
      <c r="AJ79" s="436">
        <f t="shared" si="121"/>
        <v>3</v>
      </c>
      <c r="AK79" s="440">
        <f t="shared" si="181"/>
        <v>0.63159685013596123</v>
      </c>
      <c r="AL79" s="6"/>
      <c r="AM79" s="433"/>
      <c r="AN79" s="436"/>
      <c r="AO79" s="436"/>
      <c r="AP79" s="436"/>
      <c r="AQ79" s="436"/>
      <c r="AR79" s="436"/>
      <c r="AS79" s="436"/>
      <c r="AT79" s="2"/>
      <c r="AU79" s="2"/>
      <c r="AV79" s="2"/>
      <c r="AW79" s="433"/>
      <c r="AX79" s="2"/>
      <c r="AY79" s="2"/>
      <c r="AZ79" s="433"/>
      <c r="BA79" s="2"/>
      <c r="BB79" s="2"/>
      <c r="BC79" s="2"/>
      <c r="BD79" s="433"/>
      <c r="BE79" s="439"/>
      <c r="BF79" s="433"/>
      <c r="BG79" s="2"/>
      <c r="BH79" s="2"/>
      <c r="BI79" s="2">
        <f t="shared" si="182"/>
        <v>28111</v>
      </c>
      <c r="BJ79" s="2">
        <f t="shared" si="183"/>
        <v>66339</v>
      </c>
      <c r="BK79" s="2">
        <f t="shared" si="184"/>
        <v>41899.5</v>
      </c>
      <c r="BL79" s="2">
        <f t="shared" si="143"/>
        <v>24439.5</v>
      </c>
      <c r="BM79" s="2"/>
      <c r="BN79" s="2">
        <f t="shared" si="185"/>
        <v>24439.5</v>
      </c>
      <c r="BO79" s="2">
        <f t="shared" si="187"/>
        <v>15436</v>
      </c>
      <c r="BP79" s="2">
        <f t="shared" si="144"/>
        <v>9003.5</v>
      </c>
      <c r="BQ79" s="2"/>
      <c r="BR79" s="2">
        <f t="shared" si="145"/>
        <v>9003.5</v>
      </c>
      <c r="BS79" s="2">
        <f t="shared" si="188"/>
        <v>4281</v>
      </c>
      <c r="BT79" s="2">
        <f t="shared" si="172"/>
        <v>4722.5</v>
      </c>
      <c r="BU79" s="2">
        <v>0</v>
      </c>
      <c r="BV79" s="2">
        <f t="shared" si="189"/>
        <v>4722.5</v>
      </c>
      <c r="BW79" s="2"/>
      <c r="BX79" s="2">
        <f t="shared" si="190"/>
        <v>4722.5</v>
      </c>
      <c r="BY79" s="2"/>
      <c r="BZ79" s="2">
        <f t="shared" si="191"/>
        <v>4722.5</v>
      </c>
      <c r="CA79" s="2"/>
      <c r="CB79" s="2">
        <f t="shared" si="192"/>
        <v>4722.5</v>
      </c>
      <c r="CC79" s="2"/>
      <c r="CD79" s="2">
        <f t="shared" si="193"/>
        <v>4722.5</v>
      </c>
      <c r="CE79" s="2"/>
      <c r="CF79" s="2">
        <f t="shared" si="194"/>
        <v>4722.5</v>
      </c>
      <c r="CG79" s="2"/>
      <c r="CH79" s="2">
        <f t="shared" si="195"/>
        <v>4722.5</v>
      </c>
      <c r="CI79" s="2"/>
      <c r="CJ79" s="2">
        <f t="shared" si="196"/>
        <v>4722.5</v>
      </c>
      <c r="CK79" s="2"/>
      <c r="CL79" s="2">
        <f t="shared" si="197"/>
        <v>4722.5</v>
      </c>
      <c r="CM79" s="2"/>
      <c r="CN79" s="2">
        <f t="shared" si="198"/>
        <v>4722.5</v>
      </c>
      <c r="CO79" s="2"/>
      <c r="CP79" s="2">
        <f t="shared" si="199"/>
        <v>4722.5</v>
      </c>
      <c r="CQ79" s="2"/>
      <c r="CR79" s="2">
        <f t="shared" si="200"/>
        <v>4722.5</v>
      </c>
      <c r="CS79" s="2"/>
      <c r="CT79" s="2">
        <f t="shared" si="201"/>
        <v>4722.5</v>
      </c>
      <c r="CU79" s="2"/>
      <c r="CV79" s="2">
        <f t="shared" si="202"/>
        <v>4722.5</v>
      </c>
      <c r="CW79" s="2"/>
      <c r="CX79" s="2">
        <f t="shared" si="203"/>
        <v>4722.5</v>
      </c>
      <c r="CY79" s="2"/>
      <c r="CZ79" s="2">
        <f t="shared" si="204"/>
        <v>4722.5</v>
      </c>
      <c r="DA79" s="2"/>
      <c r="DB79" s="2">
        <f t="shared" si="205"/>
        <v>4722.5</v>
      </c>
      <c r="DC79" s="2"/>
      <c r="DD79" s="2">
        <f t="shared" si="206"/>
        <v>4722.5</v>
      </c>
      <c r="DE79" s="2"/>
      <c r="DF79" s="2">
        <f t="shared" si="207"/>
        <v>4722.5</v>
      </c>
      <c r="DG79" s="2"/>
      <c r="DH79" s="2">
        <f t="shared" si="208"/>
        <v>4722.5</v>
      </c>
      <c r="DI79" s="2"/>
      <c r="DJ79" s="2">
        <f t="shared" si="209"/>
        <v>4722.5</v>
      </c>
      <c r="DK79" s="2"/>
      <c r="DL79" s="2">
        <f t="shared" si="210"/>
        <v>4722.5</v>
      </c>
      <c r="DM79" s="2"/>
      <c r="DN79" s="2">
        <f t="shared" si="211"/>
        <v>4722.5</v>
      </c>
      <c r="DO79" s="2"/>
      <c r="DP79" s="2">
        <f t="shared" si="212"/>
        <v>4722.5</v>
      </c>
      <c r="DQ79" s="2"/>
      <c r="DR79" s="2">
        <f t="shared" si="213"/>
        <v>4722.5</v>
      </c>
      <c r="DS79" s="2"/>
      <c r="DT79" s="2">
        <f t="shared" si="214"/>
        <v>4722.5</v>
      </c>
      <c r="DU79" s="2"/>
      <c r="DV79" s="2">
        <f t="shared" si="215"/>
        <v>4722.5</v>
      </c>
      <c r="DW79" s="266">
        <f t="shared" si="166"/>
        <v>4722.5</v>
      </c>
      <c r="DX79" s="441">
        <f t="shared" si="216"/>
        <v>0</v>
      </c>
    </row>
    <row r="80" spans="1:128">
      <c r="A80" s="433">
        <f t="shared" si="168"/>
        <v>20</v>
      </c>
      <c r="B80" s="450" t="s">
        <v>845</v>
      </c>
      <c r="C80" s="434" t="s">
        <v>497</v>
      </c>
      <c r="D80" s="435">
        <v>0.4</v>
      </c>
      <c r="E80" s="330">
        <v>76000</v>
      </c>
      <c r="F80" s="269" t="s">
        <v>921</v>
      </c>
      <c r="G80" s="451">
        <v>43445</v>
      </c>
      <c r="H80" s="443">
        <f t="shared" si="179"/>
        <v>44540</v>
      </c>
      <c r="I80" s="149">
        <v>3</v>
      </c>
      <c r="J80" s="267">
        <f t="shared" si="180"/>
        <v>111</v>
      </c>
      <c r="K80" s="267">
        <f t="shared" si="186"/>
        <v>254</v>
      </c>
      <c r="L80" s="433"/>
      <c r="M80" s="439"/>
      <c r="N80" s="436"/>
      <c r="O80" s="436"/>
      <c r="P80" s="439"/>
      <c r="Q80" s="436"/>
      <c r="R80" s="436"/>
      <c r="S80" s="439"/>
      <c r="T80" s="436"/>
      <c r="U80" s="436"/>
      <c r="V80" s="433"/>
      <c r="W80" s="436"/>
      <c r="X80" s="436"/>
      <c r="Y80" s="433"/>
      <c r="Z80" s="436"/>
      <c r="AA80" s="436"/>
      <c r="AB80" s="433"/>
      <c r="AC80" s="436"/>
      <c r="AD80" s="436"/>
      <c r="AE80" s="436"/>
      <c r="AF80" s="436"/>
      <c r="AG80" s="436"/>
      <c r="AH80" s="436"/>
      <c r="AI80" s="439">
        <v>3</v>
      </c>
      <c r="AJ80" s="436">
        <f t="shared" si="121"/>
        <v>3</v>
      </c>
      <c r="AK80" s="440">
        <f t="shared" si="181"/>
        <v>0.63159685013596123</v>
      </c>
      <c r="AL80" s="6"/>
      <c r="AM80" s="433"/>
      <c r="AN80" s="436"/>
      <c r="AO80" s="436"/>
      <c r="AP80" s="436"/>
      <c r="AQ80" s="436"/>
      <c r="AR80" s="436"/>
      <c r="AS80" s="436"/>
      <c r="AT80" s="2"/>
      <c r="AU80" s="2"/>
      <c r="AV80" s="2"/>
      <c r="AW80" s="433"/>
      <c r="AX80" s="2"/>
      <c r="AY80" s="2"/>
      <c r="AZ80" s="433"/>
      <c r="BA80" s="2"/>
      <c r="BB80" s="2"/>
      <c r="BC80" s="2"/>
      <c r="BD80" s="433"/>
      <c r="BE80" s="439"/>
      <c r="BF80" s="433"/>
      <c r="BG80" s="2"/>
      <c r="BH80" s="2"/>
      <c r="BI80" s="2">
        <f t="shared" si="182"/>
        <v>14598</v>
      </c>
      <c r="BJ80" s="2">
        <f t="shared" si="183"/>
        <v>61402</v>
      </c>
      <c r="BK80" s="2">
        <f t="shared" si="184"/>
        <v>38781.31</v>
      </c>
      <c r="BL80" s="2">
        <f t="shared" si="143"/>
        <v>22620.690000000002</v>
      </c>
      <c r="BM80" s="2"/>
      <c r="BN80" s="2">
        <f t="shared" si="185"/>
        <v>22620.690000000002</v>
      </c>
      <c r="BO80" s="2">
        <f t="shared" si="187"/>
        <v>14287</v>
      </c>
      <c r="BP80" s="2">
        <f t="shared" si="144"/>
        <v>8333.6900000000023</v>
      </c>
      <c r="BQ80" s="2"/>
      <c r="BR80" s="2">
        <f t="shared" si="145"/>
        <v>8333.6900000000023</v>
      </c>
      <c r="BS80" s="2">
        <f t="shared" si="188"/>
        <v>4533.6900000000014</v>
      </c>
      <c r="BT80" s="2">
        <f t="shared" si="172"/>
        <v>3800.0000000000009</v>
      </c>
      <c r="BU80" s="2">
        <v>0</v>
      </c>
      <c r="BV80" s="2">
        <f t="shared" si="189"/>
        <v>3800.0000000000009</v>
      </c>
      <c r="BW80" s="2"/>
      <c r="BX80" s="2">
        <f t="shared" si="190"/>
        <v>3800.0000000000009</v>
      </c>
      <c r="BY80" s="2"/>
      <c r="BZ80" s="2">
        <f t="shared" si="191"/>
        <v>3800.0000000000009</v>
      </c>
      <c r="CA80" s="2"/>
      <c r="CB80" s="2">
        <f t="shared" si="192"/>
        <v>3800.0000000000009</v>
      </c>
      <c r="CC80" s="2"/>
      <c r="CD80" s="2">
        <f t="shared" si="193"/>
        <v>3800.0000000000009</v>
      </c>
      <c r="CE80" s="2"/>
      <c r="CF80" s="2">
        <f t="shared" si="194"/>
        <v>3800.0000000000009</v>
      </c>
      <c r="CG80" s="2"/>
      <c r="CH80" s="2">
        <f t="shared" si="195"/>
        <v>3800.0000000000009</v>
      </c>
      <c r="CI80" s="2"/>
      <c r="CJ80" s="2">
        <f t="shared" si="196"/>
        <v>3800.0000000000009</v>
      </c>
      <c r="CK80" s="2"/>
      <c r="CL80" s="2">
        <f t="shared" si="197"/>
        <v>3800.0000000000009</v>
      </c>
      <c r="CM80" s="2"/>
      <c r="CN80" s="2">
        <f t="shared" si="198"/>
        <v>3800.0000000000009</v>
      </c>
      <c r="CO80" s="2"/>
      <c r="CP80" s="2">
        <f t="shared" si="199"/>
        <v>3800.0000000000009</v>
      </c>
      <c r="CQ80" s="2"/>
      <c r="CR80" s="2">
        <f t="shared" si="200"/>
        <v>3800.0000000000009</v>
      </c>
      <c r="CS80" s="2"/>
      <c r="CT80" s="2">
        <f t="shared" si="201"/>
        <v>3800.0000000000009</v>
      </c>
      <c r="CU80" s="2"/>
      <c r="CV80" s="2">
        <f t="shared" si="202"/>
        <v>3800.0000000000009</v>
      </c>
      <c r="CW80" s="2"/>
      <c r="CX80" s="2">
        <f t="shared" si="203"/>
        <v>3800.0000000000009</v>
      </c>
      <c r="CY80" s="2"/>
      <c r="CZ80" s="2">
        <f t="shared" si="204"/>
        <v>3800.0000000000009</v>
      </c>
      <c r="DA80" s="2"/>
      <c r="DB80" s="2">
        <f t="shared" si="205"/>
        <v>3800.0000000000009</v>
      </c>
      <c r="DC80" s="2"/>
      <c r="DD80" s="2">
        <f t="shared" si="206"/>
        <v>3800.0000000000009</v>
      </c>
      <c r="DE80" s="2"/>
      <c r="DF80" s="2">
        <f t="shared" si="207"/>
        <v>3800.0000000000009</v>
      </c>
      <c r="DG80" s="2"/>
      <c r="DH80" s="2">
        <f t="shared" si="208"/>
        <v>3800.0000000000009</v>
      </c>
      <c r="DI80" s="2"/>
      <c r="DJ80" s="2">
        <f t="shared" si="209"/>
        <v>3800.0000000000009</v>
      </c>
      <c r="DK80" s="2"/>
      <c r="DL80" s="2">
        <f t="shared" si="210"/>
        <v>3800.0000000000009</v>
      </c>
      <c r="DM80" s="2"/>
      <c r="DN80" s="2">
        <f t="shared" si="211"/>
        <v>3800.0000000000009</v>
      </c>
      <c r="DO80" s="2"/>
      <c r="DP80" s="2">
        <f t="shared" si="212"/>
        <v>3800.0000000000009</v>
      </c>
      <c r="DQ80" s="2"/>
      <c r="DR80" s="2">
        <f t="shared" si="213"/>
        <v>3800.0000000000009</v>
      </c>
      <c r="DS80" s="2"/>
      <c r="DT80" s="2">
        <f t="shared" si="214"/>
        <v>3800.0000000000009</v>
      </c>
      <c r="DU80" s="2"/>
      <c r="DV80" s="2">
        <f t="shared" si="215"/>
        <v>3800.0000000000009</v>
      </c>
      <c r="DW80" s="266">
        <f t="shared" si="166"/>
        <v>3800</v>
      </c>
      <c r="DX80" s="441">
        <f t="shared" si="216"/>
        <v>0</v>
      </c>
    </row>
    <row r="81" spans="1:128">
      <c r="A81" s="433">
        <f t="shared" si="168"/>
        <v>21</v>
      </c>
      <c r="B81" s="450" t="s">
        <v>846</v>
      </c>
      <c r="C81" s="434" t="s">
        <v>497</v>
      </c>
      <c r="D81" s="435">
        <v>0.4</v>
      </c>
      <c r="E81" s="330">
        <v>69850</v>
      </c>
      <c r="F81" s="269" t="s">
        <v>921</v>
      </c>
      <c r="G81" s="451">
        <v>43454</v>
      </c>
      <c r="H81" s="443">
        <f t="shared" si="179"/>
        <v>44549</v>
      </c>
      <c r="I81" s="149">
        <v>3</v>
      </c>
      <c r="J81" s="267">
        <f t="shared" si="180"/>
        <v>102</v>
      </c>
      <c r="K81" s="267">
        <f t="shared" si="186"/>
        <v>263</v>
      </c>
      <c r="L81" s="433"/>
      <c r="M81" s="439"/>
      <c r="N81" s="436"/>
      <c r="O81" s="436"/>
      <c r="P81" s="439"/>
      <c r="Q81" s="436"/>
      <c r="R81" s="436"/>
      <c r="S81" s="439"/>
      <c r="T81" s="436"/>
      <c r="U81" s="436"/>
      <c r="V81" s="433"/>
      <c r="W81" s="436"/>
      <c r="X81" s="436"/>
      <c r="Y81" s="433"/>
      <c r="Z81" s="436"/>
      <c r="AA81" s="436"/>
      <c r="AB81" s="433"/>
      <c r="AC81" s="436"/>
      <c r="AD81" s="436"/>
      <c r="AE81" s="436"/>
      <c r="AF81" s="436"/>
      <c r="AG81" s="436"/>
      <c r="AH81" s="436"/>
      <c r="AI81" s="439">
        <v>3</v>
      </c>
      <c r="AJ81" s="436">
        <f t="shared" si="121"/>
        <v>3</v>
      </c>
      <c r="AK81" s="440">
        <f t="shared" si="181"/>
        <v>0.63159685013596123</v>
      </c>
      <c r="AL81" s="6"/>
      <c r="AM81" s="433"/>
      <c r="AN81" s="436"/>
      <c r="AO81" s="436"/>
      <c r="AP81" s="436"/>
      <c r="AQ81" s="436"/>
      <c r="AR81" s="436"/>
      <c r="AS81" s="436"/>
      <c r="AT81" s="2"/>
      <c r="AU81" s="2"/>
      <c r="AV81" s="2"/>
      <c r="AW81" s="433"/>
      <c r="AX81" s="2"/>
      <c r="AY81" s="2"/>
      <c r="AZ81" s="433"/>
      <c r="BA81" s="2"/>
      <c r="BB81" s="2"/>
      <c r="BC81" s="2"/>
      <c r="BD81" s="433"/>
      <c r="BE81" s="439"/>
      <c r="BF81" s="433"/>
      <c r="BG81" s="2"/>
      <c r="BH81" s="2"/>
      <c r="BI81" s="2">
        <f t="shared" si="182"/>
        <v>12329</v>
      </c>
      <c r="BJ81" s="2">
        <f t="shared" si="183"/>
        <v>57521</v>
      </c>
      <c r="BK81" s="2">
        <f t="shared" si="184"/>
        <v>36330.080000000002</v>
      </c>
      <c r="BL81" s="2">
        <f t="shared" si="143"/>
        <v>21190.92</v>
      </c>
      <c r="BM81" s="2"/>
      <c r="BN81" s="2">
        <f t="shared" si="185"/>
        <v>21190.92</v>
      </c>
      <c r="BO81" s="2">
        <f t="shared" si="187"/>
        <v>13384</v>
      </c>
      <c r="BP81" s="2">
        <f t="shared" si="144"/>
        <v>7806.9199999999983</v>
      </c>
      <c r="BQ81" s="2"/>
      <c r="BR81" s="2">
        <f t="shared" si="145"/>
        <v>7806.9199999999983</v>
      </c>
      <c r="BS81" s="2">
        <f t="shared" si="188"/>
        <v>4314.4199999999983</v>
      </c>
      <c r="BT81" s="2">
        <f t="shared" si="172"/>
        <v>3492.5</v>
      </c>
      <c r="BU81" s="2">
        <v>0</v>
      </c>
      <c r="BV81" s="2">
        <f t="shared" si="189"/>
        <v>3492.5</v>
      </c>
      <c r="BW81" s="2"/>
      <c r="BX81" s="2">
        <f t="shared" si="190"/>
        <v>3492.5</v>
      </c>
      <c r="BY81" s="2"/>
      <c r="BZ81" s="2">
        <f t="shared" si="191"/>
        <v>3492.5</v>
      </c>
      <c r="CA81" s="2"/>
      <c r="CB81" s="2">
        <f t="shared" si="192"/>
        <v>3492.5</v>
      </c>
      <c r="CC81" s="2"/>
      <c r="CD81" s="2">
        <f t="shared" si="193"/>
        <v>3492.5</v>
      </c>
      <c r="CE81" s="2"/>
      <c r="CF81" s="2">
        <f t="shared" si="194"/>
        <v>3492.5</v>
      </c>
      <c r="CG81" s="2"/>
      <c r="CH81" s="2">
        <f t="shared" si="195"/>
        <v>3492.5</v>
      </c>
      <c r="CI81" s="2"/>
      <c r="CJ81" s="2">
        <f t="shared" si="196"/>
        <v>3492.5</v>
      </c>
      <c r="CK81" s="2"/>
      <c r="CL81" s="2">
        <f t="shared" si="197"/>
        <v>3492.5</v>
      </c>
      <c r="CM81" s="2"/>
      <c r="CN81" s="2">
        <f t="shared" si="198"/>
        <v>3492.5</v>
      </c>
      <c r="CO81" s="2"/>
      <c r="CP81" s="2">
        <f t="shared" si="199"/>
        <v>3492.5</v>
      </c>
      <c r="CQ81" s="2"/>
      <c r="CR81" s="2">
        <f t="shared" si="200"/>
        <v>3492.5</v>
      </c>
      <c r="CS81" s="2"/>
      <c r="CT81" s="2">
        <f t="shared" si="201"/>
        <v>3492.5</v>
      </c>
      <c r="CU81" s="2"/>
      <c r="CV81" s="2">
        <f t="shared" si="202"/>
        <v>3492.5</v>
      </c>
      <c r="CW81" s="2"/>
      <c r="CX81" s="2">
        <f t="shared" si="203"/>
        <v>3492.5</v>
      </c>
      <c r="CY81" s="2"/>
      <c r="CZ81" s="2">
        <f t="shared" si="204"/>
        <v>3492.5</v>
      </c>
      <c r="DA81" s="2"/>
      <c r="DB81" s="2">
        <f t="shared" si="205"/>
        <v>3492.5</v>
      </c>
      <c r="DC81" s="2"/>
      <c r="DD81" s="2">
        <f t="shared" si="206"/>
        <v>3492.5</v>
      </c>
      <c r="DE81" s="2"/>
      <c r="DF81" s="2">
        <f t="shared" si="207"/>
        <v>3492.5</v>
      </c>
      <c r="DG81" s="2"/>
      <c r="DH81" s="2">
        <f t="shared" si="208"/>
        <v>3492.5</v>
      </c>
      <c r="DI81" s="2"/>
      <c r="DJ81" s="2">
        <f t="shared" si="209"/>
        <v>3492.5</v>
      </c>
      <c r="DK81" s="2"/>
      <c r="DL81" s="2">
        <f t="shared" si="210"/>
        <v>3492.5</v>
      </c>
      <c r="DM81" s="2"/>
      <c r="DN81" s="2">
        <f t="shared" si="211"/>
        <v>3492.5</v>
      </c>
      <c r="DO81" s="2"/>
      <c r="DP81" s="2">
        <f t="shared" si="212"/>
        <v>3492.5</v>
      </c>
      <c r="DQ81" s="2"/>
      <c r="DR81" s="2">
        <f t="shared" si="213"/>
        <v>3492.5</v>
      </c>
      <c r="DS81" s="2"/>
      <c r="DT81" s="2">
        <f t="shared" si="214"/>
        <v>3492.5</v>
      </c>
      <c r="DU81" s="2"/>
      <c r="DV81" s="2">
        <f t="shared" si="215"/>
        <v>3492.5</v>
      </c>
      <c r="DW81" s="266">
        <f t="shared" si="166"/>
        <v>3492.5</v>
      </c>
      <c r="DX81" s="441">
        <f t="shared" si="216"/>
        <v>0</v>
      </c>
    </row>
    <row r="82" spans="1:128">
      <c r="A82" s="433">
        <f t="shared" si="168"/>
        <v>22</v>
      </c>
      <c r="B82" s="450" t="s">
        <v>846</v>
      </c>
      <c r="C82" s="434" t="s">
        <v>497</v>
      </c>
      <c r="D82" s="435">
        <v>0.4</v>
      </c>
      <c r="E82" s="330">
        <v>170000</v>
      </c>
      <c r="F82" s="269" t="s">
        <v>921</v>
      </c>
      <c r="G82" s="451">
        <v>43500</v>
      </c>
      <c r="H82" s="443">
        <f t="shared" si="179"/>
        <v>44595</v>
      </c>
      <c r="I82" s="149">
        <v>3</v>
      </c>
      <c r="J82" s="267">
        <f t="shared" si="180"/>
        <v>56</v>
      </c>
      <c r="K82" s="267">
        <f t="shared" si="186"/>
        <v>309</v>
      </c>
      <c r="L82" s="433"/>
      <c r="M82" s="439"/>
      <c r="N82" s="436"/>
      <c r="O82" s="436"/>
      <c r="P82" s="439"/>
      <c r="Q82" s="436"/>
      <c r="R82" s="436"/>
      <c r="S82" s="439"/>
      <c r="T82" s="436"/>
      <c r="U82" s="436"/>
      <c r="V82" s="433"/>
      <c r="W82" s="436"/>
      <c r="X82" s="436"/>
      <c r="Y82" s="433"/>
      <c r="Z82" s="436"/>
      <c r="AA82" s="436"/>
      <c r="AB82" s="433"/>
      <c r="AC82" s="436"/>
      <c r="AD82" s="436"/>
      <c r="AE82" s="436"/>
      <c r="AF82" s="436"/>
      <c r="AG82" s="436"/>
      <c r="AH82" s="436"/>
      <c r="AI82" s="439">
        <v>3</v>
      </c>
      <c r="AJ82" s="436">
        <f t="shared" si="121"/>
        <v>3</v>
      </c>
      <c r="AK82" s="440">
        <f t="shared" si="181"/>
        <v>0.63159685013596123</v>
      </c>
      <c r="AL82" s="6"/>
      <c r="AM82" s="433"/>
      <c r="AN82" s="436"/>
      <c r="AO82" s="436"/>
      <c r="AP82" s="436"/>
      <c r="AQ82" s="436"/>
      <c r="AR82" s="436"/>
      <c r="AS82" s="436"/>
      <c r="AT82" s="2"/>
      <c r="AU82" s="2"/>
      <c r="AV82" s="2"/>
      <c r="AW82" s="433"/>
      <c r="AX82" s="2"/>
      <c r="AY82" s="2"/>
      <c r="AZ82" s="433"/>
      <c r="BA82" s="2"/>
      <c r="BB82" s="2"/>
      <c r="BC82" s="2"/>
      <c r="BD82" s="433"/>
      <c r="BE82" s="439"/>
      <c r="BF82" s="433"/>
      <c r="BG82" s="2"/>
      <c r="BH82" s="2"/>
      <c r="BI82" s="2">
        <f>ROUND(+E82*AK82*J82/365,0)</f>
        <v>16473</v>
      </c>
      <c r="BJ82" s="2">
        <f t="shared" si="183"/>
        <v>153527</v>
      </c>
      <c r="BK82" s="2">
        <f t="shared" si="184"/>
        <v>96967.17</v>
      </c>
      <c r="BL82" s="2">
        <f t="shared" si="143"/>
        <v>56559.83</v>
      </c>
      <c r="BM82" s="2"/>
      <c r="BN82" s="2">
        <f t="shared" si="185"/>
        <v>56559.83</v>
      </c>
      <c r="BO82" s="2">
        <f t="shared" si="187"/>
        <v>35723</v>
      </c>
      <c r="BP82" s="2">
        <f t="shared" si="144"/>
        <v>20836.830000000002</v>
      </c>
      <c r="BQ82" s="2"/>
      <c r="BR82" s="2">
        <f t="shared" si="145"/>
        <v>20836.830000000002</v>
      </c>
      <c r="BS82" s="2">
        <f t="shared" si="188"/>
        <v>12336.830000000002</v>
      </c>
      <c r="BT82" s="2">
        <f t="shared" si="172"/>
        <v>8500</v>
      </c>
      <c r="BU82" s="2">
        <v>0</v>
      </c>
      <c r="BV82" s="2">
        <f t="shared" si="189"/>
        <v>8500</v>
      </c>
      <c r="BW82" s="2"/>
      <c r="BX82" s="2">
        <f t="shared" si="190"/>
        <v>8500</v>
      </c>
      <c r="BY82" s="2"/>
      <c r="BZ82" s="2">
        <f t="shared" si="191"/>
        <v>8500</v>
      </c>
      <c r="CA82" s="2"/>
      <c r="CB82" s="2">
        <f t="shared" si="192"/>
        <v>8500</v>
      </c>
      <c r="CC82" s="2"/>
      <c r="CD82" s="2">
        <f t="shared" si="193"/>
        <v>8500</v>
      </c>
      <c r="CE82" s="2"/>
      <c r="CF82" s="2">
        <f t="shared" si="194"/>
        <v>8500</v>
      </c>
      <c r="CG82" s="2"/>
      <c r="CH82" s="2">
        <f t="shared" si="195"/>
        <v>8500</v>
      </c>
      <c r="CI82" s="2"/>
      <c r="CJ82" s="2">
        <f t="shared" si="196"/>
        <v>8500</v>
      </c>
      <c r="CK82" s="2"/>
      <c r="CL82" s="2">
        <f t="shared" si="197"/>
        <v>8500</v>
      </c>
      <c r="CM82" s="2"/>
      <c r="CN82" s="2">
        <f t="shared" si="198"/>
        <v>8500</v>
      </c>
      <c r="CO82" s="2"/>
      <c r="CP82" s="2">
        <f t="shared" si="199"/>
        <v>8500</v>
      </c>
      <c r="CQ82" s="2"/>
      <c r="CR82" s="2">
        <f t="shared" si="200"/>
        <v>8500</v>
      </c>
      <c r="CS82" s="2"/>
      <c r="CT82" s="2">
        <f t="shared" si="201"/>
        <v>8500</v>
      </c>
      <c r="CU82" s="2"/>
      <c r="CV82" s="2">
        <f t="shared" si="202"/>
        <v>8500</v>
      </c>
      <c r="CW82" s="2"/>
      <c r="CX82" s="2">
        <f t="shared" si="203"/>
        <v>8500</v>
      </c>
      <c r="CY82" s="2"/>
      <c r="CZ82" s="2">
        <f t="shared" si="204"/>
        <v>8500</v>
      </c>
      <c r="DA82" s="2"/>
      <c r="DB82" s="2">
        <f t="shared" si="205"/>
        <v>8500</v>
      </c>
      <c r="DC82" s="2"/>
      <c r="DD82" s="2">
        <f t="shared" si="206"/>
        <v>8500</v>
      </c>
      <c r="DE82" s="2"/>
      <c r="DF82" s="2">
        <f t="shared" si="207"/>
        <v>8500</v>
      </c>
      <c r="DG82" s="2"/>
      <c r="DH82" s="2">
        <f t="shared" si="208"/>
        <v>8500</v>
      </c>
      <c r="DI82" s="2"/>
      <c r="DJ82" s="2">
        <f t="shared" si="209"/>
        <v>8500</v>
      </c>
      <c r="DK82" s="2"/>
      <c r="DL82" s="2">
        <f t="shared" si="210"/>
        <v>8500</v>
      </c>
      <c r="DM82" s="2"/>
      <c r="DN82" s="2">
        <f t="shared" si="211"/>
        <v>8500</v>
      </c>
      <c r="DO82" s="2"/>
      <c r="DP82" s="2">
        <f t="shared" si="212"/>
        <v>8500</v>
      </c>
      <c r="DQ82" s="2"/>
      <c r="DR82" s="2">
        <f t="shared" si="213"/>
        <v>8500</v>
      </c>
      <c r="DS82" s="2"/>
      <c r="DT82" s="2">
        <f t="shared" si="214"/>
        <v>8500</v>
      </c>
      <c r="DU82" s="2"/>
      <c r="DV82" s="2">
        <f t="shared" si="215"/>
        <v>8500</v>
      </c>
      <c r="DW82" s="266">
        <f t="shared" si="166"/>
        <v>8500</v>
      </c>
      <c r="DX82" s="441">
        <f t="shared" si="216"/>
        <v>0</v>
      </c>
    </row>
    <row r="83" spans="1:128">
      <c r="A83" s="433">
        <v>23</v>
      </c>
      <c r="C83" s="434" t="s">
        <v>497</v>
      </c>
      <c r="D83" s="435">
        <v>0.4</v>
      </c>
      <c r="E83" s="330">
        <v>275000</v>
      </c>
      <c r="F83" s="269" t="s">
        <v>1080</v>
      </c>
      <c r="G83" s="451">
        <v>43769</v>
      </c>
      <c r="H83" s="443">
        <f t="shared" si="179"/>
        <v>44864</v>
      </c>
      <c r="I83" s="149">
        <v>3</v>
      </c>
      <c r="J83" s="267">
        <f>IF(($BK$6-$G83+1)&gt;365,365,($BK$6-$G83+1))</f>
        <v>153</v>
      </c>
      <c r="K83" s="267">
        <f>365-J83</f>
        <v>212</v>
      </c>
      <c r="L83" s="433"/>
      <c r="M83" s="439"/>
      <c r="N83" s="436"/>
      <c r="O83" s="436"/>
      <c r="P83" s="439"/>
      <c r="Q83" s="436"/>
      <c r="R83" s="436"/>
      <c r="S83" s="439"/>
      <c r="T83" s="436"/>
      <c r="U83" s="436"/>
      <c r="V83" s="433"/>
      <c r="W83" s="436"/>
      <c r="X83" s="436"/>
      <c r="Y83" s="433"/>
      <c r="Z83" s="436"/>
      <c r="AA83" s="436"/>
      <c r="AB83" s="433"/>
      <c r="AC83" s="436"/>
      <c r="AD83" s="436"/>
      <c r="AE83" s="436"/>
      <c r="AF83" s="436"/>
      <c r="AG83" s="436"/>
      <c r="AH83" s="436"/>
      <c r="AI83" s="439">
        <v>3</v>
      </c>
      <c r="AJ83" s="436">
        <f t="shared" si="121"/>
        <v>3</v>
      </c>
      <c r="AK83" s="440">
        <f t="shared" si="181"/>
        <v>0.63159685013596123</v>
      </c>
      <c r="AL83" s="6"/>
      <c r="AM83" s="433"/>
      <c r="AN83" s="436"/>
      <c r="AO83" s="436"/>
      <c r="AP83" s="436"/>
      <c r="AQ83" s="436"/>
      <c r="AR83" s="436"/>
      <c r="AS83" s="436"/>
      <c r="AT83" s="2"/>
      <c r="AU83" s="2"/>
      <c r="AV83" s="2"/>
      <c r="AW83" s="433"/>
      <c r="AX83" s="2"/>
      <c r="AY83" s="2"/>
      <c r="AZ83" s="433"/>
      <c r="BA83" s="2"/>
      <c r="BB83" s="2"/>
      <c r="BC83" s="2"/>
      <c r="BD83" s="433"/>
      <c r="BE83" s="439"/>
      <c r="BF83" s="433"/>
      <c r="BG83" s="2"/>
      <c r="BH83" s="2"/>
      <c r="BI83" s="2"/>
      <c r="BJ83" s="2"/>
      <c r="BK83" s="2">
        <f>+ROUND((E83*J83*AK83)/365,0)</f>
        <v>72807</v>
      </c>
      <c r="BL83" s="2">
        <f>+E83-BK83</f>
        <v>202193</v>
      </c>
      <c r="BM83" s="2"/>
      <c r="BN83" s="2">
        <f t="shared" si="185"/>
        <v>202193</v>
      </c>
      <c r="BO83" s="2">
        <f>ROUND(+BL83*$AK83,0)</f>
        <v>127704</v>
      </c>
      <c r="BP83" s="2">
        <f>+BL83-BO83</f>
        <v>74489</v>
      </c>
      <c r="BQ83" s="2"/>
      <c r="BR83" s="2">
        <f t="shared" si="145"/>
        <v>74489</v>
      </c>
      <c r="BS83" s="2">
        <f>+BR83*AK83</f>
        <v>47047.017769777616</v>
      </c>
      <c r="BT83" s="2">
        <f t="shared" si="172"/>
        <v>27441.982230222384</v>
      </c>
      <c r="BU83" s="2">
        <f>+BT83-BV83</f>
        <v>13691.982230222384</v>
      </c>
      <c r="BV83" s="2">
        <f>+E83*5%</f>
        <v>13750</v>
      </c>
      <c r="BW83" s="2">
        <v>0</v>
      </c>
      <c r="BX83" s="2">
        <f>+BV83-BW83</f>
        <v>13750</v>
      </c>
      <c r="BY83" s="2">
        <v>0</v>
      </c>
      <c r="BZ83" s="2">
        <f>+BX83-BY83</f>
        <v>13750</v>
      </c>
      <c r="CA83" s="2">
        <v>0</v>
      </c>
      <c r="CB83" s="2">
        <f>+BZ83-CA83</f>
        <v>13750</v>
      </c>
      <c r="CC83" s="2">
        <v>0</v>
      </c>
      <c r="CD83" s="2">
        <f>+CB83-CC83</f>
        <v>13750</v>
      </c>
      <c r="CE83" s="2">
        <v>0</v>
      </c>
      <c r="CF83" s="2">
        <f>+CD83-CE83</f>
        <v>13750</v>
      </c>
      <c r="CG83" s="2">
        <v>0</v>
      </c>
      <c r="CH83" s="2">
        <f t="shared" si="195"/>
        <v>13750</v>
      </c>
      <c r="CI83" s="2">
        <v>0</v>
      </c>
      <c r="CJ83" s="2">
        <f>+CH83-CI83</f>
        <v>13750</v>
      </c>
      <c r="CK83" s="2">
        <v>0</v>
      </c>
      <c r="CL83" s="2">
        <f t="shared" si="197"/>
        <v>13750</v>
      </c>
      <c r="CM83" s="2">
        <v>0</v>
      </c>
      <c r="CN83" s="2">
        <f t="shared" si="198"/>
        <v>13750</v>
      </c>
      <c r="CO83" s="2">
        <v>0</v>
      </c>
      <c r="CP83" s="2">
        <f t="shared" si="199"/>
        <v>13750</v>
      </c>
      <c r="CQ83" s="2">
        <v>0</v>
      </c>
      <c r="CR83" s="2">
        <f t="shared" si="200"/>
        <v>13750</v>
      </c>
      <c r="CS83" s="2">
        <v>0</v>
      </c>
      <c r="CT83" s="2">
        <f t="shared" si="201"/>
        <v>13750</v>
      </c>
      <c r="CU83" s="2">
        <v>0</v>
      </c>
      <c r="CV83" s="2">
        <f t="shared" si="202"/>
        <v>13750</v>
      </c>
      <c r="CW83" s="2">
        <v>0</v>
      </c>
      <c r="CX83" s="2">
        <f t="shared" si="203"/>
        <v>13750</v>
      </c>
      <c r="CY83" s="2">
        <v>0</v>
      </c>
      <c r="CZ83" s="2">
        <f t="shared" si="204"/>
        <v>13750</v>
      </c>
      <c r="DA83" s="2">
        <v>0</v>
      </c>
      <c r="DB83" s="2">
        <f t="shared" si="205"/>
        <v>13750</v>
      </c>
      <c r="DC83" s="2">
        <v>0</v>
      </c>
      <c r="DD83" s="2">
        <f t="shared" si="206"/>
        <v>13750</v>
      </c>
      <c r="DE83" s="2">
        <v>0</v>
      </c>
      <c r="DF83" s="2">
        <f t="shared" si="207"/>
        <v>13750</v>
      </c>
      <c r="DG83" s="2">
        <v>0</v>
      </c>
      <c r="DH83" s="2">
        <f t="shared" si="208"/>
        <v>13750</v>
      </c>
      <c r="DI83" s="2">
        <v>0</v>
      </c>
      <c r="DJ83" s="2">
        <f t="shared" si="209"/>
        <v>13750</v>
      </c>
      <c r="DK83" s="2">
        <v>0</v>
      </c>
      <c r="DL83" s="2">
        <f t="shared" si="210"/>
        <v>13750</v>
      </c>
      <c r="DM83" s="2">
        <v>0</v>
      </c>
      <c r="DN83" s="2">
        <f t="shared" si="211"/>
        <v>13750</v>
      </c>
      <c r="DO83" s="2">
        <v>0</v>
      </c>
      <c r="DP83" s="2">
        <f t="shared" si="212"/>
        <v>13750</v>
      </c>
      <c r="DQ83" s="2">
        <v>0</v>
      </c>
      <c r="DR83" s="2">
        <f t="shared" si="213"/>
        <v>13750</v>
      </c>
      <c r="DS83" s="2">
        <v>0</v>
      </c>
      <c r="DT83" s="2">
        <f t="shared" si="214"/>
        <v>13750</v>
      </c>
      <c r="DU83" s="2">
        <v>0</v>
      </c>
      <c r="DV83" s="2">
        <f t="shared" si="215"/>
        <v>13750</v>
      </c>
      <c r="DW83" s="266">
        <f>+E83*5%</f>
        <v>13750</v>
      </c>
      <c r="DX83" s="441">
        <f>+DW83-DV83</f>
        <v>0</v>
      </c>
    </row>
    <row r="84" spans="1:128">
      <c r="A84" s="433">
        <v>24</v>
      </c>
      <c r="C84" s="434" t="s">
        <v>497</v>
      </c>
      <c r="D84" s="435">
        <v>0.4</v>
      </c>
      <c r="E84" s="330">
        <v>51949.15</v>
      </c>
      <c r="F84" s="269" t="s">
        <v>1080</v>
      </c>
      <c r="G84" s="451">
        <v>43703</v>
      </c>
      <c r="H84" s="443">
        <f t="shared" si="179"/>
        <v>44798</v>
      </c>
      <c r="I84" s="149">
        <v>3</v>
      </c>
      <c r="J84" s="267">
        <f>IF(($BK$6-$G84+1)&gt;365,365,($BK$6-$G84+1))</f>
        <v>219</v>
      </c>
      <c r="K84" s="267">
        <f>365-J84</f>
        <v>146</v>
      </c>
      <c r="L84" s="433"/>
      <c r="M84" s="439"/>
      <c r="N84" s="436"/>
      <c r="O84" s="436"/>
      <c r="P84" s="439"/>
      <c r="Q84" s="436"/>
      <c r="R84" s="436"/>
      <c r="S84" s="439"/>
      <c r="T84" s="436"/>
      <c r="U84" s="436"/>
      <c r="V84" s="433"/>
      <c r="W84" s="436"/>
      <c r="X84" s="436"/>
      <c r="Y84" s="433"/>
      <c r="Z84" s="436"/>
      <c r="AA84" s="436"/>
      <c r="AB84" s="433"/>
      <c r="AC84" s="436"/>
      <c r="AD84" s="436"/>
      <c r="AE84" s="436"/>
      <c r="AF84" s="436"/>
      <c r="AG84" s="436"/>
      <c r="AH84" s="436"/>
      <c r="AI84" s="439">
        <v>3</v>
      </c>
      <c r="AJ84" s="436">
        <f t="shared" si="121"/>
        <v>3</v>
      </c>
      <c r="AK84" s="440">
        <f t="shared" si="181"/>
        <v>0.63159685013596123</v>
      </c>
      <c r="AL84" s="6"/>
      <c r="AM84" s="433"/>
      <c r="AN84" s="436"/>
      <c r="AO84" s="436"/>
      <c r="AP84" s="436"/>
      <c r="AQ84" s="436"/>
      <c r="AR84" s="436"/>
      <c r="AS84" s="436"/>
      <c r="AT84" s="2"/>
      <c r="AU84" s="2"/>
      <c r="AV84" s="2"/>
      <c r="AW84" s="433"/>
      <c r="AX84" s="2"/>
      <c r="AY84" s="2"/>
      <c r="AZ84" s="433"/>
      <c r="BA84" s="2"/>
      <c r="BB84" s="2"/>
      <c r="BC84" s="2"/>
      <c r="BD84" s="433"/>
      <c r="BE84" s="439"/>
      <c r="BF84" s="433"/>
      <c r="BG84" s="2"/>
      <c r="BH84" s="2"/>
      <c r="BI84" s="2"/>
      <c r="BJ84" s="2"/>
      <c r="BK84" s="2">
        <f>+ROUND((E84*J84*AK84)/365,0)</f>
        <v>19687</v>
      </c>
      <c r="BL84" s="2">
        <f>+E84-BK84</f>
        <v>32262.15</v>
      </c>
      <c r="BM84" s="2"/>
      <c r="BN84" s="2">
        <f t="shared" si="185"/>
        <v>32262.15</v>
      </c>
      <c r="BO84" s="2">
        <f>ROUND(+BL84*$AK84,0)</f>
        <v>20377</v>
      </c>
      <c r="BP84" s="2">
        <f>+BL84-BO84</f>
        <v>11885.150000000001</v>
      </c>
      <c r="BQ84" s="2"/>
      <c r="BR84" s="2">
        <f t="shared" si="145"/>
        <v>11885.150000000001</v>
      </c>
      <c r="BS84" s="2">
        <f>+BR84*AK84</f>
        <v>7506.6233033934204</v>
      </c>
      <c r="BT84" s="2">
        <f t="shared" si="172"/>
        <v>4378.526696606581</v>
      </c>
      <c r="BU84" s="2">
        <f>+BT84-BV84</f>
        <v>1781.0691966065806</v>
      </c>
      <c r="BV84" s="2">
        <f>+E84*5%</f>
        <v>2597.4575000000004</v>
      </c>
      <c r="BW84" s="2">
        <v>0</v>
      </c>
      <c r="BX84" s="2">
        <f>+BV84-BW84</f>
        <v>2597.4575000000004</v>
      </c>
      <c r="BY84" s="2">
        <v>0</v>
      </c>
      <c r="BZ84" s="2">
        <f>+BX84-BY84</f>
        <v>2597.4575000000004</v>
      </c>
      <c r="CA84" s="2">
        <v>0</v>
      </c>
      <c r="CB84" s="2">
        <f>+BZ84-CA84</f>
        <v>2597.4575000000004</v>
      </c>
      <c r="CC84" s="2">
        <v>0</v>
      </c>
      <c r="CD84" s="2">
        <f>+CB84-CC84</f>
        <v>2597.4575000000004</v>
      </c>
      <c r="CE84" s="2">
        <v>0</v>
      </c>
      <c r="CF84" s="2">
        <f>+CD84-CE84</f>
        <v>2597.4575000000004</v>
      </c>
      <c r="CG84" s="2">
        <v>0</v>
      </c>
      <c r="CH84" s="2">
        <f t="shared" si="195"/>
        <v>2597.4575000000004</v>
      </c>
      <c r="CI84" s="2">
        <v>0</v>
      </c>
      <c r="CJ84" s="2">
        <f>+CH84-CI84</f>
        <v>2597.4575000000004</v>
      </c>
      <c r="CK84" s="2">
        <v>0</v>
      </c>
      <c r="CL84" s="2">
        <f t="shared" si="197"/>
        <v>2597.4575000000004</v>
      </c>
      <c r="CM84" s="2">
        <v>0</v>
      </c>
      <c r="CN84" s="2">
        <f t="shared" si="198"/>
        <v>2597.4575000000004</v>
      </c>
      <c r="CO84" s="2">
        <v>0</v>
      </c>
      <c r="CP84" s="2">
        <f t="shared" si="199"/>
        <v>2597.4575000000004</v>
      </c>
      <c r="CQ84" s="2">
        <v>0</v>
      </c>
      <c r="CR84" s="2">
        <f t="shared" si="200"/>
        <v>2597.4575000000004</v>
      </c>
      <c r="CS84" s="2">
        <v>0</v>
      </c>
      <c r="CT84" s="2">
        <f t="shared" si="201"/>
        <v>2597.4575000000004</v>
      </c>
      <c r="CU84" s="2">
        <v>0</v>
      </c>
      <c r="CV84" s="2">
        <f t="shared" si="202"/>
        <v>2597.4575000000004</v>
      </c>
      <c r="CW84" s="2">
        <v>0</v>
      </c>
      <c r="CX84" s="2">
        <f t="shared" si="203"/>
        <v>2597.4575000000004</v>
      </c>
      <c r="CY84" s="2">
        <v>0</v>
      </c>
      <c r="CZ84" s="2">
        <f t="shared" si="204"/>
        <v>2597.4575000000004</v>
      </c>
      <c r="DA84" s="2">
        <v>0</v>
      </c>
      <c r="DB84" s="2">
        <f t="shared" si="205"/>
        <v>2597.4575000000004</v>
      </c>
      <c r="DC84" s="2">
        <v>0</v>
      </c>
      <c r="DD84" s="2">
        <f t="shared" si="206"/>
        <v>2597.4575000000004</v>
      </c>
      <c r="DE84" s="2">
        <v>0</v>
      </c>
      <c r="DF84" s="2">
        <f t="shared" si="207"/>
        <v>2597.4575000000004</v>
      </c>
      <c r="DG84" s="2">
        <v>0</v>
      </c>
      <c r="DH84" s="2">
        <f t="shared" si="208"/>
        <v>2597.4575000000004</v>
      </c>
      <c r="DI84" s="2">
        <v>0</v>
      </c>
      <c r="DJ84" s="2">
        <f t="shared" si="209"/>
        <v>2597.4575000000004</v>
      </c>
      <c r="DK84" s="2">
        <v>0</v>
      </c>
      <c r="DL84" s="2">
        <f t="shared" si="210"/>
        <v>2597.4575000000004</v>
      </c>
      <c r="DM84" s="2">
        <v>0</v>
      </c>
      <c r="DN84" s="2">
        <f t="shared" si="211"/>
        <v>2597.4575000000004</v>
      </c>
      <c r="DO84" s="2">
        <v>0</v>
      </c>
      <c r="DP84" s="2">
        <f t="shared" si="212"/>
        <v>2597.4575000000004</v>
      </c>
      <c r="DQ84" s="2">
        <v>0</v>
      </c>
      <c r="DR84" s="2">
        <f t="shared" si="213"/>
        <v>2597.4575000000004</v>
      </c>
      <c r="DS84" s="2">
        <v>0</v>
      </c>
      <c r="DT84" s="2">
        <f t="shared" si="214"/>
        <v>2597.4575000000004</v>
      </c>
      <c r="DU84" s="2">
        <v>0</v>
      </c>
      <c r="DV84" s="2">
        <f t="shared" si="215"/>
        <v>2597.4575000000004</v>
      </c>
      <c r="DW84" s="266">
        <f>+E84*5%</f>
        <v>2597.4575000000004</v>
      </c>
      <c r="DX84" s="441">
        <f>+DW84-DV84</f>
        <v>0</v>
      </c>
    </row>
    <row r="85" spans="1:128">
      <c r="A85" s="413">
        <v>25</v>
      </c>
      <c r="C85" s="434" t="s">
        <v>497</v>
      </c>
      <c r="D85" s="435">
        <v>0.4</v>
      </c>
      <c r="E85" s="330">
        <v>39406.78</v>
      </c>
      <c r="F85" s="269" t="s">
        <v>1188</v>
      </c>
      <c r="G85" s="451">
        <v>44103</v>
      </c>
      <c r="H85" s="443">
        <f t="shared" si="179"/>
        <v>45197</v>
      </c>
      <c r="I85" s="149">
        <v>3</v>
      </c>
      <c r="J85" s="267">
        <f>IF(($BO$6-$G85+1)&gt;365,365,($BO$6-$G85+1))</f>
        <v>184</v>
      </c>
      <c r="K85" s="267">
        <f>365-J85</f>
        <v>181</v>
      </c>
      <c r="L85" s="433"/>
      <c r="M85" s="439"/>
      <c r="N85" s="436"/>
      <c r="O85" s="436"/>
      <c r="P85" s="439"/>
      <c r="Q85" s="436"/>
      <c r="R85" s="436"/>
      <c r="S85" s="439"/>
      <c r="T85" s="436"/>
      <c r="U85" s="436"/>
      <c r="V85" s="433"/>
      <c r="W85" s="436"/>
      <c r="X85" s="436"/>
      <c r="Y85" s="433"/>
      <c r="Z85" s="436"/>
      <c r="AA85" s="436"/>
      <c r="AB85" s="433"/>
      <c r="AC85" s="436"/>
      <c r="AD85" s="436"/>
      <c r="AE85" s="436"/>
      <c r="AF85" s="436"/>
      <c r="AG85" s="436"/>
      <c r="AH85" s="436"/>
      <c r="AI85" s="439">
        <v>3</v>
      </c>
      <c r="AJ85" s="436">
        <f t="shared" si="121"/>
        <v>3</v>
      </c>
      <c r="AK85" s="440">
        <f t="shared" si="181"/>
        <v>0.63159685013596123</v>
      </c>
      <c r="AL85" s="6"/>
      <c r="AM85" s="433"/>
      <c r="AN85" s="436"/>
      <c r="AO85" s="436"/>
      <c r="AP85" s="436"/>
      <c r="AQ85" s="436"/>
      <c r="AR85" s="436"/>
      <c r="AS85" s="436"/>
      <c r="AT85" s="2"/>
      <c r="AU85" s="2"/>
      <c r="AV85" s="2"/>
      <c r="AW85" s="433"/>
      <c r="AX85" s="2"/>
      <c r="AY85" s="2"/>
      <c r="AZ85" s="433"/>
      <c r="BA85" s="2"/>
      <c r="BB85" s="2"/>
      <c r="BC85" s="2"/>
      <c r="BD85" s="433"/>
      <c r="BE85" s="439"/>
      <c r="BF85" s="433"/>
      <c r="BG85" s="2"/>
      <c r="BH85" s="2"/>
      <c r="BI85" s="2"/>
      <c r="BJ85" s="2"/>
      <c r="BK85" s="2"/>
      <c r="BL85" s="2"/>
      <c r="BM85" s="2"/>
      <c r="BN85" s="2"/>
      <c r="BO85" s="2">
        <f>E85*J85*AK85/365</f>
        <v>12546.883436844235</v>
      </c>
      <c r="BP85" s="2">
        <f>E85-BO85</f>
        <v>26859.896563155766</v>
      </c>
      <c r="BQ85" s="2"/>
      <c r="BR85" s="2">
        <f t="shared" si="145"/>
        <v>26859.896563155766</v>
      </c>
      <c r="BS85" s="2">
        <f>+BR85*AK85</f>
        <v>16964.626064266911</v>
      </c>
      <c r="BT85" s="2">
        <f t="shared" si="172"/>
        <v>9895.2704988888545</v>
      </c>
      <c r="BU85" s="2">
        <f t="shared" ref="BU85:BU91" si="217">ROUND(+BT85*$AK85,0)</f>
        <v>6250</v>
      </c>
      <c r="BV85" s="2">
        <f>+BT85-BU85</f>
        <v>3645.2704988888545</v>
      </c>
      <c r="BW85" s="2">
        <f>BV85-DW85</f>
        <v>1674.9314988888545</v>
      </c>
      <c r="BX85" s="2">
        <f>BV85-BW85</f>
        <v>1970.3389999999999</v>
      </c>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66">
        <f>+E85*5%</f>
        <v>1970.3389999999999</v>
      </c>
      <c r="DX85" s="441"/>
    </row>
    <row r="86" spans="1:128">
      <c r="A86" s="413">
        <v>26</v>
      </c>
      <c r="C86" s="434" t="s">
        <v>497</v>
      </c>
      <c r="D86" s="435">
        <v>0.4</v>
      </c>
      <c r="E86" s="330">
        <v>55208</v>
      </c>
      <c r="F86" s="269" t="s">
        <v>1188</v>
      </c>
      <c r="G86" s="451">
        <v>44230</v>
      </c>
      <c r="H86" s="443">
        <f t="shared" si="179"/>
        <v>45324</v>
      </c>
      <c r="I86" s="149">
        <v>3</v>
      </c>
      <c r="J86" s="267">
        <f>IF(($BO$6-$G86+1)&gt;365,365,($BO$6-$G86+1))</f>
        <v>57</v>
      </c>
      <c r="K86" s="267">
        <f>365-J86</f>
        <v>308</v>
      </c>
      <c r="L86" s="433"/>
      <c r="M86" s="439"/>
      <c r="N86" s="436"/>
      <c r="O86" s="436"/>
      <c r="P86" s="439"/>
      <c r="Q86" s="436"/>
      <c r="R86" s="436"/>
      <c r="S86" s="439"/>
      <c r="T86" s="436"/>
      <c r="U86" s="436"/>
      <c r="V86" s="433"/>
      <c r="W86" s="436"/>
      <c r="X86" s="436"/>
      <c r="Y86" s="433"/>
      <c r="Z86" s="436"/>
      <c r="AA86" s="436"/>
      <c r="AB86" s="433"/>
      <c r="AC86" s="436"/>
      <c r="AD86" s="436"/>
      <c r="AE86" s="436"/>
      <c r="AF86" s="436"/>
      <c r="AG86" s="436"/>
      <c r="AH86" s="436"/>
      <c r="AI86" s="439">
        <v>3</v>
      </c>
      <c r="AJ86" s="436">
        <f t="shared" si="121"/>
        <v>3</v>
      </c>
      <c r="AK86" s="440">
        <f t="shared" si="181"/>
        <v>0.63159685013596123</v>
      </c>
      <c r="AL86" s="6"/>
      <c r="AM86" s="433"/>
      <c r="AN86" s="436"/>
      <c r="AO86" s="436"/>
      <c r="AP86" s="436"/>
      <c r="AQ86" s="436"/>
      <c r="AR86" s="436"/>
      <c r="AS86" s="436"/>
      <c r="AT86" s="2"/>
      <c r="AU86" s="2"/>
      <c r="AV86" s="2"/>
      <c r="AW86" s="433"/>
      <c r="AX86" s="2"/>
      <c r="AY86" s="2"/>
      <c r="AZ86" s="433"/>
      <c r="BA86" s="2"/>
      <c r="BB86" s="2"/>
      <c r="BC86" s="2"/>
      <c r="BD86" s="433"/>
      <c r="BE86" s="439"/>
      <c r="BF86" s="433"/>
      <c r="BG86" s="2"/>
      <c r="BH86" s="2"/>
      <c r="BI86" s="2"/>
      <c r="BJ86" s="2"/>
      <c r="BK86" s="2"/>
      <c r="BL86" s="2"/>
      <c r="BM86" s="2"/>
      <c r="BN86" s="2"/>
      <c r="BO86" s="2">
        <f>E86*J86*AK86/365</f>
        <v>5445.3269518669877</v>
      </c>
      <c r="BP86" s="2">
        <f>E86-BO86</f>
        <v>49762.673048133016</v>
      </c>
      <c r="BQ86" s="2"/>
      <c r="BR86" s="2">
        <f t="shared" si="145"/>
        <v>49762.673048133016</v>
      </c>
      <c r="BS86" s="2">
        <f>+BR86*AK86</f>
        <v>31429.947551546506</v>
      </c>
      <c r="BT86" s="2">
        <f t="shared" si="172"/>
        <v>18332.72549658651</v>
      </c>
      <c r="BU86" s="2">
        <f t="shared" si="217"/>
        <v>11579</v>
      </c>
      <c r="BV86" s="2">
        <f>+BT86-BU86</f>
        <v>6753.7254965865104</v>
      </c>
      <c r="BW86" s="2">
        <f>BV86-DW86</f>
        <v>3993.3254965865103</v>
      </c>
      <c r="BX86" s="2">
        <f>BV86-BW86</f>
        <v>2760.4</v>
      </c>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66">
        <f>+E86*5%</f>
        <v>2760.4</v>
      </c>
      <c r="DX86" s="441"/>
    </row>
    <row r="87" spans="1:128">
      <c r="A87" s="413">
        <v>27</v>
      </c>
      <c r="C87" s="434" t="s">
        <v>497</v>
      </c>
      <c r="D87" s="435">
        <v>0.4</v>
      </c>
      <c r="E87" s="330">
        <v>37288</v>
      </c>
      <c r="F87" s="269" t="s">
        <v>1188</v>
      </c>
      <c r="G87" s="451">
        <v>44275</v>
      </c>
      <c r="H87" s="443">
        <f t="shared" si="179"/>
        <v>45370</v>
      </c>
      <c r="I87" s="149">
        <v>3</v>
      </c>
      <c r="J87" s="267">
        <f>IF(($BO$6-$G87+1)&gt;365,365,($BO$6-$G87+1))</f>
        <v>12</v>
      </c>
      <c r="K87" s="267">
        <f>365-J87</f>
        <v>353</v>
      </c>
      <c r="L87" s="433"/>
      <c r="M87" s="439"/>
      <c r="N87" s="436"/>
      <c r="O87" s="436"/>
      <c r="P87" s="439"/>
      <c r="Q87" s="436"/>
      <c r="R87" s="436"/>
      <c r="S87" s="439"/>
      <c r="T87" s="436"/>
      <c r="U87" s="436"/>
      <c r="V87" s="433"/>
      <c r="W87" s="436"/>
      <c r="X87" s="436"/>
      <c r="Y87" s="433"/>
      <c r="Z87" s="436"/>
      <c r="AA87" s="436"/>
      <c r="AB87" s="433"/>
      <c r="AC87" s="436"/>
      <c r="AD87" s="436"/>
      <c r="AE87" s="436"/>
      <c r="AF87" s="436"/>
      <c r="AG87" s="436"/>
      <c r="AH87" s="436"/>
      <c r="AI87" s="439">
        <v>3</v>
      </c>
      <c r="AJ87" s="436">
        <f t="shared" si="121"/>
        <v>3</v>
      </c>
      <c r="AK87" s="440">
        <f t="shared" si="181"/>
        <v>0.63159685013596123</v>
      </c>
      <c r="AL87" s="6"/>
      <c r="AM87" s="433"/>
      <c r="AN87" s="436"/>
      <c r="AO87" s="436"/>
      <c r="AP87" s="436"/>
      <c r="AQ87" s="436"/>
      <c r="AR87" s="436"/>
      <c r="AS87" s="436"/>
      <c r="AT87" s="2"/>
      <c r="AU87" s="2"/>
      <c r="AV87" s="2"/>
      <c r="AW87" s="433"/>
      <c r="AX87" s="2"/>
      <c r="AY87" s="2"/>
      <c r="AZ87" s="433"/>
      <c r="BA87" s="2"/>
      <c r="BB87" s="2"/>
      <c r="BC87" s="2"/>
      <c r="BD87" s="433"/>
      <c r="BE87" s="439"/>
      <c r="BF87" s="433"/>
      <c r="BG87" s="2"/>
      <c r="BH87" s="2"/>
      <c r="BI87" s="2"/>
      <c r="BJ87" s="2"/>
      <c r="BK87" s="2"/>
      <c r="BL87" s="2"/>
      <c r="BM87" s="2"/>
      <c r="BN87" s="2"/>
      <c r="BO87" s="2">
        <f>E87*J87*AK87/365</f>
        <v>774.27890458749766</v>
      </c>
      <c r="BP87" s="2">
        <f>E87-BO87</f>
        <v>36513.721095412504</v>
      </c>
      <c r="BQ87" s="2"/>
      <c r="BR87" s="2">
        <f t="shared" si="145"/>
        <v>36513.721095412504</v>
      </c>
      <c r="BS87" s="2">
        <f>+BR87*AK87</f>
        <v>23061.951230605537</v>
      </c>
      <c r="BT87" s="2">
        <f t="shared" si="172"/>
        <v>13451.769864806967</v>
      </c>
      <c r="BU87" s="2">
        <f t="shared" si="217"/>
        <v>8496</v>
      </c>
      <c r="BV87" s="2">
        <f>+BT87-BU87</f>
        <v>4955.7698648069672</v>
      </c>
      <c r="BW87" s="2">
        <f>BV87-DW87</f>
        <v>3091.3698648069671</v>
      </c>
      <c r="BX87" s="2">
        <f>BV87-BW87</f>
        <v>1864.4</v>
      </c>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66">
        <f>+E87*5%</f>
        <v>1864.4</v>
      </c>
      <c r="DX87" s="441"/>
    </row>
    <row r="88" spans="1:128">
      <c r="A88" s="413">
        <v>28</v>
      </c>
      <c r="B88" s="413" t="str">
        <f>'FA Additions'!C14</f>
        <v xml:space="preserve">Computer  </v>
      </c>
      <c r="C88" s="434" t="s">
        <v>497</v>
      </c>
      <c r="D88" s="435">
        <v>0.4</v>
      </c>
      <c r="E88" s="330">
        <f>'FA Additions'!F14</f>
        <v>124576.27</v>
      </c>
      <c r="F88" s="269" t="s">
        <v>1392</v>
      </c>
      <c r="G88" s="451">
        <f>'FA Additions'!D14</f>
        <v>44525</v>
      </c>
      <c r="H88" s="443">
        <f t="shared" si="179"/>
        <v>45620</v>
      </c>
      <c r="I88" s="149">
        <v>3</v>
      </c>
      <c r="J88" s="267">
        <f>IF(($BS$6-$G88+1)&gt;365,365,($BS$6-$G88+1))</f>
        <v>127</v>
      </c>
      <c r="K88" s="267"/>
      <c r="L88" s="433"/>
      <c r="M88" s="439"/>
      <c r="N88" s="436"/>
      <c r="O88" s="436"/>
      <c r="P88" s="439"/>
      <c r="Q88" s="436"/>
      <c r="R88" s="436"/>
      <c r="S88" s="439"/>
      <c r="T88" s="436"/>
      <c r="U88" s="436"/>
      <c r="V88" s="433"/>
      <c r="W88" s="436"/>
      <c r="X88" s="436"/>
      <c r="Y88" s="433"/>
      <c r="Z88" s="436"/>
      <c r="AA88" s="436"/>
      <c r="AB88" s="433"/>
      <c r="AC88" s="436"/>
      <c r="AD88" s="436"/>
      <c r="AE88" s="436"/>
      <c r="AF88" s="436"/>
      <c r="AG88" s="436"/>
      <c r="AH88" s="436"/>
      <c r="AI88" s="439"/>
      <c r="AJ88" s="436"/>
      <c r="AK88" s="440">
        <f t="shared" si="181"/>
        <v>0.63159685013596123</v>
      </c>
      <c r="AL88" s="6"/>
      <c r="AM88" s="433"/>
      <c r="AN88" s="436"/>
      <c r="AO88" s="436"/>
      <c r="AP88" s="436"/>
      <c r="AQ88" s="436"/>
      <c r="AR88" s="436"/>
      <c r="AS88" s="436"/>
      <c r="AT88" s="2"/>
      <c r="AU88" s="2"/>
      <c r="AV88" s="2"/>
      <c r="AW88" s="433"/>
      <c r="AX88" s="2"/>
      <c r="AY88" s="2"/>
      <c r="AZ88" s="433"/>
      <c r="BA88" s="2"/>
      <c r="BB88" s="2"/>
      <c r="BC88" s="2"/>
      <c r="BD88" s="433"/>
      <c r="BE88" s="439"/>
      <c r="BF88" s="433"/>
      <c r="BG88" s="2"/>
      <c r="BH88" s="2"/>
      <c r="BI88" s="2"/>
      <c r="BJ88" s="2"/>
      <c r="BK88" s="2"/>
      <c r="BL88" s="2"/>
      <c r="BM88" s="2"/>
      <c r="BN88" s="2"/>
      <c r="BO88" s="2"/>
      <c r="BP88" s="2"/>
      <c r="BQ88" s="2"/>
      <c r="BR88" s="2">
        <f t="shared" si="145"/>
        <v>0</v>
      </c>
      <c r="BS88" s="2">
        <f>E88*J88/365*AK88</f>
        <v>27377.01760596782</v>
      </c>
      <c r="BT88" s="2">
        <f>E88-BS88</f>
        <v>97199.252394032184</v>
      </c>
      <c r="BU88" s="2">
        <f t="shared" si="217"/>
        <v>61391</v>
      </c>
      <c r="BV88" s="2">
        <f t="shared" ref="BV88:BV93" si="218">+BT88-BU88</f>
        <v>35808.252394032184</v>
      </c>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66"/>
      <c r="DX88" s="441"/>
    </row>
    <row r="89" spans="1:128">
      <c r="A89" s="413">
        <v>29</v>
      </c>
      <c r="B89" s="413" t="str">
        <f>'FA Additions'!C15</f>
        <v>Printer</v>
      </c>
      <c r="C89" s="434" t="s">
        <v>497</v>
      </c>
      <c r="D89" s="435">
        <v>0.4</v>
      </c>
      <c r="E89" s="330">
        <f>'FA Additions'!F15</f>
        <v>17796.61</v>
      </c>
      <c r="F89" s="269" t="s">
        <v>1392</v>
      </c>
      <c r="G89" s="451">
        <f>'FA Additions'!D15</f>
        <v>44585</v>
      </c>
      <c r="H89" s="443">
        <f t="shared" si="179"/>
        <v>45680</v>
      </c>
      <c r="I89" s="149">
        <v>3</v>
      </c>
      <c r="J89" s="267">
        <f>IF(($BS$6-$G89+1)&gt;365,365,($BS$6-$G89+1))</f>
        <v>67</v>
      </c>
      <c r="K89" s="267"/>
      <c r="L89" s="433"/>
      <c r="M89" s="439"/>
      <c r="N89" s="436"/>
      <c r="O89" s="436"/>
      <c r="P89" s="439"/>
      <c r="Q89" s="436"/>
      <c r="R89" s="436"/>
      <c r="S89" s="439"/>
      <c r="T89" s="436"/>
      <c r="U89" s="436"/>
      <c r="V89" s="433"/>
      <c r="W89" s="436"/>
      <c r="X89" s="436"/>
      <c r="Y89" s="433"/>
      <c r="Z89" s="436"/>
      <c r="AA89" s="436"/>
      <c r="AB89" s="433"/>
      <c r="AC89" s="436"/>
      <c r="AD89" s="436"/>
      <c r="AE89" s="436"/>
      <c r="AF89" s="436"/>
      <c r="AG89" s="436"/>
      <c r="AH89" s="436"/>
      <c r="AI89" s="439"/>
      <c r="AJ89" s="436"/>
      <c r="AK89" s="440">
        <f t="shared" si="181"/>
        <v>0.63159685013596123</v>
      </c>
      <c r="AL89" s="6"/>
      <c r="AM89" s="433"/>
      <c r="AN89" s="436"/>
      <c r="AO89" s="436"/>
      <c r="AP89" s="436"/>
      <c r="AQ89" s="436"/>
      <c r="AR89" s="436"/>
      <c r="AS89" s="436"/>
      <c r="AT89" s="2"/>
      <c r="AU89" s="2"/>
      <c r="AV89" s="2"/>
      <c r="AW89" s="433"/>
      <c r="AX89" s="2"/>
      <c r="AY89" s="2"/>
      <c r="AZ89" s="433"/>
      <c r="BA89" s="2"/>
      <c r="BB89" s="2"/>
      <c r="BC89" s="2"/>
      <c r="BD89" s="433"/>
      <c r="BE89" s="439"/>
      <c r="BF89" s="433"/>
      <c r="BG89" s="2"/>
      <c r="BH89" s="2"/>
      <c r="BI89" s="2"/>
      <c r="BJ89" s="2"/>
      <c r="BK89" s="2"/>
      <c r="BL89" s="2"/>
      <c r="BM89" s="2"/>
      <c r="BN89" s="2"/>
      <c r="BO89" s="2"/>
      <c r="BP89" s="2"/>
      <c r="BQ89" s="2"/>
      <c r="BR89" s="2">
        <f t="shared" si="145"/>
        <v>0</v>
      </c>
      <c r="BS89" s="2">
        <f>E89*J89/365*AK89</f>
        <v>2063.2847914508934</v>
      </c>
      <c r="BT89" s="2">
        <f>E89-BS89</f>
        <v>15733.325208549108</v>
      </c>
      <c r="BU89" s="2">
        <f t="shared" si="217"/>
        <v>9937</v>
      </c>
      <c r="BV89" s="2">
        <f t="shared" si="218"/>
        <v>5796.3252085491076</v>
      </c>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66"/>
      <c r="DX89" s="441"/>
    </row>
    <row r="90" spans="1:128">
      <c r="A90" s="413">
        <v>30</v>
      </c>
      <c r="B90" s="413" t="str">
        <f>'FA Additions'!C16</f>
        <v>Computer</v>
      </c>
      <c r="C90" s="434" t="s">
        <v>497</v>
      </c>
      <c r="D90" s="435">
        <v>0.4</v>
      </c>
      <c r="E90" s="330">
        <f>'FA Additions'!F16</f>
        <v>88983.05</v>
      </c>
      <c r="F90" s="269" t="s">
        <v>1392</v>
      </c>
      <c r="G90" s="451">
        <f>'FA Additions'!D16</f>
        <v>44622</v>
      </c>
      <c r="H90" s="443">
        <f t="shared" si="179"/>
        <v>45717</v>
      </c>
      <c r="I90" s="149">
        <v>3</v>
      </c>
      <c r="J90" s="267">
        <f>IF(($BS$6-$G90+1)&gt;365,365,($BS$6-$G90+1))</f>
        <v>30</v>
      </c>
      <c r="K90" s="267"/>
      <c r="L90" s="433"/>
      <c r="M90" s="439"/>
      <c r="N90" s="436"/>
      <c r="O90" s="436"/>
      <c r="P90" s="439"/>
      <c r="Q90" s="436"/>
      <c r="R90" s="436"/>
      <c r="S90" s="439"/>
      <c r="T90" s="436"/>
      <c r="U90" s="436"/>
      <c r="V90" s="433"/>
      <c r="W90" s="436"/>
      <c r="X90" s="436"/>
      <c r="Y90" s="433"/>
      <c r="Z90" s="436"/>
      <c r="AA90" s="436"/>
      <c r="AB90" s="433"/>
      <c r="AC90" s="436"/>
      <c r="AD90" s="436"/>
      <c r="AE90" s="436"/>
      <c r="AF90" s="436"/>
      <c r="AG90" s="436"/>
      <c r="AH90" s="436"/>
      <c r="AI90" s="439"/>
      <c r="AJ90" s="436"/>
      <c r="AK90" s="440">
        <f t="shared" si="181"/>
        <v>0.63159685013596123</v>
      </c>
      <c r="AL90" s="6"/>
      <c r="AM90" s="433"/>
      <c r="AN90" s="436"/>
      <c r="AO90" s="436"/>
      <c r="AP90" s="436"/>
      <c r="AQ90" s="436"/>
      <c r="AR90" s="436"/>
      <c r="AS90" s="436"/>
      <c r="AT90" s="2"/>
      <c r="AU90" s="2"/>
      <c r="AV90" s="2"/>
      <c r="AW90" s="433"/>
      <c r="AX90" s="2"/>
      <c r="AY90" s="2"/>
      <c r="AZ90" s="433"/>
      <c r="BA90" s="2"/>
      <c r="BB90" s="2"/>
      <c r="BC90" s="2"/>
      <c r="BD90" s="433"/>
      <c r="BE90" s="439"/>
      <c r="BF90" s="433"/>
      <c r="BG90" s="2"/>
      <c r="BH90" s="2"/>
      <c r="BI90" s="2"/>
      <c r="BJ90" s="2"/>
      <c r="BK90" s="2"/>
      <c r="BL90" s="2"/>
      <c r="BM90" s="2"/>
      <c r="BN90" s="2"/>
      <c r="BO90" s="2"/>
      <c r="BP90" s="2"/>
      <c r="BQ90" s="2"/>
      <c r="BR90" s="2">
        <f t="shared" si="145"/>
        <v>0</v>
      </c>
      <c r="BS90" s="2">
        <f>E90*J90/365*AK90</f>
        <v>4619.2943092184178</v>
      </c>
      <c r="BT90" s="2">
        <f>E90-BS90</f>
        <v>84363.755690781589</v>
      </c>
      <c r="BU90" s="2">
        <f t="shared" si="217"/>
        <v>53284</v>
      </c>
      <c r="BV90" s="2">
        <f t="shared" si="218"/>
        <v>31079.755690781589</v>
      </c>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66"/>
      <c r="DX90" s="441"/>
    </row>
    <row r="91" spans="1:128">
      <c r="A91" s="413">
        <v>31</v>
      </c>
      <c r="B91" s="413" t="str">
        <f>'FA Additions'!C17</f>
        <v>Computer</v>
      </c>
      <c r="C91" s="434" t="s">
        <v>497</v>
      </c>
      <c r="D91" s="435">
        <v>0.4</v>
      </c>
      <c r="E91" s="330">
        <f>'FA Additions'!F17</f>
        <v>41483</v>
      </c>
      <c r="F91" s="269" t="s">
        <v>1392</v>
      </c>
      <c r="G91" s="451">
        <f>'FA Additions'!D17</f>
        <v>44628</v>
      </c>
      <c r="H91" s="443">
        <f t="shared" si="179"/>
        <v>45723</v>
      </c>
      <c r="I91" s="149">
        <v>3</v>
      </c>
      <c r="J91" s="267">
        <f>IF(($BS$6-$G91+1)&gt;365,365,($BS$6-$G91+1))</f>
        <v>24</v>
      </c>
      <c r="K91" s="267"/>
      <c r="L91" s="433"/>
      <c r="M91" s="439"/>
      <c r="N91" s="436"/>
      <c r="O91" s="436"/>
      <c r="P91" s="439"/>
      <c r="Q91" s="436"/>
      <c r="R91" s="436"/>
      <c r="S91" s="439"/>
      <c r="T91" s="436"/>
      <c r="U91" s="436"/>
      <c r="V91" s="433"/>
      <c r="W91" s="436"/>
      <c r="X91" s="436"/>
      <c r="Y91" s="433"/>
      <c r="Z91" s="436"/>
      <c r="AA91" s="436"/>
      <c r="AB91" s="433"/>
      <c r="AC91" s="436"/>
      <c r="AD91" s="436"/>
      <c r="AE91" s="436"/>
      <c r="AF91" s="436"/>
      <c r="AG91" s="436"/>
      <c r="AH91" s="436"/>
      <c r="AI91" s="439"/>
      <c r="AJ91" s="436"/>
      <c r="AK91" s="440">
        <f t="shared" si="181"/>
        <v>0.63159685013596123</v>
      </c>
      <c r="AL91" s="6"/>
      <c r="AM91" s="433"/>
      <c r="AN91" s="436"/>
      <c r="AO91" s="436"/>
      <c r="AP91" s="436"/>
      <c r="AQ91" s="436"/>
      <c r="AR91" s="436"/>
      <c r="AS91" s="436"/>
      <c r="AT91" s="2"/>
      <c r="AU91" s="2"/>
      <c r="AV91" s="2"/>
      <c r="AW91" s="433"/>
      <c r="AX91" s="2"/>
      <c r="AY91" s="2"/>
      <c r="AZ91" s="433"/>
      <c r="BA91" s="2"/>
      <c r="BB91" s="2"/>
      <c r="BC91" s="2"/>
      <c r="BD91" s="433"/>
      <c r="BE91" s="439"/>
      <c r="BF91" s="433"/>
      <c r="BG91" s="2"/>
      <c r="BH91" s="2"/>
      <c r="BI91" s="2"/>
      <c r="BJ91" s="2"/>
      <c r="BK91" s="2"/>
      <c r="BL91" s="2"/>
      <c r="BM91" s="2"/>
      <c r="BN91" s="2"/>
      <c r="BO91" s="2"/>
      <c r="BP91" s="2"/>
      <c r="BQ91" s="2"/>
      <c r="BR91" s="2">
        <f t="shared" si="145"/>
        <v>0</v>
      </c>
      <c r="BS91" s="2">
        <f>E91*J91/365*AK91</f>
        <v>1722.7747156727723</v>
      </c>
      <c r="BT91" s="2">
        <f>E91-BS91</f>
        <v>39760.225284327229</v>
      </c>
      <c r="BU91" s="2">
        <f t="shared" si="217"/>
        <v>25112</v>
      </c>
      <c r="BV91" s="2">
        <f t="shared" si="218"/>
        <v>14648.225284327229</v>
      </c>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66"/>
      <c r="DX91" s="441"/>
    </row>
    <row r="92" spans="1:128">
      <c r="B92" s="629"/>
      <c r="C92" s="434"/>
      <c r="D92" s="435"/>
      <c r="E92" s="330"/>
      <c r="F92" s="269"/>
      <c r="G92" s="451"/>
      <c r="H92" s="443"/>
      <c r="I92" s="149"/>
      <c r="J92" s="267"/>
      <c r="K92" s="267"/>
      <c r="L92" s="433"/>
      <c r="M92" s="439"/>
      <c r="N92" s="436"/>
      <c r="O92" s="436"/>
      <c r="P92" s="439"/>
      <c r="Q92" s="436"/>
      <c r="R92" s="436"/>
      <c r="S92" s="439"/>
      <c r="T92" s="436"/>
      <c r="U92" s="436"/>
      <c r="V92" s="433"/>
      <c r="W92" s="436"/>
      <c r="X92" s="436"/>
      <c r="Y92" s="433"/>
      <c r="Z92" s="436"/>
      <c r="AA92" s="436"/>
      <c r="AB92" s="433"/>
      <c r="AC92" s="436"/>
      <c r="AD92" s="436"/>
      <c r="AE92" s="436"/>
      <c r="AF92" s="436"/>
      <c r="AG92" s="436"/>
      <c r="AH92" s="436"/>
      <c r="AI92" s="439"/>
      <c r="AJ92" s="436"/>
      <c r="AK92" s="440"/>
      <c r="AL92" s="6"/>
      <c r="AM92" s="433"/>
      <c r="AN92" s="436"/>
      <c r="AO92" s="436"/>
      <c r="AP92" s="436"/>
      <c r="AQ92" s="436"/>
      <c r="AR92" s="436"/>
      <c r="AS92" s="436"/>
      <c r="AT92" s="2"/>
      <c r="AU92" s="2"/>
      <c r="AV92" s="2"/>
      <c r="AW92" s="433"/>
      <c r="AX92" s="2"/>
      <c r="AY92" s="2"/>
      <c r="AZ92" s="433"/>
      <c r="BA92" s="2"/>
      <c r="BB92" s="2"/>
      <c r="BC92" s="2"/>
      <c r="BD92" s="433"/>
      <c r="BE92" s="439"/>
      <c r="BF92" s="433"/>
      <c r="BG92" s="2"/>
      <c r="BH92" s="2"/>
      <c r="BI92" s="2"/>
      <c r="BJ92" s="2"/>
      <c r="BK92" s="2"/>
      <c r="BL92" s="2"/>
      <c r="BM92" s="2"/>
      <c r="BN92" s="2"/>
      <c r="BO92" s="2"/>
      <c r="BP92" s="2"/>
      <c r="BQ92" s="2"/>
      <c r="BR92" s="2">
        <f t="shared" si="145"/>
        <v>0</v>
      </c>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66"/>
      <c r="DX92" s="441"/>
    </row>
    <row r="93" spans="1:128">
      <c r="A93" s="413">
        <v>1</v>
      </c>
      <c r="B93" s="413" t="str">
        <f>'FA Additions'!C11</f>
        <v>Solidworks Premium Software</v>
      </c>
      <c r="C93" s="434" t="s">
        <v>497</v>
      </c>
      <c r="D93" s="435">
        <v>0.4</v>
      </c>
      <c r="E93" s="330">
        <f>'FA Additions'!F11</f>
        <v>480000</v>
      </c>
      <c r="F93" s="269" t="s">
        <v>1392</v>
      </c>
      <c r="G93" s="451">
        <f>'FA Additions'!D11</f>
        <v>44501</v>
      </c>
      <c r="H93" s="443">
        <f>DATE(YEAR(G93)+I93,MONTH(G93),DAY(G93))-1</f>
        <v>45596</v>
      </c>
      <c r="I93" s="149">
        <v>3</v>
      </c>
      <c r="J93" s="267">
        <f>IF(($BS$6-$G93+1)&gt;365,365,($BS$6-$G93+1))</f>
        <v>151</v>
      </c>
      <c r="K93" s="267"/>
      <c r="L93" s="433"/>
      <c r="M93" s="439"/>
      <c r="N93" s="436"/>
      <c r="O93" s="436"/>
      <c r="P93" s="439"/>
      <c r="Q93" s="436"/>
      <c r="R93" s="436"/>
      <c r="S93" s="439"/>
      <c r="T93" s="436"/>
      <c r="U93" s="436"/>
      <c r="V93" s="433"/>
      <c r="W93" s="436"/>
      <c r="X93" s="436"/>
      <c r="Y93" s="433"/>
      <c r="Z93" s="436"/>
      <c r="AA93" s="436"/>
      <c r="AB93" s="433"/>
      <c r="AC93" s="436"/>
      <c r="AD93" s="436"/>
      <c r="AE93" s="436"/>
      <c r="AF93" s="436"/>
      <c r="AG93" s="436"/>
      <c r="AH93" s="436"/>
      <c r="AI93" s="439"/>
      <c r="AJ93" s="436"/>
      <c r="AK93" s="628">
        <f t="shared" si="181"/>
        <v>0.63159685013596123</v>
      </c>
      <c r="AL93" s="6"/>
      <c r="AM93" s="433"/>
      <c r="AN93" s="436"/>
      <c r="AO93" s="436"/>
      <c r="AP93" s="436"/>
      <c r="AQ93" s="436"/>
      <c r="AR93" s="436"/>
      <c r="AS93" s="436"/>
      <c r="AT93" s="2"/>
      <c r="AU93" s="2"/>
      <c r="AV93" s="2"/>
      <c r="AW93" s="433"/>
      <c r="AX93" s="2"/>
      <c r="AY93" s="2"/>
      <c r="AZ93" s="433"/>
      <c r="BA93" s="2"/>
      <c r="BB93" s="2"/>
      <c r="BC93" s="2"/>
      <c r="BD93" s="433"/>
      <c r="BE93" s="439"/>
      <c r="BF93" s="433"/>
      <c r="BG93" s="2"/>
      <c r="BH93" s="2"/>
      <c r="BI93" s="2"/>
      <c r="BJ93" s="2"/>
      <c r="BK93" s="2"/>
      <c r="BL93" s="2"/>
      <c r="BM93" s="2"/>
      <c r="BN93" s="2"/>
      <c r="BO93" s="2"/>
      <c r="BP93" s="2"/>
      <c r="BQ93" s="2"/>
      <c r="BR93" s="2">
        <f t="shared" si="145"/>
        <v>0</v>
      </c>
      <c r="BS93" s="2">
        <f>E93*J93/365*AK93</f>
        <v>125419.56081603965</v>
      </c>
      <c r="BT93" s="2">
        <f>E93-BS93</f>
        <v>354580.43918396032</v>
      </c>
      <c r="BU93" s="2">
        <f>ROUND(+BT93*$AK93,0)</f>
        <v>223952</v>
      </c>
      <c r="BV93" s="2">
        <f t="shared" si="218"/>
        <v>130628.43918396032</v>
      </c>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66"/>
      <c r="DX93" s="441"/>
    </row>
    <row r="94" spans="1:128">
      <c r="D94" s="419"/>
      <c r="E94" s="330"/>
      <c r="F94" s="269"/>
      <c r="G94" s="451"/>
      <c r="H94" s="443"/>
      <c r="I94" s="149"/>
      <c r="J94" s="267"/>
      <c r="K94" s="267"/>
      <c r="L94" s="433"/>
      <c r="M94" s="439"/>
      <c r="N94" s="436"/>
      <c r="O94" s="436"/>
      <c r="P94" s="439"/>
      <c r="Q94" s="436"/>
      <c r="R94" s="436"/>
      <c r="S94" s="439"/>
      <c r="T94" s="436"/>
      <c r="U94" s="436"/>
      <c r="V94" s="433"/>
      <c r="W94" s="436"/>
      <c r="X94" s="436"/>
      <c r="Y94" s="433"/>
      <c r="Z94" s="436"/>
      <c r="AA94" s="436"/>
      <c r="AB94" s="433"/>
      <c r="AC94" s="436"/>
      <c r="AD94" s="436"/>
      <c r="AE94" s="436"/>
      <c r="AF94" s="436"/>
      <c r="AG94" s="436"/>
      <c r="AH94" s="436"/>
      <c r="AI94" s="439"/>
      <c r="AJ94" s="436"/>
      <c r="AK94" s="440"/>
      <c r="AL94" s="6"/>
      <c r="AM94" s="433"/>
      <c r="AN94" s="436"/>
      <c r="AO94" s="436"/>
      <c r="AP94" s="436"/>
      <c r="AQ94" s="436"/>
      <c r="AR94" s="436"/>
      <c r="AS94" s="436"/>
      <c r="AT94" s="2"/>
      <c r="AU94" s="2"/>
      <c r="AV94" s="2"/>
      <c r="AW94" s="433"/>
      <c r="AX94" s="2"/>
      <c r="AY94" s="2"/>
      <c r="AZ94" s="433"/>
      <c r="BA94" s="2"/>
      <c r="BB94" s="2"/>
      <c r="BC94" s="2"/>
      <c r="BD94" s="433"/>
      <c r="BE94" s="439"/>
      <c r="BF94" s="433"/>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66"/>
      <c r="DX94" s="441"/>
    </row>
    <row r="95" spans="1:128">
      <c r="E95" s="446">
        <f>SUM(E61:E94)</f>
        <v>2153184.58</v>
      </c>
      <c r="F95" s="453"/>
      <c r="G95" s="444"/>
      <c r="H95" s="444"/>
      <c r="I95" s="444"/>
      <c r="J95" s="444"/>
      <c r="K95" s="444"/>
      <c r="L95" s="444"/>
      <c r="M95" s="444"/>
      <c r="N95" s="454">
        <f>SUM(N61:N94)</f>
        <v>11342</v>
      </c>
      <c r="O95" s="454">
        <f>SUM(O61:O94)</f>
        <v>32888</v>
      </c>
      <c r="P95" s="444"/>
      <c r="Q95" s="454">
        <f>SUM(Q61:Q94)</f>
        <v>15455</v>
      </c>
      <c r="R95" s="454">
        <f>SUM(R61:R94)</f>
        <v>25920</v>
      </c>
      <c r="S95" s="444"/>
      <c r="T95" s="454">
        <f>SUM(T61:T94)</f>
        <v>10646</v>
      </c>
      <c r="U95" s="454">
        <f>SUM(U61:U94)</f>
        <v>47005</v>
      </c>
      <c r="V95" s="444"/>
      <c r="W95" s="454">
        <f>SUM(W61:W94)</f>
        <v>18802</v>
      </c>
      <c r="X95" s="454">
        <f>SUM(X61:X94)</f>
        <v>28203</v>
      </c>
      <c r="Y95" s="454"/>
      <c r="Z95" s="454">
        <f>SUM(Z61:Z94)</f>
        <v>19606</v>
      </c>
      <c r="AA95" s="454">
        <f>SUM(AA61:AA94)</f>
        <v>81097</v>
      </c>
      <c r="AB95" s="444"/>
      <c r="AC95" s="454">
        <f>SUM(AC61:AC94)</f>
        <v>47190</v>
      </c>
      <c r="AD95" s="454">
        <f>SUM(AD61:AD94)</f>
        <v>81304</v>
      </c>
      <c r="AE95" s="454">
        <f>SUM(AE61:AE94)</f>
        <v>123041</v>
      </c>
      <c r="AF95" s="454">
        <f>SUM(AF61:AF94)</f>
        <v>81304</v>
      </c>
      <c r="AG95" s="454">
        <f>SUM(AG61:AG67)</f>
        <v>0</v>
      </c>
      <c r="AH95" s="454"/>
      <c r="AI95" s="455"/>
      <c r="AJ95" s="444"/>
      <c r="AK95" s="456"/>
      <c r="AL95" s="454">
        <f>SUM(AL61:AL94)</f>
        <v>5931</v>
      </c>
      <c r="AM95" s="454"/>
      <c r="AN95" s="454">
        <f>SUM(AN61:AN94)</f>
        <v>32523</v>
      </c>
      <c r="AO95" s="454">
        <f>SUM(AO61:AO94)</f>
        <v>51444</v>
      </c>
      <c r="AP95" s="454">
        <f>SUM(AP61:AP94)</f>
        <v>23931</v>
      </c>
      <c r="AQ95" s="454">
        <f>SUM(AQ61:AQ94)</f>
        <v>23929</v>
      </c>
      <c r="AR95" s="444"/>
      <c r="AS95" s="454">
        <f>SUM(AS61:AS94)</f>
        <v>18921</v>
      </c>
      <c r="AT95" s="454">
        <f>SUM(AT61:AT94)</f>
        <v>48781</v>
      </c>
      <c r="AU95" s="454">
        <f>SUM(AU61:AU94)</f>
        <v>23929</v>
      </c>
      <c r="AV95" s="4"/>
      <c r="AW95" s="4"/>
      <c r="AX95" s="454">
        <f>SUM(AX61:AX94)</f>
        <v>13011.448954333657</v>
      </c>
      <c r="AY95" s="454">
        <f>SUM(AY61:AY94)</f>
        <v>10917.551045666343</v>
      </c>
      <c r="AZ95" s="4"/>
      <c r="BA95" s="454">
        <f>SUM(BA61:BA82)</f>
        <v>4841.5609156433948</v>
      </c>
      <c r="BB95" s="454">
        <f>SUM(BB61:BB82)</f>
        <v>6075.9901300229476</v>
      </c>
      <c r="BC95" s="4"/>
      <c r="BD95" s="4"/>
      <c r="BE95" s="4"/>
      <c r="BF95" s="4"/>
      <c r="BG95" s="454">
        <f>SUM(BG61:BG82)</f>
        <v>61219.134072306857</v>
      </c>
      <c r="BH95" s="454">
        <f>SUM(BH61:BH94)</f>
        <v>137546.5760577161</v>
      </c>
      <c r="BI95" s="454">
        <f>SUM(BI61:BI94)</f>
        <v>216943.82207193098</v>
      </c>
      <c r="BJ95" s="454">
        <f>SUM(BJ61:BJ94)</f>
        <v>465061.75398578506</v>
      </c>
      <c r="BK95" s="457">
        <f>SUM(BK61:BK94)</f>
        <v>390596.61785576213</v>
      </c>
      <c r="BL95" s="457">
        <f>SUM(BL61:BL94)</f>
        <v>401414.28613002296</v>
      </c>
      <c r="BM95" s="457"/>
      <c r="BN95" s="457"/>
      <c r="BO95" s="454">
        <f t="shared" ref="BO95:CV95" si="219">SUM(BO61:BO94)</f>
        <v>262375.48929329874</v>
      </c>
      <c r="BP95" s="454">
        <f t="shared" si="219"/>
        <v>270941.57683672424</v>
      </c>
      <c r="BQ95" s="454">
        <f t="shared" si="219"/>
        <v>0</v>
      </c>
      <c r="BR95" s="454">
        <f t="shared" si="219"/>
        <v>270941.57683672424</v>
      </c>
      <c r="BS95" s="454">
        <f t="shared" si="219"/>
        <v>315709.80815793958</v>
      </c>
      <c r="BT95" s="454">
        <f t="shared" si="219"/>
        <v>708070.69867878465</v>
      </c>
      <c r="BU95" s="454">
        <f t="shared" si="219"/>
        <v>415474.05142682896</v>
      </c>
      <c r="BV95" s="454">
        <f t="shared" si="219"/>
        <v>292596.6472519557</v>
      </c>
      <c r="BW95" s="454">
        <f t="shared" si="219"/>
        <v>8759.6268602823329</v>
      </c>
      <c r="BX95" s="454">
        <f t="shared" si="219"/>
        <v>65876.022630022941</v>
      </c>
      <c r="BY95" s="454">
        <f t="shared" si="219"/>
        <v>0</v>
      </c>
      <c r="BZ95" s="454">
        <f t="shared" si="219"/>
        <v>59280.883630022945</v>
      </c>
      <c r="CA95" s="454">
        <f t="shared" si="219"/>
        <v>0</v>
      </c>
      <c r="CB95" s="454">
        <f t="shared" si="219"/>
        <v>59280.883630022945</v>
      </c>
      <c r="CC95" s="454">
        <f t="shared" si="219"/>
        <v>0</v>
      </c>
      <c r="CD95" s="454">
        <f t="shared" si="219"/>
        <v>59280.883630022945</v>
      </c>
      <c r="CE95" s="454">
        <f t="shared" si="219"/>
        <v>0</v>
      </c>
      <c r="CF95" s="454">
        <f t="shared" si="219"/>
        <v>59280.883630022945</v>
      </c>
      <c r="CG95" s="454">
        <f t="shared" si="219"/>
        <v>0</v>
      </c>
      <c r="CH95" s="454">
        <f t="shared" si="219"/>
        <v>59280.883630022945</v>
      </c>
      <c r="CI95" s="454">
        <f t="shared" si="219"/>
        <v>0</v>
      </c>
      <c r="CJ95" s="454">
        <f t="shared" si="219"/>
        <v>59280.883630022945</v>
      </c>
      <c r="CK95" s="454">
        <f t="shared" si="219"/>
        <v>0</v>
      </c>
      <c r="CL95" s="454">
        <f t="shared" si="219"/>
        <v>59280.883630022945</v>
      </c>
      <c r="CM95" s="454">
        <f t="shared" si="219"/>
        <v>0</v>
      </c>
      <c r="CN95" s="454">
        <f t="shared" si="219"/>
        <v>59280.883630022945</v>
      </c>
      <c r="CO95" s="454">
        <f t="shared" si="219"/>
        <v>0</v>
      </c>
      <c r="CP95" s="454">
        <f t="shared" si="219"/>
        <v>59280.883630022945</v>
      </c>
      <c r="CQ95" s="454">
        <f t="shared" si="219"/>
        <v>0</v>
      </c>
      <c r="CR95" s="454">
        <f t="shared" si="219"/>
        <v>59280.883630022945</v>
      </c>
      <c r="CS95" s="454">
        <f t="shared" si="219"/>
        <v>0</v>
      </c>
      <c r="CT95" s="454">
        <f t="shared" si="219"/>
        <v>59280.883630022945</v>
      </c>
      <c r="CU95" s="454">
        <f t="shared" si="219"/>
        <v>0</v>
      </c>
      <c r="CV95" s="454">
        <f t="shared" si="219"/>
        <v>59280.883630022945</v>
      </c>
      <c r="CW95" s="454">
        <f t="shared" ref="CW95:DV95" si="220">SUM(CW61:CW94)</f>
        <v>0</v>
      </c>
      <c r="CX95" s="454">
        <f t="shared" si="220"/>
        <v>59280.883630022945</v>
      </c>
      <c r="CY95" s="454">
        <f t="shared" si="220"/>
        <v>0</v>
      </c>
      <c r="CZ95" s="454">
        <f t="shared" si="220"/>
        <v>59280.883630022945</v>
      </c>
      <c r="DA95" s="454">
        <f t="shared" si="220"/>
        <v>0</v>
      </c>
      <c r="DB95" s="454">
        <f t="shared" si="220"/>
        <v>59280.883630022945</v>
      </c>
      <c r="DC95" s="454">
        <f t="shared" si="220"/>
        <v>0</v>
      </c>
      <c r="DD95" s="454">
        <f t="shared" si="220"/>
        <v>59280.883630022945</v>
      </c>
      <c r="DE95" s="454">
        <f t="shared" si="220"/>
        <v>0</v>
      </c>
      <c r="DF95" s="454">
        <f t="shared" si="220"/>
        <v>59280.883630022945</v>
      </c>
      <c r="DG95" s="454">
        <f t="shared" si="220"/>
        <v>0</v>
      </c>
      <c r="DH95" s="454">
        <f t="shared" si="220"/>
        <v>59280.883630022945</v>
      </c>
      <c r="DI95" s="454">
        <f t="shared" si="220"/>
        <v>0</v>
      </c>
      <c r="DJ95" s="454">
        <f t="shared" si="220"/>
        <v>59280.883630022945</v>
      </c>
      <c r="DK95" s="454">
        <f t="shared" si="220"/>
        <v>0</v>
      </c>
      <c r="DL95" s="454">
        <f t="shared" si="220"/>
        <v>59280.883630022945</v>
      </c>
      <c r="DM95" s="454">
        <f t="shared" si="220"/>
        <v>0</v>
      </c>
      <c r="DN95" s="454">
        <f t="shared" si="220"/>
        <v>59280.883630022945</v>
      </c>
      <c r="DO95" s="454">
        <f t="shared" si="220"/>
        <v>0</v>
      </c>
      <c r="DP95" s="454">
        <f t="shared" si="220"/>
        <v>59280.883630022945</v>
      </c>
      <c r="DQ95" s="454">
        <f t="shared" si="220"/>
        <v>0</v>
      </c>
      <c r="DR95" s="454">
        <f t="shared" si="220"/>
        <v>59280.883630022945</v>
      </c>
      <c r="DS95" s="454">
        <f t="shared" si="220"/>
        <v>0</v>
      </c>
      <c r="DT95" s="454">
        <f t="shared" si="220"/>
        <v>59280.883630022945</v>
      </c>
      <c r="DU95" s="454">
        <f t="shared" si="220"/>
        <v>0</v>
      </c>
      <c r="DV95" s="454">
        <f t="shared" si="220"/>
        <v>43570.407500000001</v>
      </c>
      <c r="DW95" s="458">
        <f>SUM(DW61:DW82)</f>
        <v>47074.686000000002</v>
      </c>
      <c r="DX95" s="459">
        <f>SUM(DX61:DX83)</f>
        <v>4141.2598699770515</v>
      </c>
    </row>
    <row r="96" spans="1:128">
      <c r="A96" s="460"/>
      <c r="B96" s="461"/>
      <c r="C96" s="461"/>
      <c r="D96" s="432"/>
      <c r="E96" s="462"/>
      <c r="F96" s="463"/>
      <c r="G96" s="432"/>
      <c r="H96" s="432"/>
      <c r="I96" s="432"/>
      <c r="J96" s="432"/>
      <c r="K96" s="432"/>
      <c r="L96" s="432"/>
      <c r="M96" s="432"/>
      <c r="N96" s="432"/>
      <c r="O96" s="432"/>
      <c r="P96" s="432"/>
      <c r="Q96" s="432"/>
      <c r="R96" s="432"/>
      <c r="S96" s="432"/>
      <c r="T96" s="432"/>
      <c r="U96" s="432"/>
      <c r="V96" s="432"/>
      <c r="W96" s="432"/>
      <c r="X96" s="464">
        <f>15292-X97-X114-X116-X119-X120</f>
        <v>-17836</v>
      </c>
      <c r="Y96" s="432"/>
      <c r="Z96" s="432"/>
      <c r="AA96" s="432"/>
      <c r="AB96" s="432"/>
      <c r="AC96" s="432"/>
      <c r="AD96" s="432"/>
      <c r="AE96" s="432"/>
      <c r="AF96" s="464">
        <f>30672-AF121-AF106</f>
        <v>26495</v>
      </c>
      <c r="AG96" s="432"/>
      <c r="AH96" s="432"/>
      <c r="AI96" s="465"/>
      <c r="AJ96" s="432"/>
      <c r="AK96" s="466"/>
      <c r="AL96" s="5"/>
      <c r="AM96" s="5"/>
      <c r="AN96" s="5"/>
      <c r="AO96" s="432"/>
      <c r="AP96" s="432"/>
      <c r="AQ96" s="432"/>
      <c r="AR96" s="432"/>
      <c r="AS96" s="432"/>
      <c r="AT96" s="5"/>
      <c r="AU96" s="5"/>
      <c r="AV96" s="5"/>
      <c r="AW96" s="5"/>
      <c r="AX96" s="5"/>
      <c r="AY96" s="5"/>
      <c r="AZ96" s="5"/>
      <c r="BA96" s="5"/>
      <c r="BB96" s="5"/>
      <c r="BC96" s="5"/>
      <c r="BD96" s="5"/>
      <c r="BE96" s="5"/>
      <c r="BF96" s="5"/>
      <c r="BG96" s="5"/>
      <c r="BH96" s="5"/>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66" t="str">
        <f>IF(AJ96&lt;0,AP96/E96,"")</f>
        <v/>
      </c>
    </row>
    <row r="97" spans="1:128">
      <c r="A97" s="433">
        <v>2</v>
      </c>
      <c r="B97" s="433" t="s">
        <v>165</v>
      </c>
      <c r="C97" s="467" t="s">
        <v>165</v>
      </c>
      <c r="D97" s="468">
        <v>0.1391</v>
      </c>
      <c r="E97" s="442">
        <v>21917</v>
      </c>
      <c r="F97" s="437" t="s">
        <v>1001</v>
      </c>
      <c r="G97" s="438">
        <v>39552</v>
      </c>
      <c r="H97" s="438"/>
      <c r="I97" s="438"/>
      <c r="J97" s="438"/>
      <c r="K97" s="438"/>
      <c r="L97" s="438"/>
      <c r="M97" s="439">
        <f>$M$6-G97+1-6</f>
        <v>346</v>
      </c>
      <c r="N97" s="436">
        <f>ROUND(E97*M97/365*D97,0)</f>
        <v>2890</v>
      </c>
      <c r="O97" s="436">
        <f>E97-N97</f>
        <v>19027</v>
      </c>
      <c r="P97" s="433">
        <f>IF(($P$6-G97+1)&gt;365,365,($P$6-G97+1))</f>
        <v>365</v>
      </c>
      <c r="Q97" s="436">
        <f>ROUND(O97*D97/365*P97,0)</f>
        <v>2647</v>
      </c>
      <c r="R97" s="436">
        <f>O97-Q97</f>
        <v>16380</v>
      </c>
      <c r="S97" s="433">
        <f>IF(($S$6-G97+1)&gt;365,365,($S$6-G97+1))</f>
        <v>365</v>
      </c>
      <c r="T97" s="436">
        <f>ROUND(R97*D97/365*S97,0)</f>
        <v>2278</v>
      </c>
      <c r="U97" s="436">
        <f>R97-T97</f>
        <v>14102</v>
      </c>
      <c r="V97" s="433">
        <f>IF(($V$6-G97+1)&gt;365,365,($V$6-G97+1))</f>
        <v>365</v>
      </c>
      <c r="W97" s="436">
        <f>ROUND(U97*D97*V97/365,0)</f>
        <v>1962</v>
      </c>
      <c r="X97" s="436">
        <f>IF((U97-W97)&gt;0,U97-W97,E97-W97)</f>
        <v>12140</v>
      </c>
      <c r="Y97" s="433">
        <f>IF(($Y$6-G97+1)&gt;365,365,($Y$6-G97+1))</f>
        <v>365</v>
      </c>
      <c r="Z97" s="436">
        <f>ROUND(IF(X97&gt;0,X97*$D97/365*Y97,($E97*$D97*Y97/365)),0)</f>
        <v>1689</v>
      </c>
      <c r="AA97" s="436">
        <f>IF((X97-Z97)&gt;0,X97-Z97,$E97-Z97)</f>
        <v>10451</v>
      </c>
      <c r="AB97" s="433">
        <f>IF(($AB$6-G97+1)&gt;365,365,($AB$6-G97+1))</f>
        <v>365</v>
      </c>
      <c r="AC97" s="436">
        <f>ROUND(IF(AA97&gt;0,AA97*$D97/365*AB97,($E97*$D97*AB97/365)),0)</f>
        <v>1454</v>
      </c>
      <c r="AD97" s="436">
        <f>IF((AA97-AC97)&gt;0,AA97-AC97,$E97-AC97)</f>
        <v>8997</v>
      </c>
      <c r="AE97" s="436">
        <f>T97+W97+Z97+AC97+Q97+N97</f>
        <v>12920</v>
      </c>
      <c r="AF97" s="436">
        <f>E97-AE97</f>
        <v>8997</v>
      </c>
      <c r="AG97" s="436">
        <f>AD97-AF97</f>
        <v>0</v>
      </c>
      <c r="AH97" s="436">
        <f>($AH$6-G97+1)/365</f>
        <v>5.9671232876712326</v>
      </c>
      <c r="AI97" s="439">
        <v>10</v>
      </c>
      <c r="AJ97" s="436">
        <f>AI97-AH97</f>
        <v>4.0328767123287674</v>
      </c>
      <c r="AK97" s="440">
        <f>IF(AJ97&gt;0,1-(((E97*$AJ$4)/AF97)^(1/AJ97)),0)</f>
        <v>0.40669661517712996</v>
      </c>
      <c r="AL97" s="2">
        <f>IF(AJ97&lt;0,AF97-(E97*5%),0)</f>
        <v>0</v>
      </c>
      <c r="AM97" s="433">
        <f>IF(($AM$6-$G97+1)&gt;365,365,($AM$6-$G97+1))</f>
        <v>365</v>
      </c>
      <c r="AN97" s="436">
        <f>ROUND(IF(AF97&gt;0,AF97*$D97/365*AM97,($E97*$D97*AM97/365)),0)</f>
        <v>1251</v>
      </c>
      <c r="AO97" s="436">
        <f>MIN(ROUND(IF(AL97&gt;0,0,(AK97*AF97)*AM97/365),0),AF97-(E97*5%))</f>
        <v>3659</v>
      </c>
      <c r="AP97" s="436">
        <f>+IF(AJ97&lt;1,(E97*5%),IF(AF97&gt;0,AF97-AO97,E97-AO97))</f>
        <v>5338</v>
      </c>
      <c r="AQ97" s="436">
        <f>AF97-AO97-AL97</f>
        <v>5338</v>
      </c>
      <c r="AR97" s="436">
        <f>$AF97-($AL97+$AO97+$AP97)</f>
        <v>0</v>
      </c>
      <c r="AS97" s="436">
        <f>AO97-AN97</f>
        <v>2408</v>
      </c>
      <c r="AT97" s="2">
        <f>AF97-AN97</f>
        <v>7746</v>
      </c>
      <c r="AU97" s="2">
        <f>AT97-AS97-AL97</f>
        <v>5338</v>
      </c>
      <c r="AV97" s="2">
        <f>AU97-AQ97</f>
        <v>0</v>
      </c>
      <c r="AW97" s="433">
        <f>IF(($AW$6-$G97+1)&gt;365,365,($AW$6-$G97+1))</f>
        <v>365</v>
      </c>
      <c r="AX97" s="2">
        <f>AQ97*AK97</f>
        <v>2170.9465318155198</v>
      </c>
      <c r="AY97" s="2">
        <f>AQ97-AX97</f>
        <v>3167.0534681844802</v>
      </c>
      <c r="AZ97" s="433">
        <f>IF(($AZ$6-$G97+1)&gt;365,365,($AZ$6-$G97+1))</f>
        <v>365</v>
      </c>
      <c r="BA97" s="2">
        <f>AY97*AK97</f>
        <v>1288.0299255956184</v>
      </c>
      <c r="BB97" s="2">
        <f>AY97-BA97</f>
        <v>1879.0235425888618</v>
      </c>
      <c r="BC97" s="2">
        <f>5*365</f>
        <v>1825</v>
      </c>
      <c r="BD97" s="433">
        <f>+$BD$6-G97</f>
        <v>3273</v>
      </c>
      <c r="BE97" s="439">
        <f>+BC97-BD97</f>
        <v>-1448</v>
      </c>
      <c r="BF97" s="433">
        <f>IF(($BF$6-$G97+1)&gt;365,365,($BF$6-$G97+1))</f>
        <v>365</v>
      </c>
      <c r="BG97" s="2">
        <f>IF((BB97-(BB97*$AK$32))&gt;$E97*5%,BB97*$AK$32,BB97-($E97*5%))</f>
        <v>178.30140695184377</v>
      </c>
      <c r="BH97" s="2">
        <f>+BB97-BG97</f>
        <v>1700.722135637018</v>
      </c>
      <c r="BI97" s="2">
        <f>IF((BH97-(BH97*$AK$32))&gt;$E97*5%,BH97*$AK$32,BH97-($E97*5%))</f>
        <v>161.38230455613575</v>
      </c>
      <c r="BJ97" s="2">
        <f>+BH97-BI97</f>
        <v>1539.3398310808823</v>
      </c>
      <c r="BK97" s="395">
        <f>IF((BJ97-(BJ97*$AK$32))&gt;$E97*5%,BJ97*$AK$32,BJ97-($E97*5%))</f>
        <v>146.06866355734067</v>
      </c>
      <c r="BL97" s="2">
        <f>+BJ97-BK97</f>
        <v>1393.2711675235416</v>
      </c>
      <c r="BM97" s="2"/>
      <c r="BN97" s="2">
        <f t="shared" ref="BN97:BN132" si="221">BL97-BM97</f>
        <v>1393.2711675235416</v>
      </c>
      <c r="BO97" s="2">
        <f>IF((BL97-(BL97*$AK$32))&gt;$E97*5%,BL97*$AK$32,BL97-($E97*5%))</f>
        <v>132.20814098615119</v>
      </c>
      <c r="BP97" s="2">
        <f t="shared" ref="BP97:BP128" si="222">+BL97-BO97</f>
        <v>1261.0630265373904</v>
      </c>
      <c r="BQ97" s="2"/>
      <c r="BR97" s="2">
        <f t="shared" ref="BR97:BR131" si="223">BP97-BQ97</f>
        <v>1261.0630265373904</v>
      </c>
      <c r="BS97" s="624">
        <f>BP97-BT97</f>
        <v>165.21302653739053</v>
      </c>
      <c r="BT97" s="2">
        <f>E97*5/100</f>
        <v>1095.8499999999999</v>
      </c>
      <c r="BU97" s="2">
        <f>IF((BT97-(BT97*$AK$32))&gt;$E97*5%,BT97*$AK$32,BT97-($E97*5%))</f>
        <v>-2.2737367544323206E-13</v>
      </c>
      <c r="BV97" s="2">
        <f t="shared" ref="BV97:BV131" si="224">+BT97-BU97</f>
        <v>1095.8500000000001</v>
      </c>
      <c r="BW97" s="2">
        <f>IF((BV97-(BV97*$AK$32))&gt;$E97*5%,BV97*$AK$32,BV97-($E97*5%))</f>
        <v>0</v>
      </c>
      <c r="BX97" s="2">
        <f t="shared" ref="BX97:BX102" si="225">+BV97-BW97</f>
        <v>1095.8500000000001</v>
      </c>
      <c r="BY97" s="2">
        <f>IF((BX97-(BX97*$AK$32))&gt;$E97*5%,BX97*$AK$32,BX97-($E97*5%))</f>
        <v>0</v>
      </c>
      <c r="BZ97" s="2">
        <f>+BX97-BY97</f>
        <v>1095.8500000000001</v>
      </c>
      <c r="CA97" s="2">
        <f>IF((BZ97-(BZ97*$AK$32))&gt;$E97*5%,BZ97*$AK$32,BZ97-($E97*5%))</f>
        <v>0</v>
      </c>
      <c r="CB97" s="2">
        <f t="shared" ref="CB97:CB102" si="226">+BZ97-CA97</f>
        <v>1095.8500000000001</v>
      </c>
      <c r="CC97" s="2">
        <f>IF((CB97-(CB97*$AK$32))&gt;$E97*5%,CB97*$AK$32,CB97-($E97*5%))</f>
        <v>0</v>
      </c>
      <c r="CD97" s="2">
        <f t="shared" ref="CD97:CD102" si="227">+CB97-CC97</f>
        <v>1095.8500000000001</v>
      </c>
      <c r="CE97" s="2">
        <f>IF((CD97-(CD97*$AK$32))&gt;$E97*5%,CD97*$AK$32,CD97-($E97*5%))</f>
        <v>0</v>
      </c>
      <c r="CF97" s="2">
        <f t="shared" ref="CF97:CF102" si="228">+CD97-CE97</f>
        <v>1095.8500000000001</v>
      </c>
      <c r="CG97" s="2">
        <f>IF((CF97-(CF97*$AK$32))&gt;$E97*5%,CF97*$AK$32,CF97-($E97*5%))</f>
        <v>0</v>
      </c>
      <c r="CH97" s="2">
        <f t="shared" ref="CH97:CH102" si="229">+CF97-CG97</f>
        <v>1095.8500000000001</v>
      </c>
      <c r="CI97" s="2">
        <f>IF((CH97-(CH97*$AK$32))&gt;$E97*5%,CH97*$AK$32,CH97-($E97*5%))</f>
        <v>0</v>
      </c>
      <c r="CJ97" s="2">
        <f t="shared" ref="CJ97:CJ102" si="230">+CH97-CI97</f>
        <v>1095.8500000000001</v>
      </c>
      <c r="CK97" s="2">
        <f>IF((CJ97-(CJ97*$AK$32))&gt;$E97*5%,CJ97*$AK$32,CJ97-($E97*5%))</f>
        <v>0</v>
      </c>
      <c r="CL97" s="2">
        <f t="shared" ref="CL97:CL102" si="231">+CJ97-CK97</f>
        <v>1095.8500000000001</v>
      </c>
      <c r="CM97" s="2">
        <f>IF((CL97-(CL97*$AK$32))&gt;$E97*5%,CL97*$AK$32,CL97-($E97*5%))</f>
        <v>0</v>
      </c>
      <c r="CN97" s="2">
        <f t="shared" ref="CN97:CN102" si="232">+CL97-CM97</f>
        <v>1095.8500000000001</v>
      </c>
      <c r="CO97" s="2">
        <f>IF((CN97-(CN97*$AK$32))&gt;$E97*5%,CN97*$AK$32,CN97-($E97*5%))</f>
        <v>0</v>
      </c>
      <c r="CP97" s="2">
        <f t="shared" ref="CP97:CP102" si="233">+CN97-CO97</f>
        <v>1095.8500000000001</v>
      </c>
      <c r="CQ97" s="2">
        <f>IF((CP97-(CP97*$AK$32))&gt;$E97*5%,CP97*$AK$32,CP97-($E97*5%))</f>
        <v>0</v>
      </c>
      <c r="CR97" s="2">
        <f t="shared" ref="CR97:CR102" si="234">+CP97-CQ97</f>
        <v>1095.8500000000001</v>
      </c>
      <c r="CS97" s="2">
        <f>IF((CR97-(CR97*$AK$32))&gt;$E97*5%,CR97*$AK$32,CR97-($E97*5%))</f>
        <v>0</v>
      </c>
      <c r="CT97" s="2">
        <f t="shared" ref="CT97:CT102" si="235">+CR97-CS97</f>
        <v>1095.8500000000001</v>
      </c>
      <c r="CU97" s="2">
        <f>IF((CT97-(CT97*$AK$32))&gt;$E97*5%,CT97*$AK$32,CT97-($E97*5%))</f>
        <v>0</v>
      </c>
      <c r="CV97" s="2">
        <f t="shared" ref="CV97:CV102" si="236">+CT97-CU97</f>
        <v>1095.8500000000001</v>
      </c>
      <c r="CW97" s="2">
        <f>IF((CV97-(CV97*$AK$32))&gt;$E97*5%,CV97*$AK$32,CV97-($E97*5%))</f>
        <v>0</v>
      </c>
      <c r="CX97" s="2">
        <f t="shared" ref="CX97:CX102" si="237">+CV97-CW97</f>
        <v>1095.8500000000001</v>
      </c>
      <c r="CY97" s="2">
        <f>IF((CX97-(CX97*$AK$32))&gt;$E97*5%,CX97*$AK$32,CX97-($E97*5%))</f>
        <v>0</v>
      </c>
      <c r="CZ97" s="2">
        <f t="shared" ref="CZ97:CZ102" si="238">+CX97-CY97</f>
        <v>1095.8500000000001</v>
      </c>
      <c r="DA97" s="2">
        <f>IF((CZ97-(CZ97*$AK$32))&gt;$E97*5%,CZ97*$AK$32,CZ97-($E97*5%))</f>
        <v>0</v>
      </c>
      <c r="DB97" s="2">
        <f t="shared" ref="DB97:DB102" si="239">+CZ97-DA97</f>
        <v>1095.8500000000001</v>
      </c>
      <c r="DC97" s="2">
        <f>IF((DB97-(DB97*$AK$32))&gt;$E97*5%,DB97*$AK$32,DB97-($E97*5%))</f>
        <v>0</v>
      </c>
      <c r="DD97" s="2">
        <f t="shared" ref="DD97:DD102" si="240">+DB97-DC97</f>
        <v>1095.8500000000001</v>
      </c>
      <c r="DE97" s="2">
        <f>IF((DD97-(DD97*$AK$32))&gt;$E97*5%,DD97*$AK$32,DD97-($E97*5%))</f>
        <v>0</v>
      </c>
      <c r="DF97" s="2">
        <f t="shared" ref="DF97:DF102" si="241">+DD97-DE97</f>
        <v>1095.8500000000001</v>
      </c>
      <c r="DG97" s="2">
        <f>IF((DF97-(DF97*$AK$32))&gt;$E97*5%,DF97*$AK$32,DF97-($E97*5%))</f>
        <v>0</v>
      </c>
      <c r="DH97" s="2">
        <f t="shared" ref="DH97:DH102" si="242">+DF97-DG97</f>
        <v>1095.8500000000001</v>
      </c>
      <c r="DI97" s="2">
        <f>IF((DH97-(DH97*$AK$32))&gt;$E97*5%,DH97*$AK$32,DH97-($E97*5%))</f>
        <v>0</v>
      </c>
      <c r="DJ97" s="2">
        <f t="shared" ref="DJ97:DJ102" si="243">+DH97-DI97</f>
        <v>1095.8500000000001</v>
      </c>
      <c r="DK97" s="2">
        <f>IF((DJ97-(DJ97*$AK$32))&gt;$E97*5%,DJ97*$AK$32,DJ97-($E97*5%))</f>
        <v>0</v>
      </c>
      <c r="DL97" s="2">
        <f t="shared" ref="DL97:DL102" si="244">+DJ97-DK97</f>
        <v>1095.8500000000001</v>
      </c>
      <c r="DM97" s="2">
        <f>IF((DL97-(DL97*$AK$32))&gt;$E97*5%,DL97*$AK$32,DL97-($E97*5%))</f>
        <v>0</v>
      </c>
      <c r="DN97" s="2">
        <f t="shared" ref="DN97:DN102" si="245">+DL97-DM97</f>
        <v>1095.8500000000001</v>
      </c>
      <c r="DO97" s="2">
        <f>IF((DN97-(DN97*$AK$32))&gt;$E97*5%,DN97*$AK$32,DN97-($E97*5%))</f>
        <v>0</v>
      </c>
      <c r="DP97" s="2">
        <f t="shared" ref="DP97:DP102" si="246">+DN97-DO97</f>
        <v>1095.8500000000001</v>
      </c>
      <c r="DQ97" s="2">
        <f>IF((DP97-(DP97*$AK$32))&gt;$E97*5%,DP97*$AK$32,DP97-($E97*5%))</f>
        <v>0</v>
      </c>
      <c r="DR97" s="2">
        <f t="shared" ref="DR97:DR102" si="247">+DP97-DQ97</f>
        <v>1095.8500000000001</v>
      </c>
      <c r="DS97" s="2"/>
      <c r="DT97" s="2">
        <f t="shared" ref="DT97:DT102" si="248">+DR97-DS97</f>
        <v>1095.8500000000001</v>
      </c>
      <c r="DU97" s="2"/>
      <c r="DV97" s="2"/>
      <c r="DW97" s="266">
        <f t="shared" ref="DW97:DW102" si="249">+E97*5%</f>
        <v>1095.8500000000001</v>
      </c>
      <c r="DX97" s="441">
        <f>+DW97-DR97</f>
        <v>0</v>
      </c>
    </row>
    <row r="98" spans="1:128">
      <c r="A98" s="433">
        <v>3</v>
      </c>
      <c r="B98" s="433" t="s">
        <v>165</v>
      </c>
      <c r="C98" s="467" t="s">
        <v>165</v>
      </c>
      <c r="D98" s="468">
        <v>0.1391</v>
      </c>
      <c r="E98" s="442">
        <v>21333</v>
      </c>
      <c r="F98" s="437" t="s">
        <v>1001</v>
      </c>
      <c r="G98" s="438">
        <v>40274</v>
      </c>
      <c r="H98" s="438"/>
      <c r="I98" s="438"/>
      <c r="J98" s="438"/>
      <c r="K98" s="438"/>
      <c r="L98" s="438"/>
      <c r="M98" s="439"/>
      <c r="N98" s="436"/>
      <c r="O98" s="436"/>
      <c r="P98" s="439"/>
      <c r="Q98" s="436"/>
      <c r="R98" s="436"/>
      <c r="S98" s="433">
        <f>IF(($S$6-G98+1)&gt;365,365,($S$6-G98+1))</f>
        <v>360</v>
      </c>
      <c r="T98" s="436">
        <f>ROUND(E98*D98/365*S98,0)</f>
        <v>2927</v>
      </c>
      <c r="U98" s="436">
        <f>E98-T98</f>
        <v>18406</v>
      </c>
      <c r="V98" s="433">
        <f>IF(($V$6-G98+1)&gt;365,365,($V$6-G98+1))</f>
        <v>365</v>
      </c>
      <c r="W98" s="436">
        <f>ROUND(U98*D98*V98/365,0)</f>
        <v>2560</v>
      </c>
      <c r="X98" s="436">
        <f>IF((U98-W98)&gt;0,U98-W98,E98-W98)</f>
        <v>15846</v>
      </c>
      <c r="Y98" s="433">
        <f>IF(($Y$6-G98+1)&gt;365,365,($Y$6-G98+1))</f>
        <v>365</v>
      </c>
      <c r="Z98" s="436">
        <f>ROUND(IF(X98&gt;0,X98*$D98/365*Y98,($E98*$D98*Y98/365)),0)</f>
        <v>2204</v>
      </c>
      <c r="AA98" s="436">
        <f>IF((X98-Z98)&gt;0,X98-Z98,$E98-Z98)</f>
        <v>13642</v>
      </c>
      <c r="AB98" s="433">
        <f>IF(($AB$6-G98+1)&gt;365,365,($AB$6-G98+1))</f>
        <v>365</v>
      </c>
      <c r="AC98" s="436">
        <f>ROUND(IF(AA98&gt;0,AA98*$D98/365*AB98,($E98*$D98*AB98/365)),0)</f>
        <v>1898</v>
      </c>
      <c r="AD98" s="436">
        <f>IF((AA98-AC98)&gt;0,AA98-AC98,$E98-AC98)</f>
        <v>11744</v>
      </c>
      <c r="AE98" s="436">
        <f>T98+W98+Z98+AC98+Q98+N98</f>
        <v>9589</v>
      </c>
      <c r="AF98" s="436">
        <f>E98-AE98</f>
        <v>11744</v>
      </c>
      <c r="AG98" s="436">
        <f>AD98-AF98</f>
        <v>0</v>
      </c>
      <c r="AH98" s="436">
        <f>($AH$6-G98+1)/365</f>
        <v>3.989041095890411</v>
      </c>
      <c r="AI98" s="439">
        <v>10</v>
      </c>
      <c r="AJ98" s="436">
        <f>AI98-AH98</f>
        <v>6.0109589041095894</v>
      </c>
      <c r="AK98" s="440">
        <f>IF(AJ98&gt;0,1-(((E98*$AJ$4)/AF98)^(1/AJ98)),0)</f>
        <v>0.32905919146057772</v>
      </c>
      <c r="AL98" s="2">
        <f>IF(AJ98&lt;0,AF98-(E98*5%),0)</f>
        <v>0</v>
      </c>
      <c r="AM98" s="433">
        <f>IF(($AM$6-$G98+1)&gt;365,365,($AM$6-$G98+1))</f>
        <v>365</v>
      </c>
      <c r="AN98" s="436">
        <f>ROUND(IF(AF98&gt;0,AF98*$D98/365*AM98,($E98*$D98*AM98/365)),0)</f>
        <v>1634</v>
      </c>
      <c r="AO98" s="436">
        <f>MIN(ROUND(IF(AL98&gt;0,0,(AK98*AF98)*AM98/365),0),AF98-(E98*5%))</f>
        <v>3864</v>
      </c>
      <c r="AP98" s="436">
        <f>+IF(AJ98&lt;1,(E98*5%),IF(AF98&gt;0,AF98-AO98,E98-AO98))</f>
        <v>7880</v>
      </c>
      <c r="AQ98" s="436">
        <f>AF98-AO98-AL98</f>
        <v>7880</v>
      </c>
      <c r="AR98" s="436">
        <f>$AF98-($AL98+$AO98+$AP98)</f>
        <v>0</v>
      </c>
      <c r="AS98" s="436">
        <f>AO98-AN98</f>
        <v>2230</v>
      </c>
      <c r="AT98" s="2">
        <f>AF98-AN98</f>
        <v>10110</v>
      </c>
      <c r="AU98" s="2">
        <f>AT98-AS98-AL98</f>
        <v>7880</v>
      </c>
      <c r="AV98" s="2">
        <f>AU98-AQ98</f>
        <v>0</v>
      </c>
      <c r="AW98" s="433">
        <f>IF(($AW$6-$G98+1)&gt;365,365,($AW$6-$G98+1))</f>
        <v>365</v>
      </c>
      <c r="AX98" s="2">
        <f>AQ98*AK98</f>
        <v>2592.9864287093524</v>
      </c>
      <c r="AY98" s="2">
        <f>AQ98-AX98</f>
        <v>5287.0135712906476</v>
      </c>
      <c r="AZ98" s="433">
        <f>IF(($AZ$6-$G98+1)&gt;365,365,($AZ$6-$G98+1))</f>
        <v>365</v>
      </c>
      <c r="BA98" s="2">
        <f>AY98*AK98</f>
        <v>1739.7404110100019</v>
      </c>
      <c r="BB98" s="2">
        <f>AY98-BA98</f>
        <v>3547.2731602806457</v>
      </c>
      <c r="BC98" s="2">
        <f>5*365</f>
        <v>1825</v>
      </c>
      <c r="BD98" s="433">
        <f>+$BD$6-G98</f>
        <v>2551</v>
      </c>
      <c r="BE98" s="439">
        <f>+BC98-BD98</f>
        <v>-726</v>
      </c>
      <c r="BF98" s="433">
        <f>IF(($BF$6-$G98+1)&gt;365,365,($BF$6-$G98+1))</f>
        <v>365</v>
      </c>
      <c r="BG98" s="2">
        <f>IF((BB98-(BB98*$AK$32))&gt;$E98*5%,BB98*$AK$32,BB98-($E98*5%))</f>
        <v>336.60237936621877</v>
      </c>
      <c r="BH98" s="2">
        <f>+BB98-BG98</f>
        <v>3210.6707809144268</v>
      </c>
      <c r="BI98" s="2">
        <f>IF((BH98-(BH98*$AK$32))&gt;$E98*5%,BH98*$AK$32,BH98-($E98*5%))</f>
        <v>304.66202499383769</v>
      </c>
      <c r="BJ98" s="2">
        <f>+BH98-BI98</f>
        <v>2906.008755920589</v>
      </c>
      <c r="BK98" s="395">
        <f>IF((BJ98-(BJ98*$AK$32))&gt;$E98*5%,BJ98*$AK$32,BJ98-($E98*5%))</f>
        <v>275.75250551737798</v>
      </c>
      <c r="BL98" s="2">
        <f>+BJ98-BK98</f>
        <v>2630.2562504032112</v>
      </c>
      <c r="BM98" s="2"/>
      <c r="BN98" s="2">
        <f t="shared" si="221"/>
        <v>2630.2562504032112</v>
      </c>
      <c r="BO98" s="2">
        <f>IF((BL98-(BL98*$AK$32))&gt;$E98*5%,BL98*$AK$32,BL98-($E98*5%))</f>
        <v>249.58622362156754</v>
      </c>
      <c r="BP98" s="2">
        <f t="shared" si="222"/>
        <v>2380.6700267816436</v>
      </c>
      <c r="BQ98" s="2"/>
      <c r="BR98" s="2">
        <f t="shared" si="223"/>
        <v>2380.6700267816436</v>
      </c>
      <c r="BS98" s="624">
        <f>BP98-BT98</f>
        <v>1314.0200267816435</v>
      </c>
      <c r="BT98" s="2">
        <f>E98*5/100</f>
        <v>1066.6500000000001</v>
      </c>
      <c r="BU98" s="2">
        <f>IF((BT98-(BT98*$AK$32))&gt;$E98*5%,BT98*$AK$32,BT98-($E98*5%))</f>
        <v>0</v>
      </c>
      <c r="BV98" s="2">
        <f t="shared" si="224"/>
        <v>1066.6500000000001</v>
      </c>
      <c r="BW98" s="2">
        <f>IF((BV98-(BV98*$AK$32))&gt;$E98*5%,BV98*$AK$32,BV98-($E98*5%))</f>
        <v>0</v>
      </c>
      <c r="BX98" s="2">
        <f t="shared" si="225"/>
        <v>1066.6500000000001</v>
      </c>
      <c r="BY98" s="2">
        <f>IF((BX98-(BX98*$AK$32))&gt;$E98*5%,BX98*$AK$32,BX98-($E98*5%))</f>
        <v>0</v>
      </c>
      <c r="BZ98" s="2">
        <f>+BX98-BY98</f>
        <v>1066.6500000000001</v>
      </c>
      <c r="CA98" s="2">
        <f>IF((BZ98-(BZ98*$AK$32))&gt;$E98*5%,BZ98*$AK$32,BZ98-($E98*5%))</f>
        <v>0</v>
      </c>
      <c r="CB98" s="2">
        <f t="shared" si="226"/>
        <v>1066.6500000000001</v>
      </c>
      <c r="CC98" s="2">
        <f>IF((CB98-(CB98*$AK$32))&gt;$E98*5%,CB98*$AK$32,CB98-($E98*5%))</f>
        <v>0</v>
      </c>
      <c r="CD98" s="2">
        <f t="shared" si="227"/>
        <v>1066.6500000000001</v>
      </c>
      <c r="CE98" s="2">
        <f>IF((CD98-(CD98*$AK$32))&gt;$E98*5%,CD98*$AK$32,CD98-($E98*5%))</f>
        <v>0</v>
      </c>
      <c r="CF98" s="2">
        <f t="shared" si="228"/>
        <v>1066.6500000000001</v>
      </c>
      <c r="CG98" s="2">
        <f>IF((CF98-(CF98*$AK$32))&gt;$E98*5%,CF98*$AK$32,CF98-($E98*5%))</f>
        <v>0</v>
      </c>
      <c r="CH98" s="2">
        <f t="shared" si="229"/>
        <v>1066.6500000000001</v>
      </c>
      <c r="CI98" s="2">
        <f>IF((CH98-(CH98*$AK$32))&gt;$E98*5%,CH98*$AK$32,CH98-($E98*5%))</f>
        <v>0</v>
      </c>
      <c r="CJ98" s="2">
        <f t="shared" si="230"/>
        <v>1066.6500000000001</v>
      </c>
      <c r="CK98" s="2">
        <f>IF((CJ98-(CJ98*$AK$32))&gt;$E98*5%,CJ98*$AK$32,CJ98-($E98*5%))</f>
        <v>0</v>
      </c>
      <c r="CL98" s="2">
        <f t="shared" si="231"/>
        <v>1066.6500000000001</v>
      </c>
      <c r="CM98" s="2">
        <f>IF((CL98-(CL98*$AK$32))&gt;$E98*5%,CL98*$AK$32,CL98-($E98*5%))</f>
        <v>0</v>
      </c>
      <c r="CN98" s="2">
        <f t="shared" si="232"/>
        <v>1066.6500000000001</v>
      </c>
      <c r="CO98" s="2">
        <f>IF((CN98-(CN98*$AK$32))&gt;$E98*5%,CN98*$AK$32,CN98-($E98*5%))</f>
        <v>0</v>
      </c>
      <c r="CP98" s="2">
        <f t="shared" si="233"/>
        <v>1066.6500000000001</v>
      </c>
      <c r="CQ98" s="2">
        <f>IF((CP98-(CP98*$AK$32))&gt;$E98*5%,CP98*$AK$32,CP98-($E98*5%))</f>
        <v>0</v>
      </c>
      <c r="CR98" s="2">
        <f t="shared" si="234"/>
        <v>1066.6500000000001</v>
      </c>
      <c r="CS98" s="2">
        <f>IF((CR98-(CR98*$AK$32))&gt;$E98*5%,CR98*$AK$32,CR98-($E98*5%))</f>
        <v>0</v>
      </c>
      <c r="CT98" s="2">
        <f t="shared" si="235"/>
        <v>1066.6500000000001</v>
      </c>
      <c r="CU98" s="2">
        <f>IF((CT98-(CT98*$AK$32))&gt;$E98*5%,CT98*$AK$32,CT98-($E98*5%))</f>
        <v>0</v>
      </c>
      <c r="CV98" s="2">
        <f t="shared" si="236"/>
        <v>1066.6500000000001</v>
      </c>
      <c r="CW98" s="2">
        <f>IF((CV98-(CV98*$AK$32))&gt;$E98*5%,CV98*$AK$32,CV98-($E98*5%))</f>
        <v>0</v>
      </c>
      <c r="CX98" s="2">
        <f t="shared" si="237"/>
        <v>1066.6500000000001</v>
      </c>
      <c r="CY98" s="2">
        <f>IF((CX98-(CX98*$AK$32))&gt;$E98*5%,CX98*$AK$32,CX98-($E98*5%))</f>
        <v>0</v>
      </c>
      <c r="CZ98" s="2">
        <f t="shared" si="238"/>
        <v>1066.6500000000001</v>
      </c>
      <c r="DA98" s="2">
        <f>IF((CZ98-(CZ98*$AK$32))&gt;$E98*5%,CZ98*$AK$32,CZ98-($E98*5%))</f>
        <v>0</v>
      </c>
      <c r="DB98" s="2">
        <f t="shared" si="239"/>
        <v>1066.6500000000001</v>
      </c>
      <c r="DC98" s="2">
        <f>IF((DB98-(DB98*$AK$32))&gt;$E98*5%,DB98*$AK$32,DB98-($E98*5%))</f>
        <v>0</v>
      </c>
      <c r="DD98" s="2">
        <f t="shared" si="240"/>
        <v>1066.6500000000001</v>
      </c>
      <c r="DE98" s="2">
        <f>IF((DD98-(DD98*$AK$32))&gt;$E98*5%,DD98*$AK$32,DD98-($E98*5%))</f>
        <v>0</v>
      </c>
      <c r="DF98" s="2">
        <f t="shared" si="241"/>
        <v>1066.6500000000001</v>
      </c>
      <c r="DG98" s="2">
        <f>IF((DF98-(DF98*$AK$32))&gt;$E98*5%,DF98*$AK$32,DF98-($E98*5%))</f>
        <v>0</v>
      </c>
      <c r="DH98" s="2">
        <f t="shared" si="242"/>
        <v>1066.6500000000001</v>
      </c>
      <c r="DI98" s="2">
        <f>IF((DH98-(DH98*$AK$32))&gt;$E98*5%,DH98*$AK$32,DH98-($E98*5%))</f>
        <v>0</v>
      </c>
      <c r="DJ98" s="2">
        <f t="shared" si="243"/>
        <v>1066.6500000000001</v>
      </c>
      <c r="DK98" s="2">
        <f>IF((DJ98-(DJ98*$AK$32))&gt;$E98*5%,DJ98*$AK$32,DJ98-($E98*5%))</f>
        <v>0</v>
      </c>
      <c r="DL98" s="2">
        <f t="shared" si="244"/>
        <v>1066.6500000000001</v>
      </c>
      <c r="DM98" s="2">
        <f>IF((DL98-(DL98*$AK$32))&gt;$E98*5%,DL98*$AK$32,DL98-($E98*5%))</f>
        <v>0</v>
      </c>
      <c r="DN98" s="2">
        <f t="shared" si="245"/>
        <v>1066.6500000000001</v>
      </c>
      <c r="DO98" s="2">
        <f>IF((DN98-(DN98*$AK$32))&gt;$E98*5%,DN98*$AK$32,DN98-($E98*5%))</f>
        <v>0</v>
      </c>
      <c r="DP98" s="2">
        <f t="shared" si="246"/>
        <v>1066.6500000000001</v>
      </c>
      <c r="DQ98" s="2">
        <f>IF((DP98-(DP98*$AK$32))&gt;$E98*5%,DP98*$AK$32,DP98-($E98*5%))</f>
        <v>0</v>
      </c>
      <c r="DR98" s="2">
        <f t="shared" si="247"/>
        <v>1066.6500000000001</v>
      </c>
      <c r="DS98" s="2"/>
      <c r="DT98" s="2">
        <f t="shared" si="248"/>
        <v>1066.6500000000001</v>
      </c>
      <c r="DU98" s="2"/>
      <c r="DV98" s="2"/>
      <c r="DW98" s="266">
        <f t="shared" si="249"/>
        <v>1066.6500000000001</v>
      </c>
      <c r="DX98" s="441">
        <f>+DW98-DR98</f>
        <v>0</v>
      </c>
    </row>
    <row r="99" spans="1:128">
      <c r="A99" s="433">
        <v>4</v>
      </c>
      <c r="B99" s="433" t="s">
        <v>165</v>
      </c>
      <c r="C99" s="467" t="s">
        <v>165</v>
      </c>
      <c r="D99" s="468">
        <v>0.1391</v>
      </c>
      <c r="E99" s="442">
        <v>22250</v>
      </c>
      <c r="F99" s="437" t="s">
        <v>1001</v>
      </c>
      <c r="G99" s="438">
        <v>40321</v>
      </c>
      <c r="H99" s="438"/>
      <c r="I99" s="438"/>
      <c r="J99" s="438"/>
      <c r="K99" s="438"/>
      <c r="L99" s="438"/>
      <c r="M99" s="439"/>
      <c r="N99" s="436"/>
      <c r="O99" s="436"/>
      <c r="P99" s="439"/>
      <c r="Q99" s="436"/>
      <c r="R99" s="436"/>
      <c r="S99" s="433">
        <f>IF(($S$6-G99+1)&gt;365,365,($S$6-G99+1))</f>
        <v>313</v>
      </c>
      <c r="T99" s="436">
        <f>ROUND(E99*D99/365*S99,0)</f>
        <v>2654</v>
      </c>
      <c r="U99" s="436">
        <f>E99-T99</f>
        <v>19596</v>
      </c>
      <c r="V99" s="433">
        <f>IF(($V$6-G99+1)&gt;365,365,($V$6-G99+1))</f>
        <v>365</v>
      </c>
      <c r="W99" s="436">
        <f>ROUND(U99*D99*V99/365,0)</f>
        <v>2726</v>
      </c>
      <c r="X99" s="436">
        <f>IF((U99-W99)&gt;0,U99-W99,E99-W99)</f>
        <v>16870</v>
      </c>
      <c r="Y99" s="433">
        <f>IF(($Y$6-G99+1)&gt;365,365,($Y$6-G99+1))</f>
        <v>365</v>
      </c>
      <c r="Z99" s="436">
        <f>ROUND(IF(X99&gt;0,X99*$D99/365*Y99,($E99*$D99*Y99/365)),0)</f>
        <v>2347</v>
      </c>
      <c r="AA99" s="436">
        <f>IF((X99-Z99)&gt;0,X99-Z99,$E99-Z99)</f>
        <v>14523</v>
      </c>
      <c r="AB99" s="433">
        <f>IF(($AB$6-G99+1)&gt;365,365,($AB$6-G99+1))</f>
        <v>365</v>
      </c>
      <c r="AC99" s="436">
        <f>ROUND(IF(AA99&gt;0,AA99*$D99/365*AB99,($E99*$D99*AB99/365)),0)</f>
        <v>2020</v>
      </c>
      <c r="AD99" s="436">
        <f>IF((AA99-AC99)&gt;0,AA99-AC99,$E99-AC99)</f>
        <v>12503</v>
      </c>
      <c r="AE99" s="436">
        <f>T99+W99+Z99+AC99+Q99+N99</f>
        <v>9747</v>
      </c>
      <c r="AF99" s="436">
        <f>E99-AE99</f>
        <v>12503</v>
      </c>
      <c r="AG99" s="436">
        <f>AD99-AF99</f>
        <v>0</v>
      </c>
      <c r="AH99" s="436">
        <f>($AH$6-G99+1)/365</f>
        <v>3.8602739726027395</v>
      </c>
      <c r="AI99" s="439">
        <v>10</v>
      </c>
      <c r="AJ99" s="436">
        <f>AI99-AH99</f>
        <v>6.1397260273972609</v>
      </c>
      <c r="AK99" s="440">
        <f>IF(AJ99&gt;0,1-(((E99*$AJ$4)/AF99)^(1/AJ99)),0)</f>
        <v>0.32567964297635765</v>
      </c>
      <c r="AL99" s="2">
        <f>IF(AJ99&lt;0,AF99-(E99*5%),0)</f>
        <v>0</v>
      </c>
      <c r="AM99" s="433">
        <f>IF(($AM$6-$G99+1)&gt;365,365,($AM$6-$G99+1))</f>
        <v>365</v>
      </c>
      <c r="AN99" s="436">
        <f>ROUND(IF(AF99&gt;0,AF99*$D99/365*AM99,($E99*$D99*AM99/365)),0)</f>
        <v>1739</v>
      </c>
      <c r="AO99" s="436">
        <f>MIN(ROUND(IF(AL99&gt;0,0,(AK99*AF99)*AM99/365),0),AF99-(E99*5%))</f>
        <v>4072</v>
      </c>
      <c r="AP99" s="436">
        <f>+IF(AJ99&lt;1,(E99*5%),IF(AF99&gt;0,AF99-AO99,E99-AO99))</f>
        <v>8431</v>
      </c>
      <c r="AQ99" s="436">
        <f>AF99-AO99-AL99</f>
        <v>8431</v>
      </c>
      <c r="AR99" s="436">
        <f>$AF99-($AL99+$AO99+$AP99)</f>
        <v>0</v>
      </c>
      <c r="AS99" s="436">
        <f>AO99-AN99</f>
        <v>2333</v>
      </c>
      <c r="AT99" s="2">
        <f>AF99-AN99</f>
        <v>10764</v>
      </c>
      <c r="AU99" s="2">
        <f>AT99-AS99-AL99</f>
        <v>8431</v>
      </c>
      <c r="AV99" s="2">
        <f>AU99-AQ99</f>
        <v>0</v>
      </c>
      <c r="AW99" s="433">
        <f>IF(($AW$6-$G99+1)&gt;365,365,($AW$6-$G99+1))</f>
        <v>365</v>
      </c>
      <c r="AX99" s="2">
        <f>AQ99*AK99</f>
        <v>2745.8050699336713</v>
      </c>
      <c r="AY99" s="2">
        <f>AQ99-AX99</f>
        <v>5685.1949300663291</v>
      </c>
      <c r="AZ99" s="433">
        <f>IF(($AZ$6-$G99+1)&gt;365,365,($AZ$6-$G99+1))</f>
        <v>365</v>
      </c>
      <c r="BA99" s="2">
        <f>AY99*AK99</f>
        <v>1851.5522550750006</v>
      </c>
      <c r="BB99" s="2">
        <f>AY99-BA99</f>
        <v>3833.6426749913285</v>
      </c>
      <c r="BC99" s="2">
        <f>5*365</f>
        <v>1825</v>
      </c>
      <c r="BD99" s="433">
        <f>+$BD$6-G99</f>
        <v>2504</v>
      </c>
      <c r="BE99" s="439">
        <f>+BC99-BD99</f>
        <v>-679</v>
      </c>
      <c r="BF99" s="433">
        <f>IF(($BF$6-$G99+1)&gt;365,365,($BF$6-$G99+1))</f>
        <v>365</v>
      </c>
      <c r="BG99" s="2">
        <f>IF((BB99-(BB99*$AK$32))&gt;$E99*5%,BB99*$AK$32,BB99-($E99*5%))</f>
        <v>363.77611414054866</v>
      </c>
      <c r="BH99" s="2">
        <f>+BB99-BG99</f>
        <v>3469.8665608507799</v>
      </c>
      <c r="BI99" s="2">
        <f>IF((BH99-(BH99*$AK$32))&gt;$E99*5%,BH99*$AK$32,BH99-($E99*5%))</f>
        <v>329.25723159511244</v>
      </c>
      <c r="BJ99" s="2">
        <f>+BH99-BI99</f>
        <v>3140.6093292556675</v>
      </c>
      <c r="BK99" s="395">
        <f>IF((BJ99-(BJ99*$AK$32))&gt;$E99*5%,BJ99*$AK$32,BJ99-($E99*5%))</f>
        <v>298.01386166820197</v>
      </c>
      <c r="BL99" s="2">
        <f>+BJ99-BK99</f>
        <v>2842.5954675874655</v>
      </c>
      <c r="BM99" s="2"/>
      <c r="BN99" s="2">
        <f t="shared" si="221"/>
        <v>2842.5954675874655</v>
      </c>
      <c r="BO99" s="2">
        <f>IF((BL99-(BL99*$AK$32))&gt;$E99*5%,BL99*$AK$32,BL99-($E99*5%))</f>
        <v>269.735189463072</v>
      </c>
      <c r="BP99" s="2">
        <f t="shared" si="222"/>
        <v>2572.8602781243935</v>
      </c>
      <c r="BQ99" s="2"/>
      <c r="BR99" s="2">
        <f t="shared" si="223"/>
        <v>2572.8602781243935</v>
      </c>
      <c r="BS99" s="624">
        <f>BP99-BT99</f>
        <v>1460.3602781243935</v>
      </c>
      <c r="BT99" s="2">
        <f>E99*5/100</f>
        <v>1112.5</v>
      </c>
      <c r="BU99" s="2">
        <v>0</v>
      </c>
      <c r="BV99" s="2">
        <f t="shared" si="224"/>
        <v>1112.5</v>
      </c>
      <c r="BW99" s="2">
        <v>0</v>
      </c>
      <c r="BX99" s="2">
        <f t="shared" si="225"/>
        <v>1112.5</v>
      </c>
      <c r="BY99" s="2">
        <v>0</v>
      </c>
      <c r="BZ99" s="2">
        <f>+BX99-BY99</f>
        <v>1112.5</v>
      </c>
      <c r="CA99" s="2">
        <v>0</v>
      </c>
      <c r="CB99" s="2">
        <f t="shared" si="226"/>
        <v>1112.5</v>
      </c>
      <c r="CC99" s="2"/>
      <c r="CD99" s="2">
        <f t="shared" si="227"/>
        <v>1112.5</v>
      </c>
      <c r="CE99" s="2"/>
      <c r="CF99" s="2">
        <f t="shared" si="228"/>
        <v>1112.5</v>
      </c>
      <c r="CG99" s="2"/>
      <c r="CH99" s="2">
        <f t="shared" si="229"/>
        <v>1112.5</v>
      </c>
      <c r="CI99" s="2"/>
      <c r="CJ99" s="2">
        <f t="shared" si="230"/>
        <v>1112.5</v>
      </c>
      <c r="CK99" s="2"/>
      <c r="CL99" s="2">
        <f t="shared" si="231"/>
        <v>1112.5</v>
      </c>
      <c r="CM99" s="2">
        <f>IF((CL99-(CL99*$AK$32))&gt;$E99*5%,CL99*$AK$32,CL99-($E99*5%))</f>
        <v>0</v>
      </c>
      <c r="CN99" s="2">
        <f t="shared" si="232"/>
        <v>1112.5</v>
      </c>
      <c r="CO99" s="2">
        <f>IF((CN99-(CN99*$AK$32))&gt;$E99*5%,CN99*$AK$32,CN99-($E99*5%))</f>
        <v>0</v>
      </c>
      <c r="CP99" s="2">
        <f t="shared" si="233"/>
        <v>1112.5</v>
      </c>
      <c r="CQ99" s="2">
        <f>IF((CP99-(CP99*$AK$32))&gt;$E99*5%,CP99*$AK$32,CP99-($E99*5%))</f>
        <v>0</v>
      </c>
      <c r="CR99" s="2">
        <f t="shared" si="234"/>
        <v>1112.5</v>
      </c>
      <c r="CS99" s="2">
        <f>IF((CR99-(CR99*$AK$32))&gt;$E99*5%,CR99*$AK$32,CR99-($E99*5%))</f>
        <v>0</v>
      </c>
      <c r="CT99" s="2">
        <f t="shared" si="235"/>
        <v>1112.5</v>
      </c>
      <c r="CU99" s="2">
        <f>IF((CT99-(CT99*$AK$32))&gt;$E99*5%,CT99*$AK$32,CT99-($E99*5%))</f>
        <v>0</v>
      </c>
      <c r="CV99" s="2">
        <f t="shared" si="236"/>
        <v>1112.5</v>
      </c>
      <c r="CW99" s="2">
        <f>IF((CV99-(CV99*$AK$32))&gt;$E99*5%,CV99*$AK$32,CV99-($E99*5%))</f>
        <v>0</v>
      </c>
      <c r="CX99" s="2">
        <f t="shared" si="237"/>
        <v>1112.5</v>
      </c>
      <c r="CY99" s="2">
        <f>IF((CX99-(CX99*$AK$32))&gt;$E99*5%,CX99*$AK$32,CX99-($E99*5%))</f>
        <v>0</v>
      </c>
      <c r="CZ99" s="2">
        <f t="shared" si="238"/>
        <v>1112.5</v>
      </c>
      <c r="DA99" s="2">
        <f>IF((CZ99-(CZ99*$AK$32))&gt;$E99*5%,CZ99*$AK$32,CZ99-($E99*5%))</f>
        <v>0</v>
      </c>
      <c r="DB99" s="2">
        <f t="shared" si="239"/>
        <v>1112.5</v>
      </c>
      <c r="DC99" s="2">
        <f>IF((DB99-(DB99*$AK$32))&gt;$E99*5%,DB99*$AK$32,DB99-($E99*5%))</f>
        <v>0</v>
      </c>
      <c r="DD99" s="2">
        <f t="shared" si="240"/>
        <v>1112.5</v>
      </c>
      <c r="DE99" s="2">
        <f>IF((DD99-(DD99*$AK$32))&gt;$E99*5%,DD99*$AK$32,DD99-($E99*5%))</f>
        <v>0</v>
      </c>
      <c r="DF99" s="2">
        <f t="shared" si="241"/>
        <v>1112.5</v>
      </c>
      <c r="DG99" s="2">
        <f>IF((DF99-(DF99*$AK$32))&gt;$E99*5%,DF99*$AK$32,DF99-($E99*5%))</f>
        <v>0</v>
      </c>
      <c r="DH99" s="2">
        <f t="shared" si="242"/>
        <v>1112.5</v>
      </c>
      <c r="DI99" s="2">
        <f>IF((DH99-(DH99*$AK$32))&gt;$E99*5%,DH99*$AK$32,DH99-($E99*5%))</f>
        <v>0</v>
      </c>
      <c r="DJ99" s="2">
        <f t="shared" si="243"/>
        <v>1112.5</v>
      </c>
      <c r="DK99" s="2">
        <f>IF((DJ99-(DJ99*$AK$32))&gt;$E99*5%,DJ99*$AK$32,DJ99-($E99*5%))</f>
        <v>0</v>
      </c>
      <c r="DL99" s="2">
        <f t="shared" si="244"/>
        <v>1112.5</v>
      </c>
      <c r="DM99" s="2">
        <f>IF((DL99-(DL99*$AK$32))&gt;$E99*5%,DL99*$AK$32,DL99-($E99*5%))</f>
        <v>0</v>
      </c>
      <c r="DN99" s="2">
        <f t="shared" si="245"/>
        <v>1112.5</v>
      </c>
      <c r="DO99" s="2">
        <f>IF((DN99-(DN99*$AK$32))&gt;$E99*5%,DN99*$AK$32,DN99-($E99*5%))</f>
        <v>0</v>
      </c>
      <c r="DP99" s="2">
        <f t="shared" si="246"/>
        <v>1112.5</v>
      </c>
      <c r="DQ99" s="2">
        <f>IF((DP99-(DP99*$AK$32))&gt;$E99*5%,DP99*$AK$32,DP99-($E99*5%))</f>
        <v>0</v>
      </c>
      <c r="DR99" s="2">
        <f t="shared" si="247"/>
        <v>1112.5</v>
      </c>
      <c r="DS99" s="2"/>
      <c r="DT99" s="2">
        <f t="shared" si="248"/>
        <v>1112.5</v>
      </c>
      <c r="DU99" s="2"/>
      <c r="DV99" s="2"/>
      <c r="DW99" s="266">
        <f t="shared" si="249"/>
        <v>1112.5</v>
      </c>
      <c r="DX99" s="441">
        <f>+DW99-DR99</f>
        <v>0</v>
      </c>
    </row>
    <row r="100" spans="1:128">
      <c r="A100" s="433">
        <v>5</v>
      </c>
      <c r="B100" s="433" t="s">
        <v>165</v>
      </c>
      <c r="C100" s="467" t="s">
        <v>165</v>
      </c>
      <c r="D100" s="468">
        <v>0.1391</v>
      </c>
      <c r="E100" s="442">
        <v>80941</v>
      </c>
      <c r="F100" s="437" t="s">
        <v>1001</v>
      </c>
      <c r="G100" s="438">
        <v>42903</v>
      </c>
      <c r="H100" s="438"/>
      <c r="I100" s="438"/>
      <c r="J100" s="438"/>
      <c r="K100" s="438"/>
      <c r="L100" s="438"/>
      <c r="M100" s="433"/>
      <c r="N100" s="436"/>
      <c r="O100" s="436"/>
      <c r="P100" s="433"/>
      <c r="Q100" s="436"/>
      <c r="R100" s="436"/>
      <c r="S100" s="433"/>
      <c r="T100" s="436"/>
      <c r="U100" s="436"/>
      <c r="V100" s="433"/>
      <c r="W100" s="436"/>
      <c r="X100" s="436"/>
      <c r="Y100" s="433"/>
      <c r="Z100" s="436"/>
      <c r="AA100" s="436"/>
      <c r="AB100" s="433"/>
      <c r="AC100" s="436"/>
      <c r="AD100" s="436"/>
      <c r="AE100" s="436"/>
      <c r="AF100" s="436"/>
      <c r="AG100" s="436"/>
      <c r="AH100" s="436"/>
      <c r="AI100" s="439">
        <v>10</v>
      </c>
      <c r="AJ100" s="436"/>
      <c r="AK100" s="440">
        <v>0.25890000000000002</v>
      </c>
      <c r="AL100" s="2"/>
      <c r="AM100" s="433"/>
      <c r="AN100" s="436"/>
      <c r="AO100" s="436"/>
      <c r="AP100" s="436"/>
      <c r="AQ100" s="436"/>
      <c r="AR100" s="436"/>
      <c r="AS100" s="436"/>
      <c r="AT100" s="2"/>
      <c r="AU100" s="2"/>
      <c r="AV100" s="2"/>
      <c r="AW100" s="433"/>
      <c r="AX100" s="2"/>
      <c r="AY100" s="2"/>
      <c r="AZ100" s="433"/>
      <c r="BA100" s="2"/>
      <c r="BB100" s="2"/>
      <c r="BC100" s="2">
        <f>5*365</f>
        <v>1825</v>
      </c>
      <c r="BD100" s="2"/>
      <c r="BE100" s="2"/>
      <c r="BF100" s="433">
        <f>IF(($BF$6-$G100+1)&gt;365,365,($BF$6-$G100+1))</f>
        <v>288</v>
      </c>
      <c r="BG100" s="2">
        <f>+E100*AK100*BF100/365</f>
        <v>16534.849236164384</v>
      </c>
      <c r="BH100" s="2">
        <f>+E100-BG100</f>
        <v>64406.150763835612</v>
      </c>
      <c r="BI100" s="2">
        <f>IF((BH100-(BH100*$AK$32))&gt;$E100*5%,BH100*$AK$32,BH100-($E100*5%))</f>
        <v>6111.5292263568736</v>
      </c>
      <c r="BJ100" s="2">
        <f>+BH100-BI100</f>
        <v>58294.621537478743</v>
      </c>
      <c r="BK100" s="395">
        <f>IF((BJ100-(BJ100*$AK$32))&gt;$E100*5%,BJ100*$AK$32,BJ100-($E100*5%))</f>
        <v>5531.6034111723575</v>
      </c>
      <c r="BL100" s="2">
        <f>+BJ100-BK100</f>
        <v>52763.018126306386</v>
      </c>
      <c r="BM100" s="2"/>
      <c r="BN100" s="2">
        <f t="shared" si="221"/>
        <v>52763.018126306386</v>
      </c>
      <c r="BO100" s="2">
        <f>IF((BL100-(BL100*$AK$32))&gt;$E100*5%,BL100*$AK$32,BL100-($E100*5%))</f>
        <v>5006.7070229383035</v>
      </c>
      <c r="BP100" s="2">
        <f t="shared" si="222"/>
        <v>47756.311103368083</v>
      </c>
      <c r="BQ100" s="2"/>
      <c r="BR100" s="2">
        <f t="shared" si="223"/>
        <v>47756.311103368083</v>
      </c>
      <c r="BS100" s="624">
        <f>BP100-BT100</f>
        <v>43709.261103368081</v>
      </c>
      <c r="BT100" s="2">
        <f>E100*5/100</f>
        <v>4047.05</v>
      </c>
      <c r="BU100" s="2">
        <f>IF((BT100-(BT100*$AK$32))&gt;$E100*5%,BT100*$AK$32,BT100-($E100*5%))</f>
        <v>0</v>
      </c>
      <c r="BV100" s="2">
        <f t="shared" si="224"/>
        <v>4047.05</v>
      </c>
      <c r="BW100" s="2">
        <f>IF((BV100-(BV100*$AK$32))&gt;$E100*5%,BV100*$AK$32,BV100-($E100*5%))</f>
        <v>0</v>
      </c>
      <c r="BX100" s="2">
        <f t="shared" si="225"/>
        <v>4047.05</v>
      </c>
      <c r="BY100" s="2">
        <f>IF((BX100-(BX100*$AK$32))&gt;$E100*5%,BX100*$AK$32,BX100-($E100*5%))</f>
        <v>0</v>
      </c>
      <c r="BZ100" s="2">
        <f>+BX100-BY100</f>
        <v>4047.05</v>
      </c>
      <c r="CA100" s="2">
        <f>IF((BZ100-(BZ100*$AK$32))&gt;$E100*5%,BZ100*$AK$32,BZ100-($E100*5%))</f>
        <v>0</v>
      </c>
      <c r="CB100" s="2">
        <f t="shared" si="226"/>
        <v>4047.05</v>
      </c>
      <c r="CC100" s="2">
        <f>IF((CB100-(CB100*$AK$32))&gt;$E100*5%,CB100*$AK$32,CB100-($E100*5%))</f>
        <v>0</v>
      </c>
      <c r="CD100" s="2">
        <f t="shared" si="227"/>
        <v>4047.05</v>
      </c>
      <c r="CE100" s="2">
        <f>IF((CD100-(CD100*$AK$32))&gt;$E100*5%,CD100*$AK$32,CD100-($E100*5%))</f>
        <v>0</v>
      </c>
      <c r="CF100" s="2">
        <f t="shared" si="228"/>
        <v>4047.05</v>
      </c>
      <c r="CG100" s="2">
        <f>IF((CF100-(CF100*$AK$32))&gt;$E100*5%,CF100*$AK$32,CF100-($E100*5%))</f>
        <v>0</v>
      </c>
      <c r="CH100" s="2">
        <f t="shared" si="229"/>
        <v>4047.05</v>
      </c>
      <c r="CI100" s="2">
        <f>IF((CH100-(CH100*$AK$32))&gt;$E100*5%,CH100*$AK$32,CH100-($E100*5%))</f>
        <v>0</v>
      </c>
      <c r="CJ100" s="2">
        <f t="shared" si="230"/>
        <v>4047.05</v>
      </c>
      <c r="CK100" s="2">
        <f>IF((CJ100-(CJ100*$AK$32))&gt;$E100*5%,CJ100*$AK$32,CJ100-($E100*5%))</f>
        <v>0</v>
      </c>
      <c r="CL100" s="2">
        <f t="shared" si="231"/>
        <v>4047.05</v>
      </c>
      <c r="CM100" s="2">
        <f>IF((CL100-(CL100*$AK$32))&gt;$E100*5%,CL100*$AK$32,CL100-($E100*5%))</f>
        <v>0</v>
      </c>
      <c r="CN100" s="2">
        <f t="shared" si="232"/>
        <v>4047.05</v>
      </c>
      <c r="CO100" s="2">
        <f>IF((CN100-(CN100*$AK$32))&gt;$E100*5%,CN100*$AK$32,CN100-($E100*5%))</f>
        <v>0</v>
      </c>
      <c r="CP100" s="2">
        <f t="shared" si="233"/>
        <v>4047.05</v>
      </c>
      <c r="CQ100" s="2">
        <f>IF((CP100-(CP100*$AK$32))&gt;$E100*5%,CP100*$AK$32,CP100-($E100*5%))</f>
        <v>0</v>
      </c>
      <c r="CR100" s="2">
        <f t="shared" si="234"/>
        <v>4047.05</v>
      </c>
      <c r="CS100" s="2">
        <f>IF((CR100-(CR100*$AK$32))&gt;$E100*5%,CR100*$AK$32,CR100-($E100*5%))</f>
        <v>0</v>
      </c>
      <c r="CT100" s="2">
        <f t="shared" si="235"/>
        <v>4047.05</v>
      </c>
      <c r="CU100" s="2">
        <f>IF((CT100-(CT100*$AK$32))&gt;$E100*5%,CT100*$AK$32,CT100-($E100*5%))</f>
        <v>0</v>
      </c>
      <c r="CV100" s="2">
        <f t="shared" si="236"/>
        <v>4047.05</v>
      </c>
      <c r="CW100" s="2">
        <f>IF((CV100-(CV100*$AK$32))&gt;$E100*5%,CV100*$AK$32,CV100-($E100*5%))</f>
        <v>0</v>
      </c>
      <c r="CX100" s="2">
        <f t="shared" si="237"/>
        <v>4047.05</v>
      </c>
      <c r="CY100" s="2">
        <f>IF((CX100-(CX100*$AK$32))&gt;$E100*5%,CX100*$AK$32,CX100-($E100*5%))</f>
        <v>0</v>
      </c>
      <c r="CZ100" s="2">
        <f t="shared" si="238"/>
        <v>4047.05</v>
      </c>
      <c r="DA100" s="2">
        <f>IF((CZ100-(CZ100*$AK$32))&gt;$E100*5%,CZ100*$AK$32,CZ100-($E100*5%))</f>
        <v>0</v>
      </c>
      <c r="DB100" s="2">
        <f t="shared" si="239"/>
        <v>4047.05</v>
      </c>
      <c r="DC100" s="2">
        <f>IF((DB100-(DB100*$AK$32))&gt;$E100*5%,DB100*$AK$32,DB100-($E100*5%))</f>
        <v>0</v>
      </c>
      <c r="DD100" s="2">
        <f t="shared" si="240"/>
        <v>4047.05</v>
      </c>
      <c r="DE100" s="2">
        <f>IF((DD100-(DD100*$AK$32))&gt;$E100*5%,DD100*$AK$32,DD100-($E100*5%))</f>
        <v>0</v>
      </c>
      <c r="DF100" s="2">
        <f t="shared" si="241"/>
        <v>4047.05</v>
      </c>
      <c r="DG100" s="2">
        <f>IF((DF100-(DF100*$AK$32))&gt;$E100*5%,DF100*$AK$32,DF100-($E100*5%))</f>
        <v>0</v>
      </c>
      <c r="DH100" s="2">
        <f t="shared" si="242"/>
        <v>4047.05</v>
      </c>
      <c r="DI100" s="2">
        <f>IF((DH100-(DH100*$AK$32))&gt;$E100*5%,DH100*$AK$32,DH100-($E100*5%))</f>
        <v>0</v>
      </c>
      <c r="DJ100" s="2">
        <f t="shared" si="243"/>
        <v>4047.05</v>
      </c>
      <c r="DK100" s="2">
        <f>IF((DJ100-(DJ100*$AK$32))&gt;$E100*5%,DJ100*$AK$32,DJ100-($E100*5%))</f>
        <v>0</v>
      </c>
      <c r="DL100" s="2">
        <f t="shared" si="244"/>
        <v>4047.05</v>
      </c>
      <c r="DM100" s="2">
        <f>IF((DL100-(DL100*$AK$32))&gt;$E100*5%,DL100*$AK$32,DL100-($E100*5%))</f>
        <v>0</v>
      </c>
      <c r="DN100" s="2">
        <f t="shared" si="245"/>
        <v>4047.05</v>
      </c>
      <c r="DO100" s="2">
        <f>IF((DN100-(DN100*$AK$32))&gt;$E100*5%,DN100*$AK$32,DN100-($E100*5%))</f>
        <v>0</v>
      </c>
      <c r="DP100" s="2">
        <f t="shared" si="246"/>
        <v>4047.05</v>
      </c>
      <c r="DQ100" s="2">
        <f>IF((DP100-(DP100*$AK$32))&gt;$E100*5%,DP100*$AK$32,DP100-($E100*5%))</f>
        <v>0</v>
      </c>
      <c r="DR100" s="2">
        <f t="shared" si="247"/>
        <v>4047.05</v>
      </c>
      <c r="DS100" s="2"/>
      <c r="DT100" s="2">
        <f t="shared" si="248"/>
        <v>4047.05</v>
      </c>
      <c r="DU100" s="2"/>
      <c r="DV100" s="2"/>
      <c r="DW100" s="266">
        <f t="shared" si="249"/>
        <v>4047.05</v>
      </c>
      <c r="DX100" s="441">
        <f>+DW100-DR100</f>
        <v>0</v>
      </c>
    </row>
    <row r="101" spans="1:128">
      <c r="A101" s="433">
        <f>+A96+1</f>
        <v>1</v>
      </c>
      <c r="B101" s="433" t="s">
        <v>847</v>
      </c>
      <c r="C101" s="467" t="s">
        <v>165</v>
      </c>
      <c r="D101" s="468">
        <v>0.1391</v>
      </c>
      <c r="E101" s="469">
        <v>26000</v>
      </c>
      <c r="F101" s="470" t="s">
        <v>921</v>
      </c>
      <c r="G101" s="443">
        <v>43295</v>
      </c>
      <c r="H101" s="443">
        <f>DATE(YEAR(G101)+I101,MONTH(G101),DAY(G101))-1</f>
        <v>45120</v>
      </c>
      <c r="I101" s="267">
        <v>5</v>
      </c>
      <c r="J101" s="267">
        <f>IF(($BI$6-$G101+1)&gt;365,365,($BI$6-$G101+1))</f>
        <v>261</v>
      </c>
      <c r="K101" s="267">
        <f>365-J101</f>
        <v>104</v>
      </c>
      <c r="L101" s="438"/>
      <c r="M101" s="433"/>
      <c r="N101" s="436"/>
      <c r="O101" s="436"/>
      <c r="P101" s="433"/>
      <c r="Q101" s="436"/>
      <c r="R101" s="436"/>
      <c r="S101" s="433"/>
      <c r="T101" s="436"/>
      <c r="U101" s="436"/>
      <c r="V101" s="433"/>
      <c r="W101" s="436"/>
      <c r="X101" s="436"/>
      <c r="Y101" s="433"/>
      <c r="Z101" s="436"/>
      <c r="AA101" s="436"/>
      <c r="AB101" s="433"/>
      <c r="AC101" s="436"/>
      <c r="AD101" s="436"/>
      <c r="AE101" s="436"/>
      <c r="AF101" s="436"/>
      <c r="AG101" s="436"/>
      <c r="AH101" s="436"/>
      <c r="AI101" s="439">
        <v>5</v>
      </c>
      <c r="AJ101" s="436"/>
      <c r="AK101" s="440">
        <f>1-((E101*5%)/E101)^(1/I101)</f>
        <v>0.45071972834694107</v>
      </c>
      <c r="AL101" s="2"/>
      <c r="AM101" s="433"/>
      <c r="AN101" s="436"/>
      <c r="AO101" s="436"/>
      <c r="AP101" s="436"/>
      <c r="AQ101" s="436"/>
      <c r="AR101" s="436"/>
      <c r="AS101" s="436"/>
      <c r="AT101" s="2"/>
      <c r="AU101" s="2"/>
      <c r="AV101" s="2"/>
      <c r="AW101" s="433"/>
      <c r="AX101" s="2"/>
      <c r="AY101" s="2"/>
      <c r="AZ101" s="433"/>
      <c r="BA101" s="2"/>
      <c r="BB101" s="2"/>
      <c r="BC101" s="2"/>
      <c r="BD101" s="2"/>
      <c r="BE101" s="2"/>
      <c r="BF101" s="433"/>
      <c r="BG101" s="2"/>
      <c r="BH101" s="2"/>
      <c r="BI101" s="2">
        <f>ROUND(+E101*AK101*J101/365,0)</f>
        <v>8380</v>
      </c>
      <c r="BJ101" s="2">
        <f>+E101-BI101</f>
        <v>17620</v>
      </c>
      <c r="BK101" s="395">
        <f>ROUND(+BJ101*$AK101,0)</f>
        <v>7942</v>
      </c>
      <c r="BL101" s="2">
        <f>+BJ101-BK101</f>
        <v>9678</v>
      </c>
      <c r="BM101" s="2"/>
      <c r="BN101" s="2">
        <f t="shared" si="221"/>
        <v>9678</v>
      </c>
      <c r="BO101" s="2">
        <f>ROUND(+BL101*$AK101,0)</f>
        <v>4362</v>
      </c>
      <c r="BP101" s="2">
        <f>+BL101-BO101</f>
        <v>5316</v>
      </c>
      <c r="BQ101" s="2"/>
      <c r="BR101" s="2">
        <f t="shared" si="223"/>
        <v>5316</v>
      </c>
      <c r="BS101" s="624">
        <f>ROUND(+BP101*$AK101,0)</f>
        <v>2396</v>
      </c>
      <c r="BT101" s="2">
        <f>+BP101-BS101</f>
        <v>2920</v>
      </c>
      <c r="BU101" s="2">
        <f>ROUND(+BT101*$AK101,0)</f>
        <v>1316</v>
      </c>
      <c r="BV101" s="2">
        <f>+BT101-BU101</f>
        <v>1604</v>
      </c>
      <c r="BW101" s="317">
        <f>+(1-($E101*5%)/BV101)*BV101</f>
        <v>303.99999999999994</v>
      </c>
      <c r="BX101" s="2">
        <f t="shared" si="225"/>
        <v>1300</v>
      </c>
      <c r="BY101" s="2">
        <v>0</v>
      </c>
      <c r="BZ101" s="2">
        <f>+BX101-BY101</f>
        <v>1300</v>
      </c>
      <c r="CA101" s="2">
        <v>0</v>
      </c>
      <c r="CB101" s="2">
        <f t="shared" si="226"/>
        <v>1300</v>
      </c>
      <c r="CC101" s="2">
        <v>0</v>
      </c>
      <c r="CD101" s="2">
        <f t="shared" si="227"/>
        <v>1300</v>
      </c>
      <c r="CE101" s="2">
        <v>0</v>
      </c>
      <c r="CF101" s="2">
        <f t="shared" si="228"/>
        <v>1300</v>
      </c>
      <c r="CG101" s="2">
        <v>0</v>
      </c>
      <c r="CH101" s="2">
        <f t="shared" si="229"/>
        <v>1300</v>
      </c>
      <c r="CI101" s="2">
        <v>0</v>
      </c>
      <c r="CJ101" s="2">
        <f t="shared" si="230"/>
        <v>1300</v>
      </c>
      <c r="CK101" s="2">
        <v>0</v>
      </c>
      <c r="CL101" s="2">
        <f t="shared" si="231"/>
        <v>1300</v>
      </c>
      <c r="CM101" s="2">
        <v>0</v>
      </c>
      <c r="CN101" s="2">
        <f t="shared" si="232"/>
        <v>1300</v>
      </c>
      <c r="CO101" s="2">
        <v>0</v>
      </c>
      <c r="CP101" s="2">
        <f t="shared" si="233"/>
        <v>1300</v>
      </c>
      <c r="CQ101" s="2">
        <v>0</v>
      </c>
      <c r="CR101" s="2">
        <f t="shared" si="234"/>
        <v>1300</v>
      </c>
      <c r="CS101" s="2">
        <v>0</v>
      </c>
      <c r="CT101" s="2">
        <f t="shared" si="235"/>
        <v>1300</v>
      </c>
      <c r="CU101" s="2">
        <v>0</v>
      </c>
      <c r="CV101" s="2">
        <f t="shared" si="236"/>
        <v>1300</v>
      </c>
      <c r="CW101" s="2">
        <v>0</v>
      </c>
      <c r="CX101" s="2">
        <f t="shared" si="237"/>
        <v>1300</v>
      </c>
      <c r="CY101" s="2">
        <v>0</v>
      </c>
      <c r="CZ101" s="2">
        <f t="shared" si="238"/>
        <v>1300</v>
      </c>
      <c r="DA101" s="2">
        <v>0</v>
      </c>
      <c r="DB101" s="2">
        <f t="shared" si="239"/>
        <v>1300</v>
      </c>
      <c r="DC101" s="2">
        <v>0</v>
      </c>
      <c r="DD101" s="2">
        <f t="shared" si="240"/>
        <v>1300</v>
      </c>
      <c r="DE101" s="2">
        <v>0</v>
      </c>
      <c r="DF101" s="2">
        <f t="shared" si="241"/>
        <v>1300</v>
      </c>
      <c r="DG101" s="2">
        <v>0</v>
      </c>
      <c r="DH101" s="2">
        <f t="shared" si="242"/>
        <v>1300</v>
      </c>
      <c r="DI101" s="2">
        <v>0</v>
      </c>
      <c r="DJ101" s="2">
        <f t="shared" si="243"/>
        <v>1300</v>
      </c>
      <c r="DK101" s="2">
        <v>0</v>
      </c>
      <c r="DL101" s="2">
        <f t="shared" si="244"/>
        <v>1300</v>
      </c>
      <c r="DM101" s="2">
        <v>0</v>
      </c>
      <c r="DN101" s="2">
        <f t="shared" si="245"/>
        <v>1300</v>
      </c>
      <c r="DO101" s="2">
        <v>0</v>
      </c>
      <c r="DP101" s="2">
        <f t="shared" si="246"/>
        <v>1300</v>
      </c>
      <c r="DQ101" s="2">
        <v>0</v>
      </c>
      <c r="DR101" s="2">
        <f t="shared" si="247"/>
        <v>1300</v>
      </c>
      <c r="DS101" s="2">
        <v>0</v>
      </c>
      <c r="DT101" s="2">
        <f t="shared" si="248"/>
        <v>1300</v>
      </c>
      <c r="DU101" s="2">
        <v>0</v>
      </c>
      <c r="DV101" s="2">
        <f>+DT101-DU101</f>
        <v>1300</v>
      </c>
      <c r="DW101" s="266">
        <f t="shared" si="249"/>
        <v>1300</v>
      </c>
      <c r="DX101" s="441">
        <f>+DT101-DW101</f>
        <v>0</v>
      </c>
    </row>
    <row r="102" spans="1:128">
      <c r="A102" s="433"/>
      <c r="B102" s="433"/>
      <c r="C102" s="467" t="s">
        <v>165</v>
      </c>
      <c r="D102" s="468"/>
      <c r="E102" s="469">
        <v>27343</v>
      </c>
      <c r="F102" s="470" t="s">
        <v>1080</v>
      </c>
      <c r="G102" s="443">
        <v>43579</v>
      </c>
      <c r="H102" s="443"/>
      <c r="I102" s="267">
        <v>5</v>
      </c>
      <c r="J102" s="267">
        <f>IF(($BK$6-$G102+1)&gt;365,365,($BK$6-$G102+1))</f>
        <v>343</v>
      </c>
      <c r="K102" s="267">
        <f>365-J102</f>
        <v>22</v>
      </c>
      <c r="L102" s="438"/>
      <c r="M102" s="433"/>
      <c r="N102" s="436"/>
      <c r="O102" s="436"/>
      <c r="P102" s="433"/>
      <c r="Q102" s="436"/>
      <c r="R102" s="436"/>
      <c r="S102" s="433"/>
      <c r="T102" s="436"/>
      <c r="U102" s="436"/>
      <c r="V102" s="433"/>
      <c r="W102" s="436"/>
      <c r="X102" s="436"/>
      <c r="Y102" s="433"/>
      <c r="Z102" s="436"/>
      <c r="AA102" s="436"/>
      <c r="AB102" s="433"/>
      <c r="AC102" s="436"/>
      <c r="AD102" s="436"/>
      <c r="AE102" s="436"/>
      <c r="AF102" s="436"/>
      <c r="AG102" s="436"/>
      <c r="AH102" s="436"/>
      <c r="AI102" s="439">
        <v>5</v>
      </c>
      <c r="AJ102" s="436"/>
      <c r="AK102" s="440">
        <v>0.45071972834694107</v>
      </c>
      <c r="AL102" s="2"/>
      <c r="AM102" s="433"/>
      <c r="AN102" s="436"/>
      <c r="AO102" s="436"/>
      <c r="AP102" s="436"/>
      <c r="AQ102" s="436"/>
      <c r="AR102" s="436"/>
      <c r="AS102" s="436"/>
      <c r="AT102" s="2"/>
      <c r="AU102" s="2"/>
      <c r="AV102" s="2"/>
      <c r="AW102" s="433"/>
      <c r="AX102" s="2"/>
      <c r="AY102" s="2"/>
      <c r="AZ102" s="433"/>
      <c r="BA102" s="2"/>
      <c r="BB102" s="2"/>
      <c r="BC102" s="2"/>
      <c r="BD102" s="2"/>
      <c r="BE102" s="2"/>
      <c r="BF102" s="433"/>
      <c r="BG102" s="2"/>
      <c r="BH102" s="2"/>
      <c r="BI102" s="2"/>
      <c r="BJ102" s="2"/>
      <c r="BK102" s="395">
        <f>+ROUND((E102*J102*AK102)/365,0)</f>
        <v>11581</v>
      </c>
      <c r="BL102" s="2">
        <f>+E102-BK102</f>
        <v>15762</v>
      </c>
      <c r="BM102" s="2"/>
      <c r="BN102" s="2">
        <f t="shared" si="221"/>
        <v>15762</v>
      </c>
      <c r="BO102" s="2">
        <f>ROUND(+BL102*$AK102,0)</f>
        <v>7104</v>
      </c>
      <c r="BP102" s="2">
        <f>+BL102-BO102</f>
        <v>8658</v>
      </c>
      <c r="BQ102" s="2"/>
      <c r="BR102" s="2">
        <f t="shared" si="223"/>
        <v>8658</v>
      </c>
      <c r="BS102" s="624">
        <f>ROUND(+BP102*$AK102,0)</f>
        <v>3902</v>
      </c>
      <c r="BT102" s="2">
        <f>+BP102-BS102</f>
        <v>4756</v>
      </c>
      <c r="BU102" s="2">
        <f>ROUND(+BT102*$AK102,0)</f>
        <v>2144</v>
      </c>
      <c r="BV102" s="2">
        <f>+BT102-BU102</f>
        <v>2612</v>
      </c>
      <c r="BW102" s="2">
        <f>ROUND(+BV102*$AK102,0)</f>
        <v>1177</v>
      </c>
      <c r="BX102" s="2">
        <f t="shared" si="225"/>
        <v>1435</v>
      </c>
      <c r="BY102" s="2">
        <f>+BX102-BZ102</f>
        <v>67.849999999999909</v>
      </c>
      <c r="BZ102" s="2">
        <f>+E102*5%</f>
        <v>1367.15</v>
      </c>
      <c r="CA102" s="2">
        <v>0</v>
      </c>
      <c r="CB102" s="2">
        <f t="shared" si="226"/>
        <v>1367.15</v>
      </c>
      <c r="CC102" s="2">
        <v>0</v>
      </c>
      <c r="CD102" s="2">
        <f t="shared" si="227"/>
        <v>1367.15</v>
      </c>
      <c r="CE102" s="2">
        <v>0</v>
      </c>
      <c r="CF102" s="2">
        <f t="shared" si="228"/>
        <v>1367.15</v>
      </c>
      <c r="CG102" s="2">
        <v>0</v>
      </c>
      <c r="CH102" s="2">
        <f t="shared" si="229"/>
        <v>1367.15</v>
      </c>
      <c r="CI102" s="2">
        <v>0</v>
      </c>
      <c r="CJ102" s="2">
        <f t="shared" si="230"/>
        <v>1367.15</v>
      </c>
      <c r="CK102" s="2">
        <v>0</v>
      </c>
      <c r="CL102" s="2">
        <f t="shared" si="231"/>
        <v>1367.15</v>
      </c>
      <c r="CM102" s="2">
        <v>0</v>
      </c>
      <c r="CN102" s="2">
        <f t="shared" si="232"/>
        <v>1367.15</v>
      </c>
      <c r="CO102" s="2">
        <v>0</v>
      </c>
      <c r="CP102" s="2">
        <f t="shared" si="233"/>
        <v>1367.15</v>
      </c>
      <c r="CQ102" s="2">
        <v>0</v>
      </c>
      <c r="CR102" s="2">
        <f t="shared" si="234"/>
        <v>1367.15</v>
      </c>
      <c r="CS102" s="2">
        <v>0</v>
      </c>
      <c r="CT102" s="2">
        <f t="shared" si="235"/>
        <v>1367.15</v>
      </c>
      <c r="CU102" s="2">
        <v>0</v>
      </c>
      <c r="CV102" s="2">
        <f t="shared" si="236"/>
        <v>1367.15</v>
      </c>
      <c r="CW102" s="2">
        <v>0</v>
      </c>
      <c r="CX102" s="2">
        <f t="shared" si="237"/>
        <v>1367.15</v>
      </c>
      <c r="CY102" s="2">
        <v>0</v>
      </c>
      <c r="CZ102" s="2">
        <f t="shared" si="238"/>
        <v>1367.15</v>
      </c>
      <c r="DA102" s="2">
        <v>0</v>
      </c>
      <c r="DB102" s="2">
        <f t="shared" si="239"/>
        <v>1367.15</v>
      </c>
      <c r="DC102" s="2">
        <v>0</v>
      </c>
      <c r="DD102" s="2">
        <f t="shared" si="240"/>
        <v>1367.15</v>
      </c>
      <c r="DE102" s="2">
        <v>0</v>
      </c>
      <c r="DF102" s="2">
        <f t="shared" si="241"/>
        <v>1367.15</v>
      </c>
      <c r="DG102" s="2">
        <v>0</v>
      </c>
      <c r="DH102" s="2">
        <f t="shared" si="242"/>
        <v>1367.15</v>
      </c>
      <c r="DI102" s="2">
        <v>0</v>
      </c>
      <c r="DJ102" s="2">
        <f t="shared" si="243"/>
        <v>1367.15</v>
      </c>
      <c r="DK102" s="2">
        <v>0</v>
      </c>
      <c r="DL102" s="2">
        <f t="shared" si="244"/>
        <v>1367.15</v>
      </c>
      <c r="DM102" s="2">
        <v>0</v>
      </c>
      <c r="DN102" s="2">
        <f t="shared" si="245"/>
        <v>1367.15</v>
      </c>
      <c r="DO102" s="2">
        <v>0</v>
      </c>
      <c r="DP102" s="2">
        <f t="shared" si="246"/>
        <v>1367.15</v>
      </c>
      <c r="DQ102" s="2">
        <v>0</v>
      </c>
      <c r="DR102" s="2">
        <f t="shared" si="247"/>
        <v>1367.15</v>
      </c>
      <c r="DS102" s="2">
        <v>0</v>
      </c>
      <c r="DT102" s="2">
        <f t="shared" si="248"/>
        <v>1367.15</v>
      </c>
      <c r="DU102" s="2">
        <v>0</v>
      </c>
      <c r="DV102" s="2">
        <f>+DT102-DU102</f>
        <v>1367.15</v>
      </c>
      <c r="DW102" s="266">
        <f t="shared" si="249"/>
        <v>1367.15</v>
      </c>
      <c r="DX102" s="441">
        <f>+DT102-DW102</f>
        <v>0</v>
      </c>
    </row>
    <row r="103" spans="1:128">
      <c r="A103" s="433"/>
      <c r="B103" s="433"/>
      <c r="C103" s="467"/>
      <c r="D103" s="468"/>
      <c r="E103" s="442"/>
      <c r="F103" s="437"/>
      <c r="G103" s="438"/>
      <c r="H103" s="438"/>
      <c r="I103" s="438"/>
      <c r="J103" s="438"/>
      <c r="K103" s="438"/>
      <c r="L103" s="438"/>
      <c r="M103" s="433"/>
      <c r="N103" s="436"/>
      <c r="O103" s="436"/>
      <c r="P103" s="433"/>
      <c r="Q103" s="436"/>
      <c r="R103" s="436"/>
      <c r="S103" s="433"/>
      <c r="T103" s="436"/>
      <c r="U103" s="436"/>
      <c r="V103" s="433"/>
      <c r="W103" s="436"/>
      <c r="X103" s="436"/>
      <c r="Y103" s="433"/>
      <c r="Z103" s="436"/>
      <c r="AA103" s="436"/>
      <c r="AB103" s="433"/>
      <c r="AC103" s="436"/>
      <c r="AD103" s="436"/>
      <c r="AE103" s="436"/>
      <c r="AF103" s="436"/>
      <c r="AG103" s="436"/>
      <c r="AH103" s="436"/>
      <c r="AI103" s="439"/>
      <c r="AJ103" s="436"/>
      <c r="AK103" s="440"/>
      <c r="AL103" s="2"/>
      <c r="AM103" s="433"/>
      <c r="AN103" s="436"/>
      <c r="AO103" s="436"/>
      <c r="AP103" s="436"/>
      <c r="AQ103" s="436"/>
      <c r="AR103" s="436"/>
      <c r="AS103" s="436"/>
      <c r="AT103" s="2"/>
      <c r="AU103" s="2"/>
      <c r="AV103" s="2"/>
      <c r="AW103" s="433"/>
      <c r="AX103" s="2"/>
      <c r="AY103" s="2"/>
      <c r="AZ103" s="433"/>
      <c r="BA103" s="2"/>
      <c r="BB103" s="2"/>
      <c r="BC103" s="2"/>
      <c r="BD103" s="2"/>
      <c r="BE103" s="2"/>
      <c r="BF103" s="433"/>
      <c r="BG103" s="2"/>
      <c r="BH103" s="2"/>
      <c r="BI103" s="2"/>
      <c r="BJ103" s="2"/>
      <c r="BK103" s="2"/>
      <c r="BL103" s="2"/>
      <c r="BM103" s="2"/>
      <c r="BN103" s="2">
        <f t="shared" si="221"/>
        <v>0</v>
      </c>
      <c r="BO103" s="2"/>
      <c r="BP103" s="2"/>
      <c r="BQ103" s="2"/>
      <c r="BR103" s="2">
        <f t="shared" si="223"/>
        <v>0</v>
      </c>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66"/>
      <c r="DX103" s="441"/>
    </row>
    <row r="104" spans="1:128">
      <c r="A104" s="433">
        <v>9</v>
      </c>
      <c r="B104" s="433" t="s">
        <v>210</v>
      </c>
      <c r="C104" s="467" t="s">
        <v>169</v>
      </c>
      <c r="D104" s="468">
        <v>0.1391</v>
      </c>
      <c r="E104" s="442">
        <v>25500</v>
      </c>
      <c r="F104" s="437" t="s">
        <v>1001</v>
      </c>
      <c r="G104" s="438">
        <v>39735</v>
      </c>
      <c r="H104" s="438"/>
      <c r="I104" s="438"/>
      <c r="J104" s="438"/>
      <c r="K104" s="438"/>
      <c r="L104" s="438"/>
      <c r="M104" s="433">
        <f>IF(($M$6-G104+1)&gt;365,365,($M$6-G104+1))-3</f>
        <v>166</v>
      </c>
      <c r="N104" s="436">
        <f>ROUND(E104*M104/365*D104,0)</f>
        <v>1613</v>
      </c>
      <c r="O104" s="436">
        <f>E104-N104</f>
        <v>23887</v>
      </c>
      <c r="P104" s="433">
        <f>IF(($P$6-G104+1)&gt;365,365,($P$6-G104+1))</f>
        <v>365</v>
      </c>
      <c r="Q104" s="436">
        <f>ROUND(O104*D104/365*P104,0)</f>
        <v>3323</v>
      </c>
      <c r="R104" s="436">
        <f>O104-Q104</f>
        <v>20564</v>
      </c>
      <c r="S104" s="433">
        <f>IF(($S$6-G104+1)&gt;365,365,($S$6-G104+1))</f>
        <v>365</v>
      </c>
      <c r="T104" s="436">
        <f>ROUND(R104*D104/365*S104,0)</f>
        <v>2860</v>
      </c>
      <c r="U104" s="436">
        <f>R104-T104</f>
        <v>17704</v>
      </c>
      <c r="V104" s="433">
        <f>IF(($V$6-G104+1)&gt;365,365,($V$6-G104+1))</f>
        <v>365</v>
      </c>
      <c r="W104" s="436">
        <f>ROUND((R104-T104)*D104/365*V104,0)</f>
        <v>2463</v>
      </c>
      <c r="X104" s="436">
        <f>IF((U104-W104)&gt;0,U104-W104,E104-W104)</f>
        <v>15241</v>
      </c>
      <c r="Y104" s="433">
        <f>IF(($Y$6-G104+1)&gt;365,365,($Y$6-G104+1))</f>
        <v>365</v>
      </c>
      <c r="Z104" s="436">
        <f>ROUND(IF(X104&gt;0,X104*$D104/365*Y104,($E104*$D104*Y104/365)),0)</f>
        <v>2120</v>
      </c>
      <c r="AA104" s="436">
        <f>IF((X104-Z104)&gt;0,X104-Z104,$E104-Z104)</f>
        <v>13121</v>
      </c>
      <c r="AB104" s="433">
        <f>IF(($AB$6-G104+1)&gt;365,365,($AB$6-G104+1))</f>
        <v>365</v>
      </c>
      <c r="AC104" s="436">
        <f>ROUND(IF(AA104&gt;0,AA104*$D104/365*AB104,($E104*$D104*AB104/365)),0)</f>
        <v>1825</v>
      </c>
      <c r="AD104" s="436">
        <f>IF((AA104-AC104)&gt;0,AA104-AC104,$E104-AC104)</f>
        <v>11296</v>
      </c>
      <c r="AE104" s="436">
        <f>T104+W104+Z104+AC104+Q104+N104</f>
        <v>14204</v>
      </c>
      <c r="AF104" s="436">
        <f>E104-AE104</f>
        <v>11296</v>
      </c>
      <c r="AG104" s="436">
        <f>AD104-AF104</f>
        <v>0</v>
      </c>
      <c r="AH104" s="436">
        <f>($AH$6-G104+1)/365</f>
        <v>5.4657534246575343</v>
      </c>
      <c r="AI104" s="439">
        <v>10</v>
      </c>
      <c r="AJ104" s="436">
        <f>AI104-AH104</f>
        <v>4.5342465753424657</v>
      </c>
      <c r="AK104" s="440">
        <f>IF(AJ104&gt;0,1-(((E104*$AJ$4)/AF104)^(1/AJ104)),0)</f>
        <v>0.38190732055631915</v>
      </c>
      <c r="AL104" s="2">
        <f>IF(AJ104&lt;0,AF104-(E104*5%),0)</f>
        <v>0</v>
      </c>
      <c r="AM104" s="433">
        <f>IF(($AM$6-$G104+1)&gt;365,365,($AM$6-$G104+1))</f>
        <v>365</v>
      </c>
      <c r="AN104" s="436">
        <f>ROUND(IF(AF104&gt;0,AF104*$D104/365*AM104,($E104*$D104*AM104/365)),0)</f>
        <v>1571</v>
      </c>
      <c r="AO104" s="436">
        <f>MIN(ROUND(IF(AL104&gt;0,0,(AK104*AF104)*AM104/365),0),AF104-(E104*5%))</f>
        <v>4314</v>
      </c>
      <c r="AP104" s="436">
        <f>+IF(AJ104&lt;1,(E104*5%),IF(AF104&gt;0,AF104-AO104,E104-AO104))</f>
        <v>6982</v>
      </c>
      <c r="AQ104" s="436">
        <f>AF104-AO104-AL104</f>
        <v>6982</v>
      </c>
      <c r="AR104" s="436">
        <f>$AF104-($AL104+$AO104+$AP104)</f>
        <v>0</v>
      </c>
      <c r="AS104" s="436">
        <f>AO104-AN104</f>
        <v>2743</v>
      </c>
      <c r="AT104" s="2">
        <f>AF104-AN104</f>
        <v>9725</v>
      </c>
      <c r="AU104" s="2">
        <f>AT104-AS104-AL104</f>
        <v>6982</v>
      </c>
      <c r="AV104" s="2">
        <f>AU104-AQ104</f>
        <v>0</v>
      </c>
      <c r="AW104" s="433">
        <f>IF(($AW$6-$G104+1)&gt;365,365,($AW$6-$G104+1))</f>
        <v>365</v>
      </c>
      <c r="AX104" s="2">
        <f>AQ104*AK104</f>
        <v>2666.4769121242202</v>
      </c>
      <c r="AY104" s="2">
        <f>AQ104-AX104</f>
        <v>4315.5230878757793</v>
      </c>
      <c r="AZ104" s="433">
        <f>IF(($AZ$6-$G104+1)&gt;365,365,($AZ$6-$G104+1))</f>
        <v>365</v>
      </c>
      <c r="BA104" s="2">
        <f>AY104*AK104</f>
        <v>1648.1298592895714</v>
      </c>
      <c r="BB104" s="2">
        <f>AY104-BA104</f>
        <v>2667.3932285862079</v>
      </c>
      <c r="BC104" s="2">
        <f t="shared" ref="BC104:BC122" si="250">5*365</f>
        <v>1825</v>
      </c>
      <c r="BD104" s="433">
        <f>+$BD$6-G104</f>
        <v>3090</v>
      </c>
      <c r="BE104" s="439">
        <f>+BC104-BD104</f>
        <v>-1265</v>
      </c>
      <c r="BF104" s="433">
        <f>IF(($BF$6-$G104+1)&gt;365,365,($BF$6-$G104+1))</f>
        <v>365</v>
      </c>
      <c r="BG104" s="2">
        <f>IF((BB104-(BB104*$AK$32))&gt;$E104*5%,BB104*$AK$32,BB104-($E104*5%))</f>
        <v>253.11016853757707</v>
      </c>
      <c r="BH104" s="2">
        <f>+BB104-BG104</f>
        <v>2414.2830600486309</v>
      </c>
      <c r="BI104" s="2">
        <f>IF((BH104-(BH104*$AK$32))&gt;$E104*5%,BH104*$AK$32,BH104-($E104*5%))</f>
        <v>229.09242839692419</v>
      </c>
      <c r="BJ104" s="2">
        <f>+BH104-BI104</f>
        <v>2185.1906316517066</v>
      </c>
      <c r="BK104" s="395">
        <f>IF((BJ104-(BJ104*$AK$32))&gt;$E104*5%,BJ104*$AK$32,BJ104-($E104*5%))</f>
        <v>207.35374264905553</v>
      </c>
      <c r="BL104" s="2">
        <f t="shared" ref="BL104:BL125" si="251">+BJ104-BK104</f>
        <v>1977.8368890026511</v>
      </c>
      <c r="BM104" s="2"/>
      <c r="BN104" s="2">
        <f t="shared" si="221"/>
        <v>1977.8368890026511</v>
      </c>
      <c r="BO104" s="2">
        <f>IF((BL104-(BL104*$AK$32))&gt;$E104*5%,BL104*$AK$32,BL104-($E104*5%))</f>
        <v>187.67785077591861</v>
      </c>
      <c r="BP104" s="2">
        <f>+BL104-BO104</f>
        <v>1790.1590382267325</v>
      </c>
      <c r="BQ104" s="2"/>
      <c r="BR104" s="2">
        <f t="shared" si="223"/>
        <v>1790.1590382267325</v>
      </c>
      <c r="BS104" s="624">
        <f>BP104-BT104</f>
        <v>515.15903822673249</v>
      </c>
      <c r="BT104" s="2">
        <f>E104*5/100</f>
        <v>1275</v>
      </c>
      <c r="BU104" s="2">
        <f>IF((BT104-(BT104*$AK$32))&gt;$E104*5%,BT104*$AK$32,BT104-($E104*5%))</f>
        <v>0</v>
      </c>
      <c r="BV104" s="2">
        <f>+BT104-BU104</f>
        <v>1275</v>
      </c>
      <c r="BW104" s="2">
        <f>IF((BV104-(BV104*$AK$32))&gt;$E104*5%,BV104*$AK$32,BV104-($E104*5%))</f>
        <v>0</v>
      </c>
      <c r="BX104" s="2">
        <f>+BV104-BW104</f>
        <v>1275</v>
      </c>
      <c r="BY104" s="2">
        <f>IF((BX104-(BX104*$AK$32))&gt;$E104*5%,BX104*$AK$32,BX104-($E104*5%))</f>
        <v>0</v>
      </c>
      <c r="BZ104" s="2">
        <f>+BX104-BY104</f>
        <v>1275</v>
      </c>
      <c r="CA104" s="2">
        <f>IF((BZ104-(BZ104*$AK$32))&gt;$E104*5%,BZ104*$AK$32,BZ104-($E104*5%))</f>
        <v>0</v>
      </c>
      <c r="CB104" s="2">
        <f>+BZ104-CA104</f>
        <v>1275</v>
      </c>
      <c r="CC104" s="2">
        <f>IF((CB104-(CB104*$AK$32))&gt;$E104*5%,CB104*$AK$32,CB104-($E104*5%))</f>
        <v>0</v>
      </c>
      <c r="CD104" s="2">
        <f>+CB104-CC104</f>
        <v>1275</v>
      </c>
      <c r="CE104" s="2">
        <f>IF((CD104-(CD104*$AK$32))&gt;$E104*5%,CD104*$AK$32,CD104-($E104*5%))</f>
        <v>0</v>
      </c>
      <c r="CF104" s="2">
        <f>+CD104-CE104</f>
        <v>1275</v>
      </c>
      <c r="CG104" s="2">
        <f>IF((CF104-(CF104*$AK$32))&gt;$E104*5%,CF104*$AK$32,CF104-($E104*5%))</f>
        <v>0</v>
      </c>
      <c r="CH104" s="2">
        <f>+CF104-CG104</f>
        <v>1275</v>
      </c>
      <c r="CI104" s="2">
        <f>IF((CH104-(CH104*$AK$32))&gt;$E104*5%,CH104*$AK$32,CH104-($E104*5%))</f>
        <v>0</v>
      </c>
      <c r="CJ104" s="2">
        <f>+CH104-CI104</f>
        <v>1275</v>
      </c>
      <c r="CK104" s="2">
        <f>IF((CJ104-(CJ104*$AK$32))&gt;$E104*5%,CJ104*$AK$32,CJ104-($E104*5%))</f>
        <v>0</v>
      </c>
      <c r="CL104" s="2">
        <f>+CJ104-CK104</f>
        <v>1275</v>
      </c>
      <c r="CM104" s="2">
        <f>IF((CL104-(CL104*$AK$32))&gt;$E104*5%,CL104*$AK$32,CL104-($E104*5%))</f>
        <v>0</v>
      </c>
      <c r="CN104" s="2">
        <f>+CL104-CM104</f>
        <v>1275</v>
      </c>
      <c r="CO104" s="2">
        <f>IF((CN104-(CN104*$AK$32))&gt;$E104*5%,CN104*$AK$32,CN104-($E104*5%))</f>
        <v>0</v>
      </c>
      <c r="CP104" s="2">
        <f>+CN104-CO104</f>
        <v>1275</v>
      </c>
      <c r="CQ104" s="2">
        <f>IF((CP104-(CP104*$AK$32))&gt;$E104*5%,CP104*$AK$32,CP104-($E104*5%))</f>
        <v>0</v>
      </c>
      <c r="CR104" s="2">
        <f>+CP104-CQ104</f>
        <v>1275</v>
      </c>
      <c r="CS104" s="2">
        <f>IF((CR104-(CR104*$AK$32))&gt;$E104*5%,CR104*$AK$32,CR104-($E104*5%))</f>
        <v>0</v>
      </c>
      <c r="CT104" s="2">
        <f>+CR104-CS104</f>
        <v>1275</v>
      </c>
      <c r="CU104" s="2">
        <f>IF((CT104-(CT104*$AK$32))&gt;$E104*5%,CT104*$AK$32,CT104-($E104*5%))</f>
        <v>0</v>
      </c>
      <c r="CV104" s="2">
        <f>+CT104-CU104</f>
        <v>1275</v>
      </c>
      <c r="CW104" s="2">
        <f>IF((CV104-(CV104*$AK$32))&gt;$E104*5%,CV104*$AK$32,CV104-($E104*5%))</f>
        <v>0</v>
      </c>
      <c r="CX104" s="2">
        <f>+CV104-CW104</f>
        <v>1275</v>
      </c>
      <c r="CY104" s="2">
        <f>IF((CX104-(CX104*$AK$32))&gt;$E104*5%,CX104*$AK$32,CX104-($E104*5%))</f>
        <v>0</v>
      </c>
      <c r="CZ104" s="2">
        <f>+CX104-CY104</f>
        <v>1275</v>
      </c>
      <c r="DA104" s="2">
        <f>IF((CZ104-(CZ104*$AK$32))&gt;$E104*5%,CZ104*$AK$32,CZ104-($E104*5%))</f>
        <v>0</v>
      </c>
      <c r="DB104" s="2">
        <f>+CZ104-DA104</f>
        <v>1275</v>
      </c>
      <c r="DC104" s="2">
        <f>IF((DB104-(DB104*$AK$32))&gt;$E104*5%,DB104*$AK$32,DB104-($E104*5%))</f>
        <v>0</v>
      </c>
      <c r="DD104" s="2">
        <f>+DB104-DC104</f>
        <v>1275</v>
      </c>
      <c r="DE104" s="2">
        <f>IF((DD104-(DD104*$AK$32))&gt;$E104*5%,DD104*$AK$32,DD104-($E104*5%))</f>
        <v>0</v>
      </c>
      <c r="DF104" s="2">
        <f>+DD104-DE104</f>
        <v>1275</v>
      </c>
      <c r="DG104" s="2">
        <f>IF((DF104-(DF104*$AK$32))&gt;$E104*5%,DF104*$AK$32,DF104-($E104*5%))</f>
        <v>0</v>
      </c>
      <c r="DH104" s="2">
        <f>+DF104-DG104</f>
        <v>1275</v>
      </c>
      <c r="DI104" s="2">
        <f>IF((DH104-(DH104*$AK$32))&gt;$E104*5%,DH104*$AK$32,DH104-($E104*5%))</f>
        <v>0</v>
      </c>
      <c r="DJ104" s="2">
        <f>+DH104-DI104</f>
        <v>1275</v>
      </c>
      <c r="DK104" s="2">
        <f>IF((DJ104-(DJ104*$AK$32))&gt;$E104*5%,DJ104*$AK$32,DJ104-($E104*5%))</f>
        <v>0</v>
      </c>
      <c r="DL104" s="2">
        <f>+DJ104-DK104</f>
        <v>1275</v>
      </c>
      <c r="DM104" s="2">
        <f>IF((DL104-(DL104*$AK$32))&gt;$E104*5%,DL104*$AK$32,DL104-($E104*5%))</f>
        <v>0</v>
      </c>
      <c r="DN104" s="2">
        <f>+DL104-DM104</f>
        <v>1275</v>
      </c>
      <c r="DO104" s="2">
        <f>IF((DN104-(DN104*$AK$32))&gt;$E104*5%,DN104*$AK$32,DN104-($E104*5%))</f>
        <v>0</v>
      </c>
      <c r="DP104" s="2">
        <f>+DN104-DO104</f>
        <v>1275</v>
      </c>
      <c r="DQ104" s="2">
        <f>IF((DP104-(DP104*$AK$32))&gt;$E104*5%,DP104*$AK$32,DP104-($E104*5%))</f>
        <v>0</v>
      </c>
      <c r="DR104" s="2">
        <f>+DP104-DQ104</f>
        <v>1275</v>
      </c>
      <c r="DS104" s="2"/>
      <c r="DT104" s="2">
        <f>+DR104-DS104</f>
        <v>1275</v>
      </c>
      <c r="DU104" s="2"/>
      <c r="DV104" s="2"/>
      <c r="DW104" s="266">
        <f>+E104*5%</f>
        <v>1275</v>
      </c>
      <c r="DX104" s="441">
        <f>+DW104-DR104</f>
        <v>0</v>
      </c>
    </row>
    <row r="105" spans="1:128">
      <c r="A105" s="433"/>
      <c r="B105" s="433"/>
      <c r="C105" s="467"/>
      <c r="D105" s="468"/>
      <c r="E105" s="442"/>
      <c r="F105" s="437"/>
      <c r="G105" s="438"/>
      <c r="H105" s="438"/>
      <c r="I105" s="438"/>
      <c r="J105" s="438"/>
      <c r="K105" s="438"/>
      <c r="L105" s="438"/>
      <c r="M105" s="433"/>
      <c r="N105" s="436"/>
      <c r="O105" s="436"/>
      <c r="P105" s="433"/>
      <c r="Q105" s="436"/>
      <c r="R105" s="436"/>
      <c r="S105" s="433"/>
      <c r="T105" s="436"/>
      <c r="U105" s="436"/>
      <c r="V105" s="433"/>
      <c r="W105" s="436"/>
      <c r="X105" s="436"/>
      <c r="Y105" s="433"/>
      <c r="Z105" s="436"/>
      <c r="AA105" s="436"/>
      <c r="AB105" s="433"/>
      <c r="AC105" s="436"/>
      <c r="AD105" s="436"/>
      <c r="AE105" s="436"/>
      <c r="AF105" s="436"/>
      <c r="AG105" s="436"/>
      <c r="AH105" s="436"/>
      <c r="AI105" s="439"/>
      <c r="AJ105" s="436"/>
      <c r="AK105" s="440"/>
      <c r="AL105" s="2"/>
      <c r="AM105" s="433"/>
      <c r="AN105" s="436"/>
      <c r="AO105" s="436"/>
      <c r="AP105" s="436"/>
      <c r="AQ105" s="436"/>
      <c r="AR105" s="436"/>
      <c r="AS105" s="436"/>
      <c r="AT105" s="2"/>
      <c r="AU105" s="2"/>
      <c r="AV105" s="2"/>
      <c r="AW105" s="433"/>
      <c r="AX105" s="2"/>
      <c r="AY105" s="2"/>
      <c r="AZ105" s="433"/>
      <c r="BA105" s="2"/>
      <c r="BB105" s="2"/>
      <c r="BC105" s="2"/>
      <c r="BD105" s="433"/>
      <c r="BE105" s="439"/>
      <c r="BF105" s="433"/>
      <c r="BG105" s="2"/>
      <c r="BH105" s="2"/>
      <c r="BI105" s="2"/>
      <c r="BJ105" s="2"/>
      <c r="BK105" s="2"/>
      <c r="BL105" s="2">
        <f t="shared" si="251"/>
        <v>0</v>
      </c>
      <c r="BM105" s="2"/>
      <c r="BN105" s="2">
        <f t="shared" si="221"/>
        <v>0</v>
      </c>
      <c r="BO105" s="2"/>
      <c r="BP105" s="2"/>
      <c r="BQ105" s="2"/>
      <c r="BR105" s="2">
        <f t="shared" si="223"/>
        <v>0</v>
      </c>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66"/>
      <c r="DX105" s="441"/>
    </row>
    <row r="106" spans="1:128">
      <c r="A106" s="433">
        <v>17</v>
      </c>
      <c r="B106" s="433" t="s">
        <v>171</v>
      </c>
      <c r="C106" s="467" t="s">
        <v>173</v>
      </c>
      <c r="D106" s="468">
        <v>0.1391</v>
      </c>
      <c r="E106" s="442">
        <v>1700</v>
      </c>
      <c r="F106" s="437" t="s">
        <v>1001</v>
      </c>
      <c r="G106" s="438">
        <v>39719</v>
      </c>
      <c r="H106" s="438"/>
      <c r="I106" s="438"/>
      <c r="J106" s="438"/>
      <c r="K106" s="438"/>
      <c r="L106" s="438"/>
      <c r="M106" s="439">
        <f>$M$6-G106+1-3</f>
        <v>182</v>
      </c>
      <c r="N106" s="436">
        <f>ROUND(E106*M106/365*D106,0)</f>
        <v>118</v>
      </c>
      <c r="O106" s="436">
        <f>E106-N106</f>
        <v>1582</v>
      </c>
      <c r="P106" s="433">
        <f>IF(($P$6-G106+1)&gt;365,365,($P$6-G106+1))</f>
        <v>365</v>
      </c>
      <c r="Q106" s="436">
        <f>ROUND(E106*D106/365*P106,0)-16</f>
        <v>220</v>
      </c>
      <c r="R106" s="436">
        <f>O106-Q106</f>
        <v>1362</v>
      </c>
      <c r="S106" s="433">
        <f>IF(($S$6-G106+1)&gt;365,365,($S$6-G106+1))</f>
        <v>365</v>
      </c>
      <c r="T106" s="436">
        <f>ROUND(R106*D106/365*S106,0)</f>
        <v>189</v>
      </c>
      <c r="U106" s="436">
        <f>R106-T106</f>
        <v>1173</v>
      </c>
      <c r="V106" s="433">
        <f>IF(($V$6-G106+1)&gt;365,365,($V$6-G106+1))</f>
        <v>365</v>
      </c>
      <c r="W106" s="436">
        <f>ROUND(U106*D106*V106/365,0)</f>
        <v>163</v>
      </c>
      <c r="X106" s="436">
        <f>IF((U106-W106)&gt;0,U106-W106,E106-W106)</f>
        <v>1010</v>
      </c>
      <c r="Y106" s="433">
        <f>IF(($Y$6-G106+1)&gt;365,365,($Y$6-G106+1))</f>
        <v>365</v>
      </c>
      <c r="Z106" s="436">
        <f>ROUND(IF(X106&gt;0,X106*$D106/365*Y106,($E106*$D106*Y106/365)),0)</f>
        <v>140</v>
      </c>
      <c r="AA106" s="436">
        <f>IF((X106-Z106)&gt;0,X106-Z106,$E106-Z106)</f>
        <v>870</v>
      </c>
      <c r="AB106" s="433">
        <f>IF(($AB$6-G106+1)&gt;365,365,($AB$6-G106+1))</f>
        <v>365</v>
      </c>
      <c r="AC106" s="436">
        <f>ROUND(IF(AA106&gt;0,AA106*$D106/365*AB106,($E106*$D106*AB106/365)),0)</f>
        <v>121</v>
      </c>
      <c r="AD106" s="436">
        <f>IF((AA106-AC106)&gt;0,AA106-AC106,$E106-AC106)</f>
        <v>749</v>
      </c>
      <c r="AE106" s="436">
        <f>T106+W106+Z106+AC106+Q106+N106</f>
        <v>951</v>
      </c>
      <c r="AF106" s="436">
        <f>E106-AE106</f>
        <v>749</v>
      </c>
      <c r="AG106" s="436">
        <f>AD106-AF106</f>
        <v>0</v>
      </c>
      <c r="AH106" s="436">
        <f>($AH$6-G106+1)/365</f>
        <v>5.5095890410958903</v>
      </c>
      <c r="AI106" s="439">
        <v>5</v>
      </c>
      <c r="AJ106" s="436">
        <f>AI106-AH106</f>
        <v>-0.50958904109589032</v>
      </c>
      <c r="AK106" s="440">
        <f>IF(AJ106&gt;0,1-(((E106*$AJ$4)/AF106)^(1/AJ106)),0)</f>
        <v>0</v>
      </c>
      <c r="AL106" s="2">
        <f>IF(AJ106&lt;0,AF106-(E106*5%),0)</f>
        <v>664</v>
      </c>
      <c r="AM106" s="433">
        <f>IF(($AM$6-$G106+1)&gt;365,365,($AM$6-$G106+1))</f>
        <v>365</v>
      </c>
      <c r="AN106" s="436">
        <f>ROUND(IF(AF106&gt;0,AF106*$D106/365*AM106,($E106*$D106*AM106/365)),0)</f>
        <v>104</v>
      </c>
      <c r="AO106" s="436">
        <f>MIN(ROUND(IF(AL106&gt;0,0,(AK106*AF106)*AM106/365),0),AF106-(E106*5%))</f>
        <v>0</v>
      </c>
      <c r="AP106" s="436">
        <f>+IF(AJ106&lt;1,(E106*5%),IF(AF106&gt;0,AF106-AO106,E106-AO106))</f>
        <v>85</v>
      </c>
      <c r="AQ106" s="436">
        <f>AF106-AO106-AL106</f>
        <v>85</v>
      </c>
      <c r="AR106" s="436">
        <f>$AF106-($AL106+$AO106+$AP106)</f>
        <v>0</v>
      </c>
      <c r="AS106" s="436">
        <f>AO106-AN106</f>
        <v>-104</v>
      </c>
      <c r="AT106" s="2">
        <f>AF106-AN106</f>
        <v>645</v>
      </c>
      <c r="AU106" s="2">
        <f>AT106-AS106-AL106</f>
        <v>85</v>
      </c>
      <c r="AV106" s="2">
        <f>AU106-AQ106</f>
        <v>0</v>
      </c>
      <c r="AW106" s="433">
        <f>IF(($AW$6-$G106+1)&gt;365,365,($AW$6-$G106+1))</f>
        <v>365</v>
      </c>
      <c r="AX106" s="2">
        <v>0</v>
      </c>
      <c r="AY106" s="2">
        <f>AQ106-AX106</f>
        <v>85</v>
      </c>
      <c r="AZ106" s="433">
        <f>IF(($AZ$6-$G106+1)&gt;365,365,($AZ$6-$G106+1))</f>
        <v>365</v>
      </c>
      <c r="BA106" s="2">
        <f>AY106*AK106</f>
        <v>0</v>
      </c>
      <c r="BB106" s="2">
        <f>AY106-BA106</f>
        <v>85</v>
      </c>
      <c r="BC106" s="2">
        <f t="shared" si="250"/>
        <v>1825</v>
      </c>
      <c r="BD106" s="433">
        <f>+$BD$6-G106</f>
        <v>3106</v>
      </c>
      <c r="BE106" s="439">
        <f>+BC106-BD106</f>
        <v>-1281</v>
      </c>
      <c r="BF106" s="433">
        <f>IF(($BF$6-$G106+1)&gt;365,365,($BF$6-$G106+1))</f>
        <v>365</v>
      </c>
      <c r="BG106" s="2">
        <f>IF((BB106-(BB106*$AK$32))&gt;$E106*5%,BB106*$AK$32,BB106-($E106*5%))</f>
        <v>0</v>
      </c>
      <c r="BH106" s="2">
        <f>+BB106-BG106</f>
        <v>85</v>
      </c>
      <c r="BI106" s="2">
        <f>IF((BH106-(BH106*$AK$32))&gt;$E106*5%,BH106*$AK$32,BH106-($E106*5%))</f>
        <v>0</v>
      </c>
      <c r="BJ106" s="2">
        <f>+BH106-BI106</f>
        <v>85</v>
      </c>
      <c r="BK106" s="395">
        <f>IF((BJ106-(BJ106*$AK$32))&gt;$E106*5%,BJ106*$AK$32,BJ106-($E106*5%))</f>
        <v>0</v>
      </c>
      <c r="BL106" s="2">
        <f t="shared" si="251"/>
        <v>85</v>
      </c>
      <c r="BM106" s="2"/>
      <c r="BN106" s="2">
        <f t="shared" si="221"/>
        <v>85</v>
      </c>
      <c r="BO106" s="2">
        <f>IF((BL106-(BL106*$AK$32))&gt;$E106*5%,BL106*$AK$32,BL106-($E106*5%))</f>
        <v>0</v>
      </c>
      <c r="BP106" s="267">
        <f>+BL106-BO106</f>
        <v>85</v>
      </c>
      <c r="BQ106" s="267"/>
      <c r="BR106" s="2">
        <f t="shared" si="223"/>
        <v>85</v>
      </c>
      <c r="BS106" s="2">
        <f>IF((BP106-(BP106*$AK$32))&gt;$E106*5%,BP106*$AK$32,BP106-($E106*5%))</f>
        <v>0</v>
      </c>
      <c r="BT106" s="2">
        <f>+BP106-BS106</f>
        <v>85</v>
      </c>
      <c r="BU106" s="2">
        <f>IF((BT106-(BT106*$AK$32))&gt;$E106*5%,BT106*$AK$32,BT106-($E106*5%))</f>
        <v>0</v>
      </c>
      <c r="BV106" s="2">
        <f>+BT106-BU106</f>
        <v>85</v>
      </c>
      <c r="BW106" s="2">
        <f>IF((BV106-(BV106*$AK$32))&gt;$E106*5%,BV106*$AK$32,BV106-($E106*5%))</f>
        <v>0</v>
      </c>
      <c r="BX106" s="2">
        <f>+BV106-BW106</f>
        <v>85</v>
      </c>
      <c r="BY106" s="2">
        <f>IF((BX106-(BX106*$AK$32))&gt;$E106*5%,BX106*$AK$32,BX106-($E106*5%))</f>
        <v>0</v>
      </c>
      <c r="BZ106" s="2">
        <f>+BX106-BY106</f>
        <v>85</v>
      </c>
      <c r="CA106" s="2">
        <f>IF((BZ106-(BZ106*$AK$32))&gt;$E106*5%,BZ106*$AK$32,BZ106-($E106*5%))</f>
        <v>0</v>
      </c>
      <c r="CB106" s="2">
        <f>+BZ106-CA106</f>
        <v>85</v>
      </c>
      <c r="CC106" s="2">
        <f>IF((CB106-(CB106*$AK$32))&gt;$E106*5%,CB106*$AK$32,CB106-($E106*5%))</f>
        <v>0</v>
      </c>
      <c r="CD106" s="2">
        <f>+CB106-CC106</f>
        <v>85</v>
      </c>
      <c r="CE106" s="2">
        <f>IF((CD106-(CD106*$AK$32))&gt;$E106*5%,CD106*$AK$32,CD106-($E106*5%))</f>
        <v>0</v>
      </c>
      <c r="CF106" s="2">
        <f>+CD106-CE106</f>
        <v>85</v>
      </c>
      <c r="CG106" s="2">
        <f>IF((CF106-(CF106*$AK$32))&gt;$E106*5%,CF106*$AK$32,CF106-($E106*5%))</f>
        <v>0</v>
      </c>
      <c r="CH106" s="2">
        <f>+CF106-CG106</f>
        <v>85</v>
      </c>
      <c r="CI106" s="2">
        <f>IF((CH106-(CH106*$AK$32))&gt;$E106*5%,CH106*$AK$32,CH106-($E106*5%))</f>
        <v>0</v>
      </c>
      <c r="CJ106" s="2">
        <f>+CH106-CI106</f>
        <v>85</v>
      </c>
      <c r="CK106" s="2">
        <f>IF((CJ106-(CJ106*$AK$32))&gt;$E106*5%,CJ106*$AK$32,CJ106-($E106*5%))</f>
        <v>0</v>
      </c>
      <c r="CL106" s="2">
        <f>+CJ106-CK106</f>
        <v>85</v>
      </c>
      <c r="CM106" s="2">
        <f>IF((CL106-(CL106*$AK$32))&gt;$E106*5%,CL106*$AK$32,CL106-($E106*5%))</f>
        <v>0</v>
      </c>
      <c r="CN106" s="2">
        <f>+CL106-CM106</f>
        <v>85</v>
      </c>
      <c r="CO106" s="2">
        <f>IF((CN106-(CN106*$AK$32))&gt;$E106*5%,CN106*$AK$32,CN106-($E106*5%))</f>
        <v>0</v>
      </c>
      <c r="CP106" s="2">
        <f>+CN106-CO106</f>
        <v>85</v>
      </c>
      <c r="CQ106" s="2">
        <f>IF((CP106-(CP106*$AK$32))&gt;$E106*5%,CP106*$AK$32,CP106-($E106*5%))</f>
        <v>0</v>
      </c>
      <c r="CR106" s="2">
        <f>+CP106-CQ106</f>
        <v>85</v>
      </c>
      <c r="CS106" s="2">
        <f>IF((CR106-(CR106*$AK$32))&gt;$E106*5%,CR106*$AK$32,CR106-($E106*5%))</f>
        <v>0</v>
      </c>
      <c r="CT106" s="2">
        <f>+CR106-CS106</f>
        <v>85</v>
      </c>
      <c r="CU106" s="2">
        <f>IF((CT106-(CT106*$AK$32))&gt;$E106*5%,CT106*$AK$32,CT106-($E106*5%))</f>
        <v>0</v>
      </c>
      <c r="CV106" s="2">
        <f>+CT106-CU106</f>
        <v>85</v>
      </c>
      <c r="CW106" s="2">
        <f>IF((CV106-(CV106*$AK$32))&gt;$E106*5%,CV106*$AK$32,CV106-($E106*5%))</f>
        <v>0</v>
      </c>
      <c r="CX106" s="2">
        <f>+CV106-CW106</f>
        <v>85</v>
      </c>
      <c r="CY106" s="2">
        <f>IF((CX106-(CX106*$AK$32))&gt;$E106*5%,CX106*$AK$32,CX106-($E106*5%))</f>
        <v>0</v>
      </c>
      <c r="CZ106" s="2">
        <f>+CX106-CY106</f>
        <v>85</v>
      </c>
      <c r="DA106" s="2">
        <f>IF((CZ106-(CZ106*$AK$32))&gt;$E106*5%,CZ106*$AK$32,CZ106-($E106*5%))</f>
        <v>0</v>
      </c>
      <c r="DB106" s="2">
        <f>+CZ106-DA106</f>
        <v>85</v>
      </c>
      <c r="DC106" s="2">
        <f>IF((DB106-(DB106*$AK$32))&gt;$E106*5%,DB106*$AK$32,DB106-($E106*5%))</f>
        <v>0</v>
      </c>
      <c r="DD106" s="2">
        <f>+DB106-DC106</f>
        <v>85</v>
      </c>
      <c r="DE106" s="2">
        <f>IF((DD106-(DD106*$AK$32))&gt;$E106*5%,DD106*$AK$32,DD106-($E106*5%))</f>
        <v>0</v>
      </c>
      <c r="DF106" s="2">
        <f>+DD106-DE106</f>
        <v>85</v>
      </c>
      <c r="DG106" s="2">
        <f>IF((DF106-(DF106*$AK$32))&gt;$E106*5%,DF106*$AK$32,DF106-($E106*5%))</f>
        <v>0</v>
      </c>
      <c r="DH106" s="2">
        <f>+DF106-DG106</f>
        <v>85</v>
      </c>
      <c r="DI106" s="2">
        <f>IF((DH106-(DH106*$AK$32))&gt;$E106*5%,DH106*$AK$32,DH106-($E106*5%))</f>
        <v>0</v>
      </c>
      <c r="DJ106" s="2">
        <f>+DH106-DI106</f>
        <v>85</v>
      </c>
      <c r="DK106" s="2">
        <f>IF((DJ106-(DJ106*$AK$32))&gt;$E106*5%,DJ106*$AK$32,DJ106-($E106*5%))</f>
        <v>0</v>
      </c>
      <c r="DL106" s="2">
        <f>+DJ106-DK106</f>
        <v>85</v>
      </c>
      <c r="DM106" s="2">
        <f>IF((DL106-(DL106*$AK$32))&gt;$E106*5%,DL106*$AK$32,DL106-($E106*5%))</f>
        <v>0</v>
      </c>
      <c r="DN106" s="2">
        <f>+DL106-DM106</f>
        <v>85</v>
      </c>
      <c r="DO106" s="2">
        <f>IF((DN106-(DN106*$AK$32))&gt;$E106*5%,DN106*$AK$32,DN106-($E106*5%))</f>
        <v>0</v>
      </c>
      <c r="DP106" s="2">
        <f>+DN106-DO106</f>
        <v>85</v>
      </c>
      <c r="DQ106" s="2">
        <f>IF((DP106-(DP106*$AK$32))&gt;$E106*5%,DP106*$AK$32,DP106-($E106*5%))</f>
        <v>0</v>
      </c>
      <c r="DR106" s="2">
        <f>+DP106-DQ106</f>
        <v>85</v>
      </c>
      <c r="DS106" s="2"/>
      <c r="DT106" s="2">
        <f>+DR106-DS106</f>
        <v>85</v>
      </c>
      <c r="DU106" s="2"/>
      <c r="DV106" s="2"/>
      <c r="DW106" s="266">
        <f>+E106*5%</f>
        <v>85</v>
      </c>
      <c r="DX106" s="441">
        <f>+DW106-DR106</f>
        <v>0</v>
      </c>
    </row>
    <row r="107" spans="1:128">
      <c r="A107" s="433">
        <v>18</v>
      </c>
      <c r="B107" s="413" t="s">
        <v>171</v>
      </c>
      <c r="C107" s="467" t="s">
        <v>173</v>
      </c>
      <c r="D107" s="468">
        <v>0.1391</v>
      </c>
      <c r="E107" s="442">
        <v>8200</v>
      </c>
      <c r="F107" s="437" t="s">
        <v>1001</v>
      </c>
      <c r="G107" s="438">
        <v>40017</v>
      </c>
      <c r="H107" s="438"/>
      <c r="I107" s="438"/>
      <c r="J107" s="438"/>
      <c r="K107" s="438"/>
      <c r="L107" s="438"/>
      <c r="M107" s="433"/>
      <c r="N107" s="433"/>
      <c r="O107" s="433"/>
      <c r="P107" s="433">
        <f>IF(($P$6-G107+1)&gt;365,365,($P$6-G107+1))</f>
        <v>252</v>
      </c>
      <c r="Q107" s="436">
        <f>ROUND(E107*D107/365*P107,0)</f>
        <v>787</v>
      </c>
      <c r="R107" s="436">
        <f>E107-Q107</f>
        <v>7413</v>
      </c>
      <c r="S107" s="433">
        <f>IF(($S$6-G107+1)&gt;365,365,($S$6-G107+1))</f>
        <v>365</v>
      </c>
      <c r="T107" s="436">
        <f>ROUND(R107*D107/365*S107,0)</f>
        <v>1031</v>
      </c>
      <c r="U107" s="436">
        <f>R107-T107</f>
        <v>6382</v>
      </c>
      <c r="V107" s="433">
        <f>IF(($V$6-G107+1)&gt;365,365,($V$6-G107+1))</f>
        <v>365</v>
      </c>
      <c r="W107" s="436">
        <f>ROUND(U107*D107*V107/365,0)</f>
        <v>888</v>
      </c>
      <c r="X107" s="436">
        <f>IF((U107-W107)&gt;0,U107-W107,E107-W107)</f>
        <v>5494</v>
      </c>
      <c r="Y107" s="433">
        <f>IF(($Y$6-G107+1)&gt;365,365,($Y$6-G107+1))</f>
        <v>365</v>
      </c>
      <c r="Z107" s="436">
        <f>ROUND(IF(X107&gt;0,X107*$D107/365*Y107,($E107*$D107*Y107/365)),0)</f>
        <v>764</v>
      </c>
      <c r="AA107" s="436">
        <f>IF((X107-Z107)&gt;0,X107-Z107,$E107-Z107)</f>
        <v>4730</v>
      </c>
      <c r="AB107" s="433">
        <f>IF(($AB$6-G107+1)&gt;365,365,($AB$6-G107+1))</f>
        <v>365</v>
      </c>
      <c r="AC107" s="436">
        <f>ROUND(IF(AA107&gt;0,AA107*$D107/365*AB107,($E107*$D107*AB107/365)),0)</f>
        <v>658</v>
      </c>
      <c r="AD107" s="436">
        <f>IF((AA107-AC107)&gt;0,AA107-AC107,$E107-AC107)</f>
        <v>4072</v>
      </c>
      <c r="AE107" s="436">
        <f>T107+W107+Z107+AC107+Q107+N107</f>
        <v>4128</v>
      </c>
      <c r="AF107" s="436">
        <f>E107-AE107</f>
        <v>4072</v>
      </c>
      <c r="AG107" s="436">
        <f>AD107-AF107</f>
        <v>0</v>
      </c>
      <c r="AH107" s="436">
        <f>($AH$6-G107+1)/365</f>
        <v>4.6931506849315072</v>
      </c>
      <c r="AI107" s="439">
        <v>5</v>
      </c>
      <c r="AJ107" s="436">
        <f>AI107-AH107</f>
        <v>0.30684931506849278</v>
      </c>
      <c r="AK107" s="440">
        <f>IF(AJ107&gt;0,1-(((E107*$AJ$4)/AF107)^(1/AJ107)),0)</f>
        <v>0.99943666039516288</v>
      </c>
      <c r="AL107" s="2">
        <f>IF(AJ107&lt;0,AF107-(E107*5%),0)</f>
        <v>0</v>
      </c>
      <c r="AM107" s="433">
        <f>IF(($AM$6-$G107+1)&gt;365,365,($AM$6-$G107+1))</f>
        <v>365</v>
      </c>
      <c r="AN107" s="436">
        <f>ROUND(IF(AF107&gt;0,AF107*$D107/365*AM107,($E107*$D107*AM107/365)),0)</f>
        <v>566</v>
      </c>
      <c r="AO107" s="436">
        <f>MIN(ROUND(IF(AL107&gt;0,0,(AK107*AF107)*AM107/365),0),AF107-(E107*5%))</f>
        <v>3662</v>
      </c>
      <c r="AP107" s="436">
        <f>+IF(AJ107&lt;1,(E107*5%),IF(AF107&gt;0,AF107-AO107,E107-AO107))</f>
        <v>410</v>
      </c>
      <c r="AQ107" s="436">
        <f>AF107-AO107-AL107</f>
        <v>410</v>
      </c>
      <c r="AR107" s="436">
        <f>$AF107-($AL107+$AO107+$AP107)</f>
        <v>0</v>
      </c>
      <c r="AS107" s="436">
        <f>AO107-AN107</f>
        <v>3096</v>
      </c>
      <c r="AT107" s="2">
        <f>AF107-AN107</f>
        <v>3506</v>
      </c>
      <c r="AU107" s="2">
        <f>AT107-AS107-AL107</f>
        <v>410</v>
      </c>
      <c r="AV107" s="2">
        <f>AU107-AQ107</f>
        <v>0</v>
      </c>
      <c r="AW107" s="433">
        <f>IF(($AW$6-$G107+1)&gt;365,365,($AW$6-$G107+1))</f>
        <v>365</v>
      </c>
      <c r="AX107" s="2">
        <v>0</v>
      </c>
      <c r="AY107" s="2">
        <f>AQ107-AX107</f>
        <v>410</v>
      </c>
      <c r="AZ107" s="433">
        <f>IF(($AZ$6-$G107+1)&gt;365,365,($AZ$6-$G107+1))</f>
        <v>365</v>
      </c>
      <c r="BA107" s="2">
        <f>AY107*AK107</f>
        <v>409.76903076201677</v>
      </c>
      <c r="BB107" s="2">
        <f>AY107-BA107</f>
        <v>0.23096923798323132</v>
      </c>
      <c r="BC107" s="2">
        <f t="shared" si="250"/>
        <v>1825</v>
      </c>
      <c r="BD107" s="433">
        <f>+$BD$6-G107</f>
        <v>2808</v>
      </c>
      <c r="BE107" s="439">
        <f>+BC107-BD107</f>
        <v>-983</v>
      </c>
      <c r="BF107" s="433">
        <f>IF(($BF$6-$G107+1)&gt;365,365,($BF$6-$G107+1))</f>
        <v>365</v>
      </c>
      <c r="BG107" s="2">
        <v>0</v>
      </c>
      <c r="BH107" s="2">
        <f>+BB107-BG107</f>
        <v>0.23096923798323132</v>
      </c>
      <c r="BI107" s="2">
        <v>0</v>
      </c>
      <c r="BJ107" s="2">
        <f>+BH107-BI107</f>
        <v>0.23096923798323132</v>
      </c>
      <c r="BK107" s="395">
        <v>0</v>
      </c>
      <c r="BL107" s="2">
        <f t="shared" si="251"/>
        <v>0.23096923798323132</v>
      </c>
      <c r="BM107" s="2"/>
      <c r="BN107" s="2">
        <f t="shared" si="221"/>
        <v>0.23096923798323132</v>
      </c>
      <c r="BO107" s="2">
        <v>0</v>
      </c>
      <c r="BP107" s="267">
        <f>+BL107-BO107</f>
        <v>0.23096923798323132</v>
      </c>
      <c r="BQ107" s="267"/>
      <c r="BR107" s="2">
        <f t="shared" si="223"/>
        <v>0.23096923798323132</v>
      </c>
      <c r="BS107" s="2">
        <v>0</v>
      </c>
      <c r="BT107" s="2">
        <f>+BP107-BS107</f>
        <v>0.23096923798323132</v>
      </c>
      <c r="BU107" s="2">
        <v>0</v>
      </c>
      <c r="BV107" s="2">
        <f>+BT107-BU107</f>
        <v>0.23096923798323132</v>
      </c>
      <c r="BW107" s="2">
        <v>0</v>
      </c>
      <c r="BX107" s="2">
        <f>+BV107-BW107</f>
        <v>0.23096923798323132</v>
      </c>
      <c r="BY107" s="2">
        <v>0</v>
      </c>
      <c r="BZ107" s="2">
        <f>+BX107-BY107</f>
        <v>0.23096923798323132</v>
      </c>
      <c r="CA107" s="2">
        <v>0</v>
      </c>
      <c r="CB107" s="2">
        <f>+BZ107-CA107</f>
        <v>0.23096923798323132</v>
      </c>
      <c r="CC107" s="2">
        <v>0</v>
      </c>
      <c r="CD107" s="2">
        <f>+CB107-CC107</f>
        <v>0.23096923798323132</v>
      </c>
      <c r="CE107" s="2">
        <v>0</v>
      </c>
      <c r="CF107" s="2">
        <f>+CD107-CE107</f>
        <v>0.23096923798323132</v>
      </c>
      <c r="CG107" s="2">
        <v>0</v>
      </c>
      <c r="CH107" s="2">
        <f>+CF107-CG107</f>
        <v>0.23096923798323132</v>
      </c>
      <c r="CI107" s="2">
        <v>0</v>
      </c>
      <c r="CJ107" s="2">
        <f>+CH107-CI107</f>
        <v>0.23096923798323132</v>
      </c>
      <c r="CK107" s="2">
        <v>0</v>
      </c>
      <c r="CL107" s="2">
        <f>+CJ107-CK107</f>
        <v>0.23096923798323132</v>
      </c>
      <c r="CM107" s="2">
        <v>0</v>
      </c>
      <c r="CN107" s="2">
        <f>+CL107-CM107</f>
        <v>0.23096923798323132</v>
      </c>
      <c r="CO107" s="2">
        <v>0</v>
      </c>
      <c r="CP107" s="2">
        <f>+CN107-CO107</f>
        <v>0.23096923798323132</v>
      </c>
      <c r="CQ107" s="2">
        <v>0</v>
      </c>
      <c r="CR107" s="2">
        <f>+CP107-CQ107</f>
        <v>0.23096923798323132</v>
      </c>
      <c r="CS107" s="2">
        <v>0</v>
      </c>
      <c r="CT107" s="2">
        <f>+CR107-CS107</f>
        <v>0.23096923798323132</v>
      </c>
      <c r="CU107" s="2">
        <v>0</v>
      </c>
      <c r="CV107" s="2">
        <f>+CT107-CU107</f>
        <v>0.23096923798323132</v>
      </c>
      <c r="CW107" s="2">
        <v>0</v>
      </c>
      <c r="CX107" s="2">
        <f>+CV107-CW107</f>
        <v>0.23096923798323132</v>
      </c>
      <c r="CY107" s="2">
        <v>0</v>
      </c>
      <c r="CZ107" s="2">
        <f>+CX107-CY107</f>
        <v>0.23096923798323132</v>
      </c>
      <c r="DA107" s="2">
        <v>0</v>
      </c>
      <c r="DB107" s="2">
        <f>+CZ107-DA107</f>
        <v>0.23096923798323132</v>
      </c>
      <c r="DC107" s="2">
        <v>0</v>
      </c>
      <c r="DD107" s="2">
        <f>+DB107-DC107</f>
        <v>0.23096923798323132</v>
      </c>
      <c r="DE107" s="2">
        <v>0</v>
      </c>
      <c r="DF107" s="2">
        <f>+DD107-DE107</f>
        <v>0.23096923798323132</v>
      </c>
      <c r="DG107" s="2">
        <v>0</v>
      </c>
      <c r="DH107" s="2">
        <f>+DF107-DG107</f>
        <v>0.23096923798323132</v>
      </c>
      <c r="DI107" s="2">
        <v>0</v>
      </c>
      <c r="DJ107" s="2">
        <f>+DH107-DI107</f>
        <v>0.23096923798323132</v>
      </c>
      <c r="DK107" s="2">
        <v>0</v>
      </c>
      <c r="DL107" s="2">
        <f>+DJ107-DK107</f>
        <v>0.23096923798323132</v>
      </c>
      <c r="DM107" s="2">
        <v>0</v>
      </c>
      <c r="DN107" s="2">
        <f>+DL107-DM107</f>
        <v>0.23096923798323132</v>
      </c>
      <c r="DO107" s="2">
        <v>0</v>
      </c>
      <c r="DP107" s="2">
        <f>+DN107-DO107</f>
        <v>0.23096923798323132</v>
      </c>
      <c r="DQ107" s="2">
        <v>0</v>
      </c>
      <c r="DR107" s="2">
        <f>+DP107-DQ107</f>
        <v>0.23096923798323132</v>
      </c>
      <c r="DS107" s="2">
        <v>0</v>
      </c>
      <c r="DT107" s="2">
        <f>+DR107-DS107</f>
        <v>0.23096923798323132</v>
      </c>
      <c r="DU107" s="2"/>
      <c r="DV107" s="2"/>
      <c r="DW107" s="266">
        <f>+E107*5%</f>
        <v>410</v>
      </c>
      <c r="DX107" s="441">
        <f>+DW107-DR107</f>
        <v>409.76903076201677</v>
      </c>
    </row>
    <row r="108" spans="1:128">
      <c r="A108" s="433">
        <v>19</v>
      </c>
      <c r="B108" s="433" t="s">
        <v>171</v>
      </c>
      <c r="C108" s="467" t="s">
        <v>173</v>
      </c>
      <c r="D108" s="468">
        <v>0.1391</v>
      </c>
      <c r="E108" s="442">
        <v>6153</v>
      </c>
      <c r="F108" s="437" t="s">
        <v>1001</v>
      </c>
      <c r="G108" s="438">
        <v>40359</v>
      </c>
      <c r="H108" s="438"/>
      <c r="I108" s="438"/>
      <c r="J108" s="438"/>
      <c r="K108" s="438"/>
      <c r="L108" s="438"/>
      <c r="M108" s="433"/>
      <c r="N108" s="433"/>
      <c r="O108" s="433"/>
      <c r="P108" s="433"/>
      <c r="Q108" s="433"/>
      <c r="R108" s="433"/>
      <c r="S108" s="433">
        <f>IF(($S$6-G108+1)&gt;365,365,($S$6-G108+1))</f>
        <v>275</v>
      </c>
      <c r="T108" s="436">
        <f>ROUND(E108*D108/365*S108,0)</f>
        <v>645</v>
      </c>
      <c r="U108" s="436">
        <f>E108-T108</f>
        <v>5508</v>
      </c>
      <c r="V108" s="433">
        <f>IF(($V$6-G108+1)&gt;365,365,($V$6-G108+1))</f>
        <v>365</v>
      </c>
      <c r="W108" s="436">
        <f>ROUND(U108*D108*V108/365,0)</f>
        <v>766</v>
      </c>
      <c r="X108" s="436">
        <f>IF((U108-W108)&gt;0,U108-W108,E108-W108)</f>
        <v>4742</v>
      </c>
      <c r="Y108" s="433">
        <f>IF(($Y$6-G108+1)&gt;365,365,($Y$6-G108+1))</f>
        <v>365</v>
      </c>
      <c r="Z108" s="436">
        <f>ROUND(IF(X108&gt;0,X108*$D108/365*Y108,($E108*$D108*Y108/365)),0)</f>
        <v>660</v>
      </c>
      <c r="AA108" s="436">
        <f>IF((X108-Z108)&gt;0,X108-Z108,$E108-Z108)</f>
        <v>4082</v>
      </c>
      <c r="AB108" s="433">
        <f>IF(($AB$6-G108+1)&gt;365,365,($AB$6-G108+1))</f>
        <v>365</v>
      </c>
      <c r="AC108" s="436">
        <f>ROUND(IF(AA108&gt;0,AA108*$D108/365*AB108,($E108*$D108*AB108/365)),0)</f>
        <v>568</v>
      </c>
      <c r="AD108" s="436">
        <f>IF((AA108-AC108)&gt;0,AA108-AC108,$E108-AC108)</f>
        <v>3514</v>
      </c>
      <c r="AE108" s="436">
        <f>T108+W108+Z108+AC108+Q108+N108</f>
        <v>2639</v>
      </c>
      <c r="AF108" s="436">
        <f>E108-AE108</f>
        <v>3514</v>
      </c>
      <c r="AG108" s="436">
        <f>AD108-AF108</f>
        <v>0</v>
      </c>
      <c r="AH108" s="436">
        <f>($AH$6-G108+1)/365</f>
        <v>3.7561643835616438</v>
      </c>
      <c r="AI108" s="439">
        <v>5</v>
      </c>
      <c r="AJ108" s="436">
        <f>AI108-AH108</f>
        <v>1.2438356164383562</v>
      </c>
      <c r="AK108" s="440">
        <f>IF(AJ108&gt;0,1-(((E108*$AJ$4)/AF108)^(1/AJ108)),0)</f>
        <v>0.85887289660728139</v>
      </c>
      <c r="AL108" s="2">
        <f>IF(AJ108&lt;0,AF108-(E108*5%),0)</f>
        <v>0</v>
      </c>
      <c r="AM108" s="433">
        <f>IF(($AM$6-$G108+1)&gt;365,365,($AM$6-$G108+1))</f>
        <v>365</v>
      </c>
      <c r="AN108" s="436">
        <f>ROUND(IF(AF108&gt;0,AF108*$D108/365*AM108,($E108*$D108*AM108/365)),0)</f>
        <v>489</v>
      </c>
      <c r="AO108" s="436">
        <f>MIN(ROUND(IF(AL108&gt;0,0,(AK108*AF108)*AM108/365),0),AF108-(E108*5%))</f>
        <v>3018</v>
      </c>
      <c r="AP108" s="436">
        <f>+IF(AJ108&lt;1,(E108*5%),IF(AF108&gt;0,AF108-AO108,E108-AO108))</f>
        <v>496</v>
      </c>
      <c r="AQ108" s="436">
        <f>AF108-AO108-AL108</f>
        <v>496</v>
      </c>
      <c r="AR108" s="436"/>
      <c r="AS108" s="436">
        <f>AO108-AN108</f>
        <v>2529</v>
      </c>
      <c r="AT108" s="2">
        <f>AF108-AN108</f>
        <v>3025</v>
      </c>
      <c r="AU108" s="2">
        <f>AT108-AS108-AL108</f>
        <v>496</v>
      </c>
      <c r="AV108" s="2">
        <f>AU108-AQ108</f>
        <v>0</v>
      </c>
      <c r="AW108" s="433">
        <f>IF(($AW$6-$G108+1)&gt;365,365,($AW$6-$G108+1))</f>
        <v>365</v>
      </c>
      <c r="AX108" s="2">
        <f>AQ108*(365-S108)/365*AK108</f>
        <v>105.04133179328505</v>
      </c>
      <c r="AY108" s="2">
        <f>AQ108-AX108</f>
        <v>390.95866820671495</v>
      </c>
      <c r="AZ108" s="433">
        <f>IF(($AZ$6-$G108+1)&gt;365,365,($AZ$6-$G108+1))</f>
        <v>365</v>
      </c>
      <c r="BA108" s="2">
        <f>AY108*AK108</f>
        <v>335.78380381642631</v>
      </c>
      <c r="BB108" s="2">
        <f>AY108-BA108</f>
        <v>55.174864390288633</v>
      </c>
      <c r="BC108" s="2">
        <f t="shared" si="250"/>
        <v>1825</v>
      </c>
      <c r="BD108" s="433">
        <f>+$BD$6-G108</f>
        <v>2466</v>
      </c>
      <c r="BE108" s="439">
        <f>+BC108-BD108</f>
        <v>-641</v>
      </c>
      <c r="BF108" s="433">
        <f>IF(($BF$6-$G108+1)&gt;365,365,($BF$6-$G108+1))</f>
        <v>365</v>
      </c>
      <c r="BG108" s="2">
        <v>0</v>
      </c>
      <c r="BH108" s="2">
        <f>+BB108-BG108</f>
        <v>55.174864390288633</v>
      </c>
      <c r="BI108" s="2">
        <v>0</v>
      </c>
      <c r="BJ108" s="2">
        <f>+BH108-BI108</f>
        <v>55.174864390288633</v>
      </c>
      <c r="BK108" s="395">
        <v>0</v>
      </c>
      <c r="BL108" s="2">
        <f t="shared" si="251"/>
        <v>55.174864390288633</v>
      </c>
      <c r="BM108" s="2"/>
      <c r="BN108" s="2">
        <f t="shared" si="221"/>
        <v>55.174864390288633</v>
      </c>
      <c r="BO108" s="2">
        <v>0</v>
      </c>
      <c r="BP108" s="267">
        <f>+BL108-BO108</f>
        <v>55.174864390288633</v>
      </c>
      <c r="BQ108" s="267"/>
      <c r="BR108" s="2">
        <f t="shared" si="223"/>
        <v>55.174864390288633</v>
      </c>
      <c r="BS108" s="2">
        <v>0</v>
      </c>
      <c r="BT108" s="2">
        <f>+BP108-BS108</f>
        <v>55.174864390288633</v>
      </c>
      <c r="BU108" s="2">
        <v>0</v>
      </c>
      <c r="BV108" s="2">
        <f>+BT108-BU108</f>
        <v>55.174864390288633</v>
      </c>
      <c r="BW108" s="2">
        <v>0</v>
      </c>
      <c r="BX108" s="2">
        <f>+BV108-BW108</f>
        <v>55.174864390288633</v>
      </c>
      <c r="BY108" s="2">
        <v>0</v>
      </c>
      <c r="BZ108" s="2">
        <f>+BX108-BY108</f>
        <v>55.174864390288633</v>
      </c>
      <c r="CA108" s="2">
        <v>0</v>
      </c>
      <c r="CB108" s="2">
        <f>+BZ108-CA108</f>
        <v>55.174864390288633</v>
      </c>
      <c r="CC108" s="2">
        <v>0</v>
      </c>
      <c r="CD108" s="2">
        <f>+CB108-CC108</f>
        <v>55.174864390288633</v>
      </c>
      <c r="CE108" s="2">
        <v>0</v>
      </c>
      <c r="CF108" s="2">
        <f>+CD108-CE108</f>
        <v>55.174864390288633</v>
      </c>
      <c r="CG108" s="2">
        <v>0</v>
      </c>
      <c r="CH108" s="2">
        <f>+CF108-CG108</f>
        <v>55.174864390288633</v>
      </c>
      <c r="CI108" s="2">
        <v>0</v>
      </c>
      <c r="CJ108" s="2">
        <f>+CH108-CI108</f>
        <v>55.174864390288633</v>
      </c>
      <c r="CK108" s="2">
        <v>0</v>
      </c>
      <c r="CL108" s="2">
        <f>+CJ108-CK108</f>
        <v>55.174864390288633</v>
      </c>
      <c r="CM108" s="2">
        <v>0</v>
      </c>
      <c r="CN108" s="2">
        <f>+CL108-CM108</f>
        <v>55.174864390288633</v>
      </c>
      <c r="CO108" s="2">
        <v>0</v>
      </c>
      <c r="CP108" s="2">
        <f>+CN108-CO108</f>
        <v>55.174864390288633</v>
      </c>
      <c r="CQ108" s="2">
        <v>0</v>
      </c>
      <c r="CR108" s="2">
        <f>+CP108-CQ108</f>
        <v>55.174864390288633</v>
      </c>
      <c r="CS108" s="2">
        <v>0</v>
      </c>
      <c r="CT108" s="2">
        <f>+CR108-CS108</f>
        <v>55.174864390288633</v>
      </c>
      <c r="CU108" s="2">
        <v>0</v>
      </c>
      <c r="CV108" s="2">
        <f>+CT108-CU108</f>
        <v>55.174864390288633</v>
      </c>
      <c r="CW108" s="2">
        <v>0</v>
      </c>
      <c r="CX108" s="2">
        <f>+CV108-CW108</f>
        <v>55.174864390288633</v>
      </c>
      <c r="CY108" s="2">
        <v>0</v>
      </c>
      <c r="CZ108" s="2">
        <f>+CX108-CY108</f>
        <v>55.174864390288633</v>
      </c>
      <c r="DA108" s="2">
        <v>0</v>
      </c>
      <c r="DB108" s="2">
        <f>+CZ108-DA108</f>
        <v>55.174864390288633</v>
      </c>
      <c r="DC108" s="2">
        <v>0</v>
      </c>
      <c r="DD108" s="2">
        <f>+DB108-DC108</f>
        <v>55.174864390288633</v>
      </c>
      <c r="DE108" s="2">
        <v>0</v>
      </c>
      <c r="DF108" s="2">
        <f>+DD108-DE108</f>
        <v>55.174864390288633</v>
      </c>
      <c r="DG108" s="2">
        <v>0</v>
      </c>
      <c r="DH108" s="2">
        <f>+DF108-DG108</f>
        <v>55.174864390288633</v>
      </c>
      <c r="DI108" s="2">
        <v>0</v>
      </c>
      <c r="DJ108" s="2">
        <f>+DH108-DI108</f>
        <v>55.174864390288633</v>
      </c>
      <c r="DK108" s="2">
        <v>0</v>
      </c>
      <c r="DL108" s="2">
        <f>+DJ108-DK108</f>
        <v>55.174864390288633</v>
      </c>
      <c r="DM108" s="2">
        <v>0</v>
      </c>
      <c r="DN108" s="2">
        <f>+DL108-DM108</f>
        <v>55.174864390288633</v>
      </c>
      <c r="DO108" s="2">
        <v>0</v>
      </c>
      <c r="DP108" s="2">
        <f>+DN108-DO108</f>
        <v>55.174864390288633</v>
      </c>
      <c r="DQ108" s="2">
        <v>0</v>
      </c>
      <c r="DR108" s="2">
        <f>+DP108-DQ108</f>
        <v>55.174864390288633</v>
      </c>
      <c r="DS108" s="2">
        <v>0</v>
      </c>
      <c r="DT108" s="2">
        <f>+DR108-DS108</f>
        <v>55.174864390288633</v>
      </c>
      <c r="DU108" s="2"/>
      <c r="DV108" s="2"/>
      <c r="DW108" s="266">
        <f>+E108*5%</f>
        <v>307.65000000000003</v>
      </c>
      <c r="DX108" s="441">
        <f>+DW108-DR108</f>
        <v>252.4751356097114</v>
      </c>
    </row>
    <row r="109" spans="1:128">
      <c r="A109" s="433">
        <v>20</v>
      </c>
      <c r="B109" s="433" t="s">
        <v>171</v>
      </c>
      <c r="C109" s="467" t="s">
        <v>173</v>
      </c>
      <c r="D109" s="468">
        <v>0.1391</v>
      </c>
      <c r="E109" s="442">
        <v>2895</v>
      </c>
      <c r="F109" s="437" t="s">
        <v>1001</v>
      </c>
      <c r="G109" s="438">
        <v>40618</v>
      </c>
      <c r="H109" s="438"/>
      <c r="I109" s="438"/>
      <c r="J109" s="438"/>
      <c r="K109" s="438"/>
      <c r="L109" s="438"/>
      <c r="M109" s="433"/>
      <c r="N109" s="433"/>
      <c r="O109" s="433"/>
      <c r="P109" s="433"/>
      <c r="Q109" s="433"/>
      <c r="R109" s="433"/>
      <c r="S109" s="433">
        <f>IF(($S$6-G109+1)&gt;365,365,($S$6-G109+1))</f>
        <v>16</v>
      </c>
      <c r="T109" s="436">
        <f>ROUND(E109*D109/365*S109,0)</f>
        <v>18</v>
      </c>
      <c r="U109" s="436">
        <f>E109-T109</f>
        <v>2877</v>
      </c>
      <c r="V109" s="433">
        <f>IF(($V$6-G109+1)&gt;365,365,($V$6-G109+1))</f>
        <v>365</v>
      </c>
      <c r="W109" s="436">
        <f>ROUND(U109*D109*V109/365,0)</f>
        <v>400</v>
      </c>
      <c r="X109" s="436">
        <f>IF((U109-W109)&gt;0,U109-W109,E109-W109)</f>
        <v>2477</v>
      </c>
      <c r="Y109" s="433">
        <f>IF(($Y$6-G109+1)&gt;365,365,($Y$6-G109+1))</f>
        <v>365</v>
      </c>
      <c r="Z109" s="436">
        <f>ROUND(IF(X109&gt;0,X109*$D109/365*Y109,($E109*$D109*Y109/365)),0)</f>
        <v>345</v>
      </c>
      <c r="AA109" s="436">
        <f>IF((X109-Z109)&gt;0,X109-Z109,$E109-Z109)</f>
        <v>2132</v>
      </c>
      <c r="AB109" s="433">
        <f>IF(($AB$6-G109+1)&gt;365,365,($AB$6-G109+1))</f>
        <v>365</v>
      </c>
      <c r="AC109" s="436">
        <f>ROUND(IF(AA109&gt;0,AA109*$D109/365*AB109,($E109*$D109*AB109/365)),0)</f>
        <v>297</v>
      </c>
      <c r="AD109" s="436">
        <f>IF((AA109-AC109)&gt;0,AA109-AC109,$E109-AC109)</f>
        <v>1835</v>
      </c>
      <c r="AE109" s="436">
        <f>T109+W109+Z109+AC109+Q109+N109</f>
        <v>1060</v>
      </c>
      <c r="AF109" s="436">
        <f>E109-AE109</f>
        <v>1835</v>
      </c>
      <c r="AG109" s="436">
        <f>AD109-AF109</f>
        <v>0</v>
      </c>
      <c r="AH109" s="436">
        <f>($AH$6-G109+1)/365</f>
        <v>3.0465753424657533</v>
      </c>
      <c r="AI109" s="439">
        <v>5</v>
      </c>
      <c r="AJ109" s="436">
        <f>AI109-AH109</f>
        <v>1.9534246575342467</v>
      </c>
      <c r="AK109" s="440">
        <f>IF(AJ109&gt;0,1-(((E109*$AJ$4)/AF109)^(1/AJ109)),0)</f>
        <v>0.7275155805979211</v>
      </c>
      <c r="AL109" s="2">
        <f>IF(AJ109&lt;0,AF109-(E109*5%),0)</f>
        <v>0</v>
      </c>
      <c r="AM109" s="433">
        <f>IF(($AM$6-$G109+1)&gt;365,365,($AM$6-$G109+1))</f>
        <v>365</v>
      </c>
      <c r="AN109" s="436">
        <f>ROUND(IF(AF109&gt;0,AF109*$D109/365*AM109,($E109*$D109*AM109/365)),0)</f>
        <v>255</v>
      </c>
      <c r="AO109" s="436">
        <f>MIN(ROUND(IF(AL109&gt;0,0,(AK109*AF109)*AM109/365),0),AF109-(E109*5%))</f>
        <v>1335</v>
      </c>
      <c r="AP109" s="436">
        <f>+IF(AJ109&lt;1,(E109*5%),IF(AF109&gt;0,AF109-AO109,E109-AO109))</f>
        <v>500</v>
      </c>
      <c r="AQ109" s="436">
        <f>AF109-AO109-AL109</f>
        <v>500</v>
      </c>
      <c r="AR109" s="436"/>
      <c r="AS109" s="436">
        <f>AO109-AN109</f>
        <v>1080</v>
      </c>
      <c r="AT109" s="2">
        <f>AF109-AN109</f>
        <v>1580</v>
      </c>
      <c r="AU109" s="2">
        <f>AT109-AS109-AL109</f>
        <v>500</v>
      </c>
      <c r="AV109" s="2">
        <f>AU109-AQ109</f>
        <v>0</v>
      </c>
      <c r="AW109" s="433">
        <f>IF(($AW$6-$G109+1)&gt;365,365,($AW$6-$G109+1))</f>
        <v>365</v>
      </c>
      <c r="AX109" s="2">
        <f>AQ109*(365-S109)/365*AK109</f>
        <v>347.81224332695132</v>
      </c>
      <c r="AY109" s="2">
        <f>AQ109-AX109</f>
        <v>152.18775667304868</v>
      </c>
      <c r="AZ109" s="433">
        <f>IF(($AZ$6-$G109+1)&gt;365,365,($AZ$6-$G109+1))</f>
        <v>365</v>
      </c>
      <c r="BA109" s="2">
        <f>AY109*AK109</f>
        <v>110.71896415588816</v>
      </c>
      <c r="BB109" s="2">
        <f>AY109-BA109</f>
        <v>41.468792517160523</v>
      </c>
      <c r="BC109" s="2">
        <f t="shared" si="250"/>
        <v>1825</v>
      </c>
      <c r="BD109" s="433">
        <f>+$BD$6-G109</f>
        <v>2207</v>
      </c>
      <c r="BE109" s="439">
        <f>+BC109-BD109</f>
        <v>-382</v>
      </c>
      <c r="BF109" s="433">
        <f>IF(($BF$6-$G109+1)&gt;365,365,($BF$6-$G109+1))</f>
        <v>365</v>
      </c>
      <c r="BG109" s="2">
        <v>0</v>
      </c>
      <c r="BH109" s="2">
        <f>+BB109-BG109</f>
        <v>41.468792517160523</v>
      </c>
      <c r="BI109" s="2">
        <v>0</v>
      </c>
      <c r="BJ109" s="2">
        <f>+BH109-BI109</f>
        <v>41.468792517160523</v>
      </c>
      <c r="BK109" s="395">
        <v>0</v>
      </c>
      <c r="BL109" s="2">
        <f t="shared" si="251"/>
        <v>41.468792517160523</v>
      </c>
      <c r="BM109" s="2"/>
      <c r="BN109" s="2">
        <f t="shared" si="221"/>
        <v>41.468792517160523</v>
      </c>
      <c r="BO109" s="2">
        <v>0</v>
      </c>
      <c r="BP109" s="267">
        <f>+BL109-BO109</f>
        <v>41.468792517160523</v>
      </c>
      <c r="BQ109" s="267"/>
      <c r="BR109" s="2">
        <f t="shared" si="223"/>
        <v>41.468792517160523</v>
      </c>
      <c r="BS109" s="2">
        <v>0</v>
      </c>
      <c r="BT109" s="2">
        <f>+BP109-BS109</f>
        <v>41.468792517160523</v>
      </c>
      <c r="BU109" s="2">
        <v>0</v>
      </c>
      <c r="BV109" s="2">
        <f>+BT109-BU109</f>
        <v>41.468792517160523</v>
      </c>
      <c r="BW109" s="2">
        <v>0</v>
      </c>
      <c r="BX109" s="2">
        <f>+BV109-BW109</f>
        <v>41.468792517160523</v>
      </c>
      <c r="BY109" s="2">
        <v>0</v>
      </c>
      <c r="BZ109" s="2">
        <f>+BX109-BY109</f>
        <v>41.468792517160523</v>
      </c>
      <c r="CA109" s="2">
        <v>0</v>
      </c>
      <c r="CB109" s="2">
        <f>+BZ109-CA109</f>
        <v>41.468792517160523</v>
      </c>
      <c r="CC109" s="2">
        <v>0</v>
      </c>
      <c r="CD109" s="2">
        <f>+CB109-CC109</f>
        <v>41.468792517160523</v>
      </c>
      <c r="CE109" s="2">
        <v>0</v>
      </c>
      <c r="CF109" s="2">
        <f>+CD109-CE109</f>
        <v>41.468792517160523</v>
      </c>
      <c r="CG109" s="2">
        <v>0</v>
      </c>
      <c r="CH109" s="2">
        <f>+CF109-CG109</f>
        <v>41.468792517160523</v>
      </c>
      <c r="CI109" s="2">
        <v>0</v>
      </c>
      <c r="CJ109" s="2">
        <f>+CH109-CI109</f>
        <v>41.468792517160523</v>
      </c>
      <c r="CK109" s="2">
        <v>0</v>
      </c>
      <c r="CL109" s="2">
        <f>+CJ109-CK109</f>
        <v>41.468792517160523</v>
      </c>
      <c r="CM109" s="2">
        <v>0</v>
      </c>
      <c r="CN109" s="2">
        <f>+CL109-CM109</f>
        <v>41.468792517160523</v>
      </c>
      <c r="CO109" s="2">
        <v>0</v>
      </c>
      <c r="CP109" s="2">
        <f>+CN109-CO109</f>
        <v>41.468792517160523</v>
      </c>
      <c r="CQ109" s="2">
        <v>0</v>
      </c>
      <c r="CR109" s="2">
        <f>+CP109-CQ109</f>
        <v>41.468792517160523</v>
      </c>
      <c r="CS109" s="2">
        <v>0</v>
      </c>
      <c r="CT109" s="2">
        <f>+CR109-CS109</f>
        <v>41.468792517160523</v>
      </c>
      <c r="CU109" s="2">
        <v>0</v>
      </c>
      <c r="CV109" s="2">
        <f>+CT109-CU109</f>
        <v>41.468792517160523</v>
      </c>
      <c r="CW109" s="2">
        <v>0</v>
      </c>
      <c r="CX109" s="2">
        <f>+CV109-CW109</f>
        <v>41.468792517160523</v>
      </c>
      <c r="CY109" s="2">
        <v>0</v>
      </c>
      <c r="CZ109" s="2">
        <f>+CX109-CY109</f>
        <v>41.468792517160523</v>
      </c>
      <c r="DA109" s="2">
        <v>0</v>
      </c>
      <c r="DB109" s="2">
        <f>+CZ109-DA109</f>
        <v>41.468792517160523</v>
      </c>
      <c r="DC109" s="2">
        <v>0</v>
      </c>
      <c r="DD109" s="2">
        <f>+DB109-DC109</f>
        <v>41.468792517160523</v>
      </c>
      <c r="DE109" s="2">
        <v>0</v>
      </c>
      <c r="DF109" s="2">
        <f>+DD109-DE109</f>
        <v>41.468792517160523</v>
      </c>
      <c r="DG109" s="2">
        <v>0</v>
      </c>
      <c r="DH109" s="2">
        <f>+DF109-DG109</f>
        <v>41.468792517160523</v>
      </c>
      <c r="DI109" s="2">
        <v>0</v>
      </c>
      <c r="DJ109" s="2">
        <f>+DH109-DI109</f>
        <v>41.468792517160523</v>
      </c>
      <c r="DK109" s="2">
        <v>0</v>
      </c>
      <c r="DL109" s="2">
        <f>+DJ109-DK109</f>
        <v>41.468792517160523</v>
      </c>
      <c r="DM109" s="2">
        <v>0</v>
      </c>
      <c r="DN109" s="2">
        <f>+DL109-DM109</f>
        <v>41.468792517160523</v>
      </c>
      <c r="DO109" s="2">
        <v>0</v>
      </c>
      <c r="DP109" s="2">
        <f>+DN109-DO109</f>
        <v>41.468792517160523</v>
      </c>
      <c r="DQ109" s="2">
        <v>0</v>
      </c>
      <c r="DR109" s="2">
        <f>+DP109-DQ109</f>
        <v>41.468792517160523</v>
      </c>
      <c r="DS109" s="2">
        <v>0</v>
      </c>
      <c r="DT109" s="2">
        <f>+DR109-DS109</f>
        <v>41.468792517160523</v>
      </c>
      <c r="DU109" s="2"/>
      <c r="DV109" s="2"/>
      <c r="DW109" s="266">
        <f>+E109*5%</f>
        <v>144.75</v>
      </c>
      <c r="DX109" s="441">
        <f>+DW109-DR109</f>
        <v>103.28120748283948</v>
      </c>
    </row>
    <row r="110" spans="1:128">
      <c r="A110" s="434">
        <v>21</v>
      </c>
      <c r="B110" s="413" t="s">
        <v>171</v>
      </c>
      <c r="C110" s="471" t="s">
        <v>173</v>
      </c>
      <c r="D110" s="472">
        <v>0.1391</v>
      </c>
      <c r="E110" s="442">
        <v>2000</v>
      </c>
      <c r="F110" s="437" t="s">
        <v>1001</v>
      </c>
      <c r="G110" s="438">
        <v>40619</v>
      </c>
      <c r="H110" s="438"/>
      <c r="I110" s="438"/>
      <c r="J110" s="438"/>
      <c r="K110" s="438"/>
      <c r="L110" s="438"/>
      <c r="M110" s="433"/>
      <c r="N110" s="433"/>
      <c r="O110" s="433"/>
      <c r="P110" s="433"/>
      <c r="Q110" s="433"/>
      <c r="R110" s="433"/>
      <c r="S110" s="433">
        <f>IF(($S$6-G110+1)&gt;365,365,($S$6-G110+1))</f>
        <v>15</v>
      </c>
      <c r="T110" s="436">
        <f>ROUND(E110*D110/365*S110,0)</f>
        <v>11</v>
      </c>
      <c r="U110" s="436">
        <f>E110-T110</f>
        <v>1989</v>
      </c>
      <c r="V110" s="433">
        <f>IF(($V$6-G110+1)&gt;365,365,($V$6-G110+1))</f>
        <v>365</v>
      </c>
      <c r="W110" s="436">
        <f>ROUND(U110*D110*V110/365,0)</f>
        <v>277</v>
      </c>
      <c r="X110" s="436">
        <f>IF((U110-W110)&gt;0,U110-W110,E110-W110)</f>
        <v>1712</v>
      </c>
      <c r="Y110" s="433">
        <f>IF(($Y$6-G110+1)&gt;365,365,($Y$6-G110+1))</f>
        <v>365</v>
      </c>
      <c r="Z110" s="436">
        <f>ROUND(IF(X110&gt;0,X110*$D110/365*Y110,($E110*$D110*Y110/365)),0)</f>
        <v>238</v>
      </c>
      <c r="AA110" s="436">
        <f>IF((X110-Z110)&gt;0,X110-Z110,$E110-Z110)</f>
        <v>1474</v>
      </c>
      <c r="AB110" s="433">
        <f>IF(($AB$6-G110+1)&gt;365,365,($AB$6-G110+1))</f>
        <v>365</v>
      </c>
      <c r="AC110" s="436">
        <f>ROUND(IF(AA110&gt;0,AA110*$D110/365*AB110,($E110*$D110*AB110/365)),0)</f>
        <v>205</v>
      </c>
      <c r="AD110" s="436">
        <f>IF((AA110-AC110)&gt;0,AA110-AC110,$E110-AC110)</f>
        <v>1269</v>
      </c>
      <c r="AE110" s="436">
        <f>T110+W110+Z110+AC110+Q110+N110</f>
        <v>731</v>
      </c>
      <c r="AF110" s="436">
        <f>E110-AE110</f>
        <v>1269</v>
      </c>
      <c r="AG110" s="436">
        <f>AD110-AF110</f>
        <v>0</v>
      </c>
      <c r="AH110" s="436">
        <f>($AH$6-G110+1)/365</f>
        <v>3.043835616438356</v>
      </c>
      <c r="AI110" s="439">
        <v>5</v>
      </c>
      <c r="AJ110" s="436">
        <f>AI110-AH110</f>
        <v>1.956164383561644</v>
      </c>
      <c r="AK110" s="440">
        <f>IF(AJ110&gt;0,1-(((E110*$AJ$4)/AF110)^(1/AJ110)),0)</f>
        <v>0.72716161303235316</v>
      </c>
      <c r="AL110" s="2">
        <f>IF(AJ110&lt;0,AF110-(E110*5%),0)</f>
        <v>0</v>
      </c>
      <c r="AM110" s="433">
        <f>IF(($AM$6-$G110+1)&gt;365,365,($AM$6-$G110+1))</f>
        <v>365</v>
      </c>
      <c r="AN110" s="436">
        <f>ROUND(IF(AF110&gt;0,AF110*$D110/365*AM110,($E110*$D110*AM110/365)),0)</f>
        <v>177</v>
      </c>
      <c r="AO110" s="436">
        <f>MIN(ROUND(IF(AL110&gt;0,0,(AK110*AF110)*AM110/365),0),AF110-(E110*5%))</f>
        <v>923</v>
      </c>
      <c r="AP110" s="436">
        <f>+IF(AJ110&lt;1,(E110*5%),IF(AF110&gt;0,AF110-AO110,E110-AO110))</f>
        <v>346</v>
      </c>
      <c r="AQ110" s="436">
        <f>AF110-AO110-AL110</f>
        <v>346</v>
      </c>
      <c r="AR110" s="436"/>
      <c r="AS110" s="436">
        <f>AO110-AN110</f>
        <v>746</v>
      </c>
      <c r="AT110" s="2">
        <f>AF110-AN110</f>
        <v>1092</v>
      </c>
      <c r="AU110" s="2">
        <f>AT110-AS110-AL110</f>
        <v>346</v>
      </c>
      <c r="AV110" s="2">
        <f>AU110-AQ110</f>
        <v>0</v>
      </c>
      <c r="AW110" s="433">
        <f>IF(($AW$6-$G110+1)&gt;365,365,($AW$6-$G110+1))</f>
        <v>365</v>
      </c>
      <c r="AX110" s="2">
        <f>AQ110*(365-S110)/365*AK110</f>
        <v>241.25827763895333</v>
      </c>
      <c r="AY110" s="2">
        <f>AQ110-AX110</f>
        <v>104.74172236104667</v>
      </c>
      <c r="AZ110" s="433">
        <f>IF(($AZ$6-$G110+1)&gt;365,365,($AZ$6-$G110+1))</f>
        <v>365</v>
      </c>
      <c r="BA110" s="2">
        <f>AY110*AK110</f>
        <v>76.164159783845591</v>
      </c>
      <c r="BB110" s="2">
        <f>AY110-BA110</f>
        <v>28.577562577201078</v>
      </c>
      <c r="BC110" s="2">
        <f t="shared" si="250"/>
        <v>1825</v>
      </c>
      <c r="BD110" s="433">
        <f>+$BD$6-G110</f>
        <v>2206</v>
      </c>
      <c r="BE110" s="439">
        <f>+BC110-BD110</f>
        <v>-381</v>
      </c>
      <c r="BF110" s="433">
        <f>IF(($BF$6-$G110+1)&gt;365,365,($BF$6-$G110+1))</f>
        <v>365</v>
      </c>
      <c r="BG110" s="2">
        <v>0</v>
      </c>
      <c r="BH110" s="2">
        <f>+BB110-BG110</f>
        <v>28.577562577201078</v>
      </c>
      <c r="BI110" s="2">
        <v>0</v>
      </c>
      <c r="BJ110" s="2">
        <f>+BH110-BI110</f>
        <v>28.577562577201078</v>
      </c>
      <c r="BK110" s="395">
        <v>0</v>
      </c>
      <c r="BL110" s="2">
        <f t="shared" si="251"/>
        <v>28.577562577201078</v>
      </c>
      <c r="BM110" s="2"/>
      <c r="BN110" s="2">
        <f t="shared" si="221"/>
        <v>28.577562577201078</v>
      </c>
      <c r="BO110" s="2">
        <v>0</v>
      </c>
      <c r="BP110" s="267">
        <f>+BL110-BO110+191.32</f>
        <v>219.89756257720109</v>
      </c>
      <c r="BQ110" s="267"/>
      <c r="BR110" s="2">
        <f t="shared" si="223"/>
        <v>219.89756257720109</v>
      </c>
      <c r="BS110" s="2">
        <v>0</v>
      </c>
      <c r="BT110" s="2">
        <f>+BP110-BS110</f>
        <v>219.89756257720109</v>
      </c>
      <c r="BU110" s="2">
        <v>0</v>
      </c>
      <c r="BV110" s="2">
        <f>+BT110-BU110</f>
        <v>219.89756257720109</v>
      </c>
      <c r="BW110" s="2">
        <v>0</v>
      </c>
      <c r="BX110" s="2">
        <f>+BV110-BW110</f>
        <v>219.89756257720109</v>
      </c>
      <c r="BY110" s="2">
        <v>0</v>
      </c>
      <c r="BZ110" s="2">
        <f>+BX110-BY110</f>
        <v>219.89756257720109</v>
      </c>
      <c r="CA110" s="2">
        <v>0</v>
      </c>
      <c r="CB110" s="2">
        <f>+BZ110-CA110</f>
        <v>219.89756257720109</v>
      </c>
      <c r="CC110" s="2">
        <v>0</v>
      </c>
      <c r="CD110" s="2">
        <f>+CB110-CC110</f>
        <v>219.89756257720109</v>
      </c>
      <c r="CE110" s="2">
        <v>0</v>
      </c>
      <c r="CF110" s="2">
        <f>+CD110-CE110</f>
        <v>219.89756257720109</v>
      </c>
      <c r="CG110" s="2">
        <v>0</v>
      </c>
      <c r="CH110" s="2">
        <f>+CF110-CG110</f>
        <v>219.89756257720109</v>
      </c>
      <c r="CI110" s="2">
        <v>0</v>
      </c>
      <c r="CJ110" s="2">
        <f>+CH110-CI110</f>
        <v>219.89756257720109</v>
      </c>
      <c r="CK110" s="2">
        <v>0</v>
      </c>
      <c r="CL110" s="2">
        <f>+CJ110-CK110</f>
        <v>219.89756257720109</v>
      </c>
      <c r="CM110" s="2">
        <v>0</v>
      </c>
      <c r="CN110" s="2">
        <f>+CL110-CM110</f>
        <v>219.89756257720109</v>
      </c>
      <c r="CO110" s="2">
        <v>0</v>
      </c>
      <c r="CP110" s="2">
        <f>+CN110-CO110</f>
        <v>219.89756257720109</v>
      </c>
      <c r="CQ110" s="2">
        <v>0</v>
      </c>
      <c r="CR110" s="2">
        <f>+CP110-CQ110</f>
        <v>219.89756257720109</v>
      </c>
      <c r="CS110" s="2">
        <v>0</v>
      </c>
      <c r="CT110" s="2">
        <f>+CR110-CS110</f>
        <v>219.89756257720109</v>
      </c>
      <c r="CU110" s="2">
        <v>0</v>
      </c>
      <c r="CV110" s="2">
        <f>+CT110-CU110</f>
        <v>219.89756257720109</v>
      </c>
      <c r="CW110" s="2">
        <v>0</v>
      </c>
      <c r="CX110" s="2">
        <f>+CV110-CW110</f>
        <v>219.89756257720109</v>
      </c>
      <c r="CY110" s="2">
        <v>0</v>
      </c>
      <c r="CZ110" s="2">
        <f>+CX110-CY110</f>
        <v>219.89756257720109</v>
      </c>
      <c r="DA110" s="2">
        <v>0</v>
      </c>
      <c r="DB110" s="2">
        <f>+CZ110-DA110</f>
        <v>219.89756257720109</v>
      </c>
      <c r="DC110" s="2">
        <v>0</v>
      </c>
      <c r="DD110" s="2">
        <f>+DB110-DC110</f>
        <v>219.89756257720109</v>
      </c>
      <c r="DE110" s="2">
        <v>0</v>
      </c>
      <c r="DF110" s="2">
        <f>+DD110-DE110</f>
        <v>219.89756257720109</v>
      </c>
      <c r="DG110" s="2">
        <v>0</v>
      </c>
      <c r="DH110" s="2">
        <f>+DF110-DG110</f>
        <v>219.89756257720109</v>
      </c>
      <c r="DI110" s="2">
        <v>0</v>
      </c>
      <c r="DJ110" s="2">
        <f>+DH110-DI110</f>
        <v>219.89756257720109</v>
      </c>
      <c r="DK110" s="2">
        <v>0</v>
      </c>
      <c r="DL110" s="2">
        <f>+DJ110-DK110</f>
        <v>219.89756257720109</v>
      </c>
      <c r="DM110" s="2">
        <v>0</v>
      </c>
      <c r="DN110" s="2">
        <f>+DL110-DM110</f>
        <v>219.89756257720109</v>
      </c>
      <c r="DO110" s="2">
        <v>0</v>
      </c>
      <c r="DP110" s="2">
        <f>+DN110-DO110</f>
        <v>219.89756257720109</v>
      </c>
      <c r="DQ110" s="2">
        <v>0</v>
      </c>
      <c r="DR110" s="2">
        <f>+DP110-DQ110</f>
        <v>219.89756257720109</v>
      </c>
      <c r="DS110" s="2">
        <v>0</v>
      </c>
      <c r="DT110" s="2">
        <f>+DR110-DS110</f>
        <v>219.89756257720109</v>
      </c>
      <c r="DU110" s="2"/>
      <c r="DV110" s="2"/>
      <c r="DW110" s="266">
        <f>+E110*5%</f>
        <v>100</v>
      </c>
      <c r="DX110" s="441">
        <f>+DW110-DR110</f>
        <v>-119.89756257720109</v>
      </c>
    </row>
    <row r="111" spans="1:128">
      <c r="A111" s="434"/>
      <c r="C111" s="471"/>
      <c r="D111" s="472"/>
      <c r="E111" s="442"/>
      <c r="F111" s="437"/>
      <c r="G111" s="438"/>
      <c r="H111" s="438"/>
      <c r="I111" s="438"/>
      <c r="J111" s="438"/>
      <c r="K111" s="438"/>
      <c r="L111" s="438"/>
      <c r="M111" s="433"/>
      <c r="N111" s="433"/>
      <c r="O111" s="433"/>
      <c r="P111" s="433"/>
      <c r="Q111" s="433"/>
      <c r="R111" s="433"/>
      <c r="S111" s="433"/>
      <c r="T111" s="436"/>
      <c r="U111" s="436"/>
      <c r="V111" s="433"/>
      <c r="W111" s="436"/>
      <c r="X111" s="436"/>
      <c r="Y111" s="433"/>
      <c r="Z111" s="436"/>
      <c r="AA111" s="436"/>
      <c r="AB111" s="433"/>
      <c r="AC111" s="436"/>
      <c r="AD111" s="436"/>
      <c r="AE111" s="436"/>
      <c r="AF111" s="436"/>
      <c r="AG111" s="436"/>
      <c r="AH111" s="436"/>
      <c r="AI111" s="439"/>
      <c r="AJ111" s="436"/>
      <c r="AK111" s="440"/>
      <c r="AL111" s="2"/>
      <c r="AM111" s="433"/>
      <c r="AN111" s="436"/>
      <c r="AO111" s="436"/>
      <c r="AP111" s="436"/>
      <c r="AQ111" s="436"/>
      <c r="AR111" s="436"/>
      <c r="AS111" s="436"/>
      <c r="AT111" s="2"/>
      <c r="AU111" s="2"/>
      <c r="AV111" s="2"/>
      <c r="AW111" s="433"/>
      <c r="AX111" s="2"/>
      <c r="AY111" s="2"/>
      <c r="AZ111" s="433"/>
      <c r="BA111" s="2"/>
      <c r="BB111" s="2"/>
      <c r="BC111" s="2"/>
      <c r="BD111" s="433"/>
      <c r="BE111" s="439"/>
      <c r="BF111" s="433"/>
      <c r="BG111" s="2"/>
      <c r="BH111" s="2"/>
      <c r="BI111" s="2"/>
      <c r="BJ111" s="2"/>
      <c r="BK111" s="2"/>
      <c r="BL111" s="2">
        <f t="shared" si="251"/>
        <v>0</v>
      </c>
      <c r="BM111" s="2"/>
      <c r="BN111" s="2">
        <f t="shared" si="221"/>
        <v>0</v>
      </c>
      <c r="BO111" s="2"/>
      <c r="BP111" s="2"/>
      <c r="BQ111" s="2"/>
      <c r="BR111" s="2">
        <f t="shared" si="223"/>
        <v>0</v>
      </c>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66"/>
      <c r="DX111" s="441"/>
    </row>
    <row r="112" spans="1:128">
      <c r="A112" s="433">
        <v>6</v>
      </c>
      <c r="B112" s="625" t="s">
        <v>165</v>
      </c>
      <c r="C112" s="467" t="s">
        <v>165</v>
      </c>
      <c r="D112" s="468">
        <v>0.1391</v>
      </c>
      <c r="E112" s="442">
        <v>8200</v>
      </c>
      <c r="F112" s="437" t="s">
        <v>1001</v>
      </c>
      <c r="G112" s="438">
        <v>42906</v>
      </c>
      <c r="H112" s="438"/>
      <c r="I112" s="438"/>
      <c r="J112" s="438"/>
      <c r="K112" s="438"/>
      <c r="L112" s="438"/>
      <c r="M112" s="433"/>
      <c r="N112" s="436"/>
      <c r="O112" s="436"/>
      <c r="P112" s="433"/>
      <c r="Q112" s="436"/>
      <c r="R112" s="436"/>
      <c r="S112" s="433"/>
      <c r="T112" s="436"/>
      <c r="U112" s="436"/>
      <c r="V112" s="433"/>
      <c r="W112" s="436"/>
      <c r="X112" s="436"/>
      <c r="Y112" s="433"/>
      <c r="Z112" s="436"/>
      <c r="AA112" s="436"/>
      <c r="AB112" s="433"/>
      <c r="AC112" s="436"/>
      <c r="AD112" s="436"/>
      <c r="AE112" s="436"/>
      <c r="AF112" s="436"/>
      <c r="AG112" s="436"/>
      <c r="AH112" s="436"/>
      <c r="AI112" s="439">
        <v>10</v>
      </c>
      <c r="AJ112" s="436"/>
      <c r="AK112" s="440">
        <v>0.25890000000000002</v>
      </c>
      <c r="AL112" s="2"/>
      <c r="AM112" s="433"/>
      <c r="AN112" s="436"/>
      <c r="AO112" s="436"/>
      <c r="AP112" s="436"/>
      <c r="AQ112" s="436"/>
      <c r="AR112" s="436"/>
      <c r="AS112" s="436"/>
      <c r="AT112" s="2"/>
      <c r="AU112" s="2"/>
      <c r="AV112" s="2"/>
      <c r="AW112" s="433"/>
      <c r="AX112" s="2"/>
      <c r="AY112" s="2"/>
      <c r="AZ112" s="433"/>
      <c r="BA112" s="2"/>
      <c r="BB112" s="2"/>
      <c r="BC112" s="2">
        <f>5*365</f>
        <v>1825</v>
      </c>
      <c r="BD112" s="2"/>
      <c r="BE112" s="2"/>
      <c r="BF112" s="433">
        <f>IF(($BF$6-$G112+1)&gt;365,365,($BF$6-$G112+1))</f>
        <v>285</v>
      </c>
      <c r="BG112" s="2">
        <f>+E112*AK112*BF112/365</f>
        <v>1657.6693150684932</v>
      </c>
      <c r="BH112" s="2">
        <f>+E112-BG112</f>
        <v>6542.3306849315068</v>
      </c>
      <c r="BI112" s="2">
        <f>IF((BH112-(BH112*$AK$32))&gt;$E112*5%,BH112*$AK$32,BH112-($E112*5%))</f>
        <v>620.80476344661963</v>
      </c>
      <c r="BJ112" s="2">
        <f>+BH112-BI112</f>
        <v>5921.5259214848875</v>
      </c>
      <c r="BK112" s="395">
        <f>IF((BJ112-(BJ112*$AK$32))&gt;$E112*5%,BJ112*$AK$32,BJ112-($E112*5%))</f>
        <v>561.89631432073315</v>
      </c>
      <c r="BL112" s="2">
        <f>+BJ112-BK112</f>
        <v>5359.6296071641545</v>
      </c>
      <c r="BM112" s="2"/>
      <c r="BN112" s="2">
        <f>BL112-BM112</f>
        <v>5359.6296071641545</v>
      </c>
      <c r="BO112" s="2">
        <f>IF((BL112-(BL112*$AK$32))&gt;$E112*5%,BL112*$AK$32,BL112-($E112*5%))</f>
        <v>508.57771498780113</v>
      </c>
      <c r="BP112" s="149">
        <f>+BL112-BO112</f>
        <v>4851.0518921763532</v>
      </c>
      <c r="BQ112" s="149"/>
      <c r="BR112" s="2">
        <f t="shared" si="223"/>
        <v>4851.0518921763532</v>
      </c>
      <c r="BS112" s="624">
        <f>BP112-BT112</f>
        <v>4441.0518921763532</v>
      </c>
      <c r="BT112" s="2">
        <f>E112*5/100</f>
        <v>410</v>
      </c>
      <c r="BU112" s="2">
        <f>IF((BT112-(BT112*$AK$32))&gt;$E112*5%,BT112*$AK$32,BT112-($E112*5%))</f>
        <v>0</v>
      </c>
      <c r="BV112" s="2">
        <f>+BT112-BU112</f>
        <v>410</v>
      </c>
      <c r="BW112" s="2">
        <f>IF((BV112-(BV112*$AK$32))&gt;$E112*5%,BV112*$AK$32,BV112-($E112*5%))</f>
        <v>0</v>
      </c>
      <c r="BX112" s="2">
        <f>+BV112-BW112</f>
        <v>410</v>
      </c>
      <c r="BY112" s="2">
        <f>IF((BX112-(BX112*$AK$32))&gt;$E112*5%,BX112*$AK$32,BX112-($E112*5%))</f>
        <v>0</v>
      </c>
      <c r="BZ112" s="2">
        <f t="shared" ref="BZ112:BZ125" si="252">+BX112-BY112</f>
        <v>410</v>
      </c>
      <c r="CA112" s="2">
        <f>IF((BZ112-(BZ112*$AK$32))&gt;$E112*5%,BZ112*$AK$32,BZ112-($E112*5%))</f>
        <v>0</v>
      </c>
      <c r="CB112" s="2">
        <f t="shared" ref="CB112:CB126" si="253">+BZ112-CA112</f>
        <v>410</v>
      </c>
      <c r="CC112" s="2">
        <f>IF((CB112-(CB112*$AK$32))&gt;$E112*5%,CB112*$AK$32,CB112-($E112*5%))</f>
        <v>0</v>
      </c>
      <c r="CD112" s="2">
        <f t="shared" ref="CD112:CD126" si="254">+CB112-CC112</f>
        <v>410</v>
      </c>
      <c r="CE112" s="2">
        <f>IF((CD112-(CD112*$AK$32))&gt;$E112*5%,CD112*$AK$32,CD112-($E112*5%))</f>
        <v>0</v>
      </c>
      <c r="CF112" s="2">
        <f t="shared" ref="CF112:CF126" si="255">+CD112-CE112</f>
        <v>410</v>
      </c>
      <c r="CG112" s="2">
        <f>IF((CF112-(CF112*$AK$32))&gt;$E112*5%,CF112*$AK$32,CF112-($E112*5%))</f>
        <v>0</v>
      </c>
      <c r="CH112" s="2">
        <f t="shared" ref="CH112:CH126" si="256">+CF112-CG112</f>
        <v>410</v>
      </c>
      <c r="CI112" s="2">
        <f>IF((CH112-(CH112*$AK$32))&gt;$E112*5%,CH112*$AK$32,CH112-($E112*5%))</f>
        <v>0</v>
      </c>
      <c r="CJ112" s="2">
        <f t="shared" ref="CJ112:CJ126" si="257">+CH112-CI112</f>
        <v>410</v>
      </c>
      <c r="CK112" s="2">
        <f>IF((CJ112-(CJ112*$AK$32))&gt;$E112*5%,CJ112*$AK$32,CJ112-($E112*5%))</f>
        <v>0</v>
      </c>
      <c r="CL112" s="2">
        <f t="shared" ref="CL112:CL126" si="258">+CJ112-CK112</f>
        <v>410</v>
      </c>
      <c r="CM112" s="2">
        <f>IF((CL112-(CL112*$AK$32))&gt;$E112*5%,CL112*$AK$32,CL112-($E112*5%))</f>
        <v>0</v>
      </c>
      <c r="CN112" s="2">
        <f t="shared" ref="CN112:CN126" si="259">+CL112-CM112</f>
        <v>410</v>
      </c>
      <c r="CO112" s="2">
        <f>IF((CN112-(CN112*$AK$32))&gt;$E112*5%,CN112*$AK$32,CN112-($E112*5%))</f>
        <v>0</v>
      </c>
      <c r="CP112" s="2">
        <f t="shared" ref="CP112:CP126" si="260">+CN112-CO112</f>
        <v>410</v>
      </c>
      <c r="CQ112" s="2">
        <f>IF((CP112-(CP112*$AK$32))&gt;$E112*5%,CP112*$AK$32,CP112-($E112*5%))</f>
        <v>0</v>
      </c>
      <c r="CR112" s="2">
        <f t="shared" ref="CR112:CR126" si="261">+CP112-CQ112</f>
        <v>410</v>
      </c>
      <c r="CS112" s="2">
        <f>IF((CR112-(CR112*$AK$32))&gt;$E112*5%,CR112*$AK$32,CR112-($E112*5%))</f>
        <v>0</v>
      </c>
      <c r="CT112" s="2">
        <f t="shared" ref="CT112:CT126" si="262">+CR112-CS112</f>
        <v>410</v>
      </c>
      <c r="CU112" s="2">
        <f>IF((CT112-(CT112*$AK$32))&gt;$E112*5%,CT112*$AK$32,CT112-($E112*5%))</f>
        <v>0</v>
      </c>
      <c r="CV112" s="2">
        <f t="shared" ref="CV112:CV126" si="263">+CT112-CU112</f>
        <v>410</v>
      </c>
      <c r="CW112" s="2">
        <f>IF((CV112-(CV112*$AK$32))&gt;$E112*5%,CV112*$AK$32,CV112-($E112*5%))</f>
        <v>0</v>
      </c>
      <c r="CX112" s="2">
        <f t="shared" ref="CX112:CX126" si="264">+CV112-CW112</f>
        <v>410</v>
      </c>
      <c r="CY112" s="2">
        <f>IF((CX112-(CX112*$AK$32))&gt;$E112*5%,CX112*$AK$32,CX112-($E112*5%))</f>
        <v>0</v>
      </c>
      <c r="CZ112" s="2">
        <f t="shared" ref="CZ112:CZ126" si="265">+CX112-CY112</f>
        <v>410</v>
      </c>
      <c r="DA112" s="2">
        <f>IF((CZ112-(CZ112*$AK$32))&gt;$E112*5%,CZ112*$AK$32,CZ112-($E112*5%))</f>
        <v>0</v>
      </c>
      <c r="DB112" s="2">
        <f t="shared" ref="DB112:DB126" si="266">+CZ112-DA112</f>
        <v>410</v>
      </c>
      <c r="DC112" s="2">
        <f>IF((DB112-(DB112*$AK$32))&gt;$E112*5%,DB112*$AK$32,DB112-($E112*5%))</f>
        <v>0</v>
      </c>
      <c r="DD112" s="2">
        <f t="shared" ref="DD112:DD126" si="267">+DB112-DC112</f>
        <v>410</v>
      </c>
      <c r="DE112" s="2">
        <f>IF((DD112-(DD112*$AK$32))&gt;$E112*5%,DD112*$AK$32,DD112-($E112*5%))</f>
        <v>0</v>
      </c>
      <c r="DF112" s="2">
        <f t="shared" ref="DF112:DF126" si="268">+DD112-DE112</f>
        <v>410</v>
      </c>
      <c r="DG112" s="2">
        <f>IF((DF112-(DF112*$AK$32))&gt;$E112*5%,DF112*$AK$32,DF112-($E112*5%))</f>
        <v>0</v>
      </c>
      <c r="DH112" s="2">
        <f t="shared" ref="DH112:DH126" si="269">+DF112-DG112</f>
        <v>410</v>
      </c>
      <c r="DI112" s="2">
        <f>IF((DH112-(DH112*$AK$32))&gt;$E112*5%,DH112*$AK$32,DH112-($E112*5%))</f>
        <v>0</v>
      </c>
      <c r="DJ112" s="2">
        <f t="shared" ref="DJ112:DJ126" si="270">+DH112-DI112</f>
        <v>410</v>
      </c>
      <c r="DK112" s="2">
        <f>IF((DJ112-(DJ112*$AK$32))&gt;$E112*5%,DJ112*$AK$32,DJ112-($E112*5%))</f>
        <v>0</v>
      </c>
      <c r="DL112" s="2">
        <f t="shared" ref="DL112:DL126" si="271">+DJ112-DK112</f>
        <v>410</v>
      </c>
      <c r="DM112" s="2">
        <f>IF((DL112-(DL112*$AK$32))&gt;$E112*5%,DL112*$AK$32,DL112-($E112*5%))</f>
        <v>0</v>
      </c>
      <c r="DN112" s="2">
        <f t="shared" ref="DN112:DN126" si="272">+DL112-DM112</f>
        <v>410</v>
      </c>
      <c r="DO112" s="2">
        <f>IF((DN112-(DN112*$AK$32))&gt;$E112*5%,DN112*$AK$32,DN112-($E112*5%))</f>
        <v>0</v>
      </c>
      <c r="DP112" s="2">
        <f t="shared" ref="DP112:DP126" si="273">+DN112-DO112</f>
        <v>410</v>
      </c>
      <c r="DQ112" s="2">
        <f>IF((DP112-(DP112*$AK$32))&gt;$E112*5%,DP112*$AK$32,DP112-($E112*5%))</f>
        <v>0</v>
      </c>
      <c r="DR112" s="2">
        <f t="shared" ref="DR112:DR126" si="274">+DP112-DQ112</f>
        <v>410</v>
      </c>
      <c r="DS112" s="2"/>
      <c r="DT112" s="2">
        <f t="shared" ref="DT112:DT126" si="275">+DR112-DS112</f>
        <v>410</v>
      </c>
      <c r="DU112" s="2"/>
      <c r="DV112" s="2"/>
      <c r="DW112" s="266">
        <f t="shared" ref="DW112:DW122" si="276">+E112*5%</f>
        <v>410</v>
      </c>
      <c r="DX112" s="441">
        <f>+DW112-DR112</f>
        <v>0</v>
      </c>
    </row>
    <row r="113" spans="1:128">
      <c r="A113" s="433">
        <v>7</v>
      </c>
      <c r="B113" s="625" t="s">
        <v>165</v>
      </c>
      <c r="C113" s="467" t="s">
        <v>165</v>
      </c>
      <c r="D113" s="468">
        <v>0.1391</v>
      </c>
      <c r="E113" s="442">
        <v>60900</v>
      </c>
      <c r="F113" s="437" t="s">
        <v>1001</v>
      </c>
      <c r="G113" s="438">
        <v>43112</v>
      </c>
      <c r="H113" s="438"/>
      <c r="I113" s="438"/>
      <c r="J113" s="438"/>
      <c r="K113" s="438"/>
      <c r="L113" s="438"/>
      <c r="M113" s="433"/>
      <c r="N113" s="436"/>
      <c r="O113" s="436"/>
      <c r="P113" s="433"/>
      <c r="Q113" s="436"/>
      <c r="R113" s="436"/>
      <c r="S113" s="433"/>
      <c r="T113" s="436"/>
      <c r="U113" s="436"/>
      <c r="V113" s="433"/>
      <c r="W113" s="436"/>
      <c r="X113" s="436"/>
      <c r="Y113" s="433"/>
      <c r="Z113" s="436"/>
      <c r="AA113" s="436"/>
      <c r="AB113" s="433"/>
      <c r="AC113" s="436"/>
      <c r="AD113" s="436"/>
      <c r="AE113" s="436"/>
      <c r="AF113" s="436"/>
      <c r="AG113" s="436"/>
      <c r="AH113" s="436"/>
      <c r="AI113" s="439">
        <v>10</v>
      </c>
      <c r="AJ113" s="436"/>
      <c r="AK113" s="440">
        <v>0.25890000000000002</v>
      </c>
      <c r="AL113" s="2"/>
      <c r="AM113" s="433"/>
      <c r="AN113" s="436"/>
      <c r="AO113" s="436"/>
      <c r="AP113" s="436"/>
      <c r="AQ113" s="436"/>
      <c r="AR113" s="436"/>
      <c r="AS113" s="436"/>
      <c r="AT113" s="2"/>
      <c r="AU113" s="2"/>
      <c r="AV113" s="2"/>
      <c r="AW113" s="433"/>
      <c r="AX113" s="2"/>
      <c r="AY113" s="2"/>
      <c r="AZ113" s="433"/>
      <c r="BA113" s="2"/>
      <c r="BB113" s="2"/>
      <c r="BC113" s="2">
        <f>5*365</f>
        <v>1825</v>
      </c>
      <c r="BD113" s="2"/>
      <c r="BE113" s="2"/>
      <c r="BF113" s="433">
        <f>IF(($BF$6-$G113+1)&gt;365,365,($BF$6-$G113+1))</f>
        <v>79</v>
      </c>
      <c r="BG113" s="2">
        <f>+E113*AK113*BF113/365</f>
        <v>3412.5857260273979</v>
      </c>
      <c r="BH113" s="2">
        <f>+E113-BG113</f>
        <v>57487.414273972601</v>
      </c>
      <c r="BI113" s="2">
        <f>IF((BH113-(BH113*$AK$32))&gt;$E113*5%,BH113*$AK$32,BH113-($E113*5%))</f>
        <v>5455.0071432051154</v>
      </c>
      <c r="BJ113" s="2">
        <f>+BH113-BI113</f>
        <v>52032.407130767489</v>
      </c>
      <c r="BK113" s="395">
        <f>IF((BJ113-(BJ113*$AK$32))&gt;$E113*5%,BJ113*$AK$32,BJ113-($E113*5%))</f>
        <v>4937.379010017512</v>
      </c>
      <c r="BL113" s="2">
        <f>+BJ113-BK113</f>
        <v>47095.028120749979</v>
      </c>
      <c r="BM113" s="2"/>
      <c r="BN113" s="2">
        <f>BL113-BM113</f>
        <v>47095.028120749979</v>
      </c>
      <c r="BO113" s="2">
        <f>IF((BL113-(BL113*$AK$32))&gt;$E113*5%,BL113*$AK$32,BL113-($E113*5%))</f>
        <v>4468.8688481236832</v>
      </c>
      <c r="BP113" s="149">
        <f>+BL113-BO113</f>
        <v>42626.159272626297</v>
      </c>
      <c r="BQ113" s="149"/>
      <c r="BR113" s="2">
        <f t="shared" si="223"/>
        <v>42626.159272626297</v>
      </c>
      <c r="BS113" s="624">
        <f>BP113-BT113</f>
        <v>39581.159272626297</v>
      </c>
      <c r="BT113" s="2">
        <f>E113*5/100</f>
        <v>3045</v>
      </c>
      <c r="BU113" s="2">
        <f>IF((BT113-(BT113*$AK$32))&gt;$E113*5%,BT113*$AK$32,BT113-($E113*5%))</f>
        <v>0</v>
      </c>
      <c r="BV113" s="2">
        <f>+BT113-BU113</f>
        <v>3045</v>
      </c>
      <c r="BW113" s="2">
        <f>IF((BV113-(BV113*$AK$32))&gt;$E113*5%,BV113*$AK$32,BV113-($E113*5%))</f>
        <v>0</v>
      </c>
      <c r="BX113" s="2">
        <f>+BV113-BW113</f>
        <v>3045</v>
      </c>
      <c r="BY113" s="2">
        <f>IF((BX113-(BX113*$AK$32))&gt;$E113*5%,BX113*$AK$32,BX113-($E113*5%))</f>
        <v>0</v>
      </c>
      <c r="BZ113" s="2">
        <f t="shared" si="252"/>
        <v>3045</v>
      </c>
      <c r="CA113" s="2">
        <f>IF((BZ113-(BZ113*$AK$32))&gt;$E113*5%,BZ113*$AK$32,BZ113-($E113*5%))</f>
        <v>0</v>
      </c>
      <c r="CB113" s="2">
        <f t="shared" si="253"/>
        <v>3045</v>
      </c>
      <c r="CC113" s="2">
        <f>IF((CB113-(CB113*$AK$32))&gt;$E113*5%,CB113*$AK$32,CB113-($E113*5%))</f>
        <v>0</v>
      </c>
      <c r="CD113" s="2">
        <f t="shared" si="254"/>
        <v>3045</v>
      </c>
      <c r="CE113" s="2">
        <f>IF((CD113-(CD113*$AK$32))&gt;$E113*5%,CD113*$AK$32,CD113-($E113*5%))</f>
        <v>0</v>
      </c>
      <c r="CF113" s="2">
        <f t="shared" si="255"/>
        <v>3045</v>
      </c>
      <c r="CG113" s="2">
        <f>IF((CF113-(CF113*$AK$32))&gt;$E113*5%,CF113*$AK$32,CF113-($E113*5%))</f>
        <v>0</v>
      </c>
      <c r="CH113" s="2">
        <f t="shared" si="256"/>
        <v>3045</v>
      </c>
      <c r="CI113" s="2">
        <f>IF((CH113-(CH113*$AK$32))&gt;$E113*5%,CH113*$AK$32,CH113-($E113*5%))</f>
        <v>0</v>
      </c>
      <c r="CJ113" s="2">
        <f t="shared" si="257"/>
        <v>3045</v>
      </c>
      <c r="CK113" s="2">
        <f>IF((CJ113-(CJ113*$AK$32))&gt;$E113*5%,CJ113*$AK$32,CJ113-($E113*5%))</f>
        <v>0</v>
      </c>
      <c r="CL113" s="2">
        <f t="shared" si="258"/>
        <v>3045</v>
      </c>
      <c r="CM113" s="2">
        <f>IF((CL113-(CL113*$AK$32))&gt;$E113*5%,CL113*$AK$32,CL113-($E113*5%))</f>
        <v>0</v>
      </c>
      <c r="CN113" s="2">
        <f t="shared" si="259"/>
        <v>3045</v>
      </c>
      <c r="CO113" s="2">
        <f>IF((CN113-(CN113*$AK$32))&gt;$E113*5%,CN113*$AK$32,CN113-($E113*5%))</f>
        <v>0</v>
      </c>
      <c r="CP113" s="2">
        <f t="shared" si="260"/>
        <v>3045</v>
      </c>
      <c r="CQ113" s="2">
        <f>IF((CP113-(CP113*$AK$32))&gt;$E113*5%,CP113*$AK$32,CP113-($E113*5%))</f>
        <v>0</v>
      </c>
      <c r="CR113" s="2">
        <f t="shared" si="261"/>
        <v>3045</v>
      </c>
      <c r="CS113" s="2">
        <f>IF((CR113-(CR113*$AK$32))&gt;$E113*5%,CR113*$AK$32,CR113-($E113*5%))</f>
        <v>0</v>
      </c>
      <c r="CT113" s="2">
        <f t="shared" si="262"/>
        <v>3045</v>
      </c>
      <c r="CU113" s="2">
        <f>IF((CT113-(CT113*$AK$32))&gt;$E113*5%,CT113*$AK$32,CT113-($E113*5%))</f>
        <v>0</v>
      </c>
      <c r="CV113" s="2">
        <f t="shared" si="263"/>
        <v>3045</v>
      </c>
      <c r="CW113" s="2">
        <f>IF((CV113-(CV113*$AK$32))&gt;$E113*5%,CV113*$AK$32,CV113-($E113*5%))</f>
        <v>0</v>
      </c>
      <c r="CX113" s="2">
        <f t="shared" si="264"/>
        <v>3045</v>
      </c>
      <c r="CY113" s="2">
        <f>IF((CX113-(CX113*$AK$32))&gt;$E113*5%,CX113*$AK$32,CX113-($E113*5%))</f>
        <v>0</v>
      </c>
      <c r="CZ113" s="2">
        <f t="shared" si="265"/>
        <v>3045</v>
      </c>
      <c r="DA113" s="2">
        <f>IF((CZ113-(CZ113*$AK$32))&gt;$E113*5%,CZ113*$AK$32,CZ113-($E113*5%))</f>
        <v>0</v>
      </c>
      <c r="DB113" s="2">
        <f t="shared" si="266"/>
        <v>3045</v>
      </c>
      <c r="DC113" s="2">
        <f>IF((DB113-(DB113*$AK$32))&gt;$E113*5%,DB113*$AK$32,DB113-($E113*5%))</f>
        <v>0</v>
      </c>
      <c r="DD113" s="2">
        <f t="shared" si="267"/>
        <v>3045</v>
      </c>
      <c r="DE113" s="2">
        <f>IF((DD113-(DD113*$AK$32))&gt;$E113*5%,DD113*$AK$32,DD113-($E113*5%))</f>
        <v>0</v>
      </c>
      <c r="DF113" s="2">
        <f t="shared" si="268"/>
        <v>3045</v>
      </c>
      <c r="DG113" s="2">
        <f>IF((DF113-(DF113*$AK$32))&gt;$E113*5%,DF113*$AK$32,DF113-($E113*5%))</f>
        <v>0</v>
      </c>
      <c r="DH113" s="2">
        <f t="shared" si="269"/>
        <v>3045</v>
      </c>
      <c r="DI113" s="2">
        <f>IF((DH113-(DH113*$AK$32))&gt;$E113*5%,DH113*$AK$32,DH113-($E113*5%))</f>
        <v>0</v>
      </c>
      <c r="DJ113" s="2">
        <f t="shared" si="270"/>
        <v>3045</v>
      </c>
      <c r="DK113" s="2">
        <f>IF((DJ113-(DJ113*$AK$32))&gt;$E113*5%,DJ113*$AK$32,DJ113-($E113*5%))</f>
        <v>0</v>
      </c>
      <c r="DL113" s="2">
        <f t="shared" si="271"/>
        <v>3045</v>
      </c>
      <c r="DM113" s="2">
        <f>IF((DL113-(DL113*$AK$32))&gt;$E113*5%,DL113*$AK$32,DL113-($E113*5%))</f>
        <v>0</v>
      </c>
      <c r="DN113" s="2">
        <f t="shared" si="272"/>
        <v>3045</v>
      </c>
      <c r="DO113" s="2">
        <f>IF((DN113-(DN113*$AK$32))&gt;$E113*5%,DN113*$AK$32,DN113-($E113*5%))</f>
        <v>0</v>
      </c>
      <c r="DP113" s="2">
        <f t="shared" si="273"/>
        <v>3045</v>
      </c>
      <c r="DQ113" s="2">
        <f>IF((DP113-(DP113*$AK$32))&gt;$E113*5%,DP113*$AK$32,DP113-($E113*5%))</f>
        <v>0</v>
      </c>
      <c r="DR113" s="2">
        <f t="shared" si="274"/>
        <v>3045</v>
      </c>
      <c r="DS113" s="2">
        <f>IF((DR113-(DR113*$AK$32))&gt;$E113*5%,DR113*$AK$32,DR113-($E113*5%))</f>
        <v>0</v>
      </c>
      <c r="DT113" s="2">
        <f t="shared" si="275"/>
        <v>3045</v>
      </c>
      <c r="DU113" s="2"/>
      <c r="DV113" s="2"/>
      <c r="DW113" s="266">
        <f t="shared" si="276"/>
        <v>3045</v>
      </c>
      <c r="DX113" s="441">
        <f>+DT113-DW113</f>
        <v>0</v>
      </c>
    </row>
    <row r="114" spans="1:128">
      <c r="A114" s="433">
        <v>10</v>
      </c>
      <c r="B114" s="433" t="s">
        <v>503</v>
      </c>
      <c r="C114" s="467" t="s">
        <v>173</v>
      </c>
      <c r="D114" s="468">
        <v>0.1391</v>
      </c>
      <c r="E114" s="442">
        <v>1500</v>
      </c>
      <c r="F114" s="437" t="s">
        <v>1001</v>
      </c>
      <c r="G114" s="438">
        <v>39653</v>
      </c>
      <c r="H114" s="438"/>
      <c r="I114" s="438"/>
      <c r="J114" s="438"/>
      <c r="K114" s="438"/>
      <c r="L114" s="438"/>
      <c r="M114" s="439">
        <f>$M$6-G114+1-5</f>
        <v>246</v>
      </c>
      <c r="N114" s="436">
        <f>ROUND(E114*M114/365*D114,0)</f>
        <v>141</v>
      </c>
      <c r="O114" s="436">
        <f>E114-N114</f>
        <v>1359</v>
      </c>
      <c r="P114" s="433">
        <f>IF(($P$6-G114+1)&gt;365,365,($P$6-G114+1))</f>
        <v>365</v>
      </c>
      <c r="Q114" s="436">
        <f>ROUND(O114*D114/365*P114,0)</f>
        <v>189</v>
      </c>
      <c r="R114" s="436">
        <f>O114-Q114</f>
        <v>1170</v>
      </c>
      <c r="S114" s="433">
        <f>IF(($S$6-G114+1)&gt;365,365,($S$6-G114+1))</f>
        <v>365</v>
      </c>
      <c r="T114" s="436">
        <f>ROUND(R114*D114/365*S114,0)</f>
        <v>163</v>
      </c>
      <c r="U114" s="436">
        <f>R114-T114</f>
        <v>1007</v>
      </c>
      <c r="V114" s="433">
        <f>IF(($V$6-G114+1)&gt;365,365,($V$6-G114+1))</f>
        <v>365</v>
      </c>
      <c r="W114" s="436">
        <f>ROUND(U114*D114*V114/365,0)</f>
        <v>140</v>
      </c>
      <c r="X114" s="436">
        <f>IF((U114-W114)&gt;0,U114-W114,E114-W114)</f>
        <v>867</v>
      </c>
      <c r="Y114" s="433">
        <f>IF(($Y$6-G114+1)&gt;365,365,($Y$6-G114+1))</f>
        <v>365</v>
      </c>
      <c r="Z114" s="436">
        <f>ROUND(IF(X114&gt;0,X114*$D114/365*Y114,($E114*$D114*Y114/365)),0)</f>
        <v>121</v>
      </c>
      <c r="AA114" s="436">
        <f>IF((X114-Z114)&gt;0,X114-Z114,$E114-Z114)</f>
        <v>746</v>
      </c>
      <c r="AB114" s="433">
        <f>IF(($AB$6-G114+1)&gt;365,365,($AB$6-G114+1))</f>
        <v>365</v>
      </c>
      <c r="AC114" s="436">
        <f t="shared" ref="AC114:AC122" si="277">ROUND(IF(AA114&gt;0,AA114*$D114/365*AB114,($E114*$D114*AB114/365)),0)</f>
        <v>104</v>
      </c>
      <c r="AD114" s="436">
        <f t="shared" ref="AD114:AD122" si="278">IF((AA114-AC114)&gt;0,AA114-AC114,$E114-AC114)</f>
        <v>642</v>
      </c>
      <c r="AE114" s="436">
        <f t="shared" ref="AE114:AE122" si="279">T114+W114+Z114+AC114+Q114+N114</f>
        <v>858</v>
      </c>
      <c r="AF114" s="436">
        <f t="shared" ref="AF114:AF122" si="280">E114-AE114</f>
        <v>642</v>
      </c>
      <c r="AG114" s="436">
        <f t="shared" ref="AG114:AG122" si="281">AD114-AF114</f>
        <v>0</v>
      </c>
      <c r="AH114" s="436">
        <f t="shared" ref="AH114:AH122" si="282">($AH$6-G114+1)/365</f>
        <v>5.6904109589041099</v>
      </c>
      <c r="AI114" s="439">
        <v>5</v>
      </c>
      <c r="AJ114" s="436">
        <f t="shared" ref="AJ114:AJ122" si="283">AI114-AH114</f>
        <v>-0.69041095890410986</v>
      </c>
      <c r="AK114" s="440">
        <f t="shared" ref="AK114:AK122" si="284">IF(AJ114&gt;0,1-(((E114*$AJ$4)/AF114)^(1/AJ114)),0)</f>
        <v>0</v>
      </c>
      <c r="AL114" s="2">
        <f t="shared" ref="AL114:AL122" si="285">IF(AJ114&lt;0,AF114-(E114*5%),0)</f>
        <v>567</v>
      </c>
      <c r="AM114" s="433">
        <f t="shared" ref="AM114:AM122" si="286">IF(($AM$6-$G114+1)&gt;365,365,($AM$6-$G114+1))</f>
        <v>365</v>
      </c>
      <c r="AN114" s="436">
        <f t="shared" ref="AN114:AN122" si="287">ROUND(IF(AF114&gt;0,AF114*$D114/365*AM114,($E114*$D114*AM114/365)),0)</f>
        <v>89</v>
      </c>
      <c r="AO114" s="436">
        <f t="shared" ref="AO114:AO122" si="288">MIN(ROUND(IF(AL114&gt;0,0,(AK114*AF114)*AM114/365),0),AF114-(E114*5%))</f>
        <v>0</v>
      </c>
      <c r="AP114" s="436">
        <f t="shared" ref="AP114:AP122" si="289">+IF(AJ114&lt;1,(E114*5%),IF(AF114&gt;0,AF114-AO114,E114-AO114))</f>
        <v>75</v>
      </c>
      <c r="AQ114" s="436">
        <f t="shared" ref="AQ114:AQ122" si="290">AF114-AO114-AL114</f>
        <v>75</v>
      </c>
      <c r="AR114" s="436">
        <f>$AF114-($AL114+$AO114+$AP114)</f>
        <v>0</v>
      </c>
      <c r="AS114" s="436">
        <f t="shared" ref="AS114:AS122" si="291">AO114-AN114</f>
        <v>-89</v>
      </c>
      <c r="AT114" s="2">
        <f t="shared" ref="AT114:AT122" si="292">AF114-AN114</f>
        <v>553</v>
      </c>
      <c r="AU114" s="2">
        <f t="shared" ref="AU114:AU122" si="293">AT114-AS114-AL114</f>
        <v>75</v>
      </c>
      <c r="AV114" s="2">
        <f t="shared" ref="AV114:AV122" si="294">AU114-AQ114</f>
        <v>0</v>
      </c>
      <c r="AW114" s="433">
        <f t="shared" ref="AW114:AW122" si="295">IF(($AW$6-$G114+1)&gt;365,365,($AW$6-$G114+1))</f>
        <v>365</v>
      </c>
      <c r="AX114" s="2">
        <v>0</v>
      </c>
      <c r="AY114" s="2">
        <f t="shared" ref="AY114:AY122" si="296">AQ114-AX114</f>
        <v>75</v>
      </c>
      <c r="AZ114" s="433">
        <f t="shared" ref="AZ114:AZ122" si="297">IF(($AZ$6-$G114+1)&gt;365,365,($AZ$6-$G114+1))</f>
        <v>365</v>
      </c>
      <c r="BA114" s="2">
        <f t="shared" ref="BA114:BA122" si="298">AY114*AK114</f>
        <v>0</v>
      </c>
      <c r="BB114" s="2">
        <f t="shared" ref="BB114:BB122" si="299">AY114-BA114</f>
        <v>75</v>
      </c>
      <c r="BC114" s="2">
        <f t="shared" si="250"/>
        <v>1825</v>
      </c>
      <c r="BD114" s="433">
        <f t="shared" ref="BD114:BD122" si="300">+$BD$6-G114</f>
        <v>3172</v>
      </c>
      <c r="BE114" s="439">
        <f t="shared" ref="BE114:BE122" si="301">+BC114-BD114</f>
        <v>-1347</v>
      </c>
      <c r="BF114" s="433">
        <f t="shared" ref="BF114:BF122" si="302">IF(($BF$6-$G114+1)&gt;365,365,($BF$6-$G114+1))</f>
        <v>365</v>
      </c>
      <c r="BG114" s="2">
        <f>IF((BB114-(BB114*$AK$32))&gt;$E114*5%,BB114*$AK$32,BB114-($E114*5%))</f>
        <v>0</v>
      </c>
      <c r="BH114" s="2">
        <f t="shared" ref="BH114:BH122" si="303">+BB114-BG114</f>
        <v>75</v>
      </c>
      <c r="BI114" s="2">
        <f>IF((BH114-(BH114*$AK$32))&gt;$E114*5%,BH114*$AK$32,BH114-($E114*5%))</f>
        <v>0</v>
      </c>
      <c r="BJ114" s="2">
        <f t="shared" ref="BJ114:BJ122" si="304">+BH114-BI114</f>
        <v>75</v>
      </c>
      <c r="BK114" s="395">
        <f>IF((BJ114-(BJ114*$AK$32))&gt;$E114*5%,BJ114*$AK$32,BJ114-($E114*5%))</f>
        <v>0</v>
      </c>
      <c r="BL114" s="2">
        <f t="shared" si="251"/>
        <v>75</v>
      </c>
      <c r="BM114" s="2"/>
      <c r="BN114" s="2">
        <f t="shared" si="221"/>
        <v>75</v>
      </c>
      <c r="BO114" s="2">
        <f>IF((BL114-(BL114*$AK$32))&gt;$E114*5%,BL114*$AK$32,BL114-($E114*5%))</f>
        <v>0</v>
      </c>
      <c r="BP114" s="149">
        <f t="shared" si="222"/>
        <v>75</v>
      </c>
      <c r="BQ114" s="149"/>
      <c r="BR114" s="2">
        <f t="shared" si="223"/>
        <v>75</v>
      </c>
      <c r="BS114" s="624">
        <f>IF((BP114-(BP114*$AK$32))&gt;$E114*5%,BP114*$AK$32,BP114-($E114*5%))</f>
        <v>0</v>
      </c>
      <c r="BT114" s="2">
        <f>+BP114-BS114</f>
        <v>75</v>
      </c>
      <c r="BU114" s="2">
        <f>IF((BT114-(BT114*$AK$32))&gt;$E114*5%,BT114*$AK$32,BT114-($E114*5%))</f>
        <v>0</v>
      </c>
      <c r="BV114" s="2">
        <f t="shared" si="224"/>
        <v>75</v>
      </c>
      <c r="BW114" s="2">
        <f>IF((BV114-(BV114*$AK$32))&gt;$E114*5%,BV114*$AK$32,BV114-($E114*5%))</f>
        <v>0</v>
      </c>
      <c r="BX114" s="2">
        <f t="shared" ref="BX114:BX129" si="305">+BV114-BW114</f>
        <v>75</v>
      </c>
      <c r="BY114" s="2">
        <f>IF((BX114-(BX114*$AK$32))&gt;$E114*5%,BX114*$AK$32,BX114-($E114*5%))</f>
        <v>0</v>
      </c>
      <c r="BZ114" s="2">
        <f t="shared" si="252"/>
        <v>75</v>
      </c>
      <c r="CA114" s="2">
        <f>IF((BZ114-(BZ114*$AK$32))&gt;$E114*5%,BZ114*$AK$32,BZ114-($E114*5%))</f>
        <v>0</v>
      </c>
      <c r="CB114" s="2">
        <f t="shared" si="253"/>
        <v>75</v>
      </c>
      <c r="CC114" s="2">
        <f>IF((CB114-(CB114*$AK$32))&gt;$E114*5%,CB114*$AK$32,CB114-($E114*5%))</f>
        <v>0</v>
      </c>
      <c r="CD114" s="2">
        <f t="shared" si="254"/>
        <v>75</v>
      </c>
      <c r="CE114" s="2">
        <f>IF((CD114-(CD114*$AK$32))&gt;$E114*5%,CD114*$AK$32,CD114-($E114*5%))</f>
        <v>0</v>
      </c>
      <c r="CF114" s="2">
        <f t="shared" si="255"/>
        <v>75</v>
      </c>
      <c r="CG114" s="2">
        <f>IF((CF114-(CF114*$AK$32))&gt;$E114*5%,CF114*$AK$32,CF114-($E114*5%))</f>
        <v>0</v>
      </c>
      <c r="CH114" s="2">
        <f t="shared" si="256"/>
        <v>75</v>
      </c>
      <c r="CI114" s="2">
        <f>IF((CH114-(CH114*$AK$32))&gt;$E114*5%,CH114*$AK$32,CH114-($E114*5%))</f>
        <v>0</v>
      </c>
      <c r="CJ114" s="2">
        <f t="shared" si="257"/>
        <v>75</v>
      </c>
      <c r="CK114" s="2">
        <f>IF((CJ114-(CJ114*$AK$32))&gt;$E114*5%,CJ114*$AK$32,CJ114-($E114*5%))</f>
        <v>0</v>
      </c>
      <c r="CL114" s="2">
        <f t="shared" si="258"/>
        <v>75</v>
      </c>
      <c r="CM114" s="2">
        <f>IF((CL114-(CL114*$AK$32))&gt;$E114*5%,CL114*$AK$32,CL114-($E114*5%))</f>
        <v>0</v>
      </c>
      <c r="CN114" s="2">
        <f t="shared" si="259"/>
        <v>75</v>
      </c>
      <c r="CO114" s="2">
        <f>IF((CN114-(CN114*$AK$32))&gt;$E114*5%,CN114*$AK$32,CN114-($E114*5%))</f>
        <v>0</v>
      </c>
      <c r="CP114" s="2">
        <f t="shared" si="260"/>
        <v>75</v>
      </c>
      <c r="CQ114" s="2">
        <f>IF((CP114-(CP114*$AK$32))&gt;$E114*5%,CP114*$AK$32,CP114-($E114*5%))</f>
        <v>0</v>
      </c>
      <c r="CR114" s="2">
        <f t="shared" si="261"/>
        <v>75</v>
      </c>
      <c r="CS114" s="2">
        <f>IF((CR114-(CR114*$AK$32))&gt;$E114*5%,CR114*$AK$32,CR114-($E114*5%))</f>
        <v>0</v>
      </c>
      <c r="CT114" s="2">
        <f t="shared" si="262"/>
        <v>75</v>
      </c>
      <c r="CU114" s="2">
        <f>IF((CT114-(CT114*$AK$32))&gt;$E114*5%,CT114*$AK$32,CT114-($E114*5%))</f>
        <v>0</v>
      </c>
      <c r="CV114" s="2">
        <f t="shared" si="263"/>
        <v>75</v>
      </c>
      <c r="CW114" s="2">
        <f>IF((CV114-(CV114*$AK$32))&gt;$E114*5%,CV114*$AK$32,CV114-($E114*5%))</f>
        <v>0</v>
      </c>
      <c r="CX114" s="2">
        <f t="shared" si="264"/>
        <v>75</v>
      </c>
      <c r="CY114" s="2">
        <f>IF((CX114-(CX114*$AK$32))&gt;$E114*5%,CX114*$AK$32,CX114-($E114*5%))</f>
        <v>0</v>
      </c>
      <c r="CZ114" s="2">
        <f t="shared" si="265"/>
        <v>75</v>
      </c>
      <c r="DA114" s="2">
        <f>IF((CZ114-(CZ114*$AK$32))&gt;$E114*5%,CZ114*$AK$32,CZ114-($E114*5%))</f>
        <v>0</v>
      </c>
      <c r="DB114" s="2">
        <f t="shared" si="266"/>
        <v>75</v>
      </c>
      <c r="DC114" s="2">
        <f>IF((DB114-(DB114*$AK$32))&gt;$E114*5%,DB114*$AK$32,DB114-($E114*5%))</f>
        <v>0</v>
      </c>
      <c r="DD114" s="2">
        <f t="shared" si="267"/>
        <v>75</v>
      </c>
      <c r="DE114" s="2">
        <f>IF((DD114-(DD114*$AK$32))&gt;$E114*5%,DD114*$AK$32,DD114-($E114*5%))</f>
        <v>0</v>
      </c>
      <c r="DF114" s="2">
        <f t="shared" si="268"/>
        <v>75</v>
      </c>
      <c r="DG114" s="2">
        <f>IF((DF114-(DF114*$AK$32))&gt;$E114*5%,DF114*$AK$32,DF114-($E114*5%))</f>
        <v>0</v>
      </c>
      <c r="DH114" s="2">
        <f t="shared" si="269"/>
        <v>75</v>
      </c>
      <c r="DI114" s="2">
        <f>IF((DH114-(DH114*$AK$32))&gt;$E114*5%,DH114*$AK$32,DH114-($E114*5%))</f>
        <v>0</v>
      </c>
      <c r="DJ114" s="2">
        <f t="shared" si="270"/>
        <v>75</v>
      </c>
      <c r="DK114" s="2">
        <f>IF((DJ114-(DJ114*$AK$32))&gt;$E114*5%,DJ114*$AK$32,DJ114-($E114*5%))</f>
        <v>0</v>
      </c>
      <c r="DL114" s="2">
        <f t="shared" si="271"/>
        <v>75</v>
      </c>
      <c r="DM114" s="2">
        <f>IF((DL114-(DL114*$AK$32))&gt;$E114*5%,DL114*$AK$32,DL114-($E114*5%))</f>
        <v>0</v>
      </c>
      <c r="DN114" s="2">
        <f t="shared" si="272"/>
        <v>75</v>
      </c>
      <c r="DO114" s="2">
        <f>IF((DN114-(DN114*$AK$32))&gt;$E114*5%,DN114*$AK$32,DN114-($E114*5%))</f>
        <v>0</v>
      </c>
      <c r="DP114" s="2">
        <f t="shared" si="273"/>
        <v>75</v>
      </c>
      <c r="DQ114" s="2">
        <f>IF((DP114-(DP114*$AK$32))&gt;$E114*5%,DP114*$AK$32,DP114-($E114*5%))</f>
        <v>0</v>
      </c>
      <c r="DR114" s="2">
        <f t="shared" si="274"/>
        <v>75</v>
      </c>
      <c r="DS114" s="2"/>
      <c r="DT114" s="2">
        <f t="shared" si="275"/>
        <v>75</v>
      </c>
      <c r="DU114" s="2"/>
      <c r="DV114" s="2"/>
      <c r="DW114" s="266">
        <f t="shared" si="276"/>
        <v>75</v>
      </c>
      <c r="DX114" s="441">
        <f t="shared" ref="DX114:DX122" si="306">+DW114-DR114</f>
        <v>0</v>
      </c>
    </row>
    <row r="115" spans="1:128">
      <c r="A115" s="433">
        <v>11</v>
      </c>
      <c r="B115" s="433" t="s">
        <v>504</v>
      </c>
      <c r="C115" s="467" t="s">
        <v>173</v>
      </c>
      <c r="D115" s="468">
        <v>0.1391</v>
      </c>
      <c r="E115" s="442">
        <v>27000</v>
      </c>
      <c r="F115" s="437" t="s">
        <v>1001</v>
      </c>
      <c r="G115" s="438">
        <v>40075</v>
      </c>
      <c r="H115" s="438"/>
      <c r="I115" s="438"/>
      <c r="J115" s="438"/>
      <c r="K115" s="438"/>
      <c r="L115" s="438"/>
      <c r="M115" s="433"/>
      <c r="N115" s="433"/>
      <c r="O115" s="433"/>
      <c r="P115" s="433">
        <f>IF(($P$6-G115+1)&gt;365,365,($P$6-G115+1))+2</f>
        <v>196</v>
      </c>
      <c r="Q115" s="436">
        <f>ROUND(E115*D115/365*P115,0)</f>
        <v>2017</v>
      </c>
      <c r="R115" s="436">
        <f>E115-Q115</f>
        <v>24983</v>
      </c>
      <c r="S115" s="433">
        <f>IF(($S$6-G115+1)&gt;365,365,($S$6-G115+1))</f>
        <v>365</v>
      </c>
      <c r="T115" s="436">
        <f>ROUND(R115*D115/365*S115,0)</f>
        <v>3475</v>
      </c>
      <c r="U115" s="436">
        <f>R115-T115</f>
        <v>21508</v>
      </c>
      <c r="V115" s="433">
        <f>IF(($V$6-G115+1)&gt;365,365,($V$6-G115+1))</f>
        <v>365</v>
      </c>
      <c r="W115" s="436">
        <f>ROUND(U115*D115*V115/365,0)</f>
        <v>2992</v>
      </c>
      <c r="X115" s="436">
        <f>IF((U115-W115)&gt;0,U115-W115,E115-W115)</f>
        <v>18516</v>
      </c>
      <c r="Y115" s="433">
        <f>IF(($Y$6-G115+1)&gt;365,365,($Y$6-G115+1))</f>
        <v>365</v>
      </c>
      <c r="Z115" s="436">
        <f>ROUND(IF(X115&gt;0,X115*$D115/365*Y115,($E115*$D115*Y115/365)),0)</f>
        <v>2576</v>
      </c>
      <c r="AA115" s="436">
        <f>IF((X115-Z115)&gt;0,X115-Z115,$E115-Z115)</f>
        <v>15940</v>
      </c>
      <c r="AB115" s="433">
        <f>IF(($AB$6-G115+1)&gt;365,365,($AB$6-G115+1))</f>
        <v>365</v>
      </c>
      <c r="AC115" s="436">
        <f t="shared" si="277"/>
        <v>2217</v>
      </c>
      <c r="AD115" s="436">
        <f t="shared" si="278"/>
        <v>13723</v>
      </c>
      <c r="AE115" s="436">
        <f t="shared" si="279"/>
        <v>13277</v>
      </c>
      <c r="AF115" s="436">
        <f t="shared" si="280"/>
        <v>13723</v>
      </c>
      <c r="AG115" s="436">
        <f t="shared" si="281"/>
        <v>0</v>
      </c>
      <c r="AH115" s="436">
        <f t="shared" si="282"/>
        <v>4.5342465753424657</v>
      </c>
      <c r="AI115" s="439">
        <v>10</v>
      </c>
      <c r="AJ115" s="436">
        <f t="shared" si="283"/>
        <v>5.4657534246575343</v>
      </c>
      <c r="AK115" s="440">
        <f t="shared" si="284"/>
        <v>0.3457543997622331</v>
      </c>
      <c r="AL115" s="2">
        <f t="shared" si="285"/>
        <v>0</v>
      </c>
      <c r="AM115" s="433">
        <f t="shared" si="286"/>
        <v>365</v>
      </c>
      <c r="AN115" s="436">
        <f t="shared" si="287"/>
        <v>1909</v>
      </c>
      <c r="AO115" s="436">
        <f t="shared" si="288"/>
        <v>4745</v>
      </c>
      <c r="AP115" s="436">
        <f t="shared" si="289"/>
        <v>8978</v>
      </c>
      <c r="AQ115" s="436">
        <f t="shared" si="290"/>
        <v>8978</v>
      </c>
      <c r="AR115" s="436">
        <f>$AF115-($AL115+$AO115+$AP115)</f>
        <v>0</v>
      </c>
      <c r="AS115" s="436">
        <f t="shared" si="291"/>
        <v>2836</v>
      </c>
      <c r="AT115" s="2">
        <f t="shared" si="292"/>
        <v>11814</v>
      </c>
      <c r="AU115" s="2">
        <f t="shared" si="293"/>
        <v>8978</v>
      </c>
      <c r="AV115" s="2">
        <f t="shared" si="294"/>
        <v>0</v>
      </c>
      <c r="AW115" s="433">
        <f t="shared" si="295"/>
        <v>365</v>
      </c>
      <c r="AX115" s="2">
        <f>AQ115*AK115</f>
        <v>3104.1830010653289</v>
      </c>
      <c r="AY115" s="2">
        <f t="shared" si="296"/>
        <v>5873.8169989346716</v>
      </c>
      <c r="AZ115" s="433">
        <f t="shared" si="297"/>
        <v>365</v>
      </c>
      <c r="BA115" s="2">
        <f t="shared" si="298"/>
        <v>2030.8980707798587</v>
      </c>
      <c r="BB115" s="2">
        <f t="shared" si="299"/>
        <v>3842.9189281548129</v>
      </c>
      <c r="BC115" s="2">
        <f t="shared" si="250"/>
        <v>1825</v>
      </c>
      <c r="BD115" s="433">
        <f t="shared" si="300"/>
        <v>2750</v>
      </c>
      <c r="BE115" s="439">
        <f t="shared" si="301"/>
        <v>-925</v>
      </c>
      <c r="BF115" s="433">
        <f t="shared" si="302"/>
        <v>365</v>
      </c>
      <c r="BG115" s="2">
        <f>IF((BB115-(BB115*$AK$32))&gt;$E115*5%,BB115*$AK$32,BB115-($E115*5%))</f>
        <v>364.65634206361767</v>
      </c>
      <c r="BH115" s="2">
        <f t="shared" si="303"/>
        <v>3478.2625860911953</v>
      </c>
      <c r="BI115" s="2">
        <f>IF((BH115-(BH115*$AK$32))&gt;$E115*5%,BH115*$AK$32,BH115-($E115*5%))</f>
        <v>330.05393428629145</v>
      </c>
      <c r="BJ115" s="2">
        <f t="shared" si="304"/>
        <v>3148.2086518049036</v>
      </c>
      <c r="BK115" s="395">
        <f>IF((BJ115-(BJ115*$AK$32))&gt;$E115*5%,BJ115*$AK$32,BJ115-($E115*5%))</f>
        <v>298.73496487510636</v>
      </c>
      <c r="BL115" s="2">
        <f t="shared" si="251"/>
        <v>2849.4736869297972</v>
      </c>
      <c r="BM115" s="2"/>
      <c r="BN115" s="2">
        <f t="shared" si="221"/>
        <v>2849.4736869297972</v>
      </c>
      <c r="BO115" s="2">
        <f>IF((BL115-(BL115*$AK$32))&gt;$E115*5%,BL115*$AK$32,BL115-($E115*5%))</f>
        <v>270.38786685548581</v>
      </c>
      <c r="BP115" s="149">
        <f t="shared" si="222"/>
        <v>2579.0858200743114</v>
      </c>
      <c r="BQ115" s="149"/>
      <c r="BR115" s="2">
        <f t="shared" si="223"/>
        <v>2579.0858200743114</v>
      </c>
      <c r="BS115" s="624">
        <f>BP115-BT115</f>
        <v>1229.0858200743114</v>
      </c>
      <c r="BT115" s="2">
        <f>E115*5/100</f>
        <v>1350</v>
      </c>
      <c r="BU115" s="2">
        <f>IF((BT115-(BT115*$AK$32))&gt;$E115*5%,BT115*$AK$32,BT115-($E115*5%))</f>
        <v>0</v>
      </c>
      <c r="BV115" s="2">
        <f t="shared" si="224"/>
        <v>1350</v>
      </c>
      <c r="BW115" s="2">
        <f>IF((BV115-(BV115*$AK$32))&gt;$E115*5%,BV115*$AK$32,BV115-($E115*5%))</f>
        <v>0</v>
      </c>
      <c r="BX115" s="2">
        <f t="shared" si="305"/>
        <v>1350</v>
      </c>
      <c r="BY115" s="2">
        <f>IF((BX115-(BX115*$AK$32))&gt;$E115*5%,BX115*$AK$32,BX115-($E115*5%))</f>
        <v>0</v>
      </c>
      <c r="BZ115" s="2">
        <f t="shared" si="252"/>
        <v>1350</v>
      </c>
      <c r="CA115" s="2">
        <f>IF((BZ115-(BZ115*$AK$32))&gt;$E115*5%,BZ115*$AK$32,BZ115-($E115*5%))</f>
        <v>0</v>
      </c>
      <c r="CB115" s="2">
        <f t="shared" si="253"/>
        <v>1350</v>
      </c>
      <c r="CC115" s="2">
        <f>IF((CB115-(CB115*$AK$32))&gt;$E115*5%,CB115*$AK$32,CB115-($E115*5%))</f>
        <v>0</v>
      </c>
      <c r="CD115" s="2">
        <f t="shared" si="254"/>
        <v>1350</v>
      </c>
      <c r="CE115" s="2">
        <f>IF((CD115-(CD115*$AK$32))&gt;$E115*5%,CD115*$AK$32,CD115-($E115*5%))</f>
        <v>0</v>
      </c>
      <c r="CF115" s="2">
        <f t="shared" si="255"/>
        <v>1350</v>
      </c>
      <c r="CG115" s="2">
        <f>IF((CF115-(CF115*$AK$32))&gt;$E115*5%,CF115*$AK$32,CF115-($E115*5%))</f>
        <v>0</v>
      </c>
      <c r="CH115" s="2">
        <f t="shared" si="256"/>
        <v>1350</v>
      </c>
      <c r="CI115" s="2">
        <f>IF((CH115-(CH115*$AK$32))&gt;$E115*5%,CH115*$AK$32,CH115-($E115*5%))</f>
        <v>0</v>
      </c>
      <c r="CJ115" s="2">
        <f t="shared" si="257"/>
        <v>1350</v>
      </c>
      <c r="CK115" s="2">
        <f>IF((CJ115-(CJ115*$AK$32))&gt;$E115*5%,CJ115*$AK$32,CJ115-($E115*5%))</f>
        <v>0</v>
      </c>
      <c r="CL115" s="2">
        <f t="shared" si="258"/>
        <v>1350</v>
      </c>
      <c r="CM115" s="2">
        <f>IF((CL115-(CL115*$AK$32))&gt;$E115*5%,CL115*$AK$32,CL115-($E115*5%))</f>
        <v>0</v>
      </c>
      <c r="CN115" s="2">
        <f t="shared" si="259"/>
        <v>1350</v>
      </c>
      <c r="CO115" s="2">
        <f>IF((CN115-(CN115*$AK$32))&gt;$E115*5%,CN115*$AK$32,CN115-($E115*5%))</f>
        <v>0</v>
      </c>
      <c r="CP115" s="2">
        <f t="shared" si="260"/>
        <v>1350</v>
      </c>
      <c r="CQ115" s="2">
        <f>IF((CP115-(CP115*$AK$32))&gt;$E115*5%,CP115*$AK$32,CP115-($E115*5%))</f>
        <v>0</v>
      </c>
      <c r="CR115" s="2">
        <f t="shared" si="261"/>
        <v>1350</v>
      </c>
      <c r="CS115" s="2">
        <f>IF((CR115-(CR115*$AK$32))&gt;$E115*5%,CR115*$AK$32,CR115-($E115*5%))</f>
        <v>0</v>
      </c>
      <c r="CT115" s="2">
        <f t="shared" si="262"/>
        <v>1350</v>
      </c>
      <c r="CU115" s="2">
        <f>IF((CT115-(CT115*$AK$32))&gt;$E115*5%,CT115*$AK$32,CT115-($E115*5%))</f>
        <v>0</v>
      </c>
      <c r="CV115" s="2">
        <f t="shared" si="263"/>
        <v>1350</v>
      </c>
      <c r="CW115" s="2">
        <f>IF((CV115-(CV115*$AK$32))&gt;$E115*5%,CV115*$AK$32,CV115-($E115*5%))</f>
        <v>0</v>
      </c>
      <c r="CX115" s="2">
        <f t="shared" si="264"/>
        <v>1350</v>
      </c>
      <c r="CY115" s="2">
        <f>IF((CX115-(CX115*$AK$32))&gt;$E115*5%,CX115*$AK$32,CX115-($E115*5%))</f>
        <v>0</v>
      </c>
      <c r="CZ115" s="2">
        <f t="shared" si="265"/>
        <v>1350</v>
      </c>
      <c r="DA115" s="2">
        <f>IF((CZ115-(CZ115*$AK$32))&gt;$E115*5%,CZ115*$AK$32,CZ115-($E115*5%))</f>
        <v>0</v>
      </c>
      <c r="DB115" s="2">
        <f t="shared" si="266"/>
        <v>1350</v>
      </c>
      <c r="DC115" s="2">
        <f>IF((DB115-(DB115*$AK$32))&gt;$E115*5%,DB115*$AK$32,DB115-($E115*5%))</f>
        <v>0</v>
      </c>
      <c r="DD115" s="2">
        <f t="shared" si="267"/>
        <v>1350</v>
      </c>
      <c r="DE115" s="2">
        <f>IF((DD115-(DD115*$AK$32))&gt;$E115*5%,DD115*$AK$32,DD115-($E115*5%))</f>
        <v>0</v>
      </c>
      <c r="DF115" s="2">
        <f t="shared" si="268"/>
        <v>1350</v>
      </c>
      <c r="DG115" s="2">
        <f>IF((DF115-(DF115*$AK$32))&gt;$E115*5%,DF115*$AK$32,DF115-($E115*5%))</f>
        <v>0</v>
      </c>
      <c r="DH115" s="2">
        <f t="shared" si="269"/>
        <v>1350</v>
      </c>
      <c r="DI115" s="2">
        <f>IF((DH115-(DH115*$AK$32))&gt;$E115*5%,DH115*$AK$32,DH115-($E115*5%))</f>
        <v>0</v>
      </c>
      <c r="DJ115" s="2">
        <f t="shared" si="270"/>
        <v>1350</v>
      </c>
      <c r="DK115" s="2">
        <f>IF((DJ115-(DJ115*$AK$32))&gt;$E115*5%,DJ115*$AK$32,DJ115-($E115*5%))</f>
        <v>0</v>
      </c>
      <c r="DL115" s="2">
        <f t="shared" si="271"/>
        <v>1350</v>
      </c>
      <c r="DM115" s="2">
        <f>IF((DL115-(DL115*$AK$32))&gt;$E115*5%,DL115*$AK$32,DL115-($E115*5%))</f>
        <v>0</v>
      </c>
      <c r="DN115" s="2">
        <f t="shared" si="272"/>
        <v>1350</v>
      </c>
      <c r="DO115" s="2">
        <f>IF((DN115-(DN115*$AK$32))&gt;$E115*5%,DN115*$AK$32,DN115-($E115*5%))</f>
        <v>0</v>
      </c>
      <c r="DP115" s="2">
        <f t="shared" si="273"/>
        <v>1350</v>
      </c>
      <c r="DQ115" s="2">
        <f>IF((DP115-(DP115*$AK$32))&gt;$E115*5%,DP115*$AK$32,DP115-($E115*5%))</f>
        <v>0</v>
      </c>
      <c r="DR115" s="2">
        <f t="shared" si="274"/>
        <v>1350</v>
      </c>
      <c r="DS115" s="2"/>
      <c r="DT115" s="2">
        <f t="shared" si="275"/>
        <v>1350</v>
      </c>
      <c r="DU115" s="2"/>
      <c r="DV115" s="2"/>
      <c r="DW115" s="266">
        <f t="shared" si="276"/>
        <v>1350</v>
      </c>
      <c r="DX115" s="441">
        <f t="shared" si="306"/>
        <v>0</v>
      </c>
    </row>
    <row r="116" spans="1:128">
      <c r="A116" s="433">
        <v>12</v>
      </c>
      <c r="B116" s="433" t="s">
        <v>173</v>
      </c>
      <c r="C116" s="467" t="s">
        <v>173</v>
      </c>
      <c r="D116" s="468">
        <v>0.1391</v>
      </c>
      <c r="E116" s="442">
        <v>25650</v>
      </c>
      <c r="F116" s="437" t="s">
        <v>1001</v>
      </c>
      <c r="G116" s="438">
        <v>40401</v>
      </c>
      <c r="H116" s="438"/>
      <c r="I116" s="438"/>
      <c r="J116" s="438"/>
      <c r="K116" s="438"/>
      <c r="L116" s="438"/>
      <c r="M116" s="433"/>
      <c r="N116" s="433"/>
      <c r="O116" s="433"/>
      <c r="P116" s="433"/>
      <c r="Q116" s="433"/>
      <c r="R116" s="433"/>
      <c r="S116" s="433">
        <f>IF(($S$6-G116+1)&gt;365,365,($S$6-G116+1))</f>
        <v>233</v>
      </c>
      <c r="T116" s="436">
        <f>ROUND(E116*D116/365*S116,0)</f>
        <v>2278</v>
      </c>
      <c r="U116" s="436">
        <f>E116-T116</f>
        <v>23372</v>
      </c>
      <c r="V116" s="433">
        <f>IF(($V$6-G116+1)&gt;365,365,($V$6-G116+1))</f>
        <v>365</v>
      </c>
      <c r="W116" s="436">
        <f>ROUND(U116*D116*V116/365,0)</f>
        <v>3251</v>
      </c>
      <c r="X116" s="436">
        <f>IF((U116-W116)&gt;0,U116-W116,E116-W116)</f>
        <v>20121</v>
      </c>
      <c r="Y116" s="433">
        <f>IF(($Y$6-G116+1)&gt;365,365,($Y$6-G116+1))</f>
        <v>365</v>
      </c>
      <c r="Z116" s="436">
        <f>ROUND(IF(X116&gt;0,X116*$D116/365*Y116,($E116*$D116*Y116/365)),0)</f>
        <v>2799</v>
      </c>
      <c r="AA116" s="436">
        <f>IF((X116-Z116)&gt;0,X116-Z116,$E116-Z116)</f>
        <v>17322</v>
      </c>
      <c r="AB116" s="433">
        <f>IF(($AB$6-G116+1)&gt;365,365,($AB$6-G116+1))</f>
        <v>365</v>
      </c>
      <c r="AC116" s="436">
        <f t="shared" si="277"/>
        <v>2409</v>
      </c>
      <c r="AD116" s="436">
        <f t="shared" si="278"/>
        <v>14913</v>
      </c>
      <c r="AE116" s="436">
        <f t="shared" si="279"/>
        <v>10737</v>
      </c>
      <c r="AF116" s="436">
        <f t="shared" si="280"/>
        <v>14913</v>
      </c>
      <c r="AG116" s="436">
        <f t="shared" si="281"/>
        <v>0</v>
      </c>
      <c r="AH116" s="436">
        <f t="shared" si="282"/>
        <v>3.6410958904109587</v>
      </c>
      <c r="AI116" s="439">
        <v>5</v>
      </c>
      <c r="AJ116" s="436">
        <f t="shared" si="283"/>
        <v>1.3589041095890413</v>
      </c>
      <c r="AK116" s="440">
        <f t="shared" si="284"/>
        <v>0.8355981602583904</v>
      </c>
      <c r="AL116" s="2">
        <f t="shared" si="285"/>
        <v>0</v>
      </c>
      <c r="AM116" s="433">
        <f t="shared" si="286"/>
        <v>365</v>
      </c>
      <c r="AN116" s="436">
        <f t="shared" si="287"/>
        <v>2074</v>
      </c>
      <c r="AO116" s="436">
        <f t="shared" si="288"/>
        <v>12461</v>
      </c>
      <c r="AP116" s="436">
        <f t="shared" si="289"/>
        <v>2452</v>
      </c>
      <c r="AQ116" s="436">
        <f t="shared" si="290"/>
        <v>2452</v>
      </c>
      <c r="AR116" s="436"/>
      <c r="AS116" s="436">
        <f t="shared" si="291"/>
        <v>10387</v>
      </c>
      <c r="AT116" s="2">
        <f t="shared" si="292"/>
        <v>12839</v>
      </c>
      <c r="AU116" s="2">
        <f t="shared" si="293"/>
        <v>2452</v>
      </c>
      <c r="AV116" s="2">
        <f t="shared" si="294"/>
        <v>0</v>
      </c>
      <c r="AW116" s="433">
        <f t="shared" si="295"/>
        <v>365</v>
      </c>
      <c r="AX116" s="2">
        <f>AQ116*(365-S116)/365*AK116</f>
        <v>740.96724093663465</v>
      </c>
      <c r="AY116" s="2">
        <f t="shared" si="296"/>
        <v>1711.0327590633653</v>
      </c>
      <c r="AZ116" s="433">
        <f t="shared" si="297"/>
        <v>365</v>
      </c>
      <c r="BA116" s="2">
        <f t="shared" si="298"/>
        <v>1429.7358256151858</v>
      </c>
      <c r="BB116" s="2">
        <f t="shared" si="299"/>
        <v>281.29693344817952</v>
      </c>
      <c r="BC116" s="2">
        <f t="shared" si="250"/>
        <v>1825</v>
      </c>
      <c r="BD116" s="433">
        <f t="shared" si="300"/>
        <v>2424</v>
      </c>
      <c r="BE116" s="439">
        <f t="shared" si="301"/>
        <v>-599</v>
      </c>
      <c r="BF116" s="433">
        <f t="shared" si="302"/>
        <v>365</v>
      </c>
      <c r="BG116" s="2">
        <v>0</v>
      </c>
      <c r="BH116" s="2">
        <f t="shared" si="303"/>
        <v>281.29693344817952</v>
      </c>
      <c r="BI116" s="2">
        <v>0</v>
      </c>
      <c r="BJ116" s="2">
        <f t="shared" si="304"/>
        <v>281.29693344817952</v>
      </c>
      <c r="BK116" s="395">
        <v>0</v>
      </c>
      <c r="BL116" s="2">
        <f t="shared" si="251"/>
        <v>281.29693344817952</v>
      </c>
      <c r="BM116" s="2"/>
      <c r="BN116" s="2">
        <f t="shared" si="221"/>
        <v>281.29693344817952</v>
      </c>
      <c r="BO116" s="2">
        <v>0</v>
      </c>
      <c r="BP116" s="149">
        <f t="shared" si="222"/>
        <v>281.29693344817952</v>
      </c>
      <c r="BQ116" s="149"/>
      <c r="BR116" s="2">
        <f t="shared" si="223"/>
        <v>281.29693344817952</v>
      </c>
      <c r="BS116" s="624">
        <v>0</v>
      </c>
      <c r="BT116" s="2">
        <f>+BP116-BS116</f>
        <v>281.29693344817952</v>
      </c>
      <c r="BU116" s="2">
        <v>0</v>
      </c>
      <c r="BV116" s="2">
        <f t="shared" si="224"/>
        <v>281.29693344817952</v>
      </c>
      <c r="BW116" s="2">
        <v>0</v>
      </c>
      <c r="BX116" s="2">
        <f t="shared" si="305"/>
        <v>281.29693344817952</v>
      </c>
      <c r="BY116" s="2">
        <v>0</v>
      </c>
      <c r="BZ116" s="2">
        <f t="shared" si="252"/>
        <v>281.29693344817952</v>
      </c>
      <c r="CA116" s="2">
        <v>0</v>
      </c>
      <c r="CB116" s="2">
        <f t="shared" si="253"/>
        <v>281.29693344817952</v>
      </c>
      <c r="CC116" s="2">
        <v>0</v>
      </c>
      <c r="CD116" s="2">
        <f t="shared" si="254"/>
        <v>281.29693344817952</v>
      </c>
      <c r="CE116" s="2">
        <v>0</v>
      </c>
      <c r="CF116" s="2">
        <f t="shared" si="255"/>
        <v>281.29693344817952</v>
      </c>
      <c r="CG116" s="2">
        <v>0</v>
      </c>
      <c r="CH116" s="2">
        <f t="shared" si="256"/>
        <v>281.29693344817952</v>
      </c>
      <c r="CI116" s="2">
        <v>0</v>
      </c>
      <c r="CJ116" s="2">
        <f t="shared" si="257"/>
        <v>281.29693344817952</v>
      </c>
      <c r="CK116" s="2">
        <v>0</v>
      </c>
      <c r="CL116" s="2">
        <f t="shared" si="258"/>
        <v>281.29693344817952</v>
      </c>
      <c r="CM116" s="2">
        <v>0</v>
      </c>
      <c r="CN116" s="2">
        <f t="shared" si="259"/>
        <v>281.29693344817952</v>
      </c>
      <c r="CO116" s="2">
        <v>0</v>
      </c>
      <c r="CP116" s="2">
        <f t="shared" si="260"/>
        <v>281.29693344817952</v>
      </c>
      <c r="CQ116" s="2">
        <v>0</v>
      </c>
      <c r="CR116" s="2">
        <f t="shared" si="261"/>
        <v>281.29693344817952</v>
      </c>
      <c r="CS116" s="2">
        <v>0</v>
      </c>
      <c r="CT116" s="2">
        <f t="shared" si="262"/>
        <v>281.29693344817952</v>
      </c>
      <c r="CU116" s="2">
        <v>0</v>
      </c>
      <c r="CV116" s="2">
        <f t="shared" si="263"/>
        <v>281.29693344817952</v>
      </c>
      <c r="CW116" s="2">
        <v>0</v>
      </c>
      <c r="CX116" s="2">
        <f t="shared" si="264"/>
        <v>281.29693344817952</v>
      </c>
      <c r="CY116" s="2">
        <v>0</v>
      </c>
      <c r="CZ116" s="2">
        <f t="shared" si="265"/>
        <v>281.29693344817952</v>
      </c>
      <c r="DA116" s="2">
        <v>0</v>
      </c>
      <c r="DB116" s="2">
        <f t="shared" si="266"/>
        <v>281.29693344817952</v>
      </c>
      <c r="DC116" s="2">
        <v>0</v>
      </c>
      <c r="DD116" s="2">
        <f t="shared" si="267"/>
        <v>281.29693344817952</v>
      </c>
      <c r="DE116" s="2">
        <v>0</v>
      </c>
      <c r="DF116" s="2">
        <f t="shared" si="268"/>
        <v>281.29693344817952</v>
      </c>
      <c r="DG116" s="2">
        <v>0</v>
      </c>
      <c r="DH116" s="2">
        <f t="shared" si="269"/>
        <v>281.29693344817952</v>
      </c>
      <c r="DI116" s="2">
        <v>0</v>
      </c>
      <c r="DJ116" s="2">
        <f t="shared" si="270"/>
        <v>281.29693344817952</v>
      </c>
      <c r="DK116" s="2">
        <v>0</v>
      </c>
      <c r="DL116" s="2">
        <f t="shared" si="271"/>
        <v>281.29693344817952</v>
      </c>
      <c r="DM116" s="2">
        <v>0</v>
      </c>
      <c r="DN116" s="2">
        <f t="shared" si="272"/>
        <v>281.29693344817952</v>
      </c>
      <c r="DO116" s="2">
        <v>0</v>
      </c>
      <c r="DP116" s="2">
        <f t="shared" si="273"/>
        <v>281.29693344817952</v>
      </c>
      <c r="DQ116" s="2">
        <v>0</v>
      </c>
      <c r="DR116" s="2">
        <f t="shared" si="274"/>
        <v>281.29693344817952</v>
      </c>
      <c r="DS116" s="2">
        <v>0</v>
      </c>
      <c r="DT116" s="2">
        <f t="shared" si="275"/>
        <v>281.29693344817952</v>
      </c>
      <c r="DU116" s="2"/>
      <c r="DV116" s="2"/>
      <c r="DW116" s="266">
        <f t="shared" si="276"/>
        <v>1282.5</v>
      </c>
      <c r="DX116" s="441">
        <f t="shared" si="306"/>
        <v>1001.2030665518205</v>
      </c>
    </row>
    <row r="117" spans="1:128" ht="18" customHeight="1">
      <c r="A117" s="434">
        <v>22</v>
      </c>
      <c r="B117" s="413" t="s">
        <v>506</v>
      </c>
      <c r="C117" s="471" t="s">
        <v>173</v>
      </c>
      <c r="D117" s="472">
        <v>0.1391</v>
      </c>
      <c r="E117" s="442">
        <v>20000</v>
      </c>
      <c r="F117" s="437" t="s">
        <v>1001</v>
      </c>
      <c r="G117" s="438">
        <v>40606</v>
      </c>
      <c r="H117" s="438"/>
      <c r="I117" s="438"/>
      <c r="J117" s="438"/>
      <c r="K117" s="438"/>
      <c r="L117" s="438"/>
      <c r="M117" s="433"/>
      <c r="N117" s="433"/>
      <c r="O117" s="433"/>
      <c r="P117" s="433"/>
      <c r="Q117" s="433"/>
      <c r="R117" s="433"/>
      <c r="S117" s="433">
        <f>IF(($S$6-G117+1)&gt;365,365,($S$6-G117+1))</f>
        <v>28</v>
      </c>
      <c r="T117" s="436">
        <f>ROUND(E117*D117/365*S117,0)</f>
        <v>213</v>
      </c>
      <c r="U117" s="436">
        <f>E117-T117</f>
        <v>19787</v>
      </c>
      <c r="V117" s="433">
        <f>IF(($V$6-G117+1)&gt;365,365,($V$6-G117+1))</f>
        <v>365</v>
      </c>
      <c r="W117" s="436">
        <f>ROUND(U117*D117*V117/365,0)</f>
        <v>2752</v>
      </c>
      <c r="X117" s="436">
        <f>IF((U117-W117)&gt;0,U117-W117,E117-W117)</f>
        <v>17035</v>
      </c>
      <c r="Y117" s="433">
        <f>IF(($Y$6-G117+1)&gt;365,365,($Y$6-G117+1))</f>
        <v>365</v>
      </c>
      <c r="Z117" s="436">
        <f>ROUND(IF(X117&gt;0,X117*$D117/365*Y117,($E117*$D117*Y117/365)),0)</f>
        <v>2370</v>
      </c>
      <c r="AA117" s="436">
        <f>IF((X117-Z117)&gt;0,X117-Z117,$E117-Z117)</f>
        <v>14665</v>
      </c>
      <c r="AB117" s="433">
        <f>IF(($AB$6-G117+1)&gt;365,365,($AB$6-G117+1))</f>
        <v>365</v>
      </c>
      <c r="AC117" s="436">
        <f>ROUND(IF(AA117&gt;0,AA117*$D117/365*AB117,($E117*$D117*AB117/365)),0)</f>
        <v>2040</v>
      </c>
      <c r="AD117" s="436">
        <f>IF((AA117-AC117)&gt;0,AA117-AC117,$E117-AC117)</f>
        <v>12625</v>
      </c>
      <c r="AE117" s="436">
        <f>T117+W117+Z117+AC117+Q117+N117</f>
        <v>7375</v>
      </c>
      <c r="AF117" s="436">
        <f>E117-AE117</f>
        <v>12625</v>
      </c>
      <c r="AG117" s="436">
        <f>AD117-AF117</f>
        <v>0</v>
      </c>
      <c r="AH117" s="436">
        <f>($AH$6-G117+1)/365</f>
        <v>3.0794520547945203</v>
      </c>
      <c r="AI117" s="439">
        <v>10</v>
      </c>
      <c r="AJ117" s="436">
        <f>AI117-AH117</f>
        <v>6.9205479452054792</v>
      </c>
      <c r="AK117" s="440">
        <f>IF(AJ117&gt;0,1-(((E117*$AJ$4)/AF117)^(1/AJ117)),0)</f>
        <v>0.3067735635846387</v>
      </c>
      <c r="AL117" s="2">
        <f>IF(AJ117&lt;0,AF117-(E117*5%),0)</f>
        <v>0</v>
      </c>
      <c r="AM117" s="433">
        <f>IF(($AM$6-$G117+1)&gt;365,365,($AM$6-$G117+1))</f>
        <v>365</v>
      </c>
      <c r="AN117" s="436">
        <f>ROUND(IF(AF117&gt;0,AF117*$D117/365*AM117,($E117*$D117*AM117/365)),0)</f>
        <v>1756</v>
      </c>
      <c r="AO117" s="436">
        <f>MIN(ROUND(IF(AL117&gt;0,0,(AK117*AF117)*AM117/365),0),AF117-(E117*5%))</f>
        <v>3873</v>
      </c>
      <c r="AP117" s="436">
        <f>+IF(AJ117&lt;1,(E117*5%),IF(AF117&gt;0,AF117-AO117,E117-AO117))</f>
        <v>8752</v>
      </c>
      <c r="AQ117" s="436">
        <f>AF117-AO117-AL117</f>
        <v>8752</v>
      </c>
      <c r="AR117" s="436"/>
      <c r="AS117" s="436">
        <f>AO117-AN117</f>
        <v>2117</v>
      </c>
      <c r="AT117" s="2">
        <f>AF117-AN117</f>
        <v>10869</v>
      </c>
      <c r="AU117" s="2">
        <f>AT117-AS117-AL117</f>
        <v>8752</v>
      </c>
      <c r="AV117" s="2">
        <f>AU117-AQ117</f>
        <v>0</v>
      </c>
      <c r="AW117" s="433">
        <f>IF(($AW$6-$G117+1)&gt;365,365,($AW$6-$G117+1))</f>
        <v>365</v>
      </c>
      <c r="AX117" s="2">
        <f t="shared" ref="AX117:AX122" si="307">AQ117*AK117</f>
        <v>2684.8822284927578</v>
      </c>
      <c r="AY117" s="2">
        <f>AQ117-AX117</f>
        <v>6067.1177715072427</v>
      </c>
      <c r="AZ117" s="433">
        <f>IF(($AZ$6-$G117+1)&gt;365,365,($AZ$6-$G117+1))</f>
        <v>365</v>
      </c>
      <c r="BA117" s="2">
        <f>AY117*AK117</f>
        <v>1861.2313394529685</v>
      </c>
      <c r="BB117" s="2">
        <f>AY117-BA117</f>
        <v>4205.8864320542743</v>
      </c>
      <c r="BC117" s="2">
        <f t="shared" si="250"/>
        <v>1825</v>
      </c>
      <c r="BD117" s="433">
        <f>+$BD$6-G117</f>
        <v>2219</v>
      </c>
      <c r="BE117" s="439">
        <f>+BC117-BD117</f>
        <v>-394</v>
      </c>
      <c r="BF117" s="433">
        <f>IF(($BF$6-$G117+1)&gt;365,365,($BF$6-$G117+1))</f>
        <v>365</v>
      </c>
      <c r="BG117" s="2">
        <f t="shared" ref="BG117:BG122" si="308">IF((BB117-(BB117*$AK$32))&gt;$E117*5%,BB117*$AK$32,BB117-($E117*5%))</f>
        <v>399.0984952118996</v>
      </c>
      <c r="BH117" s="2">
        <f>+BB117-BG117</f>
        <v>3806.7879368423746</v>
      </c>
      <c r="BI117" s="2">
        <f t="shared" ref="BI117:BI122" si="309">IF((BH117-(BH117*$AK$32))&gt;$E117*5%,BH117*$AK$32,BH117-($E117*5%))</f>
        <v>361.2278557037838</v>
      </c>
      <c r="BJ117" s="2">
        <f>+BH117-BI117</f>
        <v>3445.5600811385907</v>
      </c>
      <c r="BK117" s="395">
        <f t="shared" ref="BK117:BK122" si="310">IF((BJ117-(BJ117*$AK$32))&gt;$E117*5%,BJ117*$AK$32,BJ117-($E117*5%))</f>
        <v>326.95077857177318</v>
      </c>
      <c r="BL117" s="2">
        <f t="shared" si="251"/>
        <v>3118.6093025668174</v>
      </c>
      <c r="BM117" s="2"/>
      <c r="BN117" s="2">
        <f t="shared" si="221"/>
        <v>3118.6093025668174</v>
      </c>
      <c r="BO117" s="2">
        <f t="shared" ref="BO117:BO122" si="311">IF((BL117-(BL117*$AK$32))&gt;$E117*5%,BL117*$AK$32,BL117-($E117*5%))</f>
        <v>295.92626903155224</v>
      </c>
      <c r="BP117" s="149">
        <f>+BL117-BO117</f>
        <v>2822.6830335352652</v>
      </c>
      <c r="BQ117" s="149"/>
      <c r="BR117" s="2">
        <f t="shared" si="223"/>
        <v>2822.6830335352652</v>
      </c>
      <c r="BS117" s="624">
        <f t="shared" ref="BS117:BS122" si="312">BP117-BT117</f>
        <v>1822.6830335352652</v>
      </c>
      <c r="BT117" s="2">
        <f t="shared" ref="BT117:BT122" si="313">E117*5/100</f>
        <v>1000</v>
      </c>
      <c r="BU117" s="2">
        <f t="shared" ref="BU117:BU122" si="314">IF((BT117-(BT117*$AK$32))&gt;$E117*5%,BT117*$AK$32,BT117-($E117*5%))</f>
        <v>0</v>
      </c>
      <c r="BV117" s="2">
        <f>+BT117-BU117</f>
        <v>1000</v>
      </c>
      <c r="BW117" s="2">
        <f t="shared" ref="BW117:BW122" si="315">IF((BV117-(BV117*$AK$32))&gt;$E117*5%,BV117*$AK$32,BV117-($E117*5%))</f>
        <v>0</v>
      </c>
      <c r="BX117" s="2">
        <f t="shared" si="305"/>
        <v>1000</v>
      </c>
      <c r="BY117" s="2">
        <f t="shared" ref="BY117:BY122" si="316">IF((BX117-(BX117*$AK$32))&gt;$E117*5%,BX117*$AK$32,BX117-($E117*5%))</f>
        <v>0</v>
      </c>
      <c r="BZ117" s="2">
        <f t="shared" si="252"/>
        <v>1000</v>
      </c>
      <c r="CA117" s="2">
        <f t="shared" ref="CA117:CA122" si="317">IF((BZ117-(BZ117*$AK$32))&gt;$E117*5%,BZ117*$AK$32,BZ117-($E117*5%))</f>
        <v>0</v>
      </c>
      <c r="CB117" s="2">
        <f t="shared" si="253"/>
        <v>1000</v>
      </c>
      <c r="CC117" s="2">
        <f t="shared" ref="CC117:CC122" si="318">IF((CB117-(CB117*$AK$32))&gt;$E117*5%,CB117*$AK$32,CB117-($E117*5%))</f>
        <v>0</v>
      </c>
      <c r="CD117" s="2">
        <f t="shared" si="254"/>
        <v>1000</v>
      </c>
      <c r="CE117" s="2">
        <f t="shared" ref="CE117:CE122" si="319">IF((CD117-(CD117*$AK$32))&gt;$E117*5%,CD117*$AK$32,CD117-($E117*5%))</f>
        <v>0</v>
      </c>
      <c r="CF117" s="2">
        <f t="shared" si="255"/>
        <v>1000</v>
      </c>
      <c r="CG117" s="2">
        <f t="shared" ref="CG117:CG122" si="320">IF((CF117-(CF117*$AK$32))&gt;$E117*5%,CF117*$AK$32,CF117-($E117*5%))</f>
        <v>0</v>
      </c>
      <c r="CH117" s="2">
        <f t="shared" si="256"/>
        <v>1000</v>
      </c>
      <c r="CI117" s="2">
        <f t="shared" ref="CI117:CI122" si="321">IF((CH117-(CH117*$AK$32))&gt;$E117*5%,CH117*$AK$32,CH117-($E117*5%))</f>
        <v>0</v>
      </c>
      <c r="CJ117" s="2">
        <f t="shared" si="257"/>
        <v>1000</v>
      </c>
      <c r="CK117" s="2">
        <f t="shared" ref="CK117:CK122" si="322">IF((CJ117-(CJ117*$AK$32))&gt;$E117*5%,CJ117*$AK$32,CJ117-($E117*5%))</f>
        <v>0</v>
      </c>
      <c r="CL117" s="2">
        <f t="shared" si="258"/>
        <v>1000</v>
      </c>
      <c r="CM117" s="2">
        <f t="shared" ref="CM117:CM122" si="323">IF((CL117-(CL117*$AK$32))&gt;$E117*5%,CL117*$AK$32,CL117-($E117*5%))</f>
        <v>0</v>
      </c>
      <c r="CN117" s="2">
        <f t="shared" si="259"/>
        <v>1000</v>
      </c>
      <c r="CO117" s="2">
        <f t="shared" ref="CO117:CO122" si="324">IF((CN117-(CN117*$AK$32))&gt;$E117*5%,CN117*$AK$32,CN117-($E117*5%))</f>
        <v>0</v>
      </c>
      <c r="CP117" s="2">
        <f t="shared" si="260"/>
        <v>1000</v>
      </c>
      <c r="CQ117" s="2">
        <f t="shared" ref="CQ117:CQ122" si="325">IF((CP117-(CP117*$AK$32))&gt;$E117*5%,CP117*$AK$32,CP117-($E117*5%))</f>
        <v>0</v>
      </c>
      <c r="CR117" s="2">
        <f t="shared" si="261"/>
        <v>1000</v>
      </c>
      <c r="CS117" s="2">
        <f t="shared" ref="CS117:CS122" si="326">IF((CR117-(CR117*$AK$32))&gt;$E117*5%,CR117*$AK$32,CR117-($E117*5%))</f>
        <v>0</v>
      </c>
      <c r="CT117" s="2">
        <f t="shared" si="262"/>
        <v>1000</v>
      </c>
      <c r="CU117" s="2">
        <f t="shared" ref="CU117:CU122" si="327">IF((CT117-(CT117*$AK$32))&gt;$E117*5%,CT117*$AK$32,CT117-($E117*5%))</f>
        <v>0</v>
      </c>
      <c r="CV117" s="2">
        <f t="shared" si="263"/>
        <v>1000</v>
      </c>
      <c r="CW117" s="2">
        <f t="shared" ref="CW117:CW122" si="328">IF((CV117-(CV117*$AK$32))&gt;$E117*5%,CV117*$AK$32,CV117-($E117*5%))</f>
        <v>0</v>
      </c>
      <c r="CX117" s="2">
        <f t="shared" si="264"/>
        <v>1000</v>
      </c>
      <c r="CY117" s="2">
        <f t="shared" ref="CY117:CY122" si="329">IF((CX117-(CX117*$AK$32))&gt;$E117*5%,CX117*$AK$32,CX117-($E117*5%))</f>
        <v>0</v>
      </c>
      <c r="CZ117" s="2">
        <f t="shared" si="265"/>
        <v>1000</v>
      </c>
      <c r="DA117" s="2">
        <f t="shared" ref="DA117:DA122" si="330">IF((CZ117-(CZ117*$AK$32))&gt;$E117*5%,CZ117*$AK$32,CZ117-($E117*5%))</f>
        <v>0</v>
      </c>
      <c r="DB117" s="2">
        <f t="shared" si="266"/>
        <v>1000</v>
      </c>
      <c r="DC117" s="2">
        <f t="shared" ref="DC117:DC122" si="331">IF((DB117-(DB117*$AK$32))&gt;$E117*5%,DB117*$AK$32,DB117-($E117*5%))</f>
        <v>0</v>
      </c>
      <c r="DD117" s="2">
        <f t="shared" si="267"/>
        <v>1000</v>
      </c>
      <c r="DE117" s="2">
        <f t="shared" ref="DE117:DE122" si="332">IF((DD117-(DD117*$AK$32))&gt;$E117*5%,DD117*$AK$32,DD117-($E117*5%))</f>
        <v>0</v>
      </c>
      <c r="DF117" s="2">
        <f t="shared" si="268"/>
        <v>1000</v>
      </c>
      <c r="DG117" s="2">
        <f t="shared" ref="DG117:DG122" si="333">IF((DF117-(DF117*$AK$32))&gt;$E117*5%,DF117*$AK$32,DF117-($E117*5%))</f>
        <v>0</v>
      </c>
      <c r="DH117" s="2">
        <f t="shared" si="269"/>
        <v>1000</v>
      </c>
      <c r="DI117" s="2">
        <f t="shared" ref="DI117:DI122" si="334">IF((DH117-(DH117*$AK$32))&gt;$E117*5%,DH117*$AK$32,DH117-($E117*5%))</f>
        <v>0</v>
      </c>
      <c r="DJ117" s="2">
        <f t="shared" si="270"/>
        <v>1000</v>
      </c>
      <c r="DK117" s="2">
        <f t="shared" ref="DK117:DK122" si="335">IF((DJ117-(DJ117*$AK$32))&gt;$E117*5%,DJ117*$AK$32,DJ117-($E117*5%))</f>
        <v>0</v>
      </c>
      <c r="DL117" s="2">
        <f t="shared" si="271"/>
        <v>1000</v>
      </c>
      <c r="DM117" s="2">
        <f t="shared" ref="DM117:DM122" si="336">IF((DL117-(DL117*$AK$32))&gt;$E117*5%,DL117*$AK$32,DL117-($E117*5%))</f>
        <v>0</v>
      </c>
      <c r="DN117" s="2">
        <f t="shared" si="272"/>
        <v>1000</v>
      </c>
      <c r="DO117" s="2">
        <f t="shared" ref="DO117:DO122" si="337">IF((DN117-(DN117*$AK$32))&gt;$E117*5%,DN117*$AK$32,DN117-($E117*5%))</f>
        <v>0</v>
      </c>
      <c r="DP117" s="2">
        <f t="shared" si="273"/>
        <v>1000</v>
      </c>
      <c r="DQ117" s="2">
        <f t="shared" ref="DQ117:DQ122" si="338">IF((DP117-(DP117*$AK$32))&gt;$E117*5%,DP117*$AK$32,DP117-($E117*5%))</f>
        <v>0</v>
      </c>
      <c r="DR117" s="2">
        <f t="shared" si="274"/>
        <v>1000</v>
      </c>
      <c r="DS117" s="2"/>
      <c r="DT117" s="2">
        <f t="shared" si="275"/>
        <v>1000</v>
      </c>
      <c r="DU117" s="2"/>
      <c r="DV117" s="2"/>
      <c r="DW117" s="266">
        <f t="shared" si="276"/>
        <v>1000</v>
      </c>
      <c r="DX117" s="441">
        <f>+DW117-DR117</f>
        <v>0</v>
      </c>
    </row>
    <row r="118" spans="1:128">
      <c r="A118" s="434">
        <v>23</v>
      </c>
      <c r="B118" s="413" t="s">
        <v>507</v>
      </c>
      <c r="C118" s="471" t="s">
        <v>173</v>
      </c>
      <c r="D118" s="472">
        <v>0.1391</v>
      </c>
      <c r="E118" s="442">
        <v>24350</v>
      </c>
      <c r="F118" s="437" t="s">
        <v>1001</v>
      </c>
      <c r="G118" s="438">
        <v>40635</v>
      </c>
      <c r="H118" s="438"/>
      <c r="I118" s="438"/>
      <c r="J118" s="438"/>
      <c r="K118" s="438"/>
      <c r="L118" s="438"/>
      <c r="M118" s="433"/>
      <c r="N118" s="433"/>
      <c r="O118" s="433"/>
      <c r="P118" s="433"/>
      <c r="Q118" s="433"/>
      <c r="R118" s="433"/>
      <c r="S118" s="433"/>
      <c r="T118" s="433"/>
      <c r="U118" s="433"/>
      <c r="V118" s="433">
        <f>IF(($V$6-G118+1)&gt;365,365,($V$6-G118+1))</f>
        <v>365</v>
      </c>
      <c r="W118" s="436">
        <f>ROUND((E118-T118)*D118/365*V118,0)</f>
        <v>3387</v>
      </c>
      <c r="X118" s="436">
        <f>IF((U118-W118)&gt;0,U118-W118,E118-W118)</f>
        <v>20963</v>
      </c>
      <c r="Y118" s="433">
        <f>IF(($Y$6-G118+1)&gt;365,365,($Y$6-G118+1))</f>
        <v>365</v>
      </c>
      <c r="Z118" s="436">
        <f>ROUND(IF(X118&gt;0,X118*$D118/365*Y118,($E118*$D118*Y118/365)),0)</f>
        <v>2916</v>
      </c>
      <c r="AA118" s="436">
        <f>IF((X118-Z118)&gt;0,X118-Z118,$E118-Z118)</f>
        <v>18047</v>
      </c>
      <c r="AB118" s="433">
        <f>IF(($AB$6-G118+1)&gt;365,365,($AB$6-G118+1))</f>
        <v>365</v>
      </c>
      <c r="AC118" s="436">
        <f>ROUND(IF(AA118&gt;0,AA118*$D118/365*AB118,($E118*$D118*AB118/365)),0)</f>
        <v>2510</v>
      </c>
      <c r="AD118" s="436">
        <f>IF((AA118-AC118)&gt;0,AA118-AC118,$E118-AC118)</f>
        <v>15537</v>
      </c>
      <c r="AE118" s="436">
        <f>T118+W118+Z118+AC118+Q118+N118</f>
        <v>8813</v>
      </c>
      <c r="AF118" s="436">
        <f>E118-AE118</f>
        <v>15537</v>
      </c>
      <c r="AG118" s="436">
        <f>AD118-AF118</f>
        <v>0</v>
      </c>
      <c r="AH118" s="436">
        <f>($AH$6-G118+1)/365</f>
        <v>3</v>
      </c>
      <c r="AI118" s="439">
        <v>10</v>
      </c>
      <c r="AJ118" s="436">
        <f>AI118-AH118</f>
        <v>7</v>
      </c>
      <c r="AK118" s="440">
        <f>IF(AJ118&gt;0,1-(((E118*$AJ$4)/AF118)^(1/AJ118)),0)</f>
        <v>0.30495240737319618</v>
      </c>
      <c r="AL118" s="2">
        <f>IF(AJ118&lt;0,AF118-(E118*5%),0)</f>
        <v>0</v>
      </c>
      <c r="AM118" s="433">
        <f>IF(($AM$6-$G118+1)&gt;365,365,($AM$6-$G118+1))</f>
        <v>365</v>
      </c>
      <c r="AN118" s="436">
        <f>ROUND(IF(AF118&gt;0,AF118*$D118/365*AM118,($E118*$D118*AM118/365)),0)</f>
        <v>2161</v>
      </c>
      <c r="AO118" s="436">
        <f>MIN(ROUND(IF(AL118&gt;0,0,(AK118*AF118)*AM118/365),0),AF118-(E118*5%))</f>
        <v>4738</v>
      </c>
      <c r="AP118" s="436">
        <f>+IF(AJ118&lt;1,(E118*5%),IF(AF118&gt;0,AF118-AO118,E118-AO118))</f>
        <v>10799</v>
      </c>
      <c r="AQ118" s="436">
        <f>AF118-AO118-AL118</f>
        <v>10799</v>
      </c>
      <c r="AR118" s="436">
        <f>$AF118-($AL118+$AO118+$AP118)</f>
        <v>0</v>
      </c>
      <c r="AS118" s="436">
        <f>AO118-AN118</f>
        <v>2577</v>
      </c>
      <c r="AT118" s="2">
        <f>AF118-AN118</f>
        <v>13376</v>
      </c>
      <c r="AU118" s="2">
        <f>AT118-AS118-AL118</f>
        <v>10799</v>
      </c>
      <c r="AV118" s="2">
        <f>AU118-AQ118</f>
        <v>0</v>
      </c>
      <c r="AW118" s="433">
        <f>IF(($AW$6-$G118+1)&gt;365,365,($AW$6-$G118+1))</f>
        <v>365</v>
      </c>
      <c r="AX118" s="2">
        <f t="shared" si="307"/>
        <v>3293.1810472231455</v>
      </c>
      <c r="AY118" s="2">
        <f>AQ118-AX118</f>
        <v>7505.8189527768545</v>
      </c>
      <c r="AZ118" s="433">
        <f>IF(($AZ$6-$G118+1)&gt;365,365,($AZ$6-$G118+1))</f>
        <v>365</v>
      </c>
      <c r="BA118" s="2">
        <f>AY118*AK118</f>
        <v>2288.9175589566639</v>
      </c>
      <c r="BB118" s="2">
        <f>AY118-BA118</f>
        <v>5216.9013938201906</v>
      </c>
      <c r="BC118" s="2">
        <f t="shared" si="250"/>
        <v>1825</v>
      </c>
      <c r="BD118" s="433">
        <f>+$BD$6-G118</f>
        <v>2190</v>
      </c>
      <c r="BE118" s="439">
        <f>+BC118-BD118</f>
        <v>-365</v>
      </c>
      <c r="BF118" s="433">
        <f>IF(($BF$6-$G118+1)&gt;365,365,($BF$6-$G118+1))</f>
        <v>365</v>
      </c>
      <c r="BG118" s="2">
        <f t="shared" si="308"/>
        <v>495.03416927155678</v>
      </c>
      <c r="BH118" s="2">
        <f>+BB118-BG118</f>
        <v>4721.8672245486341</v>
      </c>
      <c r="BI118" s="2">
        <f t="shared" si="309"/>
        <v>448.06014959070353</v>
      </c>
      <c r="BJ118" s="2">
        <f>+BH118-BI118</f>
        <v>4273.807074957931</v>
      </c>
      <c r="BK118" s="395">
        <f t="shared" si="310"/>
        <v>405.54351621153563</v>
      </c>
      <c r="BL118" s="2">
        <f t="shared" si="251"/>
        <v>3868.2635587463956</v>
      </c>
      <c r="BM118" s="2"/>
      <c r="BN118" s="2">
        <f t="shared" si="221"/>
        <v>3868.2635587463956</v>
      </c>
      <c r="BO118" s="2">
        <f t="shared" si="311"/>
        <v>367.0613057007032</v>
      </c>
      <c r="BP118" s="149">
        <f>+BL118-BO118</f>
        <v>3501.2022530456925</v>
      </c>
      <c r="BQ118" s="149"/>
      <c r="BR118" s="2">
        <f t="shared" si="223"/>
        <v>3501.2022530456925</v>
      </c>
      <c r="BS118" s="624">
        <f t="shared" si="312"/>
        <v>2283.7022530456925</v>
      </c>
      <c r="BT118" s="2">
        <f t="shared" si="313"/>
        <v>1217.5</v>
      </c>
      <c r="BU118" s="2">
        <f t="shared" si="314"/>
        <v>0</v>
      </c>
      <c r="BV118" s="2">
        <f>+BT118-BU118</f>
        <v>1217.5</v>
      </c>
      <c r="BW118" s="2">
        <f t="shared" si="315"/>
        <v>0</v>
      </c>
      <c r="BX118" s="2">
        <f t="shared" si="305"/>
        <v>1217.5</v>
      </c>
      <c r="BY118" s="2">
        <f t="shared" si="316"/>
        <v>0</v>
      </c>
      <c r="BZ118" s="2">
        <f t="shared" si="252"/>
        <v>1217.5</v>
      </c>
      <c r="CA118" s="2">
        <f t="shared" si="317"/>
        <v>0</v>
      </c>
      <c r="CB118" s="2">
        <f t="shared" si="253"/>
        <v>1217.5</v>
      </c>
      <c r="CC118" s="2">
        <f t="shared" si="318"/>
        <v>0</v>
      </c>
      <c r="CD118" s="2">
        <f t="shared" si="254"/>
        <v>1217.5</v>
      </c>
      <c r="CE118" s="2">
        <f t="shared" si="319"/>
        <v>0</v>
      </c>
      <c r="CF118" s="2">
        <f t="shared" si="255"/>
        <v>1217.5</v>
      </c>
      <c r="CG118" s="2">
        <f t="shared" si="320"/>
        <v>0</v>
      </c>
      <c r="CH118" s="2">
        <f t="shared" si="256"/>
        <v>1217.5</v>
      </c>
      <c r="CI118" s="2">
        <f t="shared" si="321"/>
        <v>0</v>
      </c>
      <c r="CJ118" s="2">
        <f t="shared" si="257"/>
        <v>1217.5</v>
      </c>
      <c r="CK118" s="2">
        <f t="shared" si="322"/>
        <v>0</v>
      </c>
      <c r="CL118" s="2">
        <f t="shared" si="258"/>
        <v>1217.5</v>
      </c>
      <c r="CM118" s="2">
        <f t="shared" si="323"/>
        <v>0</v>
      </c>
      <c r="CN118" s="2">
        <f t="shared" si="259"/>
        <v>1217.5</v>
      </c>
      <c r="CO118" s="2">
        <f t="shared" si="324"/>
        <v>0</v>
      </c>
      <c r="CP118" s="2">
        <f t="shared" si="260"/>
        <v>1217.5</v>
      </c>
      <c r="CQ118" s="2">
        <f t="shared" si="325"/>
        <v>0</v>
      </c>
      <c r="CR118" s="2">
        <f t="shared" si="261"/>
        <v>1217.5</v>
      </c>
      <c r="CS118" s="2">
        <f t="shared" si="326"/>
        <v>0</v>
      </c>
      <c r="CT118" s="2">
        <f t="shared" si="262"/>
        <v>1217.5</v>
      </c>
      <c r="CU118" s="2">
        <f t="shared" si="327"/>
        <v>0</v>
      </c>
      <c r="CV118" s="2">
        <f t="shared" si="263"/>
        <v>1217.5</v>
      </c>
      <c r="CW118" s="2">
        <f t="shared" si="328"/>
        <v>0</v>
      </c>
      <c r="CX118" s="2">
        <f t="shared" si="264"/>
        <v>1217.5</v>
      </c>
      <c r="CY118" s="2">
        <f t="shared" si="329"/>
        <v>0</v>
      </c>
      <c r="CZ118" s="2">
        <f t="shared" si="265"/>
        <v>1217.5</v>
      </c>
      <c r="DA118" s="2">
        <f t="shared" si="330"/>
        <v>0</v>
      </c>
      <c r="DB118" s="2">
        <f t="shared" si="266"/>
        <v>1217.5</v>
      </c>
      <c r="DC118" s="2">
        <f t="shared" si="331"/>
        <v>0</v>
      </c>
      <c r="DD118" s="2">
        <f t="shared" si="267"/>
        <v>1217.5</v>
      </c>
      <c r="DE118" s="2">
        <f t="shared" si="332"/>
        <v>0</v>
      </c>
      <c r="DF118" s="2">
        <f t="shared" si="268"/>
        <v>1217.5</v>
      </c>
      <c r="DG118" s="2">
        <f t="shared" si="333"/>
        <v>0</v>
      </c>
      <c r="DH118" s="2">
        <f t="shared" si="269"/>
        <v>1217.5</v>
      </c>
      <c r="DI118" s="2">
        <f t="shared" si="334"/>
        <v>0</v>
      </c>
      <c r="DJ118" s="2">
        <f t="shared" si="270"/>
        <v>1217.5</v>
      </c>
      <c r="DK118" s="2">
        <f t="shared" si="335"/>
        <v>0</v>
      </c>
      <c r="DL118" s="2">
        <f t="shared" si="271"/>
        <v>1217.5</v>
      </c>
      <c r="DM118" s="2">
        <f t="shared" si="336"/>
        <v>0</v>
      </c>
      <c r="DN118" s="2">
        <f t="shared" si="272"/>
        <v>1217.5</v>
      </c>
      <c r="DO118" s="2">
        <f t="shared" si="337"/>
        <v>0</v>
      </c>
      <c r="DP118" s="2">
        <f t="shared" si="273"/>
        <v>1217.5</v>
      </c>
      <c r="DQ118" s="2">
        <f t="shared" si="338"/>
        <v>0</v>
      </c>
      <c r="DR118" s="2">
        <f t="shared" si="274"/>
        <v>1217.5</v>
      </c>
      <c r="DS118" s="2"/>
      <c r="DT118" s="2">
        <f t="shared" si="275"/>
        <v>1217.5</v>
      </c>
      <c r="DU118" s="2"/>
      <c r="DV118" s="2"/>
      <c r="DW118" s="266">
        <f t="shared" si="276"/>
        <v>1217.5</v>
      </c>
      <c r="DX118" s="441">
        <f>+DW118-DR118</f>
        <v>0</v>
      </c>
    </row>
    <row r="119" spans="1:128">
      <c r="A119" s="433">
        <v>13</v>
      </c>
      <c r="B119" s="433" t="s">
        <v>173</v>
      </c>
      <c r="C119" s="467" t="s">
        <v>173</v>
      </c>
      <c r="D119" s="468">
        <v>0.1391</v>
      </c>
      <c r="E119" s="442">
        <f>19196+99874</f>
        <v>119070</v>
      </c>
      <c r="F119" s="437" t="s">
        <v>1001</v>
      </c>
      <c r="G119" s="438">
        <v>41372</v>
      </c>
      <c r="H119" s="438"/>
      <c r="I119" s="438"/>
      <c r="J119" s="438"/>
      <c r="K119" s="438"/>
      <c r="L119" s="438"/>
      <c r="M119" s="433"/>
      <c r="N119" s="433"/>
      <c r="O119" s="433"/>
      <c r="P119" s="433"/>
      <c r="Q119" s="433"/>
      <c r="R119" s="433"/>
      <c r="S119" s="433"/>
      <c r="T119" s="433"/>
      <c r="U119" s="433"/>
      <c r="V119" s="433"/>
      <c r="W119" s="433"/>
      <c r="X119" s="433"/>
      <c r="Y119" s="433"/>
      <c r="Z119" s="433"/>
      <c r="AA119" s="433"/>
      <c r="AB119" s="433">
        <f>IF(($AB$6-G119+1)&gt;365,365,($AB$6-G119+1))-1</f>
        <v>357</v>
      </c>
      <c r="AC119" s="436">
        <f t="shared" si="277"/>
        <v>16200</v>
      </c>
      <c r="AD119" s="436">
        <f t="shared" si="278"/>
        <v>102870</v>
      </c>
      <c r="AE119" s="436">
        <f t="shared" si="279"/>
        <v>16200</v>
      </c>
      <c r="AF119" s="436">
        <f t="shared" si="280"/>
        <v>102870</v>
      </c>
      <c r="AG119" s="436">
        <f t="shared" si="281"/>
        <v>0</v>
      </c>
      <c r="AH119" s="436">
        <f t="shared" si="282"/>
        <v>0.98082191780821915</v>
      </c>
      <c r="AI119" s="439">
        <v>5</v>
      </c>
      <c r="AJ119" s="436">
        <f t="shared" si="283"/>
        <v>4.0191780821917806</v>
      </c>
      <c r="AK119" s="440">
        <f t="shared" si="284"/>
        <v>0.50785038345075906</v>
      </c>
      <c r="AL119" s="2">
        <f t="shared" si="285"/>
        <v>0</v>
      </c>
      <c r="AM119" s="433">
        <f t="shared" si="286"/>
        <v>365</v>
      </c>
      <c r="AN119" s="436">
        <f t="shared" si="287"/>
        <v>14309</v>
      </c>
      <c r="AO119" s="436">
        <f t="shared" si="288"/>
        <v>52243</v>
      </c>
      <c r="AP119" s="436">
        <f t="shared" si="289"/>
        <v>50627</v>
      </c>
      <c r="AQ119" s="436">
        <f t="shared" si="290"/>
        <v>50627</v>
      </c>
      <c r="AR119" s="436"/>
      <c r="AS119" s="436">
        <f t="shared" si="291"/>
        <v>37934</v>
      </c>
      <c r="AT119" s="2">
        <f t="shared" si="292"/>
        <v>88561</v>
      </c>
      <c r="AU119" s="2">
        <f t="shared" si="293"/>
        <v>50627</v>
      </c>
      <c r="AV119" s="2">
        <f t="shared" si="294"/>
        <v>0</v>
      </c>
      <c r="AW119" s="433">
        <f t="shared" si="295"/>
        <v>365</v>
      </c>
      <c r="AX119" s="2">
        <f t="shared" si="307"/>
        <v>25710.941362961577</v>
      </c>
      <c r="AY119" s="2">
        <f t="shared" si="296"/>
        <v>24916.058637038423</v>
      </c>
      <c r="AZ119" s="433">
        <f t="shared" si="297"/>
        <v>365</v>
      </c>
      <c r="BA119" s="2">
        <f t="shared" si="298"/>
        <v>12653.62993290156</v>
      </c>
      <c r="BB119" s="2">
        <f t="shared" si="299"/>
        <v>12262.428704136863</v>
      </c>
      <c r="BC119" s="2">
        <f t="shared" si="250"/>
        <v>1825</v>
      </c>
      <c r="BD119" s="433">
        <f t="shared" si="300"/>
        <v>1453</v>
      </c>
      <c r="BE119" s="439">
        <f t="shared" si="301"/>
        <v>372</v>
      </c>
      <c r="BF119" s="433">
        <f t="shared" si="302"/>
        <v>365</v>
      </c>
      <c r="BG119" s="2">
        <f t="shared" si="308"/>
        <v>1163.5874916084924</v>
      </c>
      <c r="BH119" s="2">
        <f t="shared" si="303"/>
        <v>11098.84121252837</v>
      </c>
      <c r="BI119" s="2">
        <f t="shared" si="309"/>
        <v>1053.1741401187523</v>
      </c>
      <c r="BJ119" s="2">
        <f t="shared" si="304"/>
        <v>10045.667072409618</v>
      </c>
      <c r="BK119" s="395">
        <f t="shared" si="310"/>
        <v>953.23796226237971</v>
      </c>
      <c r="BL119" s="2">
        <f t="shared" si="251"/>
        <v>9092.429110147239</v>
      </c>
      <c r="BM119" s="2"/>
      <c r="BN119" s="2">
        <f t="shared" si="221"/>
        <v>9092.429110147239</v>
      </c>
      <c r="BO119" s="2">
        <f t="shared" si="311"/>
        <v>862.78477422136132</v>
      </c>
      <c r="BP119" s="149">
        <f t="shared" si="222"/>
        <v>8229.6443359258774</v>
      </c>
      <c r="BQ119" s="149"/>
      <c r="BR119" s="2">
        <f t="shared" si="223"/>
        <v>8229.6443359258774</v>
      </c>
      <c r="BS119" s="624">
        <f t="shared" si="312"/>
        <v>2276.1443359258774</v>
      </c>
      <c r="BT119" s="2">
        <f t="shared" si="313"/>
        <v>5953.5</v>
      </c>
      <c r="BU119" s="2">
        <f t="shared" si="314"/>
        <v>0</v>
      </c>
      <c r="BV119" s="2">
        <f t="shared" si="224"/>
        <v>5953.5</v>
      </c>
      <c r="BW119" s="2">
        <f t="shared" si="315"/>
        <v>0</v>
      </c>
      <c r="BX119" s="2">
        <f t="shared" si="305"/>
        <v>5953.5</v>
      </c>
      <c r="BY119" s="2">
        <f t="shared" si="316"/>
        <v>0</v>
      </c>
      <c r="BZ119" s="2">
        <f t="shared" si="252"/>
        <v>5953.5</v>
      </c>
      <c r="CA119" s="2">
        <f t="shared" si="317"/>
        <v>0</v>
      </c>
      <c r="CB119" s="2">
        <f t="shared" si="253"/>
        <v>5953.5</v>
      </c>
      <c r="CC119" s="2">
        <f t="shared" si="318"/>
        <v>0</v>
      </c>
      <c r="CD119" s="2">
        <f t="shared" si="254"/>
        <v>5953.5</v>
      </c>
      <c r="CE119" s="2">
        <f t="shared" si="319"/>
        <v>0</v>
      </c>
      <c r="CF119" s="2">
        <f t="shared" si="255"/>
        <v>5953.5</v>
      </c>
      <c r="CG119" s="2">
        <f t="shared" si="320"/>
        <v>0</v>
      </c>
      <c r="CH119" s="2">
        <f t="shared" si="256"/>
        <v>5953.5</v>
      </c>
      <c r="CI119" s="2">
        <f t="shared" si="321"/>
        <v>0</v>
      </c>
      <c r="CJ119" s="2">
        <f t="shared" si="257"/>
        <v>5953.5</v>
      </c>
      <c r="CK119" s="2">
        <f t="shared" si="322"/>
        <v>0</v>
      </c>
      <c r="CL119" s="2">
        <f t="shared" si="258"/>
        <v>5953.5</v>
      </c>
      <c r="CM119" s="2">
        <f t="shared" si="323"/>
        <v>0</v>
      </c>
      <c r="CN119" s="2">
        <f t="shared" si="259"/>
        <v>5953.5</v>
      </c>
      <c r="CO119" s="2">
        <f t="shared" si="324"/>
        <v>0</v>
      </c>
      <c r="CP119" s="2">
        <f t="shared" si="260"/>
        <v>5953.5</v>
      </c>
      <c r="CQ119" s="2">
        <f t="shared" si="325"/>
        <v>0</v>
      </c>
      <c r="CR119" s="2">
        <f t="shared" si="261"/>
        <v>5953.5</v>
      </c>
      <c r="CS119" s="2">
        <f t="shared" si="326"/>
        <v>0</v>
      </c>
      <c r="CT119" s="2">
        <f t="shared" si="262"/>
        <v>5953.5</v>
      </c>
      <c r="CU119" s="2">
        <f t="shared" si="327"/>
        <v>0</v>
      </c>
      <c r="CV119" s="2">
        <f t="shared" si="263"/>
        <v>5953.5</v>
      </c>
      <c r="CW119" s="2">
        <f t="shared" si="328"/>
        <v>0</v>
      </c>
      <c r="CX119" s="2">
        <f t="shared" si="264"/>
        <v>5953.5</v>
      </c>
      <c r="CY119" s="2">
        <f t="shared" si="329"/>
        <v>0</v>
      </c>
      <c r="CZ119" s="2">
        <f t="shared" si="265"/>
        <v>5953.5</v>
      </c>
      <c r="DA119" s="2">
        <f t="shared" si="330"/>
        <v>0</v>
      </c>
      <c r="DB119" s="2">
        <f t="shared" si="266"/>
        <v>5953.5</v>
      </c>
      <c r="DC119" s="2">
        <f t="shared" si="331"/>
        <v>0</v>
      </c>
      <c r="DD119" s="2">
        <f t="shared" si="267"/>
        <v>5953.5</v>
      </c>
      <c r="DE119" s="2">
        <f t="shared" si="332"/>
        <v>0</v>
      </c>
      <c r="DF119" s="2">
        <f t="shared" si="268"/>
        <v>5953.5</v>
      </c>
      <c r="DG119" s="2">
        <f t="shared" si="333"/>
        <v>0</v>
      </c>
      <c r="DH119" s="2">
        <f t="shared" si="269"/>
        <v>5953.5</v>
      </c>
      <c r="DI119" s="2">
        <f t="shared" si="334"/>
        <v>0</v>
      </c>
      <c r="DJ119" s="2">
        <f t="shared" si="270"/>
        <v>5953.5</v>
      </c>
      <c r="DK119" s="2">
        <f t="shared" si="335"/>
        <v>0</v>
      </c>
      <c r="DL119" s="2">
        <f t="shared" si="271"/>
        <v>5953.5</v>
      </c>
      <c r="DM119" s="2">
        <f t="shared" si="336"/>
        <v>0</v>
      </c>
      <c r="DN119" s="2">
        <f t="shared" si="272"/>
        <v>5953.5</v>
      </c>
      <c r="DO119" s="2">
        <f t="shared" si="337"/>
        <v>0</v>
      </c>
      <c r="DP119" s="2">
        <f t="shared" si="273"/>
        <v>5953.5</v>
      </c>
      <c r="DQ119" s="2">
        <f t="shared" si="338"/>
        <v>0</v>
      </c>
      <c r="DR119" s="2">
        <f t="shared" si="274"/>
        <v>5953.5</v>
      </c>
      <c r="DS119" s="2"/>
      <c r="DT119" s="2">
        <f t="shared" si="275"/>
        <v>5953.5</v>
      </c>
      <c r="DU119" s="2"/>
      <c r="DV119" s="2"/>
      <c r="DW119" s="266">
        <f t="shared" si="276"/>
        <v>5953.5</v>
      </c>
      <c r="DX119" s="441">
        <f t="shared" si="306"/>
        <v>0</v>
      </c>
    </row>
    <row r="120" spans="1:128">
      <c r="A120" s="433">
        <v>14</v>
      </c>
      <c r="B120" s="433" t="s">
        <v>173</v>
      </c>
      <c r="C120" s="467" t="s">
        <v>173</v>
      </c>
      <c r="D120" s="468">
        <v>0.1391</v>
      </c>
      <c r="E120" s="442">
        <v>15866</v>
      </c>
      <c r="F120" s="437" t="s">
        <v>1001</v>
      </c>
      <c r="G120" s="438">
        <v>41381</v>
      </c>
      <c r="H120" s="438"/>
      <c r="I120" s="438"/>
      <c r="J120" s="438"/>
      <c r="K120" s="438"/>
      <c r="L120" s="438"/>
      <c r="M120" s="433"/>
      <c r="N120" s="433"/>
      <c r="O120" s="433"/>
      <c r="P120" s="433"/>
      <c r="Q120" s="433"/>
      <c r="R120" s="433"/>
      <c r="S120" s="433"/>
      <c r="T120" s="433"/>
      <c r="U120" s="433"/>
      <c r="V120" s="433"/>
      <c r="W120" s="433"/>
      <c r="X120" s="433"/>
      <c r="Y120" s="433"/>
      <c r="Z120" s="433"/>
      <c r="AA120" s="433"/>
      <c r="AB120" s="433">
        <f>IF(($AB$6-G120+1)&gt;365,365,($AB$6-G120+1))</f>
        <v>349</v>
      </c>
      <c r="AC120" s="436">
        <f t="shared" si="277"/>
        <v>2110</v>
      </c>
      <c r="AD120" s="436">
        <f t="shared" si="278"/>
        <v>13756</v>
      </c>
      <c r="AE120" s="436">
        <f t="shared" si="279"/>
        <v>2110</v>
      </c>
      <c r="AF120" s="436">
        <f t="shared" si="280"/>
        <v>13756</v>
      </c>
      <c r="AG120" s="436">
        <f t="shared" si="281"/>
        <v>0</v>
      </c>
      <c r="AH120" s="436">
        <f t="shared" si="282"/>
        <v>0.95616438356164379</v>
      </c>
      <c r="AI120" s="439">
        <v>5</v>
      </c>
      <c r="AJ120" s="436">
        <f t="shared" si="283"/>
        <v>4.043835616438356</v>
      </c>
      <c r="AK120" s="440">
        <f t="shared" si="284"/>
        <v>0.50615098301521022</v>
      </c>
      <c r="AL120" s="2">
        <f t="shared" si="285"/>
        <v>0</v>
      </c>
      <c r="AM120" s="433">
        <f t="shared" si="286"/>
        <v>365</v>
      </c>
      <c r="AN120" s="436">
        <f t="shared" si="287"/>
        <v>1913</v>
      </c>
      <c r="AO120" s="436">
        <f t="shared" si="288"/>
        <v>6963</v>
      </c>
      <c r="AP120" s="436">
        <f t="shared" si="289"/>
        <v>6793</v>
      </c>
      <c r="AQ120" s="436">
        <f t="shared" si="290"/>
        <v>6793</v>
      </c>
      <c r="AR120" s="436"/>
      <c r="AS120" s="436">
        <f t="shared" si="291"/>
        <v>5050</v>
      </c>
      <c r="AT120" s="2">
        <f t="shared" si="292"/>
        <v>11843</v>
      </c>
      <c r="AU120" s="2">
        <f t="shared" si="293"/>
        <v>6793</v>
      </c>
      <c r="AV120" s="2">
        <f t="shared" si="294"/>
        <v>0</v>
      </c>
      <c r="AW120" s="433">
        <f t="shared" si="295"/>
        <v>365</v>
      </c>
      <c r="AX120" s="2">
        <f t="shared" si="307"/>
        <v>3438.2836276223229</v>
      </c>
      <c r="AY120" s="2">
        <f t="shared" si="296"/>
        <v>3354.7163723776771</v>
      </c>
      <c r="AZ120" s="433">
        <f t="shared" si="297"/>
        <v>365</v>
      </c>
      <c r="BA120" s="2">
        <f t="shared" si="298"/>
        <v>1697.9929896161814</v>
      </c>
      <c r="BB120" s="2">
        <f t="shared" si="299"/>
        <v>1656.7233827614957</v>
      </c>
      <c r="BC120" s="2">
        <f t="shared" si="250"/>
        <v>1825</v>
      </c>
      <c r="BD120" s="433">
        <f t="shared" si="300"/>
        <v>1444</v>
      </c>
      <c r="BE120" s="439">
        <f t="shared" si="301"/>
        <v>381</v>
      </c>
      <c r="BF120" s="433">
        <f t="shared" si="302"/>
        <v>365</v>
      </c>
      <c r="BG120" s="2">
        <f t="shared" si="308"/>
        <v>157.20724268808516</v>
      </c>
      <c r="BH120" s="2">
        <f t="shared" si="303"/>
        <v>1499.5161400734105</v>
      </c>
      <c r="BI120" s="2">
        <f t="shared" si="309"/>
        <v>142.28977522746661</v>
      </c>
      <c r="BJ120" s="2">
        <f t="shared" si="304"/>
        <v>1357.2263648459439</v>
      </c>
      <c r="BK120" s="395">
        <f t="shared" si="310"/>
        <v>128.78783310546197</v>
      </c>
      <c r="BL120" s="2">
        <f t="shared" si="251"/>
        <v>1228.4385317404819</v>
      </c>
      <c r="BM120" s="2"/>
      <c r="BN120" s="2">
        <f t="shared" si="221"/>
        <v>1228.4385317404819</v>
      </c>
      <c r="BO120" s="2">
        <f t="shared" si="311"/>
        <v>116.56709647256949</v>
      </c>
      <c r="BP120" s="149">
        <f t="shared" si="222"/>
        <v>1111.8714352679124</v>
      </c>
      <c r="BQ120" s="149"/>
      <c r="BR120" s="2">
        <f t="shared" si="223"/>
        <v>1111.8714352679124</v>
      </c>
      <c r="BS120" s="624">
        <f t="shared" si="312"/>
        <v>318.57143526791242</v>
      </c>
      <c r="BT120" s="2">
        <f t="shared" si="313"/>
        <v>793.3</v>
      </c>
      <c r="BU120" s="2">
        <f t="shared" si="314"/>
        <v>-1.1368683772161603E-13</v>
      </c>
      <c r="BV120" s="2">
        <f t="shared" si="224"/>
        <v>793.30000000000007</v>
      </c>
      <c r="BW120" s="2">
        <f t="shared" si="315"/>
        <v>0</v>
      </c>
      <c r="BX120" s="2">
        <f t="shared" si="305"/>
        <v>793.30000000000007</v>
      </c>
      <c r="BY120" s="2">
        <f t="shared" si="316"/>
        <v>0</v>
      </c>
      <c r="BZ120" s="2">
        <f t="shared" si="252"/>
        <v>793.30000000000007</v>
      </c>
      <c r="CA120" s="2">
        <f t="shared" si="317"/>
        <v>0</v>
      </c>
      <c r="CB120" s="2">
        <f t="shared" si="253"/>
        <v>793.30000000000007</v>
      </c>
      <c r="CC120" s="2">
        <f t="shared" si="318"/>
        <v>0</v>
      </c>
      <c r="CD120" s="2">
        <f t="shared" si="254"/>
        <v>793.30000000000007</v>
      </c>
      <c r="CE120" s="2">
        <f t="shared" si="319"/>
        <v>0</v>
      </c>
      <c r="CF120" s="2">
        <f t="shared" si="255"/>
        <v>793.30000000000007</v>
      </c>
      <c r="CG120" s="2">
        <f t="shared" si="320"/>
        <v>0</v>
      </c>
      <c r="CH120" s="2">
        <f t="shared" si="256"/>
        <v>793.30000000000007</v>
      </c>
      <c r="CI120" s="2">
        <f t="shared" si="321"/>
        <v>0</v>
      </c>
      <c r="CJ120" s="2">
        <f t="shared" si="257"/>
        <v>793.30000000000007</v>
      </c>
      <c r="CK120" s="2">
        <f t="shared" si="322"/>
        <v>0</v>
      </c>
      <c r="CL120" s="2">
        <f t="shared" si="258"/>
        <v>793.30000000000007</v>
      </c>
      <c r="CM120" s="2">
        <f t="shared" si="323"/>
        <v>0</v>
      </c>
      <c r="CN120" s="2">
        <f t="shared" si="259"/>
        <v>793.30000000000007</v>
      </c>
      <c r="CO120" s="2">
        <f t="shared" si="324"/>
        <v>0</v>
      </c>
      <c r="CP120" s="2">
        <f t="shared" si="260"/>
        <v>793.30000000000007</v>
      </c>
      <c r="CQ120" s="2">
        <f t="shared" si="325"/>
        <v>0</v>
      </c>
      <c r="CR120" s="2">
        <f t="shared" si="261"/>
        <v>793.30000000000007</v>
      </c>
      <c r="CS120" s="2">
        <f t="shared" si="326"/>
        <v>0</v>
      </c>
      <c r="CT120" s="2">
        <f t="shared" si="262"/>
        <v>793.30000000000007</v>
      </c>
      <c r="CU120" s="2">
        <f t="shared" si="327"/>
        <v>0</v>
      </c>
      <c r="CV120" s="2">
        <f t="shared" si="263"/>
        <v>793.30000000000007</v>
      </c>
      <c r="CW120" s="2">
        <f t="shared" si="328"/>
        <v>0</v>
      </c>
      <c r="CX120" s="2">
        <f t="shared" si="264"/>
        <v>793.30000000000007</v>
      </c>
      <c r="CY120" s="2">
        <f t="shared" si="329"/>
        <v>0</v>
      </c>
      <c r="CZ120" s="2">
        <f t="shared" si="265"/>
        <v>793.30000000000007</v>
      </c>
      <c r="DA120" s="2">
        <f t="shared" si="330"/>
        <v>0</v>
      </c>
      <c r="DB120" s="2">
        <f t="shared" si="266"/>
        <v>793.30000000000007</v>
      </c>
      <c r="DC120" s="2">
        <f t="shared" si="331"/>
        <v>0</v>
      </c>
      <c r="DD120" s="2">
        <f t="shared" si="267"/>
        <v>793.30000000000007</v>
      </c>
      <c r="DE120" s="2">
        <f t="shared" si="332"/>
        <v>0</v>
      </c>
      <c r="DF120" s="2">
        <f t="shared" si="268"/>
        <v>793.30000000000007</v>
      </c>
      <c r="DG120" s="2">
        <f t="shared" si="333"/>
        <v>0</v>
      </c>
      <c r="DH120" s="2">
        <f t="shared" si="269"/>
        <v>793.30000000000007</v>
      </c>
      <c r="DI120" s="2">
        <f t="shared" si="334"/>
        <v>0</v>
      </c>
      <c r="DJ120" s="2">
        <f t="shared" si="270"/>
        <v>793.30000000000007</v>
      </c>
      <c r="DK120" s="2">
        <f t="shared" si="335"/>
        <v>0</v>
      </c>
      <c r="DL120" s="2">
        <f t="shared" si="271"/>
        <v>793.30000000000007</v>
      </c>
      <c r="DM120" s="2">
        <f t="shared" si="336"/>
        <v>0</v>
      </c>
      <c r="DN120" s="2">
        <f t="shared" si="272"/>
        <v>793.30000000000007</v>
      </c>
      <c r="DO120" s="2">
        <f t="shared" si="337"/>
        <v>0</v>
      </c>
      <c r="DP120" s="2">
        <f t="shared" si="273"/>
        <v>793.30000000000007</v>
      </c>
      <c r="DQ120" s="2">
        <f t="shared" si="338"/>
        <v>0</v>
      </c>
      <c r="DR120" s="2">
        <f t="shared" si="274"/>
        <v>793.30000000000007</v>
      </c>
      <c r="DS120" s="2"/>
      <c r="DT120" s="2">
        <f t="shared" si="275"/>
        <v>793.30000000000007</v>
      </c>
      <c r="DU120" s="2"/>
      <c r="DV120" s="2"/>
      <c r="DW120" s="266">
        <f t="shared" si="276"/>
        <v>793.30000000000007</v>
      </c>
      <c r="DX120" s="441">
        <f t="shared" si="306"/>
        <v>0</v>
      </c>
    </row>
    <row r="121" spans="1:128">
      <c r="A121" s="433">
        <v>15</v>
      </c>
      <c r="B121" s="433" t="s">
        <v>505</v>
      </c>
      <c r="C121" s="467" t="s">
        <v>173</v>
      </c>
      <c r="D121" s="468">
        <v>0.1391</v>
      </c>
      <c r="E121" s="442">
        <f>2300+1500</f>
        <v>3800</v>
      </c>
      <c r="F121" s="437" t="s">
        <v>1001</v>
      </c>
      <c r="G121" s="438">
        <v>41473</v>
      </c>
      <c r="H121" s="438"/>
      <c r="I121" s="438"/>
      <c r="J121" s="438"/>
      <c r="K121" s="438"/>
      <c r="L121" s="438"/>
      <c r="M121" s="433"/>
      <c r="N121" s="433"/>
      <c r="O121" s="433"/>
      <c r="P121" s="433"/>
      <c r="Q121" s="433"/>
      <c r="R121" s="433"/>
      <c r="S121" s="433"/>
      <c r="T121" s="433"/>
      <c r="U121" s="433"/>
      <c r="V121" s="433"/>
      <c r="W121" s="433"/>
      <c r="X121" s="433"/>
      <c r="Y121" s="433"/>
      <c r="Z121" s="433"/>
      <c r="AA121" s="433"/>
      <c r="AB121" s="433">
        <f>IF(($AB$6-G121+1)&gt;365,365,($AB$6-G121+1))</f>
        <v>257</v>
      </c>
      <c r="AC121" s="436">
        <f t="shared" si="277"/>
        <v>372</v>
      </c>
      <c r="AD121" s="436">
        <f t="shared" si="278"/>
        <v>3428</v>
      </c>
      <c r="AE121" s="436">
        <f t="shared" si="279"/>
        <v>372</v>
      </c>
      <c r="AF121" s="436">
        <f t="shared" si="280"/>
        <v>3428</v>
      </c>
      <c r="AG121" s="436">
        <f t="shared" si="281"/>
        <v>0</v>
      </c>
      <c r="AH121" s="436">
        <f t="shared" si="282"/>
        <v>0.70410958904109588</v>
      </c>
      <c r="AI121" s="439">
        <v>5</v>
      </c>
      <c r="AJ121" s="436">
        <f t="shared" si="283"/>
        <v>4.2958904109589042</v>
      </c>
      <c r="AK121" s="440">
        <f t="shared" si="284"/>
        <v>0.49001113539042351</v>
      </c>
      <c r="AL121" s="2">
        <f t="shared" si="285"/>
        <v>0</v>
      </c>
      <c r="AM121" s="433">
        <f t="shared" si="286"/>
        <v>365</v>
      </c>
      <c r="AN121" s="436">
        <f t="shared" si="287"/>
        <v>477</v>
      </c>
      <c r="AO121" s="436">
        <f t="shared" si="288"/>
        <v>1680</v>
      </c>
      <c r="AP121" s="436">
        <f t="shared" si="289"/>
        <v>1748</v>
      </c>
      <c r="AQ121" s="436">
        <f t="shared" si="290"/>
        <v>1748</v>
      </c>
      <c r="AR121" s="436">
        <f>$AF121-($AL121+$AO121+$AP121)</f>
        <v>0</v>
      </c>
      <c r="AS121" s="436">
        <f t="shared" si="291"/>
        <v>1203</v>
      </c>
      <c r="AT121" s="2">
        <f t="shared" si="292"/>
        <v>2951</v>
      </c>
      <c r="AU121" s="2">
        <f t="shared" si="293"/>
        <v>1748</v>
      </c>
      <c r="AV121" s="2">
        <f t="shared" si="294"/>
        <v>0</v>
      </c>
      <c r="AW121" s="433">
        <f t="shared" si="295"/>
        <v>365</v>
      </c>
      <c r="AX121" s="2">
        <f t="shared" si="307"/>
        <v>856.53946466246032</v>
      </c>
      <c r="AY121" s="2">
        <f t="shared" si="296"/>
        <v>891.46053533753968</v>
      </c>
      <c r="AZ121" s="433">
        <f t="shared" si="297"/>
        <v>365</v>
      </c>
      <c r="BA121" s="2">
        <f t="shared" si="298"/>
        <v>436.82558907650258</v>
      </c>
      <c r="BB121" s="2">
        <f t="shared" si="299"/>
        <v>454.6349462610371</v>
      </c>
      <c r="BC121" s="2">
        <f t="shared" si="250"/>
        <v>1825</v>
      </c>
      <c r="BD121" s="433">
        <f t="shared" si="300"/>
        <v>1352</v>
      </c>
      <c r="BE121" s="439">
        <f t="shared" si="301"/>
        <v>473</v>
      </c>
      <c r="BF121" s="433">
        <f t="shared" si="302"/>
        <v>365</v>
      </c>
      <c r="BG121" s="2">
        <f t="shared" si="308"/>
        <v>43.14051885488032</v>
      </c>
      <c r="BH121" s="2">
        <f t="shared" si="303"/>
        <v>411.49442740615677</v>
      </c>
      <c r="BI121" s="2">
        <f t="shared" si="309"/>
        <v>39.046895207217084</v>
      </c>
      <c r="BJ121" s="2">
        <f t="shared" si="304"/>
        <v>372.44753219893971</v>
      </c>
      <c r="BK121" s="395">
        <f t="shared" si="310"/>
        <v>35.341717387594976</v>
      </c>
      <c r="BL121" s="2">
        <f t="shared" si="251"/>
        <v>337.10581481134471</v>
      </c>
      <c r="BM121" s="2"/>
      <c r="BN121" s="2">
        <f t="shared" si="221"/>
        <v>337.10581481134471</v>
      </c>
      <c r="BO121" s="2">
        <f t="shared" si="311"/>
        <v>31.98812559298625</v>
      </c>
      <c r="BP121" s="149">
        <f t="shared" si="222"/>
        <v>305.11768921835846</v>
      </c>
      <c r="BQ121" s="149"/>
      <c r="BR121" s="2">
        <f t="shared" si="223"/>
        <v>305.11768921835846</v>
      </c>
      <c r="BS121" s="624">
        <f t="shared" si="312"/>
        <v>115.11768921835846</v>
      </c>
      <c r="BT121" s="2">
        <f t="shared" si="313"/>
        <v>190</v>
      </c>
      <c r="BU121" s="2">
        <f t="shared" si="314"/>
        <v>0</v>
      </c>
      <c r="BV121" s="2">
        <f t="shared" si="224"/>
        <v>190</v>
      </c>
      <c r="BW121" s="2">
        <f t="shared" si="315"/>
        <v>0</v>
      </c>
      <c r="BX121" s="2">
        <f t="shared" si="305"/>
        <v>190</v>
      </c>
      <c r="BY121" s="2">
        <f t="shared" si="316"/>
        <v>0</v>
      </c>
      <c r="BZ121" s="2">
        <f t="shared" si="252"/>
        <v>190</v>
      </c>
      <c r="CA121" s="2">
        <f t="shared" si="317"/>
        <v>0</v>
      </c>
      <c r="CB121" s="2">
        <f t="shared" si="253"/>
        <v>190</v>
      </c>
      <c r="CC121" s="2">
        <f t="shared" si="318"/>
        <v>0</v>
      </c>
      <c r="CD121" s="2">
        <f t="shared" si="254"/>
        <v>190</v>
      </c>
      <c r="CE121" s="2">
        <f t="shared" si="319"/>
        <v>0</v>
      </c>
      <c r="CF121" s="2">
        <f t="shared" si="255"/>
        <v>190</v>
      </c>
      <c r="CG121" s="2">
        <f t="shared" si="320"/>
        <v>0</v>
      </c>
      <c r="CH121" s="2">
        <f t="shared" si="256"/>
        <v>190</v>
      </c>
      <c r="CI121" s="2">
        <f t="shared" si="321"/>
        <v>0</v>
      </c>
      <c r="CJ121" s="2">
        <f t="shared" si="257"/>
        <v>190</v>
      </c>
      <c r="CK121" s="2">
        <f t="shared" si="322"/>
        <v>0</v>
      </c>
      <c r="CL121" s="2">
        <f t="shared" si="258"/>
        <v>190</v>
      </c>
      <c r="CM121" s="2">
        <f t="shared" si="323"/>
        <v>0</v>
      </c>
      <c r="CN121" s="2">
        <f t="shared" si="259"/>
        <v>190</v>
      </c>
      <c r="CO121" s="2">
        <f t="shared" si="324"/>
        <v>0</v>
      </c>
      <c r="CP121" s="2">
        <f t="shared" si="260"/>
        <v>190</v>
      </c>
      <c r="CQ121" s="2">
        <f t="shared" si="325"/>
        <v>0</v>
      </c>
      <c r="CR121" s="2">
        <f t="shared" si="261"/>
        <v>190</v>
      </c>
      <c r="CS121" s="2">
        <f t="shared" si="326"/>
        <v>0</v>
      </c>
      <c r="CT121" s="2">
        <f t="shared" si="262"/>
        <v>190</v>
      </c>
      <c r="CU121" s="2">
        <f t="shared" si="327"/>
        <v>0</v>
      </c>
      <c r="CV121" s="2">
        <f t="shared" si="263"/>
        <v>190</v>
      </c>
      <c r="CW121" s="2">
        <f t="shared" si="328"/>
        <v>0</v>
      </c>
      <c r="CX121" s="2">
        <f t="shared" si="264"/>
        <v>190</v>
      </c>
      <c r="CY121" s="2">
        <f t="shared" si="329"/>
        <v>0</v>
      </c>
      <c r="CZ121" s="2">
        <f t="shared" si="265"/>
        <v>190</v>
      </c>
      <c r="DA121" s="2">
        <f t="shared" si="330"/>
        <v>0</v>
      </c>
      <c r="DB121" s="2">
        <f t="shared" si="266"/>
        <v>190</v>
      </c>
      <c r="DC121" s="2">
        <f t="shared" si="331"/>
        <v>0</v>
      </c>
      <c r="DD121" s="2">
        <f t="shared" si="267"/>
        <v>190</v>
      </c>
      <c r="DE121" s="2">
        <f t="shared" si="332"/>
        <v>0</v>
      </c>
      <c r="DF121" s="2">
        <f t="shared" si="268"/>
        <v>190</v>
      </c>
      <c r="DG121" s="2">
        <f t="shared" si="333"/>
        <v>0</v>
      </c>
      <c r="DH121" s="2">
        <f t="shared" si="269"/>
        <v>190</v>
      </c>
      <c r="DI121" s="2">
        <f t="shared" si="334"/>
        <v>0</v>
      </c>
      <c r="DJ121" s="2">
        <f t="shared" si="270"/>
        <v>190</v>
      </c>
      <c r="DK121" s="2">
        <f t="shared" si="335"/>
        <v>0</v>
      </c>
      <c r="DL121" s="2">
        <f t="shared" si="271"/>
        <v>190</v>
      </c>
      <c r="DM121" s="2">
        <f t="shared" si="336"/>
        <v>0</v>
      </c>
      <c r="DN121" s="2">
        <f t="shared" si="272"/>
        <v>190</v>
      </c>
      <c r="DO121" s="2">
        <f t="shared" si="337"/>
        <v>0</v>
      </c>
      <c r="DP121" s="2">
        <f t="shared" si="273"/>
        <v>190</v>
      </c>
      <c r="DQ121" s="2">
        <f t="shared" si="338"/>
        <v>0</v>
      </c>
      <c r="DR121" s="2">
        <f t="shared" si="274"/>
        <v>190</v>
      </c>
      <c r="DS121" s="2"/>
      <c r="DT121" s="2">
        <f t="shared" si="275"/>
        <v>190</v>
      </c>
      <c r="DU121" s="2"/>
      <c r="DV121" s="2"/>
      <c r="DW121" s="266">
        <f t="shared" si="276"/>
        <v>190</v>
      </c>
      <c r="DX121" s="441">
        <f t="shared" si="306"/>
        <v>0</v>
      </c>
    </row>
    <row r="122" spans="1:128">
      <c r="A122" s="433">
        <v>16</v>
      </c>
      <c r="B122" s="433" t="s">
        <v>505</v>
      </c>
      <c r="C122" s="467" t="s">
        <v>173</v>
      </c>
      <c r="D122" s="468">
        <v>0.1391</v>
      </c>
      <c r="E122" s="442">
        <v>1500</v>
      </c>
      <c r="F122" s="437" t="s">
        <v>1001</v>
      </c>
      <c r="G122" s="438">
        <v>41491</v>
      </c>
      <c r="H122" s="438"/>
      <c r="I122" s="438"/>
      <c r="J122" s="438"/>
      <c r="K122" s="438"/>
      <c r="L122" s="438"/>
      <c r="M122" s="433"/>
      <c r="N122" s="433"/>
      <c r="O122" s="433"/>
      <c r="P122" s="433"/>
      <c r="Q122" s="433"/>
      <c r="R122" s="433"/>
      <c r="S122" s="433"/>
      <c r="T122" s="433"/>
      <c r="U122" s="433"/>
      <c r="V122" s="433"/>
      <c r="W122" s="433"/>
      <c r="X122" s="433"/>
      <c r="Y122" s="433"/>
      <c r="Z122" s="433"/>
      <c r="AA122" s="433"/>
      <c r="AB122" s="433">
        <f>IF(($AB$6-G122+1)&gt;365,365,($AB$6-G122+1))</f>
        <v>239</v>
      </c>
      <c r="AC122" s="436">
        <f t="shared" si="277"/>
        <v>137</v>
      </c>
      <c r="AD122" s="436">
        <f t="shared" si="278"/>
        <v>1363</v>
      </c>
      <c r="AE122" s="436">
        <f t="shared" si="279"/>
        <v>137</v>
      </c>
      <c r="AF122" s="436">
        <f t="shared" si="280"/>
        <v>1363</v>
      </c>
      <c r="AG122" s="436">
        <f t="shared" si="281"/>
        <v>0</v>
      </c>
      <c r="AH122" s="436">
        <f t="shared" si="282"/>
        <v>0.65479452054794518</v>
      </c>
      <c r="AI122" s="439">
        <v>5</v>
      </c>
      <c r="AJ122" s="436">
        <f t="shared" si="283"/>
        <v>4.3452054794520549</v>
      </c>
      <c r="AK122" s="440">
        <f t="shared" si="284"/>
        <v>0.48695513774226074</v>
      </c>
      <c r="AL122" s="2">
        <f t="shared" si="285"/>
        <v>0</v>
      </c>
      <c r="AM122" s="433">
        <f t="shared" si="286"/>
        <v>365</v>
      </c>
      <c r="AN122" s="436">
        <f t="shared" si="287"/>
        <v>190</v>
      </c>
      <c r="AO122" s="436">
        <f t="shared" si="288"/>
        <v>664</v>
      </c>
      <c r="AP122" s="436">
        <f t="shared" si="289"/>
        <v>699</v>
      </c>
      <c r="AQ122" s="436">
        <f t="shared" si="290"/>
        <v>699</v>
      </c>
      <c r="AR122" s="436">
        <f>$AF122-($AL122+$AO122+$AP122)</f>
        <v>0</v>
      </c>
      <c r="AS122" s="436">
        <f t="shared" si="291"/>
        <v>474</v>
      </c>
      <c r="AT122" s="2">
        <f t="shared" si="292"/>
        <v>1173</v>
      </c>
      <c r="AU122" s="2">
        <f t="shared" si="293"/>
        <v>699</v>
      </c>
      <c r="AV122" s="2">
        <f t="shared" si="294"/>
        <v>0</v>
      </c>
      <c r="AW122" s="433">
        <f t="shared" si="295"/>
        <v>365</v>
      </c>
      <c r="AX122" s="2">
        <f t="shared" si="307"/>
        <v>340.38164128184025</v>
      </c>
      <c r="AY122" s="2">
        <f t="shared" si="296"/>
        <v>358.61835871815975</v>
      </c>
      <c r="AZ122" s="433">
        <f t="shared" si="297"/>
        <v>365</v>
      </c>
      <c r="BA122" s="2">
        <f t="shared" si="298"/>
        <v>174.63105226650495</v>
      </c>
      <c r="BB122" s="2">
        <f t="shared" si="299"/>
        <v>183.9873064516548</v>
      </c>
      <c r="BC122" s="2">
        <f t="shared" si="250"/>
        <v>1825</v>
      </c>
      <c r="BD122" s="433">
        <f t="shared" si="300"/>
        <v>1334</v>
      </c>
      <c r="BE122" s="439">
        <f t="shared" si="301"/>
        <v>491</v>
      </c>
      <c r="BF122" s="433">
        <f t="shared" si="302"/>
        <v>365</v>
      </c>
      <c r="BG122" s="2">
        <f t="shared" si="308"/>
        <v>17.458640010657923</v>
      </c>
      <c r="BH122" s="2">
        <f t="shared" si="303"/>
        <v>166.52866644099689</v>
      </c>
      <c r="BI122" s="2">
        <f t="shared" si="309"/>
        <v>15.801981641664208</v>
      </c>
      <c r="BJ122" s="2">
        <f t="shared" si="304"/>
        <v>150.72668479933267</v>
      </c>
      <c r="BK122" s="395">
        <f t="shared" si="310"/>
        <v>14.302524346172291</v>
      </c>
      <c r="BL122" s="2">
        <f t="shared" si="251"/>
        <v>136.42416045316037</v>
      </c>
      <c r="BM122" s="2"/>
      <c r="BN122" s="2">
        <f t="shared" si="221"/>
        <v>136.42416045316037</v>
      </c>
      <c r="BO122" s="2">
        <f t="shared" si="311"/>
        <v>12.945351242118475</v>
      </c>
      <c r="BP122" s="149">
        <f t="shared" si="222"/>
        <v>123.47880921104189</v>
      </c>
      <c r="BQ122" s="149"/>
      <c r="BR122" s="2">
        <f t="shared" si="223"/>
        <v>123.47880921104189</v>
      </c>
      <c r="BS122" s="624">
        <f t="shared" si="312"/>
        <v>48.478809211041892</v>
      </c>
      <c r="BT122" s="2">
        <f t="shared" si="313"/>
        <v>75</v>
      </c>
      <c r="BU122" s="2">
        <f t="shared" si="314"/>
        <v>0</v>
      </c>
      <c r="BV122" s="2">
        <f t="shared" si="224"/>
        <v>75</v>
      </c>
      <c r="BW122" s="2">
        <f t="shared" si="315"/>
        <v>0</v>
      </c>
      <c r="BX122" s="2">
        <f t="shared" si="305"/>
        <v>75</v>
      </c>
      <c r="BY122" s="2">
        <f t="shared" si="316"/>
        <v>0</v>
      </c>
      <c r="BZ122" s="2">
        <f t="shared" si="252"/>
        <v>75</v>
      </c>
      <c r="CA122" s="2">
        <f t="shared" si="317"/>
        <v>0</v>
      </c>
      <c r="CB122" s="2">
        <f t="shared" si="253"/>
        <v>75</v>
      </c>
      <c r="CC122" s="2">
        <f t="shared" si="318"/>
        <v>0</v>
      </c>
      <c r="CD122" s="2">
        <f t="shared" si="254"/>
        <v>75</v>
      </c>
      <c r="CE122" s="2">
        <f t="shared" si="319"/>
        <v>0</v>
      </c>
      <c r="CF122" s="2">
        <f t="shared" si="255"/>
        <v>75</v>
      </c>
      <c r="CG122" s="2">
        <f t="shared" si="320"/>
        <v>0</v>
      </c>
      <c r="CH122" s="2">
        <f t="shared" si="256"/>
        <v>75</v>
      </c>
      <c r="CI122" s="2">
        <f t="shared" si="321"/>
        <v>0</v>
      </c>
      <c r="CJ122" s="2">
        <f t="shared" si="257"/>
        <v>75</v>
      </c>
      <c r="CK122" s="2">
        <f t="shared" si="322"/>
        <v>0</v>
      </c>
      <c r="CL122" s="2">
        <f t="shared" si="258"/>
        <v>75</v>
      </c>
      <c r="CM122" s="2">
        <f t="shared" si="323"/>
        <v>0</v>
      </c>
      <c r="CN122" s="2">
        <f t="shared" si="259"/>
        <v>75</v>
      </c>
      <c r="CO122" s="2">
        <f t="shared" si="324"/>
        <v>0</v>
      </c>
      <c r="CP122" s="2">
        <f t="shared" si="260"/>
        <v>75</v>
      </c>
      <c r="CQ122" s="2">
        <f t="shared" si="325"/>
        <v>0</v>
      </c>
      <c r="CR122" s="2">
        <f t="shared" si="261"/>
        <v>75</v>
      </c>
      <c r="CS122" s="2">
        <f t="shared" si="326"/>
        <v>0</v>
      </c>
      <c r="CT122" s="2">
        <f t="shared" si="262"/>
        <v>75</v>
      </c>
      <c r="CU122" s="2">
        <f t="shared" si="327"/>
        <v>0</v>
      </c>
      <c r="CV122" s="2">
        <f t="shared" si="263"/>
        <v>75</v>
      </c>
      <c r="CW122" s="2">
        <f t="shared" si="328"/>
        <v>0</v>
      </c>
      <c r="CX122" s="2">
        <f t="shared" si="264"/>
        <v>75</v>
      </c>
      <c r="CY122" s="2">
        <f t="shared" si="329"/>
        <v>0</v>
      </c>
      <c r="CZ122" s="2">
        <f t="shared" si="265"/>
        <v>75</v>
      </c>
      <c r="DA122" s="2">
        <f t="shared" si="330"/>
        <v>0</v>
      </c>
      <c r="DB122" s="2">
        <f t="shared" si="266"/>
        <v>75</v>
      </c>
      <c r="DC122" s="2">
        <f t="shared" si="331"/>
        <v>0</v>
      </c>
      <c r="DD122" s="2">
        <f t="shared" si="267"/>
        <v>75</v>
      </c>
      <c r="DE122" s="2">
        <f t="shared" si="332"/>
        <v>0</v>
      </c>
      <c r="DF122" s="2">
        <f t="shared" si="268"/>
        <v>75</v>
      </c>
      <c r="DG122" s="2">
        <f t="shared" si="333"/>
        <v>0</v>
      </c>
      <c r="DH122" s="2">
        <f t="shared" si="269"/>
        <v>75</v>
      </c>
      <c r="DI122" s="2">
        <f t="shared" si="334"/>
        <v>0</v>
      </c>
      <c r="DJ122" s="2">
        <f t="shared" si="270"/>
        <v>75</v>
      </c>
      <c r="DK122" s="2">
        <f t="shared" si="335"/>
        <v>0</v>
      </c>
      <c r="DL122" s="2">
        <f t="shared" si="271"/>
        <v>75</v>
      </c>
      <c r="DM122" s="2">
        <f t="shared" si="336"/>
        <v>0</v>
      </c>
      <c r="DN122" s="2">
        <f t="shared" si="272"/>
        <v>75</v>
      </c>
      <c r="DO122" s="2">
        <f t="shared" si="337"/>
        <v>0</v>
      </c>
      <c r="DP122" s="2">
        <f t="shared" si="273"/>
        <v>75</v>
      </c>
      <c r="DQ122" s="2">
        <f t="shared" si="338"/>
        <v>0</v>
      </c>
      <c r="DR122" s="2">
        <f t="shared" si="274"/>
        <v>75</v>
      </c>
      <c r="DS122" s="2"/>
      <c r="DT122" s="2">
        <f t="shared" si="275"/>
        <v>75</v>
      </c>
      <c r="DU122" s="2"/>
      <c r="DV122" s="2"/>
      <c r="DW122" s="266">
        <f t="shared" si="276"/>
        <v>75</v>
      </c>
      <c r="DX122" s="441">
        <f t="shared" si="306"/>
        <v>0</v>
      </c>
    </row>
    <row r="123" spans="1:128">
      <c r="A123" s="433">
        <v>24</v>
      </c>
      <c r="B123" s="450" t="s">
        <v>867</v>
      </c>
      <c r="C123" s="467" t="s">
        <v>173</v>
      </c>
      <c r="D123" s="468">
        <v>0.1391</v>
      </c>
      <c r="E123" s="330">
        <v>48380</v>
      </c>
      <c r="F123" s="470" t="s">
        <v>921</v>
      </c>
      <c r="G123" s="438">
        <v>43424</v>
      </c>
      <c r="H123" s="438">
        <f t="shared" ref="H123:H129" si="339">DATE(YEAR(G123)+I123,MONTH(G123),DAY(G123))-1</f>
        <v>45249</v>
      </c>
      <c r="I123" s="267">
        <v>5</v>
      </c>
      <c r="J123" s="267">
        <f>IF(($BI$6-$G123+1)&gt;365,365,($BI$6-$G123+1))</f>
        <v>132</v>
      </c>
      <c r="K123" s="267">
        <f t="shared" ref="K123:K129" si="340">365-J123</f>
        <v>233</v>
      </c>
      <c r="L123" s="438"/>
      <c r="M123" s="433"/>
      <c r="N123" s="436"/>
      <c r="O123" s="436"/>
      <c r="P123" s="433"/>
      <c r="Q123" s="436"/>
      <c r="R123" s="436"/>
      <c r="S123" s="433"/>
      <c r="T123" s="436"/>
      <c r="U123" s="436"/>
      <c r="V123" s="433"/>
      <c r="W123" s="436"/>
      <c r="X123" s="436"/>
      <c r="Y123" s="433"/>
      <c r="Z123" s="436"/>
      <c r="AA123" s="436"/>
      <c r="AB123" s="433"/>
      <c r="AC123" s="436"/>
      <c r="AD123" s="436"/>
      <c r="AE123" s="436"/>
      <c r="AF123" s="436"/>
      <c r="AG123" s="436"/>
      <c r="AH123" s="436"/>
      <c r="AI123" s="439">
        <v>5</v>
      </c>
      <c r="AJ123" s="439">
        <v>5</v>
      </c>
      <c r="AK123" s="440">
        <f t="shared" ref="AK123:AK131" si="341">1-((E123*5%)/E123)^(1/I123)</f>
        <v>0.45071972834694107</v>
      </c>
      <c r="AL123" s="2"/>
      <c r="AM123" s="433"/>
      <c r="AN123" s="436"/>
      <c r="AO123" s="436"/>
      <c r="AP123" s="436"/>
      <c r="AQ123" s="436"/>
      <c r="AR123" s="436"/>
      <c r="AS123" s="436"/>
      <c r="AT123" s="2"/>
      <c r="AU123" s="2"/>
      <c r="AV123" s="2"/>
      <c r="AW123" s="433"/>
      <c r="AX123" s="2"/>
      <c r="AY123" s="2"/>
      <c r="AZ123" s="433"/>
      <c r="BA123" s="2"/>
      <c r="BB123" s="2"/>
      <c r="BC123" s="2"/>
      <c r="BD123" s="2"/>
      <c r="BE123" s="2"/>
      <c r="BF123" s="433"/>
      <c r="BG123" s="2"/>
      <c r="BH123" s="2"/>
      <c r="BI123" s="2">
        <f>ROUND(+E123*AK123*J123/365,0)</f>
        <v>7886</v>
      </c>
      <c r="BJ123" s="2">
        <f>+E123-BI123</f>
        <v>40494</v>
      </c>
      <c r="BK123" s="395">
        <f>ROUND(+BJ123*$AK123,0)</f>
        <v>18251</v>
      </c>
      <c r="BL123" s="2">
        <f t="shared" si="251"/>
        <v>22243</v>
      </c>
      <c r="BM123" s="2"/>
      <c r="BN123" s="2">
        <f t="shared" si="221"/>
        <v>22243</v>
      </c>
      <c r="BO123" s="2">
        <f t="shared" ref="BO123:BO128" si="342">ROUND(+BL123*$AK123,0)</f>
        <v>10025</v>
      </c>
      <c r="BP123" s="149">
        <f t="shared" si="222"/>
        <v>12218</v>
      </c>
      <c r="BQ123" s="149"/>
      <c r="BR123" s="2">
        <f t="shared" si="223"/>
        <v>12218</v>
      </c>
      <c r="BS123" s="624">
        <f t="shared" ref="BS123:BS129" si="343">ROUND(+BP123*$AK123,0)</f>
        <v>5507</v>
      </c>
      <c r="BT123" s="2">
        <f t="shared" ref="BT123:BT129" si="344">+BP123-BS123</f>
        <v>6711</v>
      </c>
      <c r="BU123" s="2">
        <f t="shared" ref="BU123:BU131" si="345">ROUND(+BT123*$AK123,0)</f>
        <v>3025</v>
      </c>
      <c r="BV123" s="2">
        <f t="shared" si="224"/>
        <v>3686</v>
      </c>
      <c r="BW123" s="317">
        <f>+(1-($E123*5%)/BV123)*BV123</f>
        <v>1267</v>
      </c>
      <c r="BX123" s="2">
        <f t="shared" si="305"/>
        <v>2419</v>
      </c>
      <c r="BY123" s="2">
        <v>0</v>
      </c>
      <c r="BZ123" s="2">
        <f t="shared" si="252"/>
        <v>2419</v>
      </c>
      <c r="CA123" s="2">
        <v>0</v>
      </c>
      <c r="CB123" s="2">
        <f t="shared" si="253"/>
        <v>2419</v>
      </c>
      <c r="CC123" s="2">
        <v>0</v>
      </c>
      <c r="CD123" s="2">
        <f t="shared" si="254"/>
        <v>2419</v>
      </c>
      <c r="CE123" s="2">
        <v>0</v>
      </c>
      <c r="CF123" s="2">
        <f t="shared" si="255"/>
        <v>2419</v>
      </c>
      <c r="CG123" s="2">
        <v>0</v>
      </c>
      <c r="CH123" s="2">
        <f t="shared" si="256"/>
        <v>2419</v>
      </c>
      <c r="CI123" s="2">
        <v>0</v>
      </c>
      <c r="CJ123" s="2">
        <f t="shared" si="257"/>
        <v>2419</v>
      </c>
      <c r="CK123" s="2">
        <v>0</v>
      </c>
      <c r="CL123" s="2">
        <f t="shared" si="258"/>
        <v>2419</v>
      </c>
      <c r="CM123" s="2">
        <v>0</v>
      </c>
      <c r="CN123" s="2">
        <f t="shared" si="259"/>
        <v>2419</v>
      </c>
      <c r="CO123" s="2">
        <v>0</v>
      </c>
      <c r="CP123" s="2">
        <f t="shared" si="260"/>
        <v>2419</v>
      </c>
      <c r="CQ123" s="2">
        <v>0</v>
      </c>
      <c r="CR123" s="2">
        <f t="shared" si="261"/>
        <v>2419</v>
      </c>
      <c r="CS123" s="2">
        <v>0</v>
      </c>
      <c r="CT123" s="2">
        <f t="shared" si="262"/>
        <v>2419</v>
      </c>
      <c r="CU123" s="2">
        <v>0</v>
      </c>
      <c r="CV123" s="2">
        <f t="shared" si="263"/>
        <v>2419</v>
      </c>
      <c r="CW123" s="2">
        <v>0</v>
      </c>
      <c r="CX123" s="2">
        <f t="shared" si="264"/>
        <v>2419</v>
      </c>
      <c r="CY123" s="2">
        <v>0</v>
      </c>
      <c r="CZ123" s="2">
        <f t="shared" si="265"/>
        <v>2419</v>
      </c>
      <c r="DA123" s="2">
        <v>0</v>
      </c>
      <c r="DB123" s="2">
        <f t="shared" si="266"/>
        <v>2419</v>
      </c>
      <c r="DC123" s="2">
        <v>0</v>
      </c>
      <c r="DD123" s="2">
        <f t="shared" si="267"/>
        <v>2419</v>
      </c>
      <c r="DE123" s="2">
        <v>0</v>
      </c>
      <c r="DF123" s="2">
        <f t="shared" si="268"/>
        <v>2419</v>
      </c>
      <c r="DG123" s="2">
        <v>0</v>
      </c>
      <c r="DH123" s="2">
        <f t="shared" si="269"/>
        <v>2419</v>
      </c>
      <c r="DI123" s="2">
        <v>0</v>
      </c>
      <c r="DJ123" s="2">
        <f t="shared" si="270"/>
        <v>2419</v>
      </c>
      <c r="DK123" s="2">
        <v>0</v>
      </c>
      <c r="DL123" s="2">
        <f t="shared" si="271"/>
        <v>2419</v>
      </c>
      <c r="DM123" s="2">
        <v>0</v>
      </c>
      <c r="DN123" s="2">
        <f t="shared" si="272"/>
        <v>2419</v>
      </c>
      <c r="DO123" s="2">
        <v>0</v>
      </c>
      <c r="DP123" s="2">
        <f t="shared" si="273"/>
        <v>2419</v>
      </c>
      <c r="DQ123" s="2">
        <v>0</v>
      </c>
      <c r="DR123" s="2">
        <f t="shared" si="274"/>
        <v>2419</v>
      </c>
      <c r="DS123" s="2">
        <v>0</v>
      </c>
      <c r="DT123" s="2">
        <f t="shared" si="275"/>
        <v>2419</v>
      </c>
      <c r="DU123" s="2">
        <v>0</v>
      </c>
      <c r="DV123" s="2">
        <f>+DT123-DU123</f>
        <v>2419</v>
      </c>
      <c r="DW123" s="266">
        <f t="shared" ref="DW123:DW129" si="346">+E123*5%</f>
        <v>2419</v>
      </c>
      <c r="DX123" s="441">
        <f>+DT123-DW123</f>
        <v>0</v>
      </c>
    </row>
    <row r="124" spans="1:128">
      <c r="A124" s="433">
        <v>25</v>
      </c>
      <c r="B124" s="450" t="s">
        <v>868</v>
      </c>
      <c r="C124" s="467" t="s">
        <v>173</v>
      </c>
      <c r="D124" s="468">
        <v>0.1391</v>
      </c>
      <c r="E124" s="330">
        <v>23700</v>
      </c>
      <c r="F124" s="470" t="s">
        <v>921</v>
      </c>
      <c r="G124" s="438">
        <v>43426</v>
      </c>
      <c r="H124" s="438">
        <f t="shared" si="339"/>
        <v>45251</v>
      </c>
      <c r="I124" s="267">
        <v>5</v>
      </c>
      <c r="J124" s="267">
        <f>IF(($BI$6-$G124+1)&gt;365,365,($BI$6-$G124+1))</f>
        <v>130</v>
      </c>
      <c r="K124" s="267">
        <f t="shared" si="340"/>
        <v>235</v>
      </c>
      <c r="L124" s="438"/>
      <c r="M124" s="433"/>
      <c r="N124" s="436"/>
      <c r="O124" s="436"/>
      <c r="P124" s="433"/>
      <c r="Q124" s="436"/>
      <c r="R124" s="436"/>
      <c r="S124" s="433"/>
      <c r="T124" s="436"/>
      <c r="U124" s="436"/>
      <c r="V124" s="433"/>
      <c r="W124" s="436"/>
      <c r="X124" s="436"/>
      <c r="Y124" s="433"/>
      <c r="Z124" s="436"/>
      <c r="AA124" s="436"/>
      <c r="AB124" s="433"/>
      <c r="AC124" s="436"/>
      <c r="AD124" s="436"/>
      <c r="AE124" s="436"/>
      <c r="AF124" s="436"/>
      <c r="AG124" s="436"/>
      <c r="AH124" s="436"/>
      <c r="AI124" s="439">
        <v>5</v>
      </c>
      <c r="AJ124" s="439">
        <v>5</v>
      </c>
      <c r="AK124" s="440">
        <f t="shared" si="341"/>
        <v>0.45071972834694107</v>
      </c>
      <c r="AL124" s="2"/>
      <c r="AM124" s="433"/>
      <c r="AN124" s="436"/>
      <c r="AO124" s="436"/>
      <c r="AP124" s="436"/>
      <c r="AQ124" s="436"/>
      <c r="AR124" s="436"/>
      <c r="AS124" s="436"/>
      <c r="AT124" s="2"/>
      <c r="AU124" s="2"/>
      <c r="AV124" s="2"/>
      <c r="AW124" s="433"/>
      <c r="AX124" s="2"/>
      <c r="AY124" s="2"/>
      <c r="AZ124" s="433"/>
      <c r="BA124" s="2"/>
      <c r="BB124" s="2"/>
      <c r="BC124" s="2"/>
      <c r="BD124" s="2"/>
      <c r="BE124" s="2"/>
      <c r="BF124" s="433"/>
      <c r="BG124" s="2"/>
      <c r="BH124" s="2"/>
      <c r="BI124" s="2">
        <f>ROUND(+E124*AK124*J124/365,0)</f>
        <v>3805</v>
      </c>
      <c r="BJ124" s="2">
        <f>+E124-BI124</f>
        <v>19895</v>
      </c>
      <c r="BK124" s="395">
        <f>ROUND(+BJ124*$AK124,0)</f>
        <v>8967</v>
      </c>
      <c r="BL124" s="2">
        <f t="shared" si="251"/>
        <v>10928</v>
      </c>
      <c r="BM124" s="2"/>
      <c r="BN124" s="2">
        <f t="shared" si="221"/>
        <v>10928</v>
      </c>
      <c r="BO124" s="2">
        <f t="shared" si="342"/>
        <v>4925</v>
      </c>
      <c r="BP124" s="149">
        <f t="shared" si="222"/>
        <v>6003</v>
      </c>
      <c r="BQ124" s="149"/>
      <c r="BR124" s="2">
        <f t="shared" si="223"/>
        <v>6003</v>
      </c>
      <c r="BS124" s="624">
        <f t="shared" si="343"/>
        <v>2706</v>
      </c>
      <c r="BT124" s="2">
        <f t="shared" si="344"/>
        <v>3297</v>
      </c>
      <c r="BU124" s="2">
        <f t="shared" si="345"/>
        <v>1486</v>
      </c>
      <c r="BV124" s="2">
        <f t="shared" si="224"/>
        <v>1811</v>
      </c>
      <c r="BW124" s="317">
        <f>+(1-($E124*5%)/BV124)*BV124</f>
        <v>626</v>
      </c>
      <c r="BX124" s="2">
        <f t="shared" si="305"/>
        <v>1185</v>
      </c>
      <c r="BY124" s="2">
        <v>0</v>
      </c>
      <c r="BZ124" s="2">
        <f t="shared" si="252"/>
        <v>1185</v>
      </c>
      <c r="CA124" s="2">
        <v>0</v>
      </c>
      <c r="CB124" s="2">
        <f t="shared" si="253"/>
        <v>1185</v>
      </c>
      <c r="CC124" s="2">
        <v>0</v>
      </c>
      <c r="CD124" s="2">
        <f t="shared" si="254"/>
        <v>1185</v>
      </c>
      <c r="CE124" s="2">
        <v>0</v>
      </c>
      <c r="CF124" s="2">
        <f t="shared" si="255"/>
        <v>1185</v>
      </c>
      <c r="CG124" s="2">
        <v>0</v>
      </c>
      <c r="CH124" s="2">
        <f t="shared" si="256"/>
        <v>1185</v>
      </c>
      <c r="CI124" s="2">
        <v>0</v>
      </c>
      <c r="CJ124" s="2">
        <f t="shared" si="257"/>
        <v>1185</v>
      </c>
      <c r="CK124" s="2">
        <v>0</v>
      </c>
      <c r="CL124" s="2">
        <f t="shared" si="258"/>
        <v>1185</v>
      </c>
      <c r="CM124" s="2">
        <v>0</v>
      </c>
      <c r="CN124" s="2">
        <f t="shared" si="259"/>
        <v>1185</v>
      </c>
      <c r="CO124" s="2">
        <v>0</v>
      </c>
      <c r="CP124" s="2">
        <f t="shared" si="260"/>
        <v>1185</v>
      </c>
      <c r="CQ124" s="2">
        <v>0</v>
      </c>
      <c r="CR124" s="2">
        <f t="shared" si="261"/>
        <v>1185</v>
      </c>
      <c r="CS124" s="2">
        <v>0</v>
      </c>
      <c r="CT124" s="2">
        <f t="shared" si="262"/>
        <v>1185</v>
      </c>
      <c r="CU124" s="2">
        <v>0</v>
      </c>
      <c r="CV124" s="2">
        <f t="shared" si="263"/>
        <v>1185</v>
      </c>
      <c r="CW124" s="2">
        <v>0</v>
      </c>
      <c r="CX124" s="2">
        <f t="shared" si="264"/>
        <v>1185</v>
      </c>
      <c r="CY124" s="2">
        <v>0</v>
      </c>
      <c r="CZ124" s="2">
        <f t="shared" si="265"/>
        <v>1185</v>
      </c>
      <c r="DA124" s="2">
        <v>0</v>
      </c>
      <c r="DB124" s="2">
        <f t="shared" si="266"/>
        <v>1185</v>
      </c>
      <c r="DC124" s="2">
        <v>0</v>
      </c>
      <c r="DD124" s="2">
        <f t="shared" si="267"/>
        <v>1185</v>
      </c>
      <c r="DE124" s="2">
        <v>0</v>
      </c>
      <c r="DF124" s="2">
        <f t="shared" si="268"/>
        <v>1185</v>
      </c>
      <c r="DG124" s="2">
        <v>0</v>
      </c>
      <c r="DH124" s="2">
        <f t="shared" si="269"/>
        <v>1185</v>
      </c>
      <c r="DI124" s="2">
        <v>0</v>
      </c>
      <c r="DJ124" s="2">
        <f t="shared" si="270"/>
        <v>1185</v>
      </c>
      <c r="DK124" s="2">
        <v>0</v>
      </c>
      <c r="DL124" s="2">
        <f t="shared" si="271"/>
        <v>1185</v>
      </c>
      <c r="DM124" s="2">
        <v>0</v>
      </c>
      <c r="DN124" s="2">
        <f t="shared" si="272"/>
        <v>1185</v>
      </c>
      <c r="DO124" s="2">
        <v>0</v>
      </c>
      <c r="DP124" s="2">
        <f t="shared" si="273"/>
        <v>1185</v>
      </c>
      <c r="DQ124" s="2">
        <v>0</v>
      </c>
      <c r="DR124" s="2">
        <f t="shared" si="274"/>
        <v>1185</v>
      </c>
      <c r="DS124" s="2">
        <v>0</v>
      </c>
      <c r="DT124" s="2">
        <f t="shared" si="275"/>
        <v>1185</v>
      </c>
      <c r="DU124" s="2">
        <v>0</v>
      </c>
      <c r="DV124" s="2">
        <f>+DT124-DU124</f>
        <v>1185</v>
      </c>
      <c r="DW124" s="266">
        <f t="shared" si="346"/>
        <v>1185</v>
      </c>
      <c r="DX124" s="441">
        <f>+DT124-DW124</f>
        <v>0</v>
      </c>
    </row>
    <row r="125" spans="1:128">
      <c r="A125" s="433">
        <v>26</v>
      </c>
      <c r="B125" s="450" t="s">
        <v>869</v>
      </c>
      <c r="C125" s="467" t="s">
        <v>173</v>
      </c>
      <c r="D125" s="468">
        <v>0.1391</v>
      </c>
      <c r="E125" s="330">
        <v>14600</v>
      </c>
      <c r="F125" s="470" t="s">
        <v>921</v>
      </c>
      <c r="G125" s="438">
        <v>43487</v>
      </c>
      <c r="H125" s="438">
        <f t="shared" si="339"/>
        <v>45312</v>
      </c>
      <c r="I125" s="267">
        <v>5</v>
      </c>
      <c r="J125" s="267">
        <f>IF(($BI$6-$G125+1)&gt;365,365,($BI$6-$G125+1))</f>
        <v>69</v>
      </c>
      <c r="K125" s="267">
        <f t="shared" si="340"/>
        <v>296</v>
      </c>
      <c r="L125" s="438"/>
      <c r="M125" s="433"/>
      <c r="N125" s="436"/>
      <c r="O125" s="436"/>
      <c r="P125" s="433"/>
      <c r="Q125" s="436"/>
      <c r="R125" s="436"/>
      <c r="S125" s="433"/>
      <c r="T125" s="436"/>
      <c r="U125" s="436"/>
      <c r="V125" s="433"/>
      <c r="W125" s="436"/>
      <c r="X125" s="436"/>
      <c r="Y125" s="433"/>
      <c r="Z125" s="436"/>
      <c r="AA125" s="436"/>
      <c r="AB125" s="433"/>
      <c r="AC125" s="436"/>
      <c r="AD125" s="436"/>
      <c r="AE125" s="436"/>
      <c r="AF125" s="436"/>
      <c r="AG125" s="436"/>
      <c r="AH125" s="436"/>
      <c r="AI125" s="439">
        <v>5</v>
      </c>
      <c r="AJ125" s="439">
        <v>5</v>
      </c>
      <c r="AK125" s="440">
        <f t="shared" si="341"/>
        <v>0.45071972834694107</v>
      </c>
      <c r="AL125" s="2"/>
      <c r="AM125" s="433"/>
      <c r="AN125" s="436"/>
      <c r="AO125" s="436"/>
      <c r="AP125" s="436"/>
      <c r="AQ125" s="436"/>
      <c r="AR125" s="436"/>
      <c r="AS125" s="436"/>
      <c r="AT125" s="2"/>
      <c r="AU125" s="2"/>
      <c r="AV125" s="2"/>
      <c r="AW125" s="433"/>
      <c r="AX125" s="2"/>
      <c r="AY125" s="2"/>
      <c r="AZ125" s="433"/>
      <c r="BA125" s="2"/>
      <c r="BB125" s="2"/>
      <c r="BC125" s="2"/>
      <c r="BD125" s="2"/>
      <c r="BE125" s="2"/>
      <c r="BF125" s="433"/>
      <c r="BG125" s="2"/>
      <c r="BH125" s="2"/>
      <c r="BI125" s="2">
        <f>ROUND(+E125*AK125*J125/365,0)</f>
        <v>1244</v>
      </c>
      <c r="BJ125" s="2">
        <f>+E125-BI125</f>
        <v>13356</v>
      </c>
      <c r="BK125" s="395">
        <f>ROUND(+BJ125*$AK125,0)</f>
        <v>6020</v>
      </c>
      <c r="BL125" s="2">
        <f t="shared" si="251"/>
        <v>7336</v>
      </c>
      <c r="BM125" s="2"/>
      <c r="BN125" s="2">
        <f t="shared" si="221"/>
        <v>7336</v>
      </c>
      <c r="BO125" s="2">
        <f t="shared" si="342"/>
        <v>3306</v>
      </c>
      <c r="BP125" s="149">
        <f t="shared" si="222"/>
        <v>4030</v>
      </c>
      <c r="BQ125" s="149"/>
      <c r="BR125" s="2">
        <f t="shared" si="223"/>
        <v>4030</v>
      </c>
      <c r="BS125" s="624">
        <f t="shared" si="343"/>
        <v>1816</v>
      </c>
      <c r="BT125" s="2">
        <f t="shared" si="344"/>
        <v>2214</v>
      </c>
      <c r="BU125" s="2">
        <f t="shared" si="345"/>
        <v>998</v>
      </c>
      <c r="BV125" s="2">
        <f t="shared" si="224"/>
        <v>1216</v>
      </c>
      <c r="BW125" s="317">
        <f>+(1-($E125*5%)/BV125)*BV125</f>
        <v>486.00000000000006</v>
      </c>
      <c r="BX125" s="2">
        <f t="shared" si="305"/>
        <v>730</v>
      </c>
      <c r="BY125" s="2">
        <v>0</v>
      </c>
      <c r="BZ125" s="2">
        <f t="shared" si="252"/>
        <v>730</v>
      </c>
      <c r="CA125" s="2">
        <v>0</v>
      </c>
      <c r="CB125" s="2">
        <f t="shared" si="253"/>
        <v>730</v>
      </c>
      <c r="CC125" s="2">
        <v>0</v>
      </c>
      <c r="CD125" s="2">
        <f t="shared" si="254"/>
        <v>730</v>
      </c>
      <c r="CE125" s="2">
        <v>0</v>
      </c>
      <c r="CF125" s="2">
        <f t="shared" si="255"/>
        <v>730</v>
      </c>
      <c r="CG125" s="2">
        <v>0</v>
      </c>
      <c r="CH125" s="2">
        <f t="shared" si="256"/>
        <v>730</v>
      </c>
      <c r="CI125" s="2">
        <v>0</v>
      </c>
      <c r="CJ125" s="2">
        <f t="shared" si="257"/>
        <v>730</v>
      </c>
      <c r="CK125" s="2">
        <v>0</v>
      </c>
      <c r="CL125" s="2">
        <f t="shared" si="258"/>
        <v>730</v>
      </c>
      <c r="CM125" s="2">
        <v>0</v>
      </c>
      <c r="CN125" s="2">
        <f t="shared" si="259"/>
        <v>730</v>
      </c>
      <c r="CO125" s="2">
        <v>0</v>
      </c>
      <c r="CP125" s="2">
        <f t="shared" si="260"/>
        <v>730</v>
      </c>
      <c r="CQ125" s="2">
        <v>0</v>
      </c>
      <c r="CR125" s="2">
        <f t="shared" si="261"/>
        <v>730</v>
      </c>
      <c r="CS125" s="2">
        <v>0</v>
      </c>
      <c r="CT125" s="2">
        <f t="shared" si="262"/>
        <v>730</v>
      </c>
      <c r="CU125" s="2">
        <v>0</v>
      </c>
      <c r="CV125" s="2">
        <f t="shared" si="263"/>
        <v>730</v>
      </c>
      <c r="CW125" s="2">
        <v>0</v>
      </c>
      <c r="CX125" s="2">
        <f t="shared" si="264"/>
        <v>730</v>
      </c>
      <c r="CY125" s="2">
        <v>0</v>
      </c>
      <c r="CZ125" s="2">
        <f t="shared" si="265"/>
        <v>730</v>
      </c>
      <c r="DA125" s="2">
        <v>0</v>
      </c>
      <c r="DB125" s="2">
        <f t="shared" si="266"/>
        <v>730</v>
      </c>
      <c r="DC125" s="2">
        <v>0</v>
      </c>
      <c r="DD125" s="2">
        <f t="shared" si="267"/>
        <v>730</v>
      </c>
      <c r="DE125" s="2">
        <v>0</v>
      </c>
      <c r="DF125" s="2">
        <f t="shared" si="268"/>
        <v>730</v>
      </c>
      <c r="DG125" s="2">
        <v>0</v>
      </c>
      <c r="DH125" s="2">
        <f t="shared" si="269"/>
        <v>730</v>
      </c>
      <c r="DI125" s="2">
        <v>0</v>
      </c>
      <c r="DJ125" s="2">
        <f t="shared" si="270"/>
        <v>730</v>
      </c>
      <c r="DK125" s="2">
        <v>0</v>
      </c>
      <c r="DL125" s="2">
        <f t="shared" si="271"/>
        <v>730</v>
      </c>
      <c r="DM125" s="2">
        <v>0</v>
      </c>
      <c r="DN125" s="2">
        <f t="shared" si="272"/>
        <v>730</v>
      </c>
      <c r="DO125" s="2">
        <v>0</v>
      </c>
      <c r="DP125" s="2">
        <f t="shared" si="273"/>
        <v>730</v>
      </c>
      <c r="DQ125" s="2">
        <v>0</v>
      </c>
      <c r="DR125" s="2">
        <f t="shared" si="274"/>
        <v>730</v>
      </c>
      <c r="DS125" s="2">
        <v>0</v>
      </c>
      <c r="DT125" s="2">
        <f t="shared" si="275"/>
        <v>730</v>
      </c>
      <c r="DU125" s="2">
        <v>0</v>
      </c>
      <c r="DV125" s="2">
        <f>+DT125-DU125</f>
        <v>730</v>
      </c>
      <c r="DW125" s="266">
        <f t="shared" si="346"/>
        <v>730</v>
      </c>
      <c r="DX125" s="441">
        <f>+DT125-DW125</f>
        <v>0</v>
      </c>
    </row>
    <row r="126" spans="1:128">
      <c r="A126" s="434">
        <v>27</v>
      </c>
      <c r="C126" s="471" t="s">
        <v>173</v>
      </c>
      <c r="D126" s="472"/>
      <c r="E126" s="442">
        <v>33000</v>
      </c>
      <c r="F126" s="470" t="s">
        <v>1080</v>
      </c>
      <c r="G126" s="438">
        <v>43656</v>
      </c>
      <c r="H126" s="438">
        <f t="shared" si="339"/>
        <v>45482</v>
      </c>
      <c r="I126" s="267">
        <v>5</v>
      </c>
      <c r="J126" s="267">
        <f>IF(($BK$6-$G126+1)&gt;365,365,($BK$6-$G126+1))</f>
        <v>266</v>
      </c>
      <c r="K126" s="267">
        <f t="shared" si="340"/>
        <v>99</v>
      </c>
      <c r="L126" s="438"/>
      <c r="M126" s="433"/>
      <c r="N126" s="433"/>
      <c r="O126" s="433"/>
      <c r="P126" s="433"/>
      <c r="Q126" s="433"/>
      <c r="R126" s="433"/>
      <c r="S126" s="433"/>
      <c r="T126" s="433"/>
      <c r="U126" s="433"/>
      <c r="V126" s="433"/>
      <c r="W126" s="436"/>
      <c r="X126" s="436"/>
      <c r="Y126" s="433"/>
      <c r="Z126" s="436"/>
      <c r="AA126" s="436"/>
      <c r="AB126" s="433"/>
      <c r="AC126" s="436"/>
      <c r="AD126" s="436"/>
      <c r="AE126" s="436"/>
      <c r="AF126" s="436"/>
      <c r="AG126" s="436"/>
      <c r="AH126" s="436"/>
      <c r="AI126" s="439">
        <v>5</v>
      </c>
      <c r="AJ126" s="439">
        <v>5</v>
      </c>
      <c r="AK126" s="440">
        <f t="shared" si="341"/>
        <v>0.45071972834694107</v>
      </c>
      <c r="AL126" s="2"/>
      <c r="AM126" s="433"/>
      <c r="AN126" s="436"/>
      <c r="AO126" s="436"/>
      <c r="AP126" s="436"/>
      <c r="AQ126" s="436"/>
      <c r="AR126" s="436"/>
      <c r="AS126" s="436"/>
      <c r="AT126" s="2"/>
      <c r="AU126" s="2"/>
      <c r="AV126" s="2"/>
      <c r="AW126" s="433"/>
      <c r="AX126" s="2"/>
      <c r="AY126" s="2"/>
      <c r="AZ126" s="433"/>
      <c r="BA126" s="2"/>
      <c r="BB126" s="2"/>
      <c r="BC126" s="2"/>
      <c r="BD126" s="433"/>
      <c r="BE126" s="439"/>
      <c r="BF126" s="433"/>
      <c r="BG126" s="2"/>
      <c r="BH126" s="2"/>
      <c r="BI126" s="2"/>
      <c r="BJ126" s="2"/>
      <c r="BK126" s="395">
        <f>+ROUND((E126*J126*AK126)/365,0)</f>
        <v>10840</v>
      </c>
      <c r="BL126" s="2">
        <f>+E126-BK126</f>
        <v>22160</v>
      </c>
      <c r="BM126" s="2"/>
      <c r="BN126" s="2">
        <f t="shared" si="221"/>
        <v>22160</v>
      </c>
      <c r="BO126" s="2">
        <f t="shared" si="342"/>
        <v>9988</v>
      </c>
      <c r="BP126" s="149">
        <f t="shared" si="222"/>
        <v>12172</v>
      </c>
      <c r="BQ126" s="149"/>
      <c r="BR126" s="2">
        <f t="shared" si="223"/>
        <v>12172</v>
      </c>
      <c r="BS126" s="624">
        <f t="shared" si="343"/>
        <v>5486</v>
      </c>
      <c r="BT126" s="2">
        <f t="shared" si="344"/>
        <v>6686</v>
      </c>
      <c r="BU126" s="2">
        <f t="shared" si="345"/>
        <v>3014</v>
      </c>
      <c r="BV126" s="2">
        <f t="shared" si="224"/>
        <v>3672</v>
      </c>
      <c r="BW126" s="2">
        <f>ROUND(+BV126*$AK126,0)</f>
        <v>1655</v>
      </c>
      <c r="BX126" s="2">
        <f t="shared" si="305"/>
        <v>2017</v>
      </c>
      <c r="BY126" s="2">
        <f>+BX126-BZ126</f>
        <v>367</v>
      </c>
      <c r="BZ126" s="2">
        <f>+E126*5%</f>
        <v>1650</v>
      </c>
      <c r="CA126" s="2">
        <v>0</v>
      </c>
      <c r="CB126" s="2">
        <f t="shared" si="253"/>
        <v>1650</v>
      </c>
      <c r="CC126" s="2">
        <v>0</v>
      </c>
      <c r="CD126" s="2">
        <f t="shared" si="254"/>
        <v>1650</v>
      </c>
      <c r="CE126" s="2">
        <v>0</v>
      </c>
      <c r="CF126" s="2">
        <f t="shared" si="255"/>
        <v>1650</v>
      </c>
      <c r="CG126" s="2">
        <v>0</v>
      </c>
      <c r="CH126" s="2">
        <f t="shared" si="256"/>
        <v>1650</v>
      </c>
      <c r="CI126" s="2">
        <v>0</v>
      </c>
      <c r="CJ126" s="2">
        <f t="shared" si="257"/>
        <v>1650</v>
      </c>
      <c r="CK126" s="2">
        <v>0</v>
      </c>
      <c r="CL126" s="2">
        <f t="shared" si="258"/>
        <v>1650</v>
      </c>
      <c r="CM126" s="2">
        <v>0</v>
      </c>
      <c r="CN126" s="2">
        <f t="shared" si="259"/>
        <v>1650</v>
      </c>
      <c r="CO126" s="2">
        <v>0</v>
      </c>
      <c r="CP126" s="2">
        <f t="shared" si="260"/>
        <v>1650</v>
      </c>
      <c r="CQ126" s="2">
        <v>0</v>
      </c>
      <c r="CR126" s="2">
        <f t="shared" si="261"/>
        <v>1650</v>
      </c>
      <c r="CS126" s="2">
        <v>0</v>
      </c>
      <c r="CT126" s="2">
        <f t="shared" si="262"/>
        <v>1650</v>
      </c>
      <c r="CU126" s="2">
        <v>0</v>
      </c>
      <c r="CV126" s="2">
        <f t="shared" si="263"/>
        <v>1650</v>
      </c>
      <c r="CW126" s="2">
        <v>0</v>
      </c>
      <c r="CX126" s="2">
        <f t="shared" si="264"/>
        <v>1650</v>
      </c>
      <c r="CY126" s="2">
        <v>0</v>
      </c>
      <c r="CZ126" s="2">
        <f t="shared" si="265"/>
        <v>1650</v>
      </c>
      <c r="DA126" s="2">
        <v>0</v>
      </c>
      <c r="DB126" s="2">
        <f t="shared" si="266"/>
        <v>1650</v>
      </c>
      <c r="DC126" s="2">
        <v>0</v>
      </c>
      <c r="DD126" s="2">
        <f t="shared" si="267"/>
        <v>1650</v>
      </c>
      <c r="DE126" s="2">
        <v>0</v>
      </c>
      <c r="DF126" s="2">
        <f t="shared" si="268"/>
        <v>1650</v>
      </c>
      <c r="DG126" s="2">
        <v>0</v>
      </c>
      <c r="DH126" s="2">
        <f t="shared" si="269"/>
        <v>1650</v>
      </c>
      <c r="DI126" s="2">
        <v>0</v>
      </c>
      <c r="DJ126" s="2">
        <f t="shared" si="270"/>
        <v>1650</v>
      </c>
      <c r="DK126" s="2">
        <v>0</v>
      </c>
      <c r="DL126" s="2">
        <f t="shared" si="271"/>
        <v>1650</v>
      </c>
      <c r="DM126" s="2">
        <v>0</v>
      </c>
      <c r="DN126" s="2">
        <f t="shared" si="272"/>
        <v>1650</v>
      </c>
      <c r="DO126" s="2">
        <v>0</v>
      </c>
      <c r="DP126" s="2">
        <f t="shared" si="273"/>
        <v>1650</v>
      </c>
      <c r="DQ126" s="2">
        <v>0</v>
      </c>
      <c r="DR126" s="2">
        <f t="shared" si="274"/>
        <v>1650</v>
      </c>
      <c r="DS126" s="2">
        <v>0</v>
      </c>
      <c r="DT126" s="2">
        <f t="shared" si="275"/>
        <v>1650</v>
      </c>
      <c r="DU126" s="2">
        <v>0</v>
      </c>
      <c r="DV126" s="2">
        <f>+DT126-DU126</f>
        <v>1650</v>
      </c>
      <c r="DW126" s="266">
        <f t="shared" si="346"/>
        <v>1650</v>
      </c>
      <c r="DX126" s="441">
        <f>+DT126-DW126</f>
        <v>0</v>
      </c>
    </row>
    <row r="127" spans="1:128">
      <c r="A127" s="434">
        <v>28</v>
      </c>
      <c r="C127" s="471" t="s">
        <v>173</v>
      </c>
      <c r="D127" s="472"/>
      <c r="E127" s="442">
        <v>206741</v>
      </c>
      <c r="F127" s="470" t="s">
        <v>1080</v>
      </c>
      <c r="G127" s="438">
        <v>43833</v>
      </c>
      <c r="H127" s="438">
        <f t="shared" si="339"/>
        <v>45659</v>
      </c>
      <c r="I127" s="267">
        <v>5</v>
      </c>
      <c r="J127" s="267">
        <f>IF(($BK$6-$G127+1)&gt;365,365,($BK$6-$G127+1))</f>
        <v>89</v>
      </c>
      <c r="K127" s="267">
        <f t="shared" si="340"/>
        <v>276</v>
      </c>
      <c r="L127" s="438"/>
      <c r="M127" s="433"/>
      <c r="N127" s="433"/>
      <c r="O127" s="433"/>
      <c r="P127" s="433"/>
      <c r="Q127" s="433"/>
      <c r="R127" s="433"/>
      <c r="S127" s="433"/>
      <c r="T127" s="433"/>
      <c r="U127" s="433"/>
      <c r="V127" s="433"/>
      <c r="W127" s="436"/>
      <c r="X127" s="436"/>
      <c r="Y127" s="433"/>
      <c r="Z127" s="436"/>
      <c r="AA127" s="436"/>
      <c r="AB127" s="433"/>
      <c r="AC127" s="436"/>
      <c r="AD127" s="436"/>
      <c r="AE127" s="436"/>
      <c r="AF127" s="436"/>
      <c r="AG127" s="436"/>
      <c r="AH127" s="436"/>
      <c r="AI127" s="439">
        <v>5</v>
      </c>
      <c r="AJ127" s="439">
        <v>5</v>
      </c>
      <c r="AK127" s="440">
        <f t="shared" si="341"/>
        <v>0.45071972834694107</v>
      </c>
      <c r="AL127" s="2"/>
      <c r="AM127" s="433"/>
      <c r="AN127" s="436"/>
      <c r="AO127" s="436"/>
      <c r="AP127" s="436"/>
      <c r="AQ127" s="436"/>
      <c r="AR127" s="436"/>
      <c r="AS127" s="436"/>
      <c r="AT127" s="2"/>
      <c r="AU127" s="2"/>
      <c r="AV127" s="2"/>
      <c r="AW127" s="433"/>
      <c r="AX127" s="2"/>
      <c r="AY127" s="2"/>
      <c r="AZ127" s="433"/>
      <c r="BA127" s="2"/>
      <c r="BB127" s="2"/>
      <c r="BC127" s="2"/>
      <c r="BD127" s="433"/>
      <c r="BE127" s="439"/>
      <c r="BF127" s="433"/>
      <c r="BG127" s="2"/>
      <c r="BH127" s="2"/>
      <c r="BI127" s="2"/>
      <c r="BJ127" s="2"/>
      <c r="BK127" s="395">
        <f>+ROUND((E127*J127*AK127)/365,0)</f>
        <v>22721</v>
      </c>
      <c r="BL127" s="2">
        <f>+E127-BK127</f>
        <v>184020</v>
      </c>
      <c r="BM127" s="2"/>
      <c r="BN127" s="2">
        <f t="shared" si="221"/>
        <v>184020</v>
      </c>
      <c r="BO127" s="2">
        <f t="shared" si="342"/>
        <v>82941</v>
      </c>
      <c r="BP127" s="149">
        <f t="shared" si="222"/>
        <v>101079</v>
      </c>
      <c r="BQ127" s="149"/>
      <c r="BR127" s="2">
        <f t="shared" si="223"/>
        <v>101079</v>
      </c>
      <c r="BS127" s="624">
        <f t="shared" si="343"/>
        <v>45558</v>
      </c>
      <c r="BT127" s="2">
        <f t="shared" si="344"/>
        <v>55521</v>
      </c>
      <c r="BU127" s="2">
        <f t="shared" si="345"/>
        <v>25024</v>
      </c>
      <c r="BV127" s="2">
        <f t="shared" si="224"/>
        <v>30497</v>
      </c>
      <c r="BW127" s="2">
        <f>ROUND(+BV127*$AK127,0)</f>
        <v>13746</v>
      </c>
      <c r="BX127" s="2">
        <f t="shared" si="305"/>
        <v>16751</v>
      </c>
      <c r="BY127" s="2">
        <f>+BX127-BZ127</f>
        <v>6413.9499999999989</v>
      </c>
      <c r="BZ127" s="2">
        <f>+E127*5%</f>
        <v>10337.050000000001</v>
      </c>
      <c r="CA127" s="2">
        <v>0</v>
      </c>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66">
        <f t="shared" si="346"/>
        <v>10337.050000000001</v>
      </c>
      <c r="DX127" s="441"/>
    </row>
    <row r="128" spans="1:128">
      <c r="A128" s="434">
        <v>29</v>
      </c>
      <c r="C128" s="471" t="s">
        <v>173</v>
      </c>
      <c r="D128" s="472"/>
      <c r="E128" s="442">
        <v>147690</v>
      </c>
      <c r="F128" s="470" t="s">
        <v>1080</v>
      </c>
      <c r="G128" s="438">
        <v>43833</v>
      </c>
      <c r="H128" s="438">
        <f t="shared" si="339"/>
        <v>45659</v>
      </c>
      <c r="I128" s="267">
        <v>5</v>
      </c>
      <c r="J128" s="267">
        <f>IF(($BK$6-$G128+1)&gt;365,365,($BK$6-$G128+1))</f>
        <v>89</v>
      </c>
      <c r="K128" s="267">
        <f t="shared" si="340"/>
        <v>276</v>
      </c>
      <c r="L128" s="438"/>
      <c r="M128" s="433"/>
      <c r="N128" s="433"/>
      <c r="O128" s="433"/>
      <c r="P128" s="433"/>
      <c r="Q128" s="433"/>
      <c r="R128" s="433"/>
      <c r="S128" s="433"/>
      <c r="T128" s="433"/>
      <c r="U128" s="433"/>
      <c r="V128" s="433"/>
      <c r="W128" s="436"/>
      <c r="X128" s="436"/>
      <c r="Y128" s="433"/>
      <c r="Z128" s="436"/>
      <c r="AA128" s="436"/>
      <c r="AB128" s="433"/>
      <c r="AC128" s="436"/>
      <c r="AD128" s="436"/>
      <c r="AE128" s="436"/>
      <c r="AF128" s="436"/>
      <c r="AG128" s="436"/>
      <c r="AH128" s="436"/>
      <c r="AI128" s="439">
        <v>5</v>
      </c>
      <c r="AJ128" s="439">
        <v>5</v>
      </c>
      <c r="AK128" s="440">
        <f t="shared" si="341"/>
        <v>0.45071972834694107</v>
      </c>
      <c r="AL128" s="2"/>
      <c r="AM128" s="433"/>
      <c r="AN128" s="436"/>
      <c r="AO128" s="436"/>
      <c r="AP128" s="436"/>
      <c r="AQ128" s="436"/>
      <c r="AR128" s="436"/>
      <c r="AS128" s="436"/>
      <c r="AT128" s="2"/>
      <c r="AU128" s="2"/>
      <c r="AV128" s="2"/>
      <c r="AW128" s="433"/>
      <c r="AX128" s="2"/>
      <c r="AY128" s="2"/>
      <c r="AZ128" s="433"/>
      <c r="BA128" s="2"/>
      <c r="BB128" s="2"/>
      <c r="BC128" s="2"/>
      <c r="BD128" s="433"/>
      <c r="BE128" s="439"/>
      <c r="BF128" s="433"/>
      <c r="BG128" s="2"/>
      <c r="BH128" s="2"/>
      <c r="BI128" s="2"/>
      <c r="BJ128" s="2"/>
      <c r="BK128" s="395">
        <f>+ROUND((E128*J128*AK128)/365,0)</f>
        <v>16231</v>
      </c>
      <c r="BL128" s="2">
        <f>+E128-BK128</f>
        <v>131459</v>
      </c>
      <c r="BM128" s="2"/>
      <c r="BN128" s="2">
        <f t="shared" si="221"/>
        <v>131459</v>
      </c>
      <c r="BO128" s="2">
        <f t="shared" si="342"/>
        <v>59251</v>
      </c>
      <c r="BP128" s="149">
        <f t="shared" si="222"/>
        <v>72208</v>
      </c>
      <c r="BQ128" s="149"/>
      <c r="BR128" s="2">
        <f t="shared" si="223"/>
        <v>72208</v>
      </c>
      <c r="BS128" s="624">
        <f t="shared" si="343"/>
        <v>32546</v>
      </c>
      <c r="BT128" s="2">
        <f t="shared" si="344"/>
        <v>39662</v>
      </c>
      <c r="BU128" s="2">
        <f t="shared" si="345"/>
        <v>17876</v>
      </c>
      <c r="BV128" s="2">
        <f t="shared" si="224"/>
        <v>21786</v>
      </c>
      <c r="BW128" s="2">
        <f>ROUND(+BV128*$AK128,0)</f>
        <v>9819</v>
      </c>
      <c r="BX128" s="2">
        <f t="shared" si="305"/>
        <v>11967</v>
      </c>
      <c r="BY128" s="2">
        <f>+BX128-BZ128</f>
        <v>4582.5</v>
      </c>
      <c r="BZ128" s="2">
        <f>+E128*5%</f>
        <v>7384.5</v>
      </c>
      <c r="CA128" s="2">
        <v>0</v>
      </c>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66">
        <f t="shared" si="346"/>
        <v>7384.5</v>
      </c>
      <c r="DX128" s="441"/>
    </row>
    <row r="129" spans="1:128">
      <c r="A129" s="434">
        <v>30</v>
      </c>
      <c r="C129" s="471" t="s">
        <v>173</v>
      </c>
      <c r="D129" s="472"/>
      <c r="E129" s="442">
        <v>31249.22</v>
      </c>
      <c r="F129" s="470" t="s">
        <v>1188</v>
      </c>
      <c r="G129" s="438">
        <v>44212</v>
      </c>
      <c r="H129" s="438">
        <f t="shared" si="339"/>
        <v>46037</v>
      </c>
      <c r="I129" s="267">
        <v>5</v>
      </c>
      <c r="J129" s="267">
        <f>IF(($BO$6-$G129+1)&gt;365,365,($BO$6-$G129+1))</f>
        <v>75</v>
      </c>
      <c r="K129" s="267">
        <f t="shared" si="340"/>
        <v>290</v>
      </c>
      <c r="L129" s="438"/>
      <c r="M129" s="433"/>
      <c r="N129" s="433"/>
      <c r="O129" s="433"/>
      <c r="P129" s="433"/>
      <c r="Q129" s="433"/>
      <c r="R129" s="433"/>
      <c r="S129" s="433"/>
      <c r="T129" s="433"/>
      <c r="U129" s="433"/>
      <c r="V129" s="433"/>
      <c r="W129" s="436"/>
      <c r="X129" s="436"/>
      <c r="Y129" s="433"/>
      <c r="Z129" s="436"/>
      <c r="AA129" s="436"/>
      <c r="AB129" s="433"/>
      <c r="AC129" s="436"/>
      <c r="AD129" s="436"/>
      <c r="AE129" s="436"/>
      <c r="AF129" s="436"/>
      <c r="AG129" s="436"/>
      <c r="AH129" s="436"/>
      <c r="AI129" s="439"/>
      <c r="AJ129" s="439"/>
      <c r="AK129" s="440">
        <f t="shared" si="341"/>
        <v>0.45071972834694107</v>
      </c>
      <c r="AL129" s="2"/>
      <c r="AM129" s="433"/>
      <c r="AN129" s="436"/>
      <c r="AO129" s="436"/>
      <c r="AP129" s="436"/>
      <c r="AQ129" s="436"/>
      <c r="AR129" s="436"/>
      <c r="AS129" s="436"/>
      <c r="AT129" s="2"/>
      <c r="AU129" s="2"/>
      <c r="AV129" s="2"/>
      <c r="AW129" s="433"/>
      <c r="AX129" s="2"/>
      <c r="AY129" s="2"/>
      <c r="AZ129" s="433"/>
      <c r="BA129" s="2"/>
      <c r="BB129" s="2"/>
      <c r="BC129" s="2"/>
      <c r="BD129" s="433"/>
      <c r="BE129" s="439"/>
      <c r="BF129" s="433"/>
      <c r="BG129" s="2"/>
      <c r="BH129" s="2"/>
      <c r="BI129" s="2"/>
      <c r="BJ129" s="2"/>
      <c r="BK129" s="395"/>
      <c r="BL129" s="2"/>
      <c r="BM129" s="2"/>
      <c r="BN129" s="2">
        <f t="shared" si="221"/>
        <v>0</v>
      </c>
      <c r="BO129" s="2">
        <f>E129*J129*AK129/365</f>
        <v>2894.1040992028356</v>
      </c>
      <c r="BP129" s="149">
        <f>E129-BO129</f>
        <v>28355.115900797166</v>
      </c>
      <c r="BQ129" s="149"/>
      <c r="BR129" s="2">
        <f t="shared" si="223"/>
        <v>28355.115900797166</v>
      </c>
      <c r="BS129" s="624">
        <f t="shared" si="343"/>
        <v>12780</v>
      </c>
      <c r="BT129" s="2">
        <f t="shared" si="344"/>
        <v>15575.115900797166</v>
      </c>
      <c r="BU129" s="2">
        <f t="shared" si="345"/>
        <v>7020</v>
      </c>
      <c r="BV129" s="2">
        <f t="shared" si="224"/>
        <v>8555.1159007971655</v>
      </c>
      <c r="BW129" s="2">
        <f>ROUND(+BV129*$AK129,0)</f>
        <v>3856</v>
      </c>
      <c r="BX129" s="2">
        <f t="shared" si="305"/>
        <v>4699.1159007971655</v>
      </c>
      <c r="BY129" s="2">
        <f>ROUND(+BX129*$AK129,0)</f>
        <v>2118</v>
      </c>
      <c r="BZ129" s="2">
        <f>+BX129-BY129</f>
        <v>2581.1159007971655</v>
      </c>
      <c r="CA129" s="2">
        <f>BZ129-DW129</f>
        <v>1018.6549007971653</v>
      </c>
      <c r="CB129" s="2">
        <f>BZ129-CA129</f>
        <v>1562.4610000000002</v>
      </c>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66">
        <f t="shared" si="346"/>
        <v>1562.4610000000002</v>
      </c>
      <c r="DX129" s="441"/>
    </row>
    <row r="130" spans="1:128">
      <c r="A130" s="434">
        <v>31</v>
      </c>
      <c r="B130" s="13" t="s">
        <v>1382</v>
      </c>
      <c r="C130" s="471" t="s">
        <v>173</v>
      </c>
      <c r="D130" s="472"/>
      <c r="E130" s="442">
        <v>74067.8</v>
      </c>
      <c r="F130" s="470" t="s">
        <v>1392</v>
      </c>
      <c r="G130" s="438">
        <v>44468</v>
      </c>
      <c r="H130" s="438">
        <v>44468</v>
      </c>
      <c r="I130" s="267">
        <v>5</v>
      </c>
      <c r="J130" s="267">
        <f>IF(($BS$6-$G130+1)&gt;365,365,($BS$6-$G130+1))</f>
        <v>184</v>
      </c>
      <c r="K130" s="267"/>
      <c r="L130" s="438"/>
      <c r="M130" s="433"/>
      <c r="N130" s="433"/>
      <c r="O130" s="433"/>
      <c r="P130" s="433"/>
      <c r="Q130" s="433"/>
      <c r="R130" s="433"/>
      <c r="S130" s="433"/>
      <c r="T130" s="433"/>
      <c r="U130" s="433"/>
      <c r="V130" s="433"/>
      <c r="W130" s="436"/>
      <c r="X130" s="436"/>
      <c r="Y130" s="433"/>
      <c r="Z130" s="436"/>
      <c r="AA130" s="436"/>
      <c r="AB130" s="433"/>
      <c r="AC130" s="436"/>
      <c r="AD130" s="436"/>
      <c r="AE130" s="436"/>
      <c r="AF130" s="436"/>
      <c r="AG130" s="436"/>
      <c r="AH130" s="436"/>
      <c r="AI130" s="439"/>
      <c r="AJ130" s="439"/>
      <c r="AK130" s="440">
        <f t="shared" si="341"/>
        <v>0.45071972834694107</v>
      </c>
      <c r="AL130" s="2"/>
      <c r="AM130" s="433"/>
      <c r="AN130" s="436"/>
      <c r="AO130" s="436"/>
      <c r="AP130" s="436"/>
      <c r="AQ130" s="436"/>
      <c r="AR130" s="436"/>
      <c r="AS130" s="436"/>
      <c r="AT130" s="2"/>
      <c r="AU130" s="2"/>
      <c r="AV130" s="2"/>
      <c r="AW130" s="433"/>
      <c r="AX130" s="2"/>
      <c r="AY130" s="2"/>
      <c r="AZ130" s="433"/>
      <c r="BA130" s="2"/>
      <c r="BB130" s="2"/>
      <c r="BC130" s="2"/>
      <c r="BD130" s="433"/>
      <c r="BE130" s="439"/>
      <c r="BF130" s="433"/>
      <c r="BG130" s="2"/>
      <c r="BH130" s="2"/>
      <c r="BI130" s="2"/>
      <c r="BJ130" s="2"/>
      <c r="BK130" s="395"/>
      <c r="BL130" s="2"/>
      <c r="BM130" s="2"/>
      <c r="BN130" s="2"/>
      <c r="BO130" s="2"/>
      <c r="BP130" s="149"/>
      <c r="BQ130" s="149"/>
      <c r="BR130" s="2">
        <f t="shared" si="223"/>
        <v>0</v>
      </c>
      <c r="BS130" s="626">
        <f>E130*J130*AK130/365</f>
        <v>16829.103123087738</v>
      </c>
      <c r="BT130" s="331">
        <f>+E130-BS130</f>
        <v>57238.696876912261</v>
      </c>
      <c r="BU130" s="2">
        <f t="shared" si="345"/>
        <v>25799</v>
      </c>
      <c r="BV130" s="2">
        <f t="shared" si="224"/>
        <v>31439.696876912261</v>
      </c>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66"/>
      <c r="DX130" s="441"/>
    </row>
    <row r="131" spans="1:128">
      <c r="A131" s="434">
        <v>32</v>
      </c>
      <c r="B131" s="256" t="s">
        <v>1390</v>
      </c>
      <c r="C131" s="471" t="s">
        <v>173</v>
      </c>
      <c r="D131" s="472"/>
      <c r="E131" s="442">
        <v>8515.6299999999992</v>
      </c>
      <c r="F131" s="470" t="s">
        <v>1392</v>
      </c>
      <c r="G131" s="438">
        <v>44592</v>
      </c>
      <c r="H131" s="438">
        <v>44592</v>
      </c>
      <c r="I131" s="267">
        <v>5</v>
      </c>
      <c r="J131" s="267">
        <f>IF(($BS$6-$G131+1)&gt;365,365,($BS$6-$G131+1))</f>
        <v>60</v>
      </c>
      <c r="K131" s="267"/>
      <c r="L131" s="438"/>
      <c r="M131" s="433"/>
      <c r="N131" s="433"/>
      <c r="O131" s="433"/>
      <c r="P131" s="433"/>
      <c r="Q131" s="433"/>
      <c r="R131" s="433"/>
      <c r="S131" s="433"/>
      <c r="T131" s="433"/>
      <c r="U131" s="433"/>
      <c r="V131" s="433"/>
      <c r="W131" s="436"/>
      <c r="X131" s="436"/>
      <c r="Y131" s="433"/>
      <c r="Z131" s="436"/>
      <c r="AA131" s="436"/>
      <c r="AB131" s="433"/>
      <c r="AC131" s="436"/>
      <c r="AD131" s="436"/>
      <c r="AE131" s="436"/>
      <c r="AF131" s="436"/>
      <c r="AG131" s="436"/>
      <c r="AH131" s="436"/>
      <c r="AI131" s="439"/>
      <c r="AJ131" s="439"/>
      <c r="AK131" s="440">
        <f t="shared" si="341"/>
        <v>0.45071972834694107</v>
      </c>
      <c r="AL131" s="2"/>
      <c r="AM131" s="433"/>
      <c r="AN131" s="436"/>
      <c r="AO131" s="436"/>
      <c r="AP131" s="436"/>
      <c r="AQ131" s="436"/>
      <c r="AR131" s="436"/>
      <c r="AS131" s="436"/>
      <c r="AT131" s="2"/>
      <c r="AU131" s="2"/>
      <c r="AV131" s="2"/>
      <c r="AW131" s="433"/>
      <c r="AX131" s="2"/>
      <c r="AY131" s="2"/>
      <c r="AZ131" s="433"/>
      <c r="BA131" s="2"/>
      <c r="BB131" s="2"/>
      <c r="BC131" s="2"/>
      <c r="BD131" s="433"/>
      <c r="BE131" s="439"/>
      <c r="BF131" s="433"/>
      <c r="BG131" s="2"/>
      <c r="BH131" s="2"/>
      <c r="BI131" s="2"/>
      <c r="BJ131" s="2"/>
      <c r="BK131" s="395"/>
      <c r="BL131" s="2"/>
      <c r="BM131" s="2"/>
      <c r="BN131" s="2"/>
      <c r="BO131" s="2"/>
      <c r="BP131" s="149"/>
      <c r="BQ131" s="149"/>
      <c r="BR131" s="2">
        <f t="shared" si="223"/>
        <v>0</v>
      </c>
      <c r="BS131" s="626">
        <f>E131*J131*AK131/365</f>
        <v>630.93081210461276</v>
      </c>
      <c r="BT131" s="331">
        <f>+E131-BS131</f>
        <v>7884.6991878953868</v>
      </c>
      <c r="BU131" s="2">
        <f t="shared" si="345"/>
        <v>3554</v>
      </c>
      <c r="BV131" s="2">
        <f t="shared" si="224"/>
        <v>4330.6991878953868</v>
      </c>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66"/>
      <c r="DX131" s="441"/>
    </row>
    <row r="132" spans="1:128">
      <c r="A132" s="434"/>
      <c r="C132" s="471"/>
      <c r="D132" s="472"/>
      <c r="E132" s="442"/>
      <c r="F132" s="470"/>
      <c r="G132" s="438"/>
      <c r="H132" s="438"/>
      <c r="I132" s="267"/>
      <c r="J132" s="267"/>
      <c r="K132" s="267"/>
      <c r="L132" s="438"/>
      <c r="M132" s="433"/>
      <c r="N132" s="433"/>
      <c r="O132" s="433"/>
      <c r="P132" s="433"/>
      <c r="Q132" s="433"/>
      <c r="R132" s="433"/>
      <c r="S132" s="433"/>
      <c r="T132" s="433"/>
      <c r="U132" s="433"/>
      <c r="V132" s="433"/>
      <c r="W132" s="436"/>
      <c r="X132" s="436"/>
      <c r="Y132" s="433"/>
      <c r="Z132" s="436"/>
      <c r="AA132" s="436"/>
      <c r="AB132" s="433"/>
      <c r="AC132" s="436"/>
      <c r="AD132" s="436"/>
      <c r="AE132" s="436"/>
      <c r="AF132" s="436"/>
      <c r="AG132" s="436"/>
      <c r="AH132" s="436"/>
      <c r="AI132" s="439"/>
      <c r="AJ132" s="439"/>
      <c r="AK132" s="440"/>
      <c r="AL132" s="2"/>
      <c r="AM132" s="433"/>
      <c r="AN132" s="436"/>
      <c r="AO132" s="436"/>
      <c r="AP132" s="436"/>
      <c r="AQ132" s="436"/>
      <c r="AR132" s="436"/>
      <c r="AS132" s="436"/>
      <c r="AT132" s="2"/>
      <c r="AU132" s="2"/>
      <c r="AV132" s="2"/>
      <c r="AW132" s="433"/>
      <c r="AX132" s="2"/>
      <c r="AY132" s="2"/>
      <c r="AZ132" s="433"/>
      <c r="BA132" s="2"/>
      <c r="BB132" s="2"/>
      <c r="BC132" s="2"/>
      <c r="BD132" s="433"/>
      <c r="BE132" s="439"/>
      <c r="BF132" s="433"/>
      <c r="BG132" s="2"/>
      <c r="BH132" s="2"/>
      <c r="BI132" s="2"/>
      <c r="BJ132" s="2"/>
      <c r="BK132" s="395"/>
      <c r="BL132" s="2"/>
      <c r="BM132" s="2"/>
      <c r="BN132" s="2">
        <f t="shared" si="221"/>
        <v>0</v>
      </c>
      <c r="BO132" s="2"/>
      <c r="BP132" s="2"/>
      <c r="BQ132" s="2"/>
      <c r="BR132" s="2"/>
      <c r="BS132" s="2"/>
      <c r="BT132" s="2">
        <f>BP132</f>
        <v>0</v>
      </c>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66"/>
      <c r="DX132" s="441"/>
    </row>
    <row r="133" spans="1:128">
      <c r="A133" s="433"/>
      <c r="B133" s="433"/>
      <c r="C133" s="434"/>
      <c r="D133" s="468"/>
      <c r="E133" s="442"/>
      <c r="F133" s="437"/>
      <c r="G133" s="473"/>
      <c r="H133" s="473"/>
      <c r="I133" s="473"/>
      <c r="J133" s="473"/>
      <c r="K133" s="473"/>
      <c r="L133" s="473"/>
      <c r="M133" s="433"/>
      <c r="N133" s="433"/>
      <c r="O133" s="433"/>
      <c r="P133" s="433"/>
      <c r="Q133" s="433"/>
      <c r="R133" s="433"/>
      <c r="S133" s="433"/>
      <c r="T133" s="433"/>
      <c r="U133" s="433"/>
      <c r="V133" s="433"/>
      <c r="W133" s="433"/>
      <c r="X133" s="433"/>
      <c r="Y133" s="433"/>
      <c r="Z133" s="433"/>
      <c r="AA133" s="433"/>
      <c r="AB133" s="433"/>
      <c r="AC133" s="433"/>
      <c r="AD133" s="433"/>
      <c r="AE133" s="433"/>
      <c r="AF133" s="433"/>
      <c r="AG133" s="433"/>
      <c r="AH133" s="6"/>
      <c r="AI133" s="439"/>
      <c r="AJ133" s="436"/>
      <c r="AK133" s="440"/>
      <c r="AL133" s="2"/>
      <c r="AM133" s="2"/>
      <c r="AN133" s="6"/>
      <c r="AO133" s="436"/>
      <c r="AP133" s="433"/>
      <c r="AQ133" s="436"/>
      <c r="AR133" s="433"/>
      <c r="AS133" s="433"/>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66" t="str">
        <f>IF(AJ133&lt;0,AP133/E133,"")</f>
        <v/>
      </c>
    </row>
    <row r="134" spans="1:128">
      <c r="A134" s="474"/>
      <c r="B134" s="474"/>
      <c r="C134" s="475"/>
      <c r="D134" s="474"/>
      <c r="E134" s="446">
        <f>SUM(E97:E133)</f>
        <v>1142011.6499999999</v>
      </c>
      <c r="F134" s="453"/>
      <c r="G134" s="474"/>
      <c r="H134" s="474"/>
      <c r="I134" s="474"/>
      <c r="J134" s="474"/>
      <c r="K134" s="474"/>
      <c r="L134" s="474"/>
      <c r="M134" s="474"/>
      <c r="N134" s="446">
        <f>SUM(N97:N133)</f>
        <v>4762</v>
      </c>
      <c r="O134" s="446">
        <f>SUM(O97:O133)</f>
        <v>45855</v>
      </c>
      <c r="P134" s="474"/>
      <c r="Q134" s="446">
        <f>SUM(Q97:Q133)</f>
        <v>9183</v>
      </c>
      <c r="R134" s="446">
        <f>SUM(R97:R133)</f>
        <v>71872</v>
      </c>
      <c r="S134" s="454"/>
      <c r="T134" s="446">
        <f>SUM(T97:T133)</f>
        <v>18742</v>
      </c>
      <c r="U134" s="446">
        <f>SUM(U97:U133)</f>
        <v>153411</v>
      </c>
      <c r="V134" s="474"/>
      <c r="W134" s="446">
        <f>SUM(W97:W133)</f>
        <v>24727</v>
      </c>
      <c r="X134" s="446">
        <f>SUM(X97:X133)</f>
        <v>153034</v>
      </c>
      <c r="Y134" s="474"/>
      <c r="Z134" s="446">
        <f>SUM(Z97:Z133)</f>
        <v>21289</v>
      </c>
      <c r="AA134" s="446">
        <f>SUM(AA97:AA133)</f>
        <v>131745</v>
      </c>
      <c r="AB134" s="474"/>
      <c r="AC134" s="446">
        <f>SUM(AC97:AC133)</f>
        <v>37145</v>
      </c>
      <c r="AD134" s="446">
        <f>SUM(AD97:AD133)</f>
        <v>234836</v>
      </c>
      <c r="AE134" s="446">
        <f>SUM(AE97:AE133)</f>
        <v>115848</v>
      </c>
      <c r="AF134" s="446">
        <f>SUM(AF97:AF133)</f>
        <v>234836</v>
      </c>
      <c r="AG134" s="454">
        <f>SUM(AG97:AG107)</f>
        <v>0</v>
      </c>
      <c r="AH134" s="454"/>
      <c r="AI134" s="455"/>
      <c r="AJ134" s="474"/>
      <c r="AK134" s="476"/>
      <c r="AL134" s="446">
        <f>SUM(AL97:AL133)</f>
        <v>1231</v>
      </c>
      <c r="AM134" s="454"/>
      <c r="AN134" s="446">
        <f>SUM(AN97:AN133)</f>
        <v>32664</v>
      </c>
      <c r="AO134" s="446">
        <f>SUM(AO97:AO133)</f>
        <v>112214</v>
      </c>
      <c r="AP134" s="446">
        <f>SUM(AP97:AP133)</f>
        <v>121391</v>
      </c>
      <c r="AQ134" s="446">
        <f>SUM(AQ97:AQ133)</f>
        <v>121391</v>
      </c>
      <c r="AR134" s="454">
        <f>SUM(AR97:AR107)</f>
        <v>0</v>
      </c>
      <c r="AS134" s="446">
        <f>SUM(AS97:AS133)</f>
        <v>79550</v>
      </c>
      <c r="AT134" s="446">
        <f>SUM(AT97:AT133)</f>
        <v>202172</v>
      </c>
      <c r="AU134" s="446">
        <f>SUM(AU97:AU133)</f>
        <v>121391</v>
      </c>
      <c r="AV134" s="4"/>
      <c r="AW134" s="4"/>
      <c r="AX134" s="446">
        <f>SUM(AX97:AX133)</f>
        <v>51039.68640958803</v>
      </c>
      <c r="AY134" s="446">
        <f>SUM(AY97:AY133)</f>
        <v>70351.31359041197</v>
      </c>
      <c r="AZ134" s="4"/>
      <c r="BA134" s="454">
        <f>SUM(BA97:BA133)</f>
        <v>30033.750768153794</v>
      </c>
      <c r="BB134" s="454">
        <f>SUM(BB97:BB133)</f>
        <v>40317.562822258187</v>
      </c>
      <c r="BC134" s="4"/>
      <c r="BD134" s="4"/>
      <c r="BE134" s="4"/>
      <c r="BF134" s="4"/>
      <c r="BG134" s="454">
        <f t="shared" ref="BG134:BL134" si="347">SUM(BG97:BG133)</f>
        <v>25377.077245965655</v>
      </c>
      <c r="BH134" s="446">
        <f t="shared" si="347"/>
        <v>164981.48557629259</v>
      </c>
      <c r="BI134" s="446">
        <f t="shared" si="347"/>
        <v>36916.389854326495</v>
      </c>
      <c r="BJ134" s="446">
        <f t="shared" si="347"/>
        <v>240745.095721966</v>
      </c>
      <c r="BK134" s="446">
        <f t="shared" si="347"/>
        <v>116673.9668056626</v>
      </c>
      <c r="BL134" s="446">
        <f t="shared" si="347"/>
        <v>538845.12891630339</v>
      </c>
      <c r="BM134" s="446"/>
      <c r="BN134" s="446"/>
      <c r="BO134" s="446">
        <f t="shared" ref="BO134:CV134" si="348">SUM(BO97:BO133)</f>
        <v>197577.12587921612</v>
      </c>
      <c r="BP134" s="446">
        <f t="shared" si="348"/>
        <v>372708.54303708737</v>
      </c>
      <c r="BQ134" s="446">
        <f t="shared" si="348"/>
        <v>0</v>
      </c>
      <c r="BR134" s="446">
        <f t="shared" si="348"/>
        <v>372708.54303708737</v>
      </c>
      <c r="BS134" s="446">
        <f t="shared" si="348"/>
        <v>229437.04194931168</v>
      </c>
      <c r="BT134" s="446">
        <f t="shared" si="348"/>
        <v>225854.93108777562</v>
      </c>
      <c r="BU134" s="446">
        <f t="shared" si="348"/>
        <v>91256</v>
      </c>
      <c r="BV134" s="446">
        <f t="shared" si="348"/>
        <v>134598.93108777562</v>
      </c>
      <c r="BW134" s="446">
        <f t="shared" si="348"/>
        <v>32936</v>
      </c>
      <c r="BX134" s="446">
        <f t="shared" si="348"/>
        <v>65892.535022967975</v>
      </c>
      <c r="BY134" s="446">
        <f t="shared" si="348"/>
        <v>13549.3</v>
      </c>
      <c r="BZ134" s="446">
        <f t="shared" si="348"/>
        <v>52343.23502296798</v>
      </c>
      <c r="CA134" s="446">
        <f t="shared" si="348"/>
        <v>1018.6549007971653</v>
      </c>
      <c r="CB134" s="446">
        <f t="shared" si="348"/>
        <v>33603.030122170814</v>
      </c>
      <c r="CC134" s="446">
        <f t="shared" si="348"/>
        <v>0</v>
      </c>
      <c r="CD134" s="446">
        <f t="shared" si="348"/>
        <v>32040.569122170811</v>
      </c>
      <c r="CE134" s="446">
        <f t="shared" si="348"/>
        <v>0</v>
      </c>
      <c r="CF134" s="446">
        <f t="shared" si="348"/>
        <v>32040.569122170811</v>
      </c>
      <c r="CG134" s="446">
        <f t="shared" si="348"/>
        <v>0</v>
      </c>
      <c r="CH134" s="446">
        <f t="shared" si="348"/>
        <v>32040.569122170811</v>
      </c>
      <c r="CI134" s="446">
        <f t="shared" si="348"/>
        <v>0</v>
      </c>
      <c r="CJ134" s="446">
        <f t="shared" si="348"/>
        <v>32040.569122170811</v>
      </c>
      <c r="CK134" s="446">
        <f t="shared" si="348"/>
        <v>0</v>
      </c>
      <c r="CL134" s="446">
        <f t="shared" si="348"/>
        <v>32040.569122170811</v>
      </c>
      <c r="CM134" s="446">
        <f t="shared" si="348"/>
        <v>0</v>
      </c>
      <c r="CN134" s="446">
        <f t="shared" si="348"/>
        <v>32040.569122170811</v>
      </c>
      <c r="CO134" s="446">
        <f t="shared" si="348"/>
        <v>0</v>
      </c>
      <c r="CP134" s="446">
        <f t="shared" si="348"/>
        <v>32040.569122170811</v>
      </c>
      <c r="CQ134" s="446">
        <f t="shared" si="348"/>
        <v>0</v>
      </c>
      <c r="CR134" s="446">
        <f t="shared" si="348"/>
        <v>32040.569122170811</v>
      </c>
      <c r="CS134" s="446">
        <f t="shared" si="348"/>
        <v>0</v>
      </c>
      <c r="CT134" s="446">
        <f t="shared" si="348"/>
        <v>32040.569122170811</v>
      </c>
      <c r="CU134" s="446">
        <f t="shared" si="348"/>
        <v>0</v>
      </c>
      <c r="CV134" s="446">
        <f t="shared" si="348"/>
        <v>32040.569122170811</v>
      </c>
      <c r="CW134" s="446">
        <f t="shared" ref="CW134:DX134" si="349">SUM(CW97:CW133)</f>
        <v>0</v>
      </c>
      <c r="CX134" s="446">
        <f t="shared" si="349"/>
        <v>32040.569122170811</v>
      </c>
      <c r="CY134" s="446">
        <f t="shared" si="349"/>
        <v>0</v>
      </c>
      <c r="CZ134" s="446">
        <f t="shared" si="349"/>
        <v>32040.569122170811</v>
      </c>
      <c r="DA134" s="446">
        <f t="shared" si="349"/>
        <v>0</v>
      </c>
      <c r="DB134" s="446">
        <f t="shared" si="349"/>
        <v>32040.569122170811</v>
      </c>
      <c r="DC134" s="446">
        <f t="shared" si="349"/>
        <v>0</v>
      </c>
      <c r="DD134" s="446">
        <f t="shared" si="349"/>
        <v>32040.569122170811</v>
      </c>
      <c r="DE134" s="446">
        <f t="shared" si="349"/>
        <v>0</v>
      </c>
      <c r="DF134" s="446">
        <f t="shared" si="349"/>
        <v>32040.569122170811</v>
      </c>
      <c r="DG134" s="446">
        <f t="shared" si="349"/>
        <v>0</v>
      </c>
      <c r="DH134" s="446">
        <f t="shared" si="349"/>
        <v>32040.569122170811</v>
      </c>
      <c r="DI134" s="446">
        <f t="shared" si="349"/>
        <v>0</v>
      </c>
      <c r="DJ134" s="446">
        <f t="shared" si="349"/>
        <v>32040.569122170811</v>
      </c>
      <c r="DK134" s="446">
        <f t="shared" si="349"/>
        <v>0</v>
      </c>
      <c r="DL134" s="446">
        <f t="shared" si="349"/>
        <v>32040.569122170811</v>
      </c>
      <c r="DM134" s="446">
        <f t="shared" si="349"/>
        <v>0</v>
      </c>
      <c r="DN134" s="446">
        <f t="shared" si="349"/>
        <v>32040.569122170811</v>
      </c>
      <c r="DO134" s="446">
        <f t="shared" si="349"/>
        <v>0</v>
      </c>
      <c r="DP134" s="446">
        <f t="shared" si="349"/>
        <v>32040.569122170811</v>
      </c>
      <c r="DQ134" s="446">
        <f t="shared" si="349"/>
        <v>0</v>
      </c>
      <c r="DR134" s="446">
        <f t="shared" si="349"/>
        <v>32040.569122170811</v>
      </c>
      <c r="DS134" s="446">
        <f t="shared" si="349"/>
        <v>0</v>
      </c>
      <c r="DT134" s="446">
        <f t="shared" si="349"/>
        <v>32040.569122170811</v>
      </c>
      <c r="DU134" s="446">
        <f t="shared" si="349"/>
        <v>0</v>
      </c>
      <c r="DV134" s="446">
        <f t="shared" si="349"/>
        <v>8651.15</v>
      </c>
      <c r="DW134" s="454">
        <f t="shared" si="349"/>
        <v>52971.411</v>
      </c>
      <c r="DX134" s="454">
        <f t="shared" si="349"/>
        <v>1646.8308778291871</v>
      </c>
    </row>
    <row r="135" spans="1:128">
      <c r="A135" s="433"/>
      <c r="B135" s="433"/>
      <c r="C135" s="434"/>
      <c r="D135" s="433"/>
      <c r="E135" s="450"/>
      <c r="F135" s="477"/>
      <c r="G135" s="436"/>
      <c r="H135" s="436"/>
      <c r="I135" s="436"/>
      <c r="J135" s="436"/>
      <c r="K135" s="436"/>
      <c r="L135" s="436"/>
      <c r="M135" s="433"/>
      <c r="N135" s="436"/>
      <c r="O135" s="433"/>
      <c r="P135" s="433"/>
      <c r="Q135" s="433"/>
      <c r="R135" s="433"/>
      <c r="S135" s="433"/>
      <c r="T135" s="433"/>
      <c r="U135" s="433"/>
      <c r="V135" s="433"/>
      <c r="W135" s="433"/>
      <c r="X135" s="433"/>
      <c r="Y135" s="433"/>
      <c r="Z135" s="433"/>
      <c r="AA135" s="433"/>
      <c r="AB135" s="433"/>
      <c r="AC135" s="433"/>
      <c r="AD135" s="433"/>
      <c r="AE135" s="433"/>
      <c r="AF135" s="433"/>
      <c r="AG135" s="433"/>
      <c r="AH135" s="433"/>
      <c r="AI135" s="439"/>
      <c r="AJ135" s="433"/>
      <c r="AK135" s="440"/>
      <c r="AL135" s="2"/>
      <c r="AM135" s="2"/>
      <c r="AN135" s="2"/>
      <c r="AO135" s="433"/>
      <c r="AP135" s="433"/>
      <c r="AQ135" s="433"/>
      <c r="AR135" s="433"/>
      <c r="AS135" s="433"/>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66" t="str">
        <f>IF(AJ135&lt;0,AP135/E135,"")</f>
        <v/>
      </c>
    </row>
    <row r="136" spans="1:128">
      <c r="A136" s="433">
        <v>8</v>
      </c>
      <c r="B136" s="433" t="s">
        <v>848</v>
      </c>
      <c r="C136" s="467" t="s">
        <v>835</v>
      </c>
      <c r="D136" s="468">
        <v>0.1391</v>
      </c>
      <c r="E136" s="330">
        <v>19653490.800000001</v>
      </c>
      <c r="F136" s="470" t="s">
        <v>921</v>
      </c>
      <c r="G136" s="451">
        <v>43374</v>
      </c>
      <c r="H136" s="443">
        <f>DATE(YEAR(G136)+I136,MONTH(G136),DAY(G136))-1</f>
        <v>47026</v>
      </c>
      <c r="I136" s="267">
        <v>10</v>
      </c>
      <c r="J136" s="267">
        <f>IF(($BI$6-$G136+1)&gt;365,365,($BI$6-$G136+1))</f>
        <v>182</v>
      </c>
      <c r="K136" s="267">
        <f>365-J136</f>
        <v>183</v>
      </c>
      <c r="L136" s="438"/>
      <c r="M136" s="433"/>
      <c r="N136" s="436"/>
      <c r="O136" s="436"/>
      <c r="P136" s="433"/>
      <c r="Q136" s="436"/>
      <c r="R136" s="436"/>
      <c r="S136" s="433"/>
      <c r="T136" s="436"/>
      <c r="U136" s="436"/>
      <c r="V136" s="433"/>
      <c r="W136" s="436"/>
      <c r="X136" s="436"/>
      <c r="Y136" s="433"/>
      <c r="Z136" s="436"/>
      <c r="AA136" s="436"/>
      <c r="AB136" s="433"/>
      <c r="AC136" s="436"/>
      <c r="AD136" s="436"/>
      <c r="AE136" s="436"/>
      <c r="AF136" s="436"/>
      <c r="AG136" s="436"/>
      <c r="AH136" s="436"/>
      <c r="AI136" s="439"/>
      <c r="AJ136" s="436"/>
      <c r="AK136" s="440">
        <f>1-((E136*5%)/E136)^(1/I136)</f>
        <v>0.2588655508930523</v>
      </c>
      <c r="AL136" s="2"/>
      <c r="AM136" s="433"/>
      <c r="AN136" s="436"/>
      <c r="AO136" s="436"/>
      <c r="AP136" s="436"/>
      <c r="AQ136" s="436"/>
      <c r="AR136" s="436"/>
      <c r="AS136" s="436"/>
      <c r="AT136" s="2"/>
      <c r="AU136" s="2"/>
      <c r="AV136" s="2"/>
      <c r="AW136" s="433"/>
      <c r="AX136" s="2"/>
      <c r="AY136" s="2"/>
      <c r="AZ136" s="433"/>
      <c r="BA136" s="2"/>
      <c r="BB136" s="2"/>
      <c r="BC136" s="2"/>
      <c r="BD136" s="2"/>
      <c r="BE136" s="2"/>
      <c r="BF136" s="433"/>
      <c r="BG136" s="2"/>
      <c r="BH136" s="2"/>
      <c r="BI136" s="2">
        <f>ROUND(+E136*AK136*J136/365,0)</f>
        <v>2536837</v>
      </c>
      <c r="BJ136" s="2">
        <f>+E136-BI136</f>
        <v>17116653.800000001</v>
      </c>
      <c r="BK136" s="2">
        <f>ROUND(+BJ136*$AK136,0)</f>
        <v>4430912</v>
      </c>
      <c r="BL136" s="2">
        <f>+BJ136-BK136</f>
        <v>12685741.800000001</v>
      </c>
      <c r="BM136" s="2"/>
      <c r="BN136" s="2">
        <f>BL136-BM136</f>
        <v>12685741.800000001</v>
      </c>
      <c r="BO136" s="2">
        <f>ROUND(+BL136*$AK136,0)</f>
        <v>3283902</v>
      </c>
      <c r="BP136" s="2">
        <f>+BL136-BO136</f>
        <v>9401839.8000000007</v>
      </c>
      <c r="BQ136" s="2"/>
      <c r="BR136" s="2">
        <f>BP136-BQ136</f>
        <v>9401839.8000000007</v>
      </c>
      <c r="BS136" s="2">
        <f>ROUND(+BP136*$AK136,0)</f>
        <v>2433812</v>
      </c>
      <c r="BT136" s="2">
        <f>+BP136-BS136</f>
        <v>6968027.8000000007</v>
      </c>
      <c r="BU136" s="2">
        <f>ROUND(+BT136*$AK136,0)</f>
        <v>1803782</v>
      </c>
      <c r="BV136" s="2">
        <f>+BT136-BU136</f>
        <v>5164245.8000000007</v>
      </c>
      <c r="BW136" s="2">
        <f>ROUND(+BV136*$AK136,0)</f>
        <v>1336845</v>
      </c>
      <c r="BX136" s="2">
        <f>+BV136-BW136</f>
        <v>3827400.8000000007</v>
      </c>
      <c r="BY136" s="2">
        <f>ROUND(+BX136*$AK136,0)</f>
        <v>990782</v>
      </c>
      <c r="BZ136" s="2">
        <f>+BX136-BY136</f>
        <v>2836618.8000000007</v>
      </c>
      <c r="CA136" s="2">
        <f>ROUND(+BZ136*$AK136,0)</f>
        <v>734303</v>
      </c>
      <c r="CB136" s="2">
        <f>+BZ136-CA136</f>
        <v>2102315.8000000007</v>
      </c>
      <c r="CC136" s="2">
        <f>ROUND(+CB136*$AK136,0)</f>
        <v>544217</v>
      </c>
      <c r="CD136" s="2">
        <f>+CB136-CC136</f>
        <v>1558098.8000000007</v>
      </c>
      <c r="CE136" s="2">
        <f>ROUND(+CD136*$AK136,0)</f>
        <v>403338</v>
      </c>
      <c r="CF136" s="2">
        <f>+CD136-CE136</f>
        <v>1154760.8000000007</v>
      </c>
      <c r="CG136" s="317">
        <f>+(1-($E136*5%)/CF136)*CF136</f>
        <v>172086.26000000068</v>
      </c>
      <c r="CH136" s="2">
        <f>+CF136-CG136</f>
        <v>982674.54</v>
      </c>
      <c r="CI136" s="2"/>
      <c r="CJ136" s="2">
        <f>+CH136-CI136</f>
        <v>982674.54</v>
      </c>
      <c r="CK136" s="2"/>
      <c r="CL136" s="2">
        <f>+CJ136-CK136</f>
        <v>982674.54</v>
      </c>
      <c r="CM136" s="2"/>
      <c r="CN136" s="2">
        <f>+CL136-CM136</f>
        <v>982674.54</v>
      </c>
      <c r="CO136" s="2"/>
      <c r="CP136" s="2">
        <f>+CN136-CO136</f>
        <v>982674.54</v>
      </c>
      <c r="CQ136" s="2"/>
      <c r="CR136" s="2">
        <f>+CP136-CQ136</f>
        <v>982674.54</v>
      </c>
      <c r="CS136" s="2"/>
      <c r="CT136" s="2">
        <f>+CR136-CS136</f>
        <v>982674.54</v>
      </c>
      <c r="CU136" s="2"/>
      <c r="CV136" s="2">
        <f>+CT136-CU136</f>
        <v>982674.54</v>
      </c>
      <c r="CW136" s="2"/>
      <c r="CX136" s="2">
        <f>+CV136-CW136</f>
        <v>982674.54</v>
      </c>
      <c r="CY136" s="2"/>
      <c r="CZ136" s="2">
        <f>+CX136-CY136</f>
        <v>982674.54</v>
      </c>
      <c r="DA136" s="2"/>
      <c r="DB136" s="2">
        <f>+CZ136-DA136</f>
        <v>982674.54</v>
      </c>
      <c r="DC136" s="2"/>
      <c r="DD136" s="2">
        <f>+DB136-DC136</f>
        <v>982674.54</v>
      </c>
      <c r="DE136" s="2"/>
      <c r="DF136" s="2">
        <f>+DD136-DE136</f>
        <v>982674.54</v>
      </c>
      <c r="DG136" s="2"/>
      <c r="DH136" s="2">
        <f>+DF136-DG136</f>
        <v>982674.54</v>
      </c>
      <c r="DI136" s="2"/>
      <c r="DJ136" s="2">
        <f>+DH136-DI136</f>
        <v>982674.54</v>
      </c>
      <c r="DK136" s="2"/>
      <c r="DL136" s="2">
        <f>+DJ136-DK136</f>
        <v>982674.54</v>
      </c>
      <c r="DM136" s="2"/>
      <c r="DN136" s="2">
        <f>+DL136-DM136</f>
        <v>982674.54</v>
      </c>
      <c r="DO136" s="2"/>
      <c r="DP136" s="2">
        <f>+DN136-DO136</f>
        <v>982674.54</v>
      </c>
      <c r="DQ136" s="2"/>
      <c r="DR136" s="2">
        <f>+DP136-DQ136</f>
        <v>982674.54</v>
      </c>
      <c r="DS136" s="2"/>
      <c r="DT136" s="2">
        <f>+DR136-DS136</f>
        <v>982674.54</v>
      </c>
      <c r="DU136" s="2"/>
      <c r="DV136" s="2">
        <f>+DT136-DU136</f>
        <v>982674.54</v>
      </c>
      <c r="DW136" s="393">
        <f>+E136*5%</f>
        <v>982674.54</v>
      </c>
      <c r="DX136" s="441">
        <f>+DW136-DV136</f>
        <v>0</v>
      </c>
    </row>
    <row r="137" spans="1:128">
      <c r="A137" s="450"/>
      <c r="B137" s="433"/>
      <c r="C137" s="467" t="s">
        <v>835</v>
      </c>
      <c r="D137" s="468"/>
      <c r="E137" s="330">
        <v>29396.19</v>
      </c>
      <c r="F137" s="470" t="s">
        <v>1080</v>
      </c>
      <c r="G137" s="451">
        <v>43640</v>
      </c>
      <c r="H137" s="443">
        <f>DATE(YEAR(G137)+I137,MONTH(G137),DAY(G137))-1</f>
        <v>47292</v>
      </c>
      <c r="I137" s="267">
        <v>10</v>
      </c>
      <c r="J137" s="267">
        <f>IF(($BK$6-$G137+1)&gt;365,365,($BK$6-$G137+1))</f>
        <v>282</v>
      </c>
      <c r="K137" s="267">
        <f>365-J137</f>
        <v>83</v>
      </c>
      <c r="L137" s="438"/>
      <c r="M137" s="433"/>
      <c r="N137" s="436"/>
      <c r="O137" s="436"/>
      <c r="P137" s="433"/>
      <c r="Q137" s="436"/>
      <c r="R137" s="436"/>
      <c r="S137" s="433"/>
      <c r="T137" s="436"/>
      <c r="U137" s="436"/>
      <c r="V137" s="433"/>
      <c r="W137" s="436"/>
      <c r="X137" s="436"/>
      <c r="Y137" s="433"/>
      <c r="Z137" s="436"/>
      <c r="AA137" s="436"/>
      <c r="AB137" s="433"/>
      <c r="AC137" s="436"/>
      <c r="AD137" s="436"/>
      <c r="AE137" s="436"/>
      <c r="AF137" s="436"/>
      <c r="AG137" s="436"/>
      <c r="AH137" s="436"/>
      <c r="AI137" s="439"/>
      <c r="AJ137" s="436"/>
      <c r="AK137" s="440">
        <v>0.2588655508930523</v>
      </c>
      <c r="AL137" s="2"/>
      <c r="AM137" s="433"/>
      <c r="AN137" s="436"/>
      <c r="AO137" s="436"/>
      <c r="AP137" s="436"/>
      <c r="AQ137" s="436"/>
      <c r="AR137" s="436"/>
      <c r="AS137" s="436"/>
      <c r="AT137" s="2"/>
      <c r="AU137" s="2"/>
      <c r="AV137" s="2"/>
      <c r="AW137" s="433"/>
      <c r="AX137" s="2"/>
      <c r="AY137" s="2"/>
      <c r="AZ137" s="433"/>
      <c r="BA137" s="2"/>
      <c r="BB137" s="2"/>
      <c r="BC137" s="2"/>
      <c r="BD137" s="2"/>
      <c r="BE137" s="2"/>
      <c r="BF137" s="433"/>
      <c r="BG137" s="2"/>
      <c r="BH137" s="2"/>
      <c r="BI137" s="2"/>
      <c r="BJ137" s="2"/>
      <c r="BK137" s="2">
        <f>+ROUND((E137*J137*AK137)/365,0)</f>
        <v>5879</v>
      </c>
      <c r="BL137" s="331">
        <f>+E137-BK137</f>
        <v>23517.19</v>
      </c>
      <c r="BM137" s="331"/>
      <c r="BN137" s="2">
        <f>BL137-BM137</f>
        <v>23517.19</v>
      </c>
      <c r="BO137" s="2">
        <f>ROUND(+BL137*$AK137,0)</f>
        <v>6088</v>
      </c>
      <c r="BP137" s="2">
        <f>+BL137-BO137</f>
        <v>17429.189999999999</v>
      </c>
      <c r="BQ137" s="2"/>
      <c r="BR137" s="2">
        <f>BP137-BQ137</f>
        <v>17429.189999999999</v>
      </c>
      <c r="BS137" s="2">
        <f>ROUND(+BP137*$AK137,0)</f>
        <v>4512</v>
      </c>
      <c r="BT137" s="2">
        <f>+BP137-BS137</f>
        <v>12917.189999999999</v>
      </c>
      <c r="BU137" s="2">
        <f>ROUND(+BT137*$AK137,0)</f>
        <v>3344</v>
      </c>
      <c r="BV137" s="2">
        <f>+BT137-BU137</f>
        <v>9573.1899999999987</v>
      </c>
      <c r="BW137" s="2">
        <f>ROUND(+BV137*$AK137,0)</f>
        <v>2478</v>
      </c>
      <c r="BX137" s="2">
        <f>+BV137-BW137</f>
        <v>7095.1899999999987</v>
      </c>
      <c r="BY137" s="2">
        <f>ROUND(+BX137*$AK137,0)</f>
        <v>1837</v>
      </c>
      <c r="BZ137" s="2">
        <f>+BX137-BY137</f>
        <v>5258.1899999999987</v>
      </c>
      <c r="CA137" s="2">
        <f>ROUND(+BZ137*$AK137,0)</f>
        <v>1361</v>
      </c>
      <c r="CB137" s="2">
        <f>+BZ137-CA137</f>
        <v>3897.1899999999987</v>
      </c>
      <c r="CC137" s="2">
        <f>ROUND(+CB137*$AK137,0)</f>
        <v>1009</v>
      </c>
      <c r="CD137" s="2">
        <f>+CB137-CC137</f>
        <v>2888.1899999999987</v>
      </c>
      <c r="CE137" s="2">
        <f>ROUND(+CD137*$AK137,0)</f>
        <v>748</v>
      </c>
      <c r="CF137" s="2">
        <f>+CD137-CE137</f>
        <v>2140.1899999999987</v>
      </c>
      <c r="CG137" s="2">
        <f>ROUND(+CF137*$AK137,0)</f>
        <v>554</v>
      </c>
      <c r="CH137" s="2">
        <f>+CF137-CG137</f>
        <v>1586.1899999999987</v>
      </c>
      <c r="CI137" s="2">
        <f>+CH137-CJ137</f>
        <v>116.38049999999862</v>
      </c>
      <c r="CJ137" s="2">
        <f>+E137*5%</f>
        <v>1469.8095000000001</v>
      </c>
      <c r="CK137" s="2">
        <v>0</v>
      </c>
      <c r="CL137" s="2">
        <f>+CJ137-CK137</f>
        <v>1469.8095000000001</v>
      </c>
      <c r="CM137" s="2">
        <v>0</v>
      </c>
      <c r="CN137" s="2">
        <f>+CL137-CM137</f>
        <v>1469.8095000000001</v>
      </c>
      <c r="CO137" s="2">
        <v>0</v>
      </c>
      <c r="CP137" s="2">
        <f>+CN137-CO137</f>
        <v>1469.8095000000001</v>
      </c>
      <c r="CQ137" s="2">
        <v>0</v>
      </c>
      <c r="CR137" s="2">
        <f>+CP137-CQ137</f>
        <v>1469.8095000000001</v>
      </c>
      <c r="CS137" s="2">
        <v>0</v>
      </c>
      <c r="CT137" s="2">
        <f>+CR137-CS137</f>
        <v>1469.8095000000001</v>
      </c>
      <c r="CU137" s="2">
        <v>0</v>
      </c>
      <c r="CV137" s="2">
        <f>+CT137-CU137</f>
        <v>1469.8095000000001</v>
      </c>
      <c r="CW137" s="2">
        <v>0</v>
      </c>
      <c r="CX137" s="2">
        <f>+CV137-CW137</f>
        <v>1469.8095000000001</v>
      </c>
      <c r="CY137" s="2">
        <v>0</v>
      </c>
      <c r="CZ137" s="2">
        <f>+CX137-CY137</f>
        <v>1469.8095000000001</v>
      </c>
      <c r="DA137" s="2">
        <v>0</v>
      </c>
      <c r="DB137" s="2">
        <f>+CZ137-DA137</f>
        <v>1469.8095000000001</v>
      </c>
      <c r="DC137" s="2">
        <v>0</v>
      </c>
      <c r="DD137" s="2">
        <f>+DB137-DC137</f>
        <v>1469.8095000000001</v>
      </c>
      <c r="DE137" s="2">
        <v>0</v>
      </c>
      <c r="DF137" s="2">
        <f>+DD137-DE137</f>
        <v>1469.8095000000001</v>
      </c>
      <c r="DG137" s="2">
        <v>0</v>
      </c>
      <c r="DH137" s="2">
        <f>+DF137-DG137</f>
        <v>1469.8095000000001</v>
      </c>
      <c r="DI137" s="2">
        <v>0</v>
      </c>
      <c r="DJ137" s="2">
        <f>+DH137-DI137</f>
        <v>1469.8095000000001</v>
      </c>
      <c r="DK137" s="2">
        <v>0</v>
      </c>
      <c r="DL137" s="2">
        <f>+DJ137-DK137</f>
        <v>1469.8095000000001</v>
      </c>
      <c r="DM137" s="2">
        <v>0</v>
      </c>
      <c r="DN137" s="2">
        <f>+DL137-DM137</f>
        <v>1469.8095000000001</v>
      </c>
      <c r="DO137" s="2">
        <v>0</v>
      </c>
      <c r="DP137" s="2">
        <f>+DN137-DO137</f>
        <v>1469.8095000000001</v>
      </c>
      <c r="DQ137" s="2">
        <v>0</v>
      </c>
      <c r="DR137" s="2">
        <f>+DP137-DQ137</f>
        <v>1469.8095000000001</v>
      </c>
      <c r="DS137" s="2">
        <v>0</v>
      </c>
      <c r="DT137" s="2">
        <f>+DR137-DS137</f>
        <v>1469.8095000000001</v>
      </c>
      <c r="DU137" s="2">
        <v>0</v>
      </c>
      <c r="DV137" s="2">
        <f>+DT137-DU137</f>
        <v>1469.8095000000001</v>
      </c>
      <c r="DW137" s="266">
        <f>+E137*5%</f>
        <v>1469.8095000000001</v>
      </c>
      <c r="DX137" s="266">
        <f>+DW137-DV137</f>
        <v>0</v>
      </c>
    </row>
    <row r="138" spans="1:128" s="392" customFormat="1">
      <c r="A138" s="390"/>
      <c r="B138" s="267"/>
      <c r="C138" s="391"/>
      <c r="D138" s="267"/>
      <c r="E138" s="340">
        <f>SUM(E136:E137)</f>
        <v>19682886.990000002</v>
      </c>
      <c r="F138" s="340">
        <f t="shared" ref="F138:AJ138" si="350">SUM(F136:F137)</f>
        <v>0</v>
      </c>
      <c r="G138" s="340">
        <f>SUM(G136:G137)</f>
        <v>87014</v>
      </c>
      <c r="H138" s="340"/>
      <c r="I138" s="340">
        <f>SUM(I136:I137)</f>
        <v>20</v>
      </c>
      <c r="J138" s="340">
        <f>SUM(J136:J137)</f>
        <v>464</v>
      </c>
      <c r="K138" s="340">
        <f>SUM(K136:K137)</f>
        <v>266</v>
      </c>
      <c r="L138" s="340">
        <f t="shared" si="350"/>
        <v>0</v>
      </c>
      <c r="M138" s="340">
        <f t="shared" si="350"/>
        <v>0</v>
      </c>
      <c r="N138" s="340">
        <f t="shared" si="350"/>
        <v>0</v>
      </c>
      <c r="O138" s="340">
        <f t="shared" si="350"/>
        <v>0</v>
      </c>
      <c r="P138" s="340">
        <f t="shared" si="350"/>
        <v>0</v>
      </c>
      <c r="Q138" s="340">
        <f t="shared" si="350"/>
        <v>0</v>
      </c>
      <c r="R138" s="340">
        <f t="shared" si="350"/>
        <v>0</v>
      </c>
      <c r="S138" s="340">
        <f t="shared" si="350"/>
        <v>0</v>
      </c>
      <c r="T138" s="340">
        <f t="shared" si="350"/>
        <v>0</v>
      </c>
      <c r="U138" s="340">
        <f t="shared" si="350"/>
        <v>0</v>
      </c>
      <c r="V138" s="340">
        <f t="shared" si="350"/>
        <v>0</v>
      </c>
      <c r="W138" s="340">
        <f t="shared" si="350"/>
        <v>0</v>
      </c>
      <c r="X138" s="340">
        <f t="shared" si="350"/>
        <v>0</v>
      </c>
      <c r="Y138" s="340">
        <f t="shared" si="350"/>
        <v>0</v>
      </c>
      <c r="Z138" s="340">
        <f t="shared" si="350"/>
        <v>0</v>
      </c>
      <c r="AA138" s="340">
        <f t="shared" si="350"/>
        <v>0</v>
      </c>
      <c r="AB138" s="340">
        <f t="shared" si="350"/>
        <v>0</v>
      </c>
      <c r="AC138" s="340">
        <f t="shared" si="350"/>
        <v>0</v>
      </c>
      <c r="AD138" s="340">
        <f t="shared" si="350"/>
        <v>0</v>
      </c>
      <c r="AE138" s="340">
        <f t="shared" si="350"/>
        <v>0</v>
      </c>
      <c r="AF138" s="340">
        <f t="shared" si="350"/>
        <v>0</v>
      </c>
      <c r="AG138" s="340">
        <f t="shared" si="350"/>
        <v>0</v>
      </c>
      <c r="AH138" s="340">
        <f t="shared" si="350"/>
        <v>0</v>
      </c>
      <c r="AI138" s="340">
        <f t="shared" si="350"/>
        <v>0</v>
      </c>
      <c r="AJ138" s="340">
        <f t="shared" si="350"/>
        <v>0</v>
      </c>
      <c r="AK138" s="340"/>
      <c r="AL138" s="340">
        <f t="shared" ref="AL138:BH138" si="351">SUM(AL136:AL137)</f>
        <v>0</v>
      </c>
      <c r="AM138" s="340">
        <f t="shared" si="351"/>
        <v>0</v>
      </c>
      <c r="AN138" s="340">
        <f t="shared" si="351"/>
        <v>0</v>
      </c>
      <c r="AO138" s="340">
        <f t="shared" si="351"/>
        <v>0</v>
      </c>
      <c r="AP138" s="340">
        <f t="shared" si="351"/>
        <v>0</v>
      </c>
      <c r="AQ138" s="340">
        <f t="shared" si="351"/>
        <v>0</v>
      </c>
      <c r="AR138" s="340">
        <f t="shared" si="351"/>
        <v>0</v>
      </c>
      <c r="AS138" s="340">
        <f t="shared" si="351"/>
        <v>0</v>
      </c>
      <c r="AT138" s="340">
        <f t="shared" si="351"/>
        <v>0</v>
      </c>
      <c r="AU138" s="340">
        <f t="shared" si="351"/>
        <v>0</v>
      </c>
      <c r="AV138" s="340">
        <f t="shared" si="351"/>
        <v>0</v>
      </c>
      <c r="AW138" s="340">
        <f t="shared" si="351"/>
        <v>0</v>
      </c>
      <c r="AX138" s="340">
        <f t="shared" si="351"/>
        <v>0</v>
      </c>
      <c r="AY138" s="340">
        <f t="shared" si="351"/>
        <v>0</v>
      </c>
      <c r="AZ138" s="340">
        <f t="shared" si="351"/>
        <v>0</v>
      </c>
      <c r="BA138" s="340">
        <f t="shared" si="351"/>
        <v>0</v>
      </c>
      <c r="BB138" s="340">
        <f t="shared" si="351"/>
        <v>0</v>
      </c>
      <c r="BC138" s="340">
        <f t="shared" si="351"/>
        <v>0</v>
      </c>
      <c r="BD138" s="340">
        <f t="shared" si="351"/>
        <v>0</v>
      </c>
      <c r="BE138" s="340">
        <f t="shared" si="351"/>
        <v>0</v>
      </c>
      <c r="BF138" s="340">
        <f t="shared" si="351"/>
        <v>0</v>
      </c>
      <c r="BG138" s="340">
        <f t="shared" si="351"/>
        <v>0</v>
      </c>
      <c r="BH138" s="340">
        <f t="shared" si="351"/>
        <v>0</v>
      </c>
      <c r="BI138" s="340">
        <f>SUM(BI136:BI137)</f>
        <v>2536837</v>
      </c>
      <c r="BJ138" s="340">
        <f>SUM(BJ136:BJ137)</f>
        <v>17116653.800000001</v>
      </c>
      <c r="BK138" s="397">
        <f>SUM(BK136:BK137)</f>
        <v>4436791</v>
      </c>
      <c r="BL138" s="340">
        <f>SUM(BL136:BL137)</f>
        <v>12709258.99</v>
      </c>
      <c r="BM138" s="340"/>
      <c r="BN138" s="340"/>
      <c r="BO138" s="340">
        <f t="shared" ref="BO138:DX138" si="352">SUM(BO136:BO137)</f>
        <v>3289990</v>
      </c>
      <c r="BP138" s="340">
        <f t="shared" si="352"/>
        <v>9419268.9900000002</v>
      </c>
      <c r="BQ138" s="340">
        <f t="shared" si="352"/>
        <v>0</v>
      </c>
      <c r="BR138" s="340">
        <f t="shared" si="352"/>
        <v>9419268.9900000002</v>
      </c>
      <c r="BS138" s="340">
        <f t="shared" si="352"/>
        <v>2438324</v>
      </c>
      <c r="BT138" s="340">
        <f t="shared" si="352"/>
        <v>6980944.9900000012</v>
      </c>
      <c r="BU138" s="340">
        <f t="shared" si="352"/>
        <v>1807126</v>
      </c>
      <c r="BV138" s="340">
        <f t="shared" si="352"/>
        <v>5173818.9900000012</v>
      </c>
      <c r="BW138" s="340">
        <f t="shared" si="352"/>
        <v>1339323</v>
      </c>
      <c r="BX138" s="340">
        <f t="shared" si="352"/>
        <v>3834495.9900000007</v>
      </c>
      <c r="BY138" s="340">
        <f t="shared" si="352"/>
        <v>992619</v>
      </c>
      <c r="BZ138" s="340">
        <f t="shared" si="352"/>
        <v>2841876.9900000007</v>
      </c>
      <c r="CA138" s="340">
        <f>SUM(CA136:CA137)</f>
        <v>735664</v>
      </c>
      <c r="CB138" s="340">
        <f t="shared" si="352"/>
        <v>2106212.9900000007</v>
      </c>
      <c r="CC138" s="340">
        <f t="shared" si="352"/>
        <v>545226</v>
      </c>
      <c r="CD138" s="340">
        <f t="shared" si="352"/>
        <v>1560986.9900000007</v>
      </c>
      <c r="CE138" s="340">
        <f>SUM(CE136:CE137)</f>
        <v>404086</v>
      </c>
      <c r="CF138" s="340">
        <f t="shared" si="352"/>
        <v>1156900.9900000007</v>
      </c>
      <c r="CG138" s="340">
        <f t="shared" si="352"/>
        <v>172640.26000000068</v>
      </c>
      <c r="CH138" s="340">
        <f t="shared" si="352"/>
        <v>984260.73</v>
      </c>
      <c r="CI138" s="340">
        <f t="shared" si="352"/>
        <v>116.38049999999862</v>
      </c>
      <c r="CJ138" s="340">
        <f t="shared" si="352"/>
        <v>984144.34950000001</v>
      </c>
      <c r="CK138" s="340">
        <f t="shared" si="352"/>
        <v>0</v>
      </c>
      <c r="CL138" s="340">
        <f t="shared" si="352"/>
        <v>984144.34950000001</v>
      </c>
      <c r="CM138" s="340">
        <f t="shared" si="352"/>
        <v>0</v>
      </c>
      <c r="CN138" s="340">
        <f t="shared" si="352"/>
        <v>984144.34950000001</v>
      </c>
      <c r="CO138" s="340">
        <f t="shared" si="352"/>
        <v>0</v>
      </c>
      <c r="CP138" s="340">
        <f t="shared" si="352"/>
        <v>984144.34950000001</v>
      </c>
      <c r="CQ138" s="340">
        <f t="shared" si="352"/>
        <v>0</v>
      </c>
      <c r="CR138" s="340">
        <f t="shared" si="352"/>
        <v>984144.34950000001</v>
      </c>
      <c r="CS138" s="340">
        <f t="shared" si="352"/>
        <v>0</v>
      </c>
      <c r="CT138" s="340">
        <f t="shared" si="352"/>
        <v>984144.34950000001</v>
      </c>
      <c r="CU138" s="340">
        <f t="shared" si="352"/>
        <v>0</v>
      </c>
      <c r="CV138" s="340">
        <f t="shared" si="352"/>
        <v>984144.34950000001</v>
      </c>
      <c r="CW138" s="340">
        <f t="shared" si="352"/>
        <v>0</v>
      </c>
      <c r="CX138" s="340">
        <f t="shared" si="352"/>
        <v>984144.34950000001</v>
      </c>
      <c r="CY138" s="340">
        <f t="shared" si="352"/>
        <v>0</v>
      </c>
      <c r="CZ138" s="340">
        <f t="shared" si="352"/>
        <v>984144.34950000001</v>
      </c>
      <c r="DA138" s="340">
        <f t="shared" si="352"/>
        <v>0</v>
      </c>
      <c r="DB138" s="340">
        <f t="shared" si="352"/>
        <v>984144.34950000001</v>
      </c>
      <c r="DC138" s="340">
        <f t="shared" si="352"/>
        <v>0</v>
      </c>
      <c r="DD138" s="340">
        <f t="shared" si="352"/>
        <v>984144.34950000001</v>
      </c>
      <c r="DE138" s="340">
        <f t="shared" si="352"/>
        <v>0</v>
      </c>
      <c r="DF138" s="340">
        <f t="shared" si="352"/>
        <v>984144.34950000001</v>
      </c>
      <c r="DG138" s="340">
        <f t="shared" si="352"/>
        <v>0</v>
      </c>
      <c r="DH138" s="340">
        <f t="shared" si="352"/>
        <v>984144.34950000001</v>
      </c>
      <c r="DI138" s="340">
        <f t="shared" si="352"/>
        <v>0</v>
      </c>
      <c r="DJ138" s="340">
        <f t="shared" si="352"/>
        <v>984144.34950000001</v>
      </c>
      <c r="DK138" s="340">
        <f t="shared" si="352"/>
        <v>0</v>
      </c>
      <c r="DL138" s="340">
        <f t="shared" si="352"/>
        <v>984144.34950000001</v>
      </c>
      <c r="DM138" s="340">
        <f t="shared" si="352"/>
        <v>0</v>
      </c>
      <c r="DN138" s="340">
        <f t="shared" si="352"/>
        <v>984144.34950000001</v>
      </c>
      <c r="DO138" s="340">
        <f t="shared" si="352"/>
        <v>0</v>
      </c>
      <c r="DP138" s="340">
        <f t="shared" si="352"/>
        <v>984144.34950000001</v>
      </c>
      <c r="DQ138" s="340">
        <f t="shared" si="352"/>
        <v>0</v>
      </c>
      <c r="DR138" s="340">
        <f t="shared" si="352"/>
        <v>984144.34950000001</v>
      </c>
      <c r="DS138" s="340">
        <f t="shared" si="352"/>
        <v>0</v>
      </c>
      <c r="DT138" s="340">
        <f t="shared" si="352"/>
        <v>984144.34950000001</v>
      </c>
      <c r="DU138" s="340">
        <f t="shared" si="352"/>
        <v>0</v>
      </c>
      <c r="DV138" s="340">
        <f t="shared" si="352"/>
        <v>984144.34950000001</v>
      </c>
      <c r="DW138" s="340">
        <f t="shared" si="352"/>
        <v>984144.34950000001</v>
      </c>
      <c r="DX138" s="340">
        <f t="shared" si="352"/>
        <v>0</v>
      </c>
    </row>
    <row r="139" spans="1:128">
      <c r="A139" s="450"/>
      <c r="B139" s="433"/>
      <c r="C139" s="467"/>
      <c r="D139" s="468"/>
      <c r="E139" s="330"/>
      <c r="F139" s="470"/>
      <c r="G139" s="451"/>
      <c r="H139" s="443"/>
      <c r="I139" s="267"/>
      <c r="J139" s="267"/>
      <c r="K139" s="267"/>
      <c r="L139" s="438"/>
      <c r="M139" s="433"/>
      <c r="N139" s="436"/>
      <c r="O139" s="436"/>
      <c r="P139" s="433"/>
      <c r="Q139" s="436"/>
      <c r="R139" s="436"/>
      <c r="S139" s="433"/>
      <c r="T139" s="436"/>
      <c r="U139" s="436"/>
      <c r="V139" s="433"/>
      <c r="W139" s="436"/>
      <c r="X139" s="436"/>
      <c r="Y139" s="433"/>
      <c r="Z139" s="436"/>
      <c r="AA139" s="436"/>
      <c r="AB139" s="433"/>
      <c r="AC139" s="436"/>
      <c r="AD139" s="436"/>
      <c r="AE139" s="436"/>
      <c r="AF139" s="436"/>
      <c r="AG139" s="436"/>
      <c r="AH139" s="436"/>
      <c r="AI139" s="439"/>
      <c r="AJ139" s="436"/>
      <c r="AK139" s="440"/>
      <c r="AL139" s="2"/>
      <c r="AM139" s="433"/>
      <c r="AN139" s="436"/>
      <c r="AO139" s="436"/>
      <c r="AP139" s="436"/>
      <c r="AQ139" s="436"/>
      <c r="AR139" s="436"/>
      <c r="AS139" s="436"/>
      <c r="AT139" s="2"/>
      <c r="AU139" s="2"/>
      <c r="AV139" s="2"/>
      <c r="AW139" s="433"/>
      <c r="AX139" s="2"/>
      <c r="AY139" s="2"/>
      <c r="AZ139" s="433"/>
      <c r="BA139" s="2"/>
      <c r="BB139" s="2"/>
      <c r="BC139" s="2"/>
      <c r="BD139" s="2"/>
      <c r="BE139" s="2"/>
      <c r="BF139" s="433"/>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317"/>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66"/>
      <c r="DX139" s="441"/>
    </row>
    <row r="140" spans="1:128">
      <c r="A140" s="450">
        <v>1</v>
      </c>
      <c r="B140" s="433" t="s">
        <v>508</v>
      </c>
      <c r="C140" s="467" t="s">
        <v>509</v>
      </c>
      <c r="D140" s="468">
        <v>0.25890000000000002</v>
      </c>
      <c r="E140" s="442">
        <v>29505.78</v>
      </c>
      <c r="F140" s="437" t="s">
        <v>1001</v>
      </c>
      <c r="G140" s="438">
        <v>39547</v>
      </c>
      <c r="H140" s="438"/>
      <c r="I140" s="438"/>
      <c r="J140" s="438"/>
      <c r="K140" s="438"/>
      <c r="L140" s="438"/>
      <c r="M140" s="439">
        <f>$M$6-G140+1-6</f>
        <v>351</v>
      </c>
      <c r="N140" s="436">
        <f>ROUND(E140*M140/365*D140,0)</f>
        <v>7346</v>
      </c>
      <c r="O140" s="436">
        <f>E140-N140</f>
        <v>22159.78</v>
      </c>
      <c r="P140" s="439">
        <v>365</v>
      </c>
      <c r="Q140" s="436">
        <f>ROUND(O140*D140/365*P140,0)</f>
        <v>5737</v>
      </c>
      <c r="R140" s="436">
        <f>O140-Q140</f>
        <v>16422.78</v>
      </c>
      <c r="S140" s="433">
        <f>IF(($S$6-G140+1)&gt;365,365,($Y$6-G140+1))</f>
        <v>365</v>
      </c>
      <c r="T140" s="436">
        <f>ROUND(R140*D140/365*S140,0)</f>
        <v>4252</v>
      </c>
      <c r="U140" s="436">
        <f>R140-T140</f>
        <v>12170.779999999999</v>
      </c>
      <c r="V140" s="433">
        <f>IF(($V$6-G140+1)&gt;365,365,($V$6-G140+1))</f>
        <v>365</v>
      </c>
      <c r="W140" s="436">
        <f>ROUND((R140-T140)*D140/365*V140,0)</f>
        <v>3151</v>
      </c>
      <c r="X140" s="436">
        <f>IF((U140-W140)&gt;0,U140-W140,E140-W140)</f>
        <v>9019.7799999999988</v>
      </c>
      <c r="Y140" s="433">
        <f>IF(($Y$6-G140+1)&gt;365,365,($Y$6-G140+1))</f>
        <v>365</v>
      </c>
      <c r="Z140" s="436">
        <f>ROUND(IF(X140&gt;0,X140*$D140/365*Y140,($E140*$D140*Y140/365)),0)</f>
        <v>2335</v>
      </c>
      <c r="AA140" s="436">
        <f>IF((X140-Z140)&gt;0,X140-Z140,$E140-Z140)</f>
        <v>6684.7799999999988</v>
      </c>
      <c r="AB140" s="433">
        <f>IF(($AB$6-G140+1)&gt;365,365,($AB$6-G140+1))</f>
        <v>365</v>
      </c>
      <c r="AC140" s="436">
        <f t="shared" ref="AC140:AC146" si="353">ROUND(IF(AA140&gt;0,AA140*$D140/365*AB140,($E140*$D140*AB140/365)),0)</f>
        <v>1731</v>
      </c>
      <c r="AD140" s="436">
        <f t="shared" ref="AD140:AD146" si="354">IF((AA140-AC140)&gt;0,AA140-AC140,$E140-AC140)</f>
        <v>4953.7799999999988</v>
      </c>
      <c r="AE140" s="436">
        <f t="shared" ref="AE140:AE146" si="355">T140+W140+Z140+AC140+Q140+N140</f>
        <v>24552</v>
      </c>
      <c r="AF140" s="436">
        <f t="shared" ref="AF140:AF146" si="356">E140-AE140</f>
        <v>4953.7799999999988</v>
      </c>
      <c r="AG140" s="436">
        <f t="shared" ref="AG140:AG146" si="357">AD140-AF140</f>
        <v>0</v>
      </c>
      <c r="AH140" s="436">
        <f t="shared" ref="AH140:AH146" si="358">($AH$6-G140+1)/365</f>
        <v>5.9808219178082194</v>
      </c>
      <c r="AI140" s="439">
        <v>10</v>
      </c>
      <c r="AJ140" s="436">
        <f t="shared" ref="AJ140:AJ148" si="359">AI140-AH140</f>
        <v>4.0191780821917806</v>
      </c>
      <c r="AK140" s="440">
        <f t="shared" ref="AK140:AK146" si="360">IF(AJ140&gt;0,1-(((E140*$AJ$4)/AF140)^(1/AJ140)),0)</f>
        <v>0.26020287479728432</v>
      </c>
      <c r="AL140" s="2">
        <f t="shared" ref="AL140:AL147" si="361">IF(AJ140&lt;0,AF140-(E140*5%),0)</f>
        <v>0</v>
      </c>
      <c r="AM140" s="433">
        <f t="shared" ref="AM140:AM147" si="362">IF(($AM$6-$G140+1)&gt;365,365,($AM$6-$G140+1))</f>
        <v>365</v>
      </c>
      <c r="AN140" s="436">
        <f t="shared" ref="AN140:AN147" si="363">ROUND(IF(AF140&gt;0,AF140*$D140/365*AM140,($E140*$D140*AM140/365)),0)</f>
        <v>1283</v>
      </c>
      <c r="AO140" s="436">
        <f t="shared" ref="AO140:AO146" si="364">MIN(ROUND(IF(AL140&gt;0,0,(AK140*AF140)*AM140/365),0),AF140-(E140*5%))</f>
        <v>1289</v>
      </c>
      <c r="AP140" s="436">
        <f t="shared" ref="AP140:AP147" si="365">+IF(AJ140&lt;1,(E140*5%),IF(AF140&gt;0,AF140-AO140,E140-AO140))</f>
        <v>3664.7799999999988</v>
      </c>
      <c r="AQ140" s="436">
        <f t="shared" ref="AQ140:AQ146" si="366">AF140-AO140-AL140</f>
        <v>3664.7799999999988</v>
      </c>
      <c r="AR140" s="436">
        <f t="shared" ref="AR140:AR146" si="367">$AF140-($AL140+$AO140+$AP140)</f>
        <v>0</v>
      </c>
      <c r="AS140" s="436">
        <f t="shared" ref="AS140:AS147" si="368">AO140-AN140</f>
        <v>6</v>
      </c>
      <c r="AT140" s="2">
        <f t="shared" ref="AT140:AT146" si="369">AF140-AN140</f>
        <v>3670.7799999999988</v>
      </c>
      <c r="AU140" s="2">
        <f t="shared" ref="AU140:AU147" si="370">AT140-AS140-AL140</f>
        <v>3664.7799999999988</v>
      </c>
      <c r="AV140" s="2">
        <f t="shared" ref="AV140:AV147" si="371">AU140-AQ140</f>
        <v>0</v>
      </c>
      <c r="AW140" s="433">
        <f t="shared" ref="AW140:AW148" si="372">IF(($AW$6-$G140+1)&gt;365,365,($AW$6-$G140+1))</f>
        <v>365</v>
      </c>
      <c r="AX140" s="2">
        <f>AQ140*AK140</f>
        <v>953.58629149959131</v>
      </c>
      <c r="AY140" s="2">
        <f>AQ140-AX140</f>
        <v>2711.1937085004074</v>
      </c>
      <c r="AZ140" s="433">
        <f t="shared" ref="AZ140:AZ148" si="373">IF(($AZ$6-$G140+1)&gt;365,365,($AZ$6-$G140+1))</f>
        <v>365</v>
      </c>
      <c r="BA140" s="2">
        <f>AY140*AK140</f>
        <v>705.46039708411649</v>
      </c>
      <c r="BB140" s="2">
        <f>AY140-BA140</f>
        <v>2005.7333114162909</v>
      </c>
      <c r="BC140" s="2">
        <f>10*365</f>
        <v>3650</v>
      </c>
      <c r="BD140" s="433">
        <f t="shared" ref="BD140:BD148" si="374">+$BD$6-G140</f>
        <v>3278</v>
      </c>
      <c r="BE140" s="439">
        <f t="shared" ref="BE140:BE148" si="375">+BC140-BD140</f>
        <v>372</v>
      </c>
      <c r="BF140" s="433">
        <f t="shared" ref="BF140:BF148" si="376">IF(($BF$6-$G140+1)&gt;365,365,($BF$6-$G140+1))</f>
        <v>365</v>
      </c>
      <c r="BG140" s="149">
        <f>+BB140-E140*5%</f>
        <v>530.44431141629093</v>
      </c>
      <c r="BH140" s="2">
        <f t="shared" ref="BH140:BH148" si="377">+BB140-BG140</f>
        <v>1475.289</v>
      </c>
      <c r="BI140" s="2">
        <v>0</v>
      </c>
      <c r="BJ140" s="2">
        <f t="shared" ref="BJ140:BJ148" si="378">+BH140-BI140</f>
        <v>1475.289</v>
      </c>
      <c r="BK140" s="2">
        <v>0</v>
      </c>
      <c r="BL140" s="2">
        <f t="shared" ref="BL140:BL152" si="379">+BJ140-BK140</f>
        <v>1475.289</v>
      </c>
      <c r="BM140" s="2"/>
      <c r="BN140" s="2">
        <f t="shared" ref="BN140:BN153" si="380">BL140-BM140</f>
        <v>1475.289</v>
      </c>
      <c r="BO140" s="2"/>
      <c r="BP140" s="2">
        <f>+BL140-BO140</f>
        <v>1475.289</v>
      </c>
      <c r="BQ140" s="2"/>
      <c r="BR140" s="2">
        <f t="shared" ref="BR140:BR156" si="381">BP140-BQ140</f>
        <v>1475.289</v>
      </c>
      <c r="BS140" s="2"/>
      <c r="BT140" s="2">
        <f>+BP140-BS140</f>
        <v>1475.289</v>
      </c>
      <c r="BU140" s="2"/>
      <c r="BV140" s="2">
        <f>+BT140-BU140</f>
        <v>1475.289</v>
      </c>
      <c r="BW140" s="2"/>
      <c r="BX140" s="2">
        <f>+BV140-BW140</f>
        <v>1475.289</v>
      </c>
      <c r="BY140" s="2"/>
      <c r="BZ140" s="2">
        <f>+BX140-BY140</f>
        <v>1475.289</v>
      </c>
      <c r="CA140" s="2"/>
      <c r="CB140" s="2">
        <f>+BZ140-CA140</f>
        <v>1475.289</v>
      </c>
      <c r="CC140" s="2"/>
      <c r="CD140" s="2">
        <f>+CB140-CC140</f>
        <v>1475.289</v>
      </c>
      <c r="CE140" s="2"/>
      <c r="CF140" s="2">
        <f>+CD140-CE140</f>
        <v>1475.289</v>
      </c>
      <c r="CG140" s="2"/>
      <c r="CH140" s="2">
        <f>+CF140-CG140</f>
        <v>1475.289</v>
      </c>
      <c r="CI140" s="2"/>
      <c r="CJ140" s="2">
        <f>+CH140-CI140</f>
        <v>1475.289</v>
      </c>
      <c r="CK140" s="2"/>
      <c r="CL140" s="2">
        <f>+CJ140-CK140</f>
        <v>1475.289</v>
      </c>
      <c r="CM140" s="2"/>
      <c r="CN140" s="2">
        <f>+CL140-CM140</f>
        <v>1475.289</v>
      </c>
      <c r="CO140" s="2"/>
      <c r="CP140" s="2">
        <f>+CN140-CO140</f>
        <v>1475.289</v>
      </c>
      <c r="CQ140" s="2"/>
      <c r="CR140" s="2">
        <f>+CP140-CQ140</f>
        <v>1475.289</v>
      </c>
      <c r="CS140" s="2"/>
      <c r="CT140" s="2">
        <f>+CR140-CS140</f>
        <v>1475.289</v>
      </c>
      <c r="CU140" s="2"/>
      <c r="CV140" s="2">
        <f>+CT140-CU140</f>
        <v>1475.289</v>
      </c>
      <c r="CW140" s="2"/>
      <c r="CX140" s="2">
        <f>+CV140-CW140</f>
        <v>1475.289</v>
      </c>
      <c r="CY140" s="2"/>
      <c r="CZ140" s="2">
        <f>+CX140-CY140</f>
        <v>1475.289</v>
      </c>
      <c r="DA140" s="2"/>
      <c r="DB140" s="2">
        <f>+CZ140-DA140</f>
        <v>1475.289</v>
      </c>
      <c r="DC140" s="2"/>
      <c r="DD140" s="2">
        <f>+DB140-DC140</f>
        <v>1475.289</v>
      </c>
      <c r="DE140" s="2"/>
      <c r="DF140" s="2">
        <f>+DD140-DE140</f>
        <v>1475.289</v>
      </c>
      <c r="DG140" s="2"/>
      <c r="DH140" s="2">
        <f>+DF140-DG140</f>
        <v>1475.289</v>
      </c>
      <c r="DI140" s="2"/>
      <c r="DJ140" s="2">
        <f>+DH140-DI140</f>
        <v>1475.289</v>
      </c>
      <c r="DK140" s="2"/>
      <c r="DL140" s="2">
        <f>+DJ140-DK140</f>
        <v>1475.289</v>
      </c>
      <c r="DM140" s="2"/>
      <c r="DN140" s="2">
        <f>+DL140-DM140</f>
        <v>1475.289</v>
      </c>
      <c r="DO140" s="2"/>
      <c r="DP140" s="2">
        <f>+DN140-DO140</f>
        <v>1475.289</v>
      </c>
      <c r="DQ140" s="2"/>
      <c r="DR140" s="2">
        <f>+DP140-DQ140</f>
        <v>1475.289</v>
      </c>
      <c r="DS140" s="2"/>
      <c r="DT140" s="2">
        <f t="shared" ref="DT140:DT149" si="382">+DR140-DS140</f>
        <v>1475.289</v>
      </c>
      <c r="DU140" s="2"/>
      <c r="DV140" s="2"/>
      <c r="DW140" s="266">
        <f t="shared" ref="DW140:DW151" si="383">+E140*5%</f>
        <v>1475.289</v>
      </c>
      <c r="DX140" s="441">
        <f t="shared" ref="DX140:DX148" si="384">+DW140-DR140</f>
        <v>0</v>
      </c>
    </row>
    <row r="141" spans="1:128">
      <c r="A141" s="450">
        <f t="shared" ref="A141:A147" si="385">A140+1</f>
        <v>2</v>
      </c>
      <c r="B141" s="433" t="s">
        <v>510</v>
      </c>
      <c r="C141" s="467" t="s">
        <v>509</v>
      </c>
      <c r="D141" s="468">
        <v>0.25890000000000002</v>
      </c>
      <c r="E141" s="442">
        <v>481116.88</v>
      </c>
      <c r="F141" s="437" t="s">
        <v>1001</v>
      </c>
      <c r="G141" s="438">
        <v>40144</v>
      </c>
      <c r="H141" s="438"/>
      <c r="I141" s="438"/>
      <c r="J141" s="438"/>
      <c r="K141" s="438"/>
      <c r="L141" s="438"/>
      <c r="M141" s="433"/>
      <c r="N141" s="436"/>
      <c r="O141" s="436"/>
      <c r="P141" s="439">
        <v>128</v>
      </c>
      <c r="Q141" s="436">
        <f>ROUND(E141*13.91%/365*P141,0)</f>
        <v>23469</v>
      </c>
      <c r="R141" s="436">
        <f>E141-Q141</f>
        <v>457647.88</v>
      </c>
      <c r="S141" s="433">
        <f>IF(($S$6-G141+1)&gt;365,365,($Y$6-G141+1))</f>
        <v>365</v>
      </c>
      <c r="T141" s="436">
        <f>ROUND(R141*13.91%/365*S141,0)</f>
        <v>63659</v>
      </c>
      <c r="U141" s="436">
        <f>R141-T141</f>
        <v>393988.88</v>
      </c>
      <c r="V141" s="433">
        <f>IF(($V$6-G141+1)&gt;365,365,($V$6-G141+1))</f>
        <v>365</v>
      </c>
      <c r="W141" s="436">
        <f>ROUND((R141-T141)*13.91%/365*V141,0)</f>
        <v>54804</v>
      </c>
      <c r="X141" s="436">
        <f>IF((U141-W141)&gt;0,U141-W141,E141-W141)</f>
        <v>339184.88</v>
      </c>
      <c r="Y141" s="433">
        <f>IF(($Y$6-G141+1)&gt;365,365,($Y$6-G141+1))</f>
        <v>365</v>
      </c>
      <c r="Z141" s="436">
        <f>ROUND(IF(X141&gt;0,X141*13.91%/365*Y141,($E141*13.91%*Y141/365)),0)</f>
        <v>47181</v>
      </c>
      <c r="AA141" s="436">
        <f>IF((X141-Z141)&gt;0,X141-Z141,$E141-Z141)</f>
        <v>292003.88</v>
      </c>
      <c r="AB141" s="433">
        <f>IF(($AB$6-G141+1)&gt;365,365,($AB$6-G141+1))</f>
        <v>365</v>
      </c>
      <c r="AC141" s="436">
        <f t="shared" si="353"/>
        <v>75600</v>
      </c>
      <c r="AD141" s="436">
        <f t="shared" si="354"/>
        <v>216403.88</v>
      </c>
      <c r="AE141" s="436">
        <f t="shared" si="355"/>
        <v>264713</v>
      </c>
      <c r="AF141" s="436">
        <f t="shared" si="356"/>
        <v>216403.88</v>
      </c>
      <c r="AG141" s="436">
        <f t="shared" si="357"/>
        <v>0</v>
      </c>
      <c r="AH141" s="436">
        <f t="shared" si="358"/>
        <v>4.3452054794520549</v>
      </c>
      <c r="AI141" s="439">
        <v>8</v>
      </c>
      <c r="AJ141" s="436">
        <f t="shared" si="359"/>
        <v>3.6547945205479451</v>
      </c>
      <c r="AK141" s="440">
        <f t="shared" si="360"/>
        <v>0.45177245426191304</v>
      </c>
      <c r="AL141" s="2">
        <f t="shared" si="361"/>
        <v>0</v>
      </c>
      <c r="AM141" s="433">
        <f t="shared" si="362"/>
        <v>365</v>
      </c>
      <c r="AN141" s="436">
        <f t="shared" si="363"/>
        <v>56027</v>
      </c>
      <c r="AO141" s="436">
        <f t="shared" si="364"/>
        <v>97765</v>
      </c>
      <c r="AP141" s="436">
        <f t="shared" si="365"/>
        <v>118638.88</v>
      </c>
      <c r="AQ141" s="436">
        <f t="shared" si="366"/>
        <v>118638.88</v>
      </c>
      <c r="AR141" s="436">
        <f t="shared" si="367"/>
        <v>0</v>
      </c>
      <c r="AS141" s="436">
        <f t="shared" si="368"/>
        <v>41738</v>
      </c>
      <c r="AT141" s="2">
        <f t="shared" si="369"/>
        <v>160376.88</v>
      </c>
      <c r="AU141" s="2">
        <f t="shared" si="370"/>
        <v>118638.88</v>
      </c>
      <c r="AV141" s="2">
        <f t="shared" si="371"/>
        <v>0</v>
      </c>
      <c r="AW141" s="433">
        <f t="shared" si="372"/>
        <v>365</v>
      </c>
      <c r="AX141" s="2">
        <f t="shared" ref="AX141:AX147" si="386">AQ141*AK141</f>
        <v>53597.777988484595</v>
      </c>
      <c r="AY141" s="2">
        <f t="shared" ref="AY141:AY147" si="387">AQ141-AX141</f>
        <v>65041.10201151541</v>
      </c>
      <c r="AZ141" s="433">
        <f t="shared" si="373"/>
        <v>365</v>
      </c>
      <c r="BA141" s="2">
        <f t="shared" ref="BA141:BA148" si="388">AY141*AK141</f>
        <v>29383.778283641765</v>
      </c>
      <c r="BB141" s="2">
        <f t="shared" ref="BB141:BB148" si="389">AY141-BA141</f>
        <v>35657.323727873649</v>
      </c>
      <c r="BC141" s="2">
        <f t="shared" ref="BC141:BC148" si="390">10*365</f>
        <v>3650</v>
      </c>
      <c r="BD141" s="433">
        <f t="shared" si="374"/>
        <v>2681</v>
      </c>
      <c r="BE141" s="439">
        <f t="shared" si="375"/>
        <v>969</v>
      </c>
      <c r="BF141" s="433">
        <f t="shared" si="376"/>
        <v>365</v>
      </c>
      <c r="BG141" s="149">
        <f>+BB141-E141*5%</f>
        <v>11601.479727873648</v>
      </c>
      <c r="BH141" s="2">
        <f t="shared" si="377"/>
        <v>24055.844000000001</v>
      </c>
      <c r="BI141" s="2">
        <v>0</v>
      </c>
      <c r="BJ141" s="2">
        <f t="shared" si="378"/>
        <v>24055.844000000001</v>
      </c>
      <c r="BK141" s="2">
        <v>0</v>
      </c>
      <c r="BL141" s="2">
        <f t="shared" si="379"/>
        <v>24055.844000000001</v>
      </c>
      <c r="BM141" s="2"/>
      <c r="BN141" s="2">
        <f t="shared" si="380"/>
        <v>24055.844000000001</v>
      </c>
      <c r="BO141" s="2"/>
      <c r="BP141" s="2">
        <f t="shared" ref="BP141:BP151" si="391">+BL141-BO141</f>
        <v>24055.844000000001</v>
      </c>
      <c r="BQ141" s="2"/>
      <c r="BR141" s="2">
        <f t="shared" si="381"/>
        <v>24055.844000000001</v>
      </c>
      <c r="BS141" s="2"/>
      <c r="BT141" s="2">
        <f t="shared" ref="BT141:BT151" si="392">+BP141-BS141</f>
        <v>24055.844000000001</v>
      </c>
      <c r="BU141" s="2"/>
      <c r="BV141" s="2">
        <f t="shared" ref="BV141:BV151" si="393">+BT141-BU141</f>
        <v>24055.844000000001</v>
      </c>
      <c r="BW141" s="2"/>
      <c r="BX141" s="2">
        <f t="shared" ref="BX141:BX151" si="394">+BV141-BW141</f>
        <v>24055.844000000001</v>
      </c>
      <c r="BY141" s="2"/>
      <c r="BZ141" s="2">
        <f t="shared" ref="BZ141:BZ151" si="395">+BX141-BY141</f>
        <v>24055.844000000001</v>
      </c>
      <c r="CA141" s="2"/>
      <c r="CB141" s="2">
        <f t="shared" ref="CB141:CB151" si="396">+BZ141-CA141</f>
        <v>24055.844000000001</v>
      </c>
      <c r="CC141" s="2"/>
      <c r="CD141" s="2">
        <f t="shared" ref="CD141:CD151" si="397">+CB141-CC141</f>
        <v>24055.844000000001</v>
      </c>
      <c r="CE141" s="2"/>
      <c r="CF141" s="2">
        <f t="shared" ref="CF141:CF151" si="398">+CD141-CE141</f>
        <v>24055.844000000001</v>
      </c>
      <c r="CG141" s="2"/>
      <c r="CH141" s="2">
        <f t="shared" ref="CH141:CH148" si="399">+CF141-CG141</f>
        <v>24055.844000000001</v>
      </c>
      <c r="CI141" s="2"/>
      <c r="CJ141" s="2">
        <f t="shared" ref="CJ141:CJ149" si="400">+CH141-CI141</f>
        <v>24055.844000000001</v>
      </c>
      <c r="CK141" s="2"/>
      <c r="CL141" s="2">
        <f t="shared" ref="CL141:CL149" si="401">+CJ141-CK141</f>
        <v>24055.844000000001</v>
      </c>
      <c r="CM141" s="2"/>
      <c r="CN141" s="2">
        <f t="shared" ref="CN141:CN149" si="402">+CL141-CM141</f>
        <v>24055.844000000001</v>
      </c>
      <c r="CO141" s="2"/>
      <c r="CP141" s="2">
        <f t="shared" ref="CP141:CP149" si="403">+CN141-CO141</f>
        <v>24055.844000000001</v>
      </c>
      <c r="CQ141" s="2"/>
      <c r="CR141" s="2">
        <f t="shared" ref="CR141:DF149" si="404">+CP141-CQ141</f>
        <v>24055.844000000001</v>
      </c>
      <c r="CS141" s="2"/>
      <c r="CT141" s="2">
        <f t="shared" si="404"/>
        <v>24055.844000000001</v>
      </c>
      <c r="CU141" s="2"/>
      <c r="CV141" s="2">
        <f t="shared" si="404"/>
        <v>24055.844000000001</v>
      </c>
      <c r="CW141" s="2"/>
      <c r="CX141" s="2">
        <f t="shared" si="404"/>
        <v>24055.844000000001</v>
      </c>
      <c r="CY141" s="2"/>
      <c r="CZ141" s="2">
        <f t="shared" si="404"/>
        <v>24055.844000000001</v>
      </c>
      <c r="DA141" s="2"/>
      <c r="DB141" s="2">
        <f t="shared" si="404"/>
        <v>24055.844000000001</v>
      </c>
      <c r="DC141" s="2"/>
      <c r="DD141" s="2">
        <f t="shared" si="404"/>
        <v>24055.844000000001</v>
      </c>
      <c r="DE141" s="2"/>
      <c r="DF141" s="2">
        <f t="shared" si="404"/>
        <v>24055.844000000001</v>
      </c>
      <c r="DG141" s="2"/>
      <c r="DH141" s="2">
        <f t="shared" ref="DH141:DR149" si="405">+DF141-DG141</f>
        <v>24055.844000000001</v>
      </c>
      <c r="DI141" s="2"/>
      <c r="DJ141" s="2">
        <f t="shared" si="405"/>
        <v>24055.844000000001</v>
      </c>
      <c r="DK141" s="2"/>
      <c r="DL141" s="2">
        <f t="shared" si="405"/>
        <v>24055.844000000001</v>
      </c>
      <c r="DM141" s="2"/>
      <c r="DN141" s="2">
        <f t="shared" si="405"/>
        <v>24055.844000000001</v>
      </c>
      <c r="DO141" s="2"/>
      <c r="DP141" s="2">
        <f t="shared" si="405"/>
        <v>24055.844000000001</v>
      </c>
      <c r="DQ141" s="2"/>
      <c r="DR141" s="2">
        <f t="shared" si="405"/>
        <v>24055.844000000001</v>
      </c>
      <c r="DS141" s="2"/>
      <c r="DT141" s="2">
        <f t="shared" si="382"/>
        <v>24055.844000000001</v>
      </c>
      <c r="DU141" s="2"/>
      <c r="DV141" s="2"/>
      <c r="DW141" s="266">
        <f t="shared" si="383"/>
        <v>24055.844000000001</v>
      </c>
      <c r="DX141" s="441">
        <f t="shared" si="384"/>
        <v>0</v>
      </c>
    </row>
    <row r="142" spans="1:128">
      <c r="A142" s="450">
        <f t="shared" si="385"/>
        <v>3</v>
      </c>
      <c r="B142" s="433" t="s">
        <v>511</v>
      </c>
      <c r="C142" s="467" t="s">
        <v>509</v>
      </c>
      <c r="D142" s="468">
        <v>0.25890000000000002</v>
      </c>
      <c r="E142" s="442">
        <v>50290</v>
      </c>
      <c r="F142" s="437" t="s">
        <v>1001</v>
      </c>
      <c r="G142" s="438">
        <v>41076</v>
      </c>
      <c r="H142" s="438"/>
      <c r="I142" s="438"/>
      <c r="J142" s="438"/>
      <c r="K142" s="438"/>
      <c r="L142" s="438"/>
      <c r="M142" s="433"/>
      <c r="N142" s="436"/>
      <c r="O142" s="436"/>
      <c r="P142" s="439"/>
      <c r="Q142" s="436"/>
      <c r="R142" s="436"/>
      <c r="S142" s="433"/>
      <c r="T142" s="436"/>
      <c r="U142" s="436"/>
      <c r="V142" s="433"/>
      <c r="W142" s="436"/>
      <c r="X142" s="436"/>
      <c r="Y142" s="433">
        <f>IF(($Y$6-G142+1)&gt;365,365,($Y$6-G142+1))</f>
        <v>289</v>
      </c>
      <c r="Z142" s="436">
        <f>ROUND(IF(X142&gt;0,X142*13.91%/365*Y142,($E142*13.91%*Y142/365)),0)</f>
        <v>5539</v>
      </c>
      <c r="AA142" s="436">
        <f>IF((X142-Z142)&gt;0,X142-Z142,$E142-Z142)</f>
        <v>44751</v>
      </c>
      <c r="AB142" s="433">
        <f>IF(($AB$6-G142+1)&gt;365,365,($AB$6-G142+1))</f>
        <v>365</v>
      </c>
      <c r="AC142" s="436">
        <f t="shared" si="353"/>
        <v>11586</v>
      </c>
      <c r="AD142" s="436">
        <f t="shared" si="354"/>
        <v>33165</v>
      </c>
      <c r="AE142" s="436">
        <f t="shared" si="355"/>
        <v>17125</v>
      </c>
      <c r="AF142" s="436">
        <f t="shared" si="356"/>
        <v>33165</v>
      </c>
      <c r="AG142" s="436">
        <f t="shared" si="357"/>
        <v>0</v>
      </c>
      <c r="AH142" s="436">
        <f t="shared" si="358"/>
        <v>1.7917808219178082</v>
      </c>
      <c r="AI142" s="439">
        <v>10</v>
      </c>
      <c r="AJ142" s="436">
        <f t="shared" si="359"/>
        <v>8.2082191780821923</v>
      </c>
      <c r="AK142" s="440">
        <f t="shared" si="360"/>
        <v>0.26966253326686385</v>
      </c>
      <c r="AL142" s="2">
        <f t="shared" si="361"/>
        <v>0</v>
      </c>
      <c r="AM142" s="433">
        <f t="shared" si="362"/>
        <v>365</v>
      </c>
      <c r="AN142" s="436">
        <f t="shared" si="363"/>
        <v>8586</v>
      </c>
      <c r="AO142" s="436">
        <f t="shared" si="364"/>
        <v>8943</v>
      </c>
      <c r="AP142" s="436">
        <f t="shared" si="365"/>
        <v>24222</v>
      </c>
      <c r="AQ142" s="436">
        <f t="shared" si="366"/>
        <v>24222</v>
      </c>
      <c r="AR142" s="436">
        <f t="shared" si="367"/>
        <v>0</v>
      </c>
      <c r="AS142" s="436">
        <f t="shared" si="368"/>
        <v>357</v>
      </c>
      <c r="AT142" s="2">
        <f t="shared" si="369"/>
        <v>24579</v>
      </c>
      <c r="AU142" s="2">
        <f t="shared" si="370"/>
        <v>24222</v>
      </c>
      <c r="AV142" s="2">
        <f t="shared" si="371"/>
        <v>0</v>
      </c>
      <c r="AW142" s="433">
        <f t="shared" si="372"/>
        <v>365</v>
      </c>
      <c r="AX142" s="2">
        <f t="shared" si="386"/>
        <v>6531.7658807899761</v>
      </c>
      <c r="AY142" s="2">
        <f t="shared" si="387"/>
        <v>17690.234119210025</v>
      </c>
      <c r="AZ142" s="433">
        <f t="shared" si="373"/>
        <v>365</v>
      </c>
      <c r="BA142" s="2">
        <f t="shared" si="388"/>
        <v>4770.3933466700828</v>
      </c>
      <c r="BB142" s="2">
        <f t="shared" si="389"/>
        <v>12919.840772539941</v>
      </c>
      <c r="BC142" s="2">
        <f t="shared" si="390"/>
        <v>3650</v>
      </c>
      <c r="BD142" s="433">
        <f t="shared" si="374"/>
        <v>1749</v>
      </c>
      <c r="BE142" s="439">
        <f t="shared" si="375"/>
        <v>1901</v>
      </c>
      <c r="BF142" s="433">
        <f t="shared" si="376"/>
        <v>365</v>
      </c>
      <c r="BG142" s="149">
        <f t="shared" ref="BG142:BG148" si="406">IF(BE142&gt;365,IF(BF142=365,BB142*AK142,BB142*AK142*BF142/365),0)</f>
        <v>3483.9969921276356</v>
      </c>
      <c r="BH142" s="2">
        <f t="shared" si="377"/>
        <v>9435.8437804123059</v>
      </c>
      <c r="BI142" s="2">
        <f>+BH142-E142*5%</f>
        <v>6921.3437804123059</v>
      </c>
      <c r="BJ142" s="2">
        <f t="shared" si="378"/>
        <v>2514.5</v>
      </c>
      <c r="BK142" s="2">
        <v>0</v>
      </c>
      <c r="BL142" s="2">
        <f t="shared" si="379"/>
        <v>2514.5</v>
      </c>
      <c r="BM142" s="2"/>
      <c r="BN142" s="2">
        <f t="shared" si="380"/>
        <v>2514.5</v>
      </c>
      <c r="BO142" s="2"/>
      <c r="BP142" s="2">
        <f t="shared" si="391"/>
        <v>2514.5</v>
      </c>
      <c r="BQ142" s="2"/>
      <c r="BR142" s="2">
        <f t="shared" si="381"/>
        <v>2514.5</v>
      </c>
      <c r="BS142" s="2"/>
      <c r="BT142" s="2">
        <f t="shared" si="392"/>
        <v>2514.5</v>
      </c>
      <c r="BU142" s="2"/>
      <c r="BV142" s="2">
        <f t="shared" si="393"/>
        <v>2514.5</v>
      </c>
      <c r="BW142" s="2"/>
      <c r="BX142" s="2">
        <f t="shared" si="394"/>
        <v>2514.5</v>
      </c>
      <c r="BY142" s="2"/>
      <c r="BZ142" s="2">
        <f t="shared" si="395"/>
        <v>2514.5</v>
      </c>
      <c r="CA142" s="2"/>
      <c r="CB142" s="2">
        <f t="shared" si="396"/>
        <v>2514.5</v>
      </c>
      <c r="CC142" s="2"/>
      <c r="CD142" s="2">
        <f t="shared" si="397"/>
        <v>2514.5</v>
      </c>
      <c r="CE142" s="2"/>
      <c r="CF142" s="2">
        <f t="shared" si="398"/>
        <v>2514.5</v>
      </c>
      <c r="CG142" s="2"/>
      <c r="CH142" s="2">
        <f t="shared" si="399"/>
        <v>2514.5</v>
      </c>
      <c r="CI142" s="2"/>
      <c r="CJ142" s="2">
        <f t="shared" si="400"/>
        <v>2514.5</v>
      </c>
      <c r="CK142" s="2"/>
      <c r="CL142" s="2">
        <f t="shared" si="401"/>
        <v>2514.5</v>
      </c>
      <c r="CM142" s="2"/>
      <c r="CN142" s="2">
        <f t="shared" si="402"/>
        <v>2514.5</v>
      </c>
      <c r="CO142" s="2"/>
      <c r="CP142" s="2">
        <f t="shared" si="403"/>
        <v>2514.5</v>
      </c>
      <c r="CQ142" s="2"/>
      <c r="CR142" s="2">
        <f t="shared" si="404"/>
        <v>2514.5</v>
      </c>
      <c r="CS142" s="2"/>
      <c r="CT142" s="2">
        <f t="shared" si="404"/>
        <v>2514.5</v>
      </c>
      <c r="CU142" s="2"/>
      <c r="CV142" s="2">
        <f t="shared" si="404"/>
        <v>2514.5</v>
      </c>
      <c r="CW142" s="2"/>
      <c r="CX142" s="2">
        <f t="shared" si="404"/>
        <v>2514.5</v>
      </c>
      <c r="CY142" s="2"/>
      <c r="CZ142" s="2">
        <f t="shared" si="404"/>
        <v>2514.5</v>
      </c>
      <c r="DA142" s="2"/>
      <c r="DB142" s="2">
        <f t="shared" si="404"/>
        <v>2514.5</v>
      </c>
      <c r="DC142" s="2"/>
      <c r="DD142" s="2">
        <f t="shared" si="404"/>
        <v>2514.5</v>
      </c>
      <c r="DE142" s="2"/>
      <c r="DF142" s="2">
        <f t="shared" si="404"/>
        <v>2514.5</v>
      </c>
      <c r="DG142" s="2"/>
      <c r="DH142" s="2">
        <f t="shared" si="405"/>
        <v>2514.5</v>
      </c>
      <c r="DI142" s="2"/>
      <c r="DJ142" s="2">
        <f t="shared" si="405"/>
        <v>2514.5</v>
      </c>
      <c r="DK142" s="2"/>
      <c r="DL142" s="2">
        <f t="shared" si="405"/>
        <v>2514.5</v>
      </c>
      <c r="DM142" s="2"/>
      <c r="DN142" s="2">
        <f t="shared" si="405"/>
        <v>2514.5</v>
      </c>
      <c r="DO142" s="2"/>
      <c r="DP142" s="2">
        <f t="shared" si="405"/>
        <v>2514.5</v>
      </c>
      <c r="DQ142" s="2"/>
      <c r="DR142" s="2">
        <f t="shared" si="405"/>
        <v>2514.5</v>
      </c>
      <c r="DS142" s="2"/>
      <c r="DT142" s="2">
        <f t="shared" si="382"/>
        <v>2514.5</v>
      </c>
      <c r="DU142" s="2"/>
      <c r="DV142" s="2"/>
      <c r="DW142" s="266">
        <f t="shared" si="383"/>
        <v>2514.5</v>
      </c>
      <c r="DX142" s="441">
        <f t="shared" si="384"/>
        <v>0</v>
      </c>
    </row>
    <row r="143" spans="1:128">
      <c r="A143" s="450">
        <f t="shared" si="385"/>
        <v>4</v>
      </c>
      <c r="B143" s="433" t="s">
        <v>512</v>
      </c>
      <c r="C143" s="467" t="s">
        <v>509</v>
      </c>
      <c r="D143" s="468">
        <v>0.25890000000000002</v>
      </c>
      <c r="E143" s="442">
        <v>2402592</v>
      </c>
      <c r="F143" s="437" t="s">
        <v>1001</v>
      </c>
      <c r="G143" s="438">
        <v>41129</v>
      </c>
      <c r="H143" s="438"/>
      <c r="I143" s="438"/>
      <c r="J143" s="438"/>
      <c r="K143" s="438"/>
      <c r="L143" s="438"/>
      <c r="M143" s="433"/>
      <c r="N143" s="436"/>
      <c r="O143" s="436"/>
      <c r="P143" s="433"/>
      <c r="Q143" s="436"/>
      <c r="R143" s="436"/>
      <c r="S143" s="433"/>
      <c r="T143" s="436"/>
      <c r="U143" s="436"/>
      <c r="V143" s="433"/>
      <c r="W143" s="436"/>
      <c r="X143" s="436"/>
      <c r="Y143" s="433">
        <f>IF(($Y$6-G143+1)&gt;365,365,($Y$6-G143+1))</f>
        <v>236</v>
      </c>
      <c r="Z143" s="436">
        <f>ROUND(IF(X143&gt;0,X143*13.91%/365*Y143,($E143*13.91%*Y143/365)),0)</f>
        <v>216086</v>
      </c>
      <c r="AA143" s="436">
        <f>IF((X143-Z143)&gt;0,X143-Z143,$E143-Z143)</f>
        <v>2186506</v>
      </c>
      <c r="AB143" s="433">
        <f>IF(($AB$6-G143+1)&gt;365,365,($AB$6-G143+1))</f>
        <v>365</v>
      </c>
      <c r="AC143" s="436">
        <f t="shared" si="353"/>
        <v>566086</v>
      </c>
      <c r="AD143" s="436">
        <f t="shared" si="354"/>
        <v>1620420</v>
      </c>
      <c r="AE143" s="436">
        <f t="shared" si="355"/>
        <v>782172</v>
      </c>
      <c r="AF143" s="436">
        <f t="shared" si="356"/>
        <v>1620420</v>
      </c>
      <c r="AG143" s="436">
        <f t="shared" si="357"/>
        <v>0</v>
      </c>
      <c r="AH143" s="436">
        <f t="shared" si="358"/>
        <v>1.6465753424657534</v>
      </c>
      <c r="AI143" s="439">
        <v>8</v>
      </c>
      <c r="AJ143" s="436">
        <f t="shared" si="359"/>
        <v>6.3534246575342461</v>
      </c>
      <c r="AK143" s="440">
        <f t="shared" si="360"/>
        <v>0.33603269180163031</v>
      </c>
      <c r="AL143" s="2">
        <f t="shared" si="361"/>
        <v>0</v>
      </c>
      <c r="AM143" s="433">
        <f t="shared" si="362"/>
        <v>365</v>
      </c>
      <c r="AN143" s="436">
        <f t="shared" si="363"/>
        <v>419527</v>
      </c>
      <c r="AO143" s="436">
        <f t="shared" si="364"/>
        <v>544514</v>
      </c>
      <c r="AP143" s="436">
        <f t="shared" si="365"/>
        <v>1075906</v>
      </c>
      <c r="AQ143" s="436">
        <f t="shared" si="366"/>
        <v>1075906</v>
      </c>
      <c r="AR143" s="436">
        <f t="shared" si="367"/>
        <v>0</v>
      </c>
      <c r="AS143" s="436">
        <f t="shared" si="368"/>
        <v>124987</v>
      </c>
      <c r="AT143" s="2">
        <f t="shared" si="369"/>
        <v>1200893</v>
      </c>
      <c r="AU143" s="2">
        <f t="shared" si="370"/>
        <v>1075906</v>
      </c>
      <c r="AV143" s="2">
        <f t="shared" si="371"/>
        <v>0</v>
      </c>
      <c r="AW143" s="433">
        <f t="shared" si="372"/>
        <v>365</v>
      </c>
      <c r="AX143" s="2">
        <f t="shared" si="386"/>
        <v>361539.58930552489</v>
      </c>
      <c r="AY143" s="2">
        <f t="shared" si="387"/>
        <v>714366.41069447505</v>
      </c>
      <c r="AZ143" s="433">
        <f t="shared" si="373"/>
        <v>365</v>
      </c>
      <c r="BA143" s="2">
        <f t="shared" si="388"/>
        <v>240050.46791833339</v>
      </c>
      <c r="BB143" s="2">
        <f t="shared" si="389"/>
        <v>474315.94277614169</v>
      </c>
      <c r="BC143" s="2">
        <f t="shared" si="390"/>
        <v>3650</v>
      </c>
      <c r="BD143" s="433">
        <f t="shared" si="374"/>
        <v>1696</v>
      </c>
      <c r="BE143" s="439">
        <f t="shared" si="375"/>
        <v>1954</v>
      </c>
      <c r="BF143" s="433">
        <f t="shared" si="376"/>
        <v>365</v>
      </c>
      <c r="BG143" s="149">
        <f t="shared" si="406"/>
        <v>159385.66301549494</v>
      </c>
      <c r="BH143" s="2">
        <f t="shared" si="377"/>
        <v>314930.27976064675</v>
      </c>
      <c r="BI143" s="2">
        <f t="shared" ref="BI143:BI148" si="407">+BH143*AK143</f>
        <v>105826.86963781063</v>
      </c>
      <c r="BJ143" s="2">
        <f t="shared" si="378"/>
        <v>209103.41012283613</v>
      </c>
      <c r="BK143" s="2">
        <f t="shared" ref="BK143:BK148" si="408">+BJ143*AK143</f>
        <v>70265.581768476899</v>
      </c>
      <c r="BL143" s="2">
        <f t="shared" si="379"/>
        <v>138837.82835435923</v>
      </c>
      <c r="BM143" s="2"/>
      <c r="BN143" s="2">
        <f t="shared" si="380"/>
        <v>138837.82835435923</v>
      </c>
      <c r="BO143" s="2">
        <f t="shared" ref="BO143:BO148" si="409">+BL143-E143*5%</f>
        <v>18708.22835435922</v>
      </c>
      <c r="BP143" s="2">
        <f t="shared" si="391"/>
        <v>120129.60000000001</v>
      </c>
      <c r="BQ143" s="2"/>
      <c r="BR143" s="2">
        <f t="shared" si="381"/>
        <v>120129.60000000001</v>
      </c>
      <c r="BS143" s="2"/>
      <c r="BT143" s="2">
        <f t="shared" si="392"/>
        <v>120129.60000000001</v>
      </c>
      <c r="BU143" s="2"/>
      <c r="BV143" s="2">
        <f t="shared" si="393"/>
        <v>120129.60000000001</v>
      </c>
      <c r="BW143" s="2"/>
      <c r="BX143" s="2">
        <f t="shared" si="394"/>
        <v>120129.60000000001</v>
      </c>
      <c r="BY143" s="2"/>
      <c r="BZ143" s="2">
        <f t="shared" si="395"/>
        <v>120129.60000000001</v>
      </c>
      <c r="CA143" s="2"/>
      <c r="CB143" s="2">
        <f t="shared" si="396"/>
        <v>120129.60000000001</v>
      </c>
      <c r="CC143" s="2"/>
      <c r="CD143" s="2">
        <f t="shared" si="397"/>
        <v>120129.60000000001</v>
      </c>
      <c r="CE143" s="2"/>
      <c r="CF143" s="2">
        <f t="shared" si="398"/>
        <v>120129.60000000001</v>
      </c>
      <c r="CG143" s="2"/>
      <c r="CH143" s="2">
        <f t="shared" si="399"/>
        <v>120129.60000000001</v>
      </c>
      <c r="CI143" s="2"/>
      <c r="CJ143" s="2">
        <f t="shared" si="400"/>
        <v>120129.60000000001</v>
      </c>
      <c r="CK143" s="2"/>
      <c r="CL143" s="2">
        <f t="shared" si="401"/>
        <v>120129.60000000001</v>
      </c>
      <c r="CM143" s="2"/>
      <c r="CN143" s="2">
        <f t="shared" si="402"/>
        <v>120129.60000000001</v>
      </c>
      <c r="CO143" s="2"/>
      <c r="CP143" s="2">
        <f t="shared" si="403"/>
        <v>120129.60000000001</v>
      </c>
      <c r="CQ143" s="2"/>
      <c r="CR143" s="2">
        <f t="shared" si="404"/>
        <v>120129.60000000001</v>
      </c>
      <c r="CS143" s="2"/>
      <c r="CT143" s="2">
        <f t="shared" si="404"/>
        <v>120129.60000000001</v>
      </c>
      <c r="CU143" s="2"/>
      <c r="CV143" s="2">
        <f t="shared" si="404"/>
        <v>120129.60000000001</v>
      </c>
      <c r="CW143" s="2"/>
      <c r="CX143" s="2">
        <f t="shared" si="404"/>
        <v>120129.60000000001</v>
      </c>
      <c r="CY143" s="2"/>
      <c r="CZ143" s="2">
        <f t="shared" si="404"/>
        <v>120129.60000000001</v>
      </c>
      <c r="DA143" s="2"/>
      <c r="DB143" s="2">
        <f t="shared" si="404"/>
        <v>120129.60000000001</v>
      </c>
      <c r="DC143" s="2"/>
      <c r="DD143" s="2">
        <f t="shared" si="404"/>
        <v>120129.60000000001</v>
      </c>
      <c r="DE143" s="2"/>
      <c r="DF143" s="2">
        <f t="shared" si="404"/>
        <v>120129.60000000001</v>
      </c>
      <c r="DG143" s="2"/>
      <c r="DH143" s="2">
        <f t="shared" si="405"/>
        <v>120129.60000000001</v>
      </c>
      <c r="DI143" s="2"/>
      <c r="DJ143" s="2">
        <f t="shared" si="405"/>
        <v>120129.60000000001</v>
      </c>
      <c r="DK143" s="2"/>
      <c r="DL143" s="2">
        <f t="shared" si="405"/>
        <v>120129.60000000001</v>
      </c>
      <c r="DM143" s="2"/>
      <c r="DN143" s="2">
        <f t="shared" si="405"/>
        <v>120129.60000000001</v>
      </c>
      <c r="DO143" s="2"/>
      <c r="DP143" s="2">
        <f t="shared" si="405"/>
        <v>120129.60000000001</v>
      </c>
      <c r="DQ143" s="2"/>
      <c r="DR143" s="2">
        <f t="shared" si="405"/>
        <v>120129.60000000001</v>
      </c>
      <c r="DS143" s="2"/>
      <c r="DT143" s="2">
        <f t="shared" si="382"/>
        <v>120129.60000000001</v>
      </c>
      <c r="DU143" s="2"/>
      <c r="DV143" s="2"/>
      <c r="DW143" s="266">
        <f t="shared" si="383"/>
        <v>120129.60000000001</v>
      </c>
      <c r="DX143" s="441">
        <f t="shared" si="384"/>
        <v>0</v>
      </c>
    </row>
    <row r="144" spans="1:128">
      <c r="A144" s="450">
        <f t="shared" si="385"/>
        <v>5</v>
      </c>
      <c r="B144" s="433" t="s">
        <v>513</v>
      </c>
      <c r="C144" s="467" t="s">
        <v>509</v>
      </c>
      <c r="D144" s="468">
        <v>0.25890000000000002</v>
      </c>
      <c r="E144" s="442">
        <v>51417</v>
      </c>
      <c r="F144" s="437" t="s">
        <v>1001</v>
      </c>
      <c r="G144" s="438">
        <v>41323</v>
      </c>
      <c r="H144" s="438"/>
      <c r="I144" s="438"/>
      <c r="J144" s="438"/>
      <c r="K144" s="438"/>
      <c r="L144" s="438"/>
      <c r="M144" s="433"/>
      <c r="N144" s="436"/>
      <c r="O144" s="436"/>
      <c r="P144" s="439"/>
      <c r="Q144" s="436"/>
      <c r="R144" s="436"/>
      <c r="S144" s="433"/>
      <c r="T144" s="436"/>
      <c r="U144" s="436"/>
      <c r="V144" s="433"/>
      <c r="W144" s="436"/>
      <c r="X144" s="436"/>
      <c r="Y144" s="433">
        <f>IF(($Y$6-G144+1)&gt;365,365,($Y$6-G144+1))</f>
        <v>42</v>
      </c>
      <c r="Z144" s="436">
        <f>ROUND(IF(X144&gt;0,X144*13.91%/365*Y144,($E144*13.91%*Y144/365)),0)</f>
        <v>823</v>
      </c>
      <c r="AA144" s="436">
        <f>IF((X144-Z144)&gt;0,X144-Z144,$E144-Z144)</f>
        <v>50594</v>
      </c>
      <c r="AB144" s="433">
        <f>IF(($AB$6-G144+1)&gt;365,365,($AB$6-G144+1))</f>
        <v>365</v>
      </c>
      <c r="AC144" s="436">
        <f t="shared" si="353"/>
        <v>13099</v>
      </c>
      <c r="AD144" s="436">
        <f t="shared" si="354"/>
        <v>37495</v>
      </c>
      <c r="AE144" s="436">
        <f t="shared" si="355"/>
        <v>13922</v>
      </c>
      <c r="AF144" s="436">
        <f t="shared" si="356"/>
        <v>37495</v>
      </c>
      <c r="AG144" s="436">
        <f t="shared" si="357"/>
        <v>0</v>
      </c>
      <c r="AH144" s="436">
        <f t="shared" si="358"/>
        <v>1.1150684931506849</v>
      </c>
      <c r="AI144" s="439">
        <v>10</v>
      </c>
      <c r="AJ144" s="436">
        <f t="shared" si="359"/>
        <v>8.8849315068493144</v>
      </c>
      <c r="AK144" s="440">
        <f t="shared" si="360"/>
        <v>0.26038908832680807</v>
      </c>
      <c r="AL144" s="2">
        <f t="shared" si="361"/>
        <v>0</v>
      </c>
      <c r="AM144" s="433">
        <f t="shared" si="362"/>
        <v>365</v>
      </c>
      <c r="AN144" s="436">
        <f t="shared" si="363"/>
        <v>9707</v>
      </c>
      <c r="AO144" s="436">
        <f t="shared" si="364"/>
        <v>9763</v>
      </c>
      <c r="AP144" s="436">
        <f t="shared" si="365"/>
        <v>27732</v>
      </c>
      <c r="AQ144" s="436">
        <f t="shared" si="366"/>
        <v>27732</v>
      </c>
      <c r="AR144" s="436">
        <f t="shared" si="367"/>
        <v>0</v>
      </c>
      <c r="AS144" s="436">
        <f t="shared" si="368"/>
        <v>56</v>
      </c>
      <c r="AT144" s="2">
        <f t="shared" si="369"/>
        <v>27788</v>
      </c>
      <c r="AU144" s="2">
        <f t="shared" si="370"/>
        <v>27732</v>
      </c>
      <c r="AV144" s="2">
        <f t="shared" si="371"/>
        <v>0</v>
      </c>
      <c r="AW144" s="433">
        <f t="shared" si="372"/>
        <v>365</v>
      </c>
      <c r="AX144" s="2">
        <f t="shared" si="386"/>
        <v>7221.1101974790417</v>
      </c>
      <c r="AY144" s="2">
        <f t="shared" si="387"/>
        <v>20510.889802520956</v>
      </c>
      <c r="AZ144" s="433">
        <f t="shared" si="373"/>
        <v>365</v>
      </c>
      <c r="BA144" s="2">
        <f t="shared" si="388"/>
        <v>5340.8118964500563</v>
      </c>
      <c r="BB144" s="2">
        <f t="shared" si="389"/>
        <v>15170.077906070899</v>
      </c>
      <c r="BC144" s="2">
        <f t="shared" si="390"/>
        <v>3650</v>
      </c>
      <c r="BD144" s="433">
        <f t="shared" si="374"/>
        <v>1502</v>
      </c>
      <c r="BE144" s="439">
        <f t="shared" si="375"/>
        <v>2148</v>
      </c>
      <c r="BF144" s="433">
        <f t="shared" si="376"/>
        <v>365</v>
      </c>
      <c r="BG144" s="149">
        <f t="shared" si="406"/>
        <v>3950.1227558084552</v>
      </c>
      <c r="BH144" s="2">
        <f t="shared" si="377"/>
        <v>11219.955150262444</v>
      </c>
      <c r="BI144" s="2">
        <f t="shared" si="407"/>
        <v>2921.5538926445124</v>
      </c>
      <c r="BJ144" s="2">
        <f t="shared" si="378"/>
        <v>8298.4012576179302</v>
      </c>
      <c r="BK144" s="2">
        <f t="shared" si="408"/>
        <v>2160.8131380411705</v>
      </c>
      <c r="BL144" s="2">
        <f t="shared" si="379"/>
        <v>6137.5881195767597</v>
      </c>
      <c r="BM144" s="2"/>
      <c r="BN144" s="2">
        <f t="shared" si="380"/>
        <v>6137.5881195767597</v>
      </c>
      <c r="BO144" s="2">
        <f t="shared" si="409"/>
        <v>3566.7381195767593</v>
      </c>
      <c r="BP144" s="2">
        <f t="shared" si="391"/>
        <v>2570.8500000000004</v>
      </c>
      <c r="BQ144" s="2"/>
      <c r="BR144" s="2">
        <f t="shared" si="381"/>
        <v>2570.8500000000004</v>
      </c>
      <c r="BS144" s="2"/>
      <c r="BT144" s="2">
        <f t="shared" si="392"/>
        <v>2570.8500000000004</v>
      </c>
      <c r="BU144" s="2"/>
      <c r="BV144" s="2">
        <f t="shared" si="393"/>
        <v>2570.8500000000004</v>
      </c>
      <c r="BW144" s="2"/>
      <c r="BX144" s="2">
        <f t="shared" si="394"/>
        <v>2570.8500000000004</v>
      </c>
      <c r="BY144" s="2"/>
      <c r="BZ144" s="2">
        <f t="shared" si="395"/>
        <v>2570.8500000000004</v>
      </c>
      <c r="CA144" s="2"/>
      <c r="CB144" s="2">
        <f t="shared" si="396"/>
        <v>2570.8500000000004</v>
      </c>
      <c r="CC144" s="2"/>
      <c r="CD144" s="2">
        <f t="shared" si="397"/>
        <v>2570.8500000000004</v>
      </c>
      <c r="CE144" s="2"/>
      <c r="CF144" s="2">
        <f t="shared" si="398"/>
        <v>2570.8500000000004</v>
      </c>
      <c r="CG144" s="2"/>
      <c r="CH144" s="2">
        <f t="shared" si="399"/>
        <v>2570.8500000000004</v>
      </c>
      <c r="CI144" s="2"/>
      <c r="CJ144" s="2">
        <f t="shared" si="400"/>
        <v>2570.8500000000004</v>
      </c>
      <c r="CK144" s="2"/>
      <c r="CL144" s="2">
        <f t="shared" si="401"/>
        <v>2570.8500000000004</v>
      </c>
      <c r="CM144" s="2"/>
      <c r="CN144" s="2">
        <f t="shared" si="402"/>
        <v>2570.8500000000004</v>
      </c>
      <c r="CO144" s="2"/>
      <c r="CP144" s="2">
        <f t="shared" si="403"/>
        <v>2570.8500000000004</v>
      </c>
      <c r="CQ144" s="2"/>
      <c r="CR144" s="2">
        <f t="shared" si="404"/>
        <v>2570.8500000000004</v>
      </c>
      <c r="CS144" s="2"/>
      <c r="CT144" s="2">
        <f t="shared" si="404"/>
        <v>2570.8500000000004</v>
      </c>
      <c r="CU144" s="2"/>
      <c r="CV144" s="2">
        <f t="shared" si="404"/>
        <v>2570.8500000000004</v>
      </c>
      <c r="CW144" s="2"/>
      <c r="CX144" s="2">
        <f t="shared" si="404"/>
        <v>2570.8500000000004</v>
      </c>
      <c r="CY144" s="2"/>
      <c r="CZ144" s="2">
        <f t="shared" si="404"/>
        <v>2570.8500000000004</v>
      </c>
      <c r="DA144" s="2"/>
      <c r="DB144" s="2">
        <f t="shared" si="404"/>
        <v>2570.8500000000004</v>
      </c>
      <c r="DC144" s="2"/>
      <c r="DD144" s="2">
        <f t="shared" si="404"/>
        <v>2570.8500000000004</v>
      </c>
      <c r="DE144" s="2"/>
      <c r="DF144" s="2">
        <f t="shared" si="404"/>
        <v>2570.8500000000004</v>
      </c>
      <c r="DG144" s="2"/>
      <c r="DH144" s="2">
        <f t="shared" si="405"/>
        <v>2570.8500000000004</v>
      </c>
      <c r="DI144" s="2"/>
      <c r="DJ144" s="2">
        <f t="shared" si="405"/>
        <v>2570.8500000000004</v>
      </c>
      <c r="DK144" s="2"/>
      <c r="DL144" s="2">
        <f t="shared" si="405"/>
        <v>2570.8500000000004</v>
      </c>
      <c r="DM144" s="2"/>
      <c r="DN144" s="2">
        <f t="shared" si="405"/>
        <v>2570.8500000000004</v>
      </c>
      <c r="DO144" s="2"/>
      <c r="DP144" s="2">
        <f t="shared" si="405"/>
        <v>2570.8500000000004</v>
      </c>
      <c r="DQ144" s="2"/>
      <c r="DR144" s="2">
        <f t="shared" si="405"/>
        <v>2570.8500000000004</v>
      </c>
      <c r="DS144" s="2"/>
      <c r="DT144" s="2">
        <f t="shared" si="382"/>
        <v>2570.8500000000004</v>
      </c>
      <c r="DU144" s="2"/>
      <c r="DV144" s="2"/>
      <c r="DW144" s="266">
        <f t="shared" si="383"/>
        <v>2570.8500000000004</v>
      </c>
      <c r="DX144" s="441">
        <f t="shared" si="384"/>
        <v>0</v>
      </c>
    </row>
    <row r="145" spans="1:128">
      <c r="A145" s="450">
        <f t="shared" si="385"/>
        <v>6</v>
      </c>
      <c r="B145" s="433" t="s">
        <v>514</v>
      </c>
      <c r="C145" s="467" t="s">
        <v>509</v>
      </c>
      <c r="D145" s="468">
        <v>0.25890000000000002</v>
      </c>
      <c r="E145" s="442">
        <v>55019</v>
      </c>
      <c r="F145" s="437" t="s">
        <v>1001</v>
      </c>
      <c r="G145" s="438">
        <v>41365</v>
      </c>
      <c r="H145" s="438"/>
      <c r="I145" s="438"/>
      <c r="J145" s="438"/>
      <c r="K145" s="438"/>
      <c r="L145" s="438"/>
      <c r="M145" s="433"/>
      <c r="N145" s="436"/>
      <c r="O145" s="436"/>
      <c r="P145" s="439"/>
      <c r="Q145" s="436"/>
      <c r="R145" s="436"/>
      <c r="S145" s="433"/>
      <c r="T145" s="436"/>
      <c r="U145" s="436"/>
      <c r="V145" s="433"/>
      <c r="W145" s="436"/>
      <c r="X145" s="436"/>
      <c r="Y145" s="433"/>
      <c r="Z145" s="436"/>
      <c r="AA145" s="436"/>
      <c r="AB145" s="433">
        <f>IF(($AB$6-G145+1)&gt;365,365,($AB$6-G145+1))-1</f>
        <v>364</v>
      </c>
      <c r="AC145" s="436">
        <f t="shared" si="353"/>
        <v>14205</v>
      </c>
      <c r="AD145" s="436">
        <f t="shared" si="354"/>
        <v>40814</v>
      </c>
      <c r="AE145" s="436">
        <f t="shared" si="355"/>
        <v>14205</v>
      </c>
      <c r="AF145" s="436">
        <f t="shared" si="356"/>
        <v>40814</v>
      </c>
      <c r="AG145" s="436">
        <f t="shared" si="357"/>
        <v>0</v>
      </c>
      <c r="AH145" s="436">
        <f t="shared" si="358"/>
        <v>1</v>
      </c>
      <c r="AI145" s="439">
        <v>10</v>
      </c>
      <c r="AJ145" s="436">
        <f t="shared" si="359"/>
        <v>9</v>
      </c>
      <c r="AK145" s="440">
        <f t="shared" si="360"/>
        <v>0.25894129154304424</v>
      </c>
      <c r="AL145" s="2">
        <f t="shared" si="361"/>
        <v>0</v>
      </c>
      <c r="AM145" s="433">
        <f t="shared" si="362"/>
        <v>365</v>
      </c>
      <c r="AN145" s="436">
        <f t="shared" si="363"/>
        <v>10567</v>
      </c>
      <c r="AO145" s="436">
        <f t="shared" si="364"/>
        <v>10568</v>
      </c>
      <c r="AP145" s="436">
        <f t="shared" si="365"/>
        <v>30246</v>
      </c>
      <c r="AQ145" s="436">
        <f t="shared" si="366"/>
        <v>30246</v>
      </c>
      <c r="AR145" s="436">
        <f t="shared" si="367"/>
        <v>0</v>
      </c>
      <c r="AS145" s="436">
        <f t="shared" si="368"/>
        <v>1</v>
      </c>
      <c r="AT145" s="2">
        <f t="shared" si="369"/>
        <v>30247</v>
      </c>
      <c r="AU145" s="2">
        <f t="shared" si="370"/>
        <v>30246</v>
      </c>
      <c r="AV145" s="2">
        <f t="shared" si="371"/>
        <v>0</v>
      </c>
      <c r="AW145" s="433">
        <f t="shared" si="372"/>
        <v>365</v>
      </c>
      <c r="AX145" s="2">
        <f t="shared" si="386"/>
        <v>7831.938304010916</v>
      </c>
      <c r="AY145" s="2">
        <f t="shared" si="387"/>
        <v>22414.061695989083</v>
      </c>
      <c r="AZ145" s="433">
        <f t="shared" si="373"/>
        <v>365</v>
      </c>
      <c r="BA145" s="2">
        <f t="shared" si="388"/>
        <v>5803.9260842848898</v>
      </c>
      <c r="BB145" s="2">
        <f t="shared" si="389"/>
        <v>16610.135611704194</v>
      </c>
      <c r="BC145" s="2">
        <f t="shared" si="390"/>
        <v>3650</v>
      </c>
      <c r="BD145" s="433">
        <f t="shared" si="374"/>
        <v>1460</v>
      </c>
      <c r="BE145" s="439">
        <f t="shared" si="375"/>
        <v>2190</v>
      </c>
      <c r="BF145" s="433">
        <f t="shared" si="376"/>
        <v>365</v>
      </c>
      <c r="BG145" s="149">
        <f t="shared" si="406"/>
        <v>4301.0499679997974</v>
      </c>
      <c r="BH145" s="2">
        <f t="shared" si="377"/>
        <v>12309.085643704397</v>
      </c>
      <c r="BI145" s="2">
        <f t="shared" si="407"/>
        <v>3187.3305342947606</v>
      </c>
      <c r="BJ145" s="2">
        <f t="shared" si="378"/>
        <v>9121.7551094096361</v>
      </c>
      <c r="BK145" s="2">
        <f t="shared" si="408"/>
        <v>2361.9990491698941</v>
      </c>
      <c r="BL145" s="2">
        <f t="shared" si="379"/>
        <v>6759.7560602397425</v>
      </c>
      <c r="BM145" s="2"/>
      <c r="BN145" s="2">
        <f t="shared" si="380"/>
        <v>6759.7560602397425</v>
      </c>
      <c r="BO145" s="2">
        <f t="shared" si="409"/>
        <v>4008.8060602397422</v>
      </c>
      <c r="BP145" s="2">
        <f t="shared" si="391"/>
        <v>2750.9500000000003</v>
      </c>
      <c r="BQ145" s="2"/>
      <c r="BR145" s="2">
        <f t="shared" si="381"/>
        <v>2750.9500000000003</v>
      </c>
      <c r="BS145" s="2"/>
      <c r="BT145" s="2">
        <f t="shared" si="392"/>
        <v>2750.9500000000003</v>
      </c>
      <c r="BU145" s="2"/>
      <c r="BV145" s="2">
        <f t="shared" si="393"/>
        <v>2750.9500000000003</v>
      </c>
      <c r="BW145" s="2"/>
      <c r="BX145" s="2">
        <f t="shared" si="394"/>
        <v>2750.9500000000003</v>
      </c>
      <c r="BY145" s="2"/>
      <c r="BZ145" s="2">
        <f t="shared" si="395"/>
        <v>2750.9500000000003</v>
      </c>
      <c r="CA145" s="2"/>
      <c r="CB145" s="2">
        <f t="shared" si="396"/>
        <v>2750.9500000000003</v>
      </c>
      <c r="CC145" s="2"/>
      <c r="CD145" s="2">
        <f t="shared" si="397"/>
        <v>2750.9500000000003</v>
      </c>
      <c r="CE145" s="2"/>
      <c r="CF145" s="2">
        <f t="shared" si="398"/>
        <v>2750.9500000000003</v>
      </c>
      <c r="CG145" s="2"/>
      <c r="CH145" s="2">
        <f t="shared" si="399"/>
        <v>2750.9500000000003</v>
      </c>
      <c r="CI145" s="2"/>
      <c r="CJ145" s="2">
        <f t="shared" si="400"/>
        <v>2750.9500000000003</v>
      </c>
      <c r="CK145" s="2"/>
      <c r="CL145" s="2">
        <f t="shared" si="401"/>
        <v>2750.9500000000003</v>
      </c>
      <c r="CM145" s="2"/>
      <c r="CN145" s="2">
        <f t="shared" si="402"/>
        <v>2750.9500000000003</v>
      </c>
      <c r="CO145" s="2"/>
      <c r="CP145" s="2">
        <f t="shared" si="403"/>
        <v>2750.9500000000003</v>
      </c>
      <c r="CQ145" s="2"/>
      <c r="CR145" s="2">
        <f t="shared" si="404"/>
        <v>2750.9500000000003</v>
      </c>
      <c r="CS145" s="2"/>
      <c r="CT145" s="2">
        <f t="shared" si="404"/>
        <v>2750.9500000000003</v>
      </c>
      <c r="CU145" s="2"/>
      <c r="CV145" s="2">
        <f t="shared" si="404"/>
        <v>2750.9500000000003</v>
      </c>
      <c r="CW145" s="2"/>
      <c r="CX145" s="2">
        <f t="shared" si="404"/>
        <v>2750.9500000000003</v>
      </c>
      <c r="CY145" s="2"/>
      <c r="CZ145" s="2">
        <f t="shared" si="404"/>
        <v>2750.9500000000003</v>
      </c>
      <c r="DA145" s="2"/>
      <c r="DB145" s="2">
        <f t="shared" si="404"/>
        <v>2750.9500000000003</v>
      </c>
      <c r="DC145" s="2"/>
      <c r="DD145" s="2">
        <f t="shared" si="404"/>
        <v>2750.9500000000003</v>
      </c>
      <c r="DE145" s="2"/>
      <c r="DF145" s="2">
        <f t="shared" si="404"/>
        <v>2750.9500000000003</v>
      </c>
      <c r="DG145" s="2"/>
      <c r="DH145" s="2">
        <f t="shared" si="405"/>
        <v>2750.9500000000003</v>
      </c>
      <c r="DI145" s="2"/>
      <c r="DJ145" s="2">
        <f t="shared" si="405"/>
        <v>2750.9500000000003</v>
      </c>
      <c r="DK145" s="2"/>
      <c r="DL145" s="2">
        <f t="shared" si="405"/>
        <v>2750.9500000000003</v>
      </c>
      <c r="DM145" s="2"/>
      <c r="DN145" s="2">
        <f t="shared" si="405"/>
        <v>2750.9500000000003</v>
      </c>
      <c r="DO145" s="2"/>
      <c r="DP145" s="2">
        <f t="shared" si="405"/>
        <v>2750.9500000000003</v>
      </c>
      <c r="DQ145" s="2"/>
      <c r="DR145" s="2">
        <f t="shared" si="405"/>
        <v>2750.9500000000003</v>
      </c>
      <c r="DS145" s="2"/>
      <c r="DT145" s="2">
        <f t="shared" si="382"/>
        <v>2750.9500000000003</v>
      </c>
      <c r="DU145" s="2"/>
      <c r="DV145" s="2"/>
      <c r="DW145" s="266">
        <f t="shared" si="383"/>
        <v>2750.9500000000003</v>
      </c>
      <c r="DX145" s="441">
        <f t="shared" si="384"/>
        <v>0</v>
      </c>
    </row>
    <row r="146" spans="1:128">
      <c r="A146" s="450">
        <f t="shared" si="385"/>
        <v>7</v>
      </c>
      <c r="B146" s="433" t="s">
        <v>515</v>
      </c>
      <c r="C146" s="467" t="s">
        <v>509</v>
      </c>
      <c r="D146" s="468">
        <v>0.25890000000000002</v>
      </c>
      <c r="E146" s="442">
        <v>48531</v>
      </c>
      <c r="F146" s="437" t="s">
        <v>1001</v>
      </c>
      <c r="G146" s="438">
        <v>41517</v>
      </c>
      <c r="H146" s="438"/>
      <c r="I146" s="438"/>
      <c r="J146" s="438"/>
      <c r="K146" s="438"/>
      <c r="L146" s="438"/>
      <c r="M146" s="433"/>
      <c r="N146" s="436"/>
      <c r="O146" s="436"/>
      <c r="P146" s="439"/>
      <c r="Q146" s="436"/>
      <c r="R146" s="436"/>
      <c r="S146" s="433"/>
      <c r="T146" s="436"/>
      <c r="U146" s="436"/>
      <c r="V146" s="433"/>
      <c r="W146" s="436"/>
      <c r="X146" s="436"/>
      <c r="Y146" s="433"/>
      <c r="Z146" s="436"/>
      <c r="AA146" s="436"/>
      <c r="AB146" s="433">
        <f>IF(($AB$6-G146+1)&gt;365,365,($AB$6-G146+1))-1</f>
        <v>212</v>
      </c>
      <c r="AC146" s="436">
        <f t="shared" si="353"/>
        <v>7298</v>
      </c>
      <c r="AD146" s="436">
        <f t="shared" si="354"/>
        <v>41233</v>
      </c>
      <c r="AE146" s="436">
        <f t="shared" si="355"/>
        <v>7298</v>
      </c>
      <c r="AF146" s="436">
        <f t="shared" si="356"/>
        <v>41233</v>
      </c>
      <c r="AG146" s="436">
        <f t="shared" si="357"/>
        <v>0</v>
      </c>
      <c r="AH146" s="436">
        <f t="shared" si="358"/>
        <v>0.58356164383561648</v>
      </c>
      <c r="AI146" s="439">
        <v>10</v>
      </c>
      <c r="AJ146" s="436">
        <f t="shared" si="359"/>
        <v>9.4164383561643827</v>
      </c>
      <c r="AK146" s="440">
        <f t="shared" si="360"/>
        <v>0.25979807457030313</v>
      </c>
      <c r="AL146" s="2">
        <f t="shared" si="361"/>
        <v>0</v>
      </c>
      <c r="AM146" s="433">
        <f t="shared" si="362"/>
        <v>365</v>
      </c>
      <c r="AN146" s="436">
        <f t="shared" si="363"/>
        <v>10675</v>
      </c>
      <c r="AO146" s="436">
        <f t="shared" si="364"/>
        <v>10712</v>
      </c>
      <c r="AP146" s="436">
        <f t="shared" si="365"/>
        <v>30521</v>
      </c>
      <c r="AQ146" s="436">
        <f t="shared" si="366"/>
        <v>30521</v>
      </c>
      <c r="AR146" s="436">
        <f t="shared" si="367"/>
        <v>0</v>
      </c>
      <c r="AS146" s="436">
        <f t="shared" si="368"/>
        <v>37</v>
      </c>
      <c r="AT146" s="2">
        <f t="shared" si="369"/>
        <v>30558</v>
      </c>
      <c r="AU146" s="2">
        <f t="shared" si="370"/>
        <v>30521</v>
      </c>
      <c r="AV146" s="2">
        <f t="shared" si="371"/>
        <v>0</v>
      </c>
      <c r="AW146" s="433">
        <f t="shared" si="372"/>
        <v>365</v>
      </c>
      <c r="AX146" s="2">
        <f t="shared" si="386"/>
        <v>7929.2970339602216</v>
      </c>
      <c r="AY146" s="2">
        <f t="shared" si="387"/>
        <v>22591.702966039778</v>
      </c>
      <c r="AZ146" s="433">
        <f t="shared" si="373"/>
        <v>365</v>
      </c>
      <c r="BA146" s="2">
        <f t="shared" si="388"/>
        <v>5869.280931841341</v>
      </c>
      <c r="BB146" s="2">
        <f t="shared" si="389"/>
        <v>16722.422034198436</v>
      </c>
      <c r="BC146" s="2">
        <f t="shared" si="390"/>
        <v>3650</v>
      </c>
      <c r="BD146" s="433">
        <f t="shared" si="374"/>
        <v>1308</v>
      </c>
      <c r="BE146" s="439">
        <f t="shared" si="375"/>
        <v>2342</v>
      </c>
      <c r="BF146" s="433">
        <f t="shared" si="376"/>
        <v>365</v>
      </c>
      <c r="BG146" s="149">
        <f t="shared" si="406"/>
        <v>4344.4530466367651</v>
      </c>
      <c r="BH146" s="2">
        <f t="shared" si="377"/>
        <v>12377.968987561671</v>
      </c>
      <c r="BI146" s="2">
        <f t="shared" si="407"/>
        <v>3215.7725100594466</v>
      </c>
      <c r="BJ146" s="2">
        <f t="shared" si="378"/>
        <v>9162.1964775022243</v>
      </c>
      <c r="BK146" s="2">
        <f t="shared" si="408"/>
        <v>2380.3210036898913</v>
      </c>
      <c r="BL146" s="2">
        <f t="shared" si="379"/>
        <v>6781.8754738123334</v>
      </c>
      <c r="BM146" s="2"/>
      <c r="BN146" s="2">
        <f t="shared" si="380"/>
        <v>6781.8754738123334</v>
      </c>
      <c r="BO146" s="2">
        <f t="shared" si="409"/>
        <v>4355.3254738123333</v>
      </c>
      <c r="BP146" s="2">
        <f t="shared" si="391"/>
        <v>2426.5500000000002</v>
      </c>
      <c r="BQ146" s="2"/>
      <c r="BR146" s="2">
        <f t="shared" si="381"/>
        <v>2426.5500000000002</v>
      </c>
      <c r="BS146" s="2"/>
      <c r="BT146" s="2">
        <f t="shared" si="392"/>
        <v>2426.5500000000002</v>
      </c>
      <c r="BU146" s="2"/>
      <c r="BV146" s="2">
        <f t="shared" si="393"/>
        <v>2426.5500000000002</v>
      </c>
      <c r="BW146" s="2"/>
      <c r="BX146" s="2">
        <f t="shared" si="394"/>
        <v>2426.5500000000002</v>
      </c>
      <c r="BY146" s="2"/>
      <c r="BZ146" s="2">
        <f t="shared" si="395"/>
        <v>2426.5500000000002</v>
      </c>
      <c r="CA146" s="2"/>
      <c r="CB146" s="2">
        <f t="shared" si="396"/>
        <v>2426.5500000000002</v>
      </c>
      <c r="CC146" s="2"/>
      <c r="CD146" s="2">
        <f t="shared" si="397"/>
        <v>2426.5500000000002</v>
      </c>
      <c r="CE146" s="2"/>
      <c r="CF146" s="2">
        <f t="shared" si="398"/>
        <v>2426.5500000000002</v>
      </c>
      <c r="CG146" s="2"/>
      <c r="CH146" s="2">
        <f t="shared" si="399"/>
        <v>2426.5500000000002</v>
      </c>
      <c r="CI146" s="2"/>
      <c r="CJ146" s="2">
        <f t="shared" si="400"/>
        <v>2426.5500000000002</v>
      </c>
      <c r="CK146" s="2"/>
      <c r="CL146" s="2">
        <f t="shared" si="401"/>
        <v>2426.5500000000002</v>
      </c>
      <c r="CM146" s="2"/>
      <c r="CN146" s="2">
        <f t="shared" si="402"/>
        <v>2426.5500000000002</v>
      </c>
      <c r="CO146" s="2"/>
      <c r="CP146" s="2">
        <f t="shared" si="403"/>
        <v>2426.5500000000002</v>
      </c>
      <c r="CQ146" s="2"/>
      <c r="CR146" s="2">
        <f t="shared" si="404"/>
        <v>2426.5500000000002</v>
      </c>
      <c r="CS146" s="2"/>
      <c r="CT146" s="2">
        <f t="shared" si="404"/>
        <v>2426.5500000000002</v>
      </c>
      <c r="CU146" s="2"/>
      <c r="CV146" s="2">
        <f t="shared" si="404"/>
        <v>2426.5500000000002</v>
      </c>
      <c r="CW146" s="2"/>
      <c r="CX146" s="2">
        <f t="shared" si="404"/>
        <v>2426.5500000000002</v>
      </c>
      <c r="CY146" s="2"/>
      <c r="CZ146" s="2">
        <f t="shared" si="404"/>
        <v>2426.5500000000002</v>
      </c>
      <c r="DA146" s="2"/>
      <c r="DB146" s="2">
        <f t="shared" si="404"/>
        <v>2426.5500000000002</v>
      </c>
      <c r="DC146" s="2"/>
      <c r="DD146" s="2">
        <f t="shared" si="404"/>
        <v>2426.5500000000002</v>
      </c>
      <c r="DE146" s="2"/>
      <c r="DF146" s="2">
        <f t="shared" si="404"/>
        <v>2426.5500000000002</v>
      </c>
      <c r="DG146" s="2"/>
      <c r="DH146" s="2">
        <f t="shared" si="405"/>
        <v>2426.5500000000002</v>
      </c>
      <c r="DI146" s="2"/>
      <c r="DJ146" s="2">
        <f t="shared" si="405"/>
        <v>2426.5500000000002</v>
      </c>
      <c r="DK146" s="2"/>
      <c r="DL146" s="2">
        <f t="shared" si="405"/>
        <v>2426.5500000000002</v>
      </c>
      <c r="DM146" s="2"/>
      <c r="DN146" s="2">
        <f t="shared" si="405"/>
        <v>2426.5500000000002</v>
      </c>
      <c r="DO146" s="2"/>
      <c r="DP146" s="2">
        <f t="shared" si="405"/>
        <v>2426.5500000000002</v>
      </c>
      <c r="DQ146" s="2"/>
      <c r="DR146" s="2">
        <f t="shared" si="405"/>
        <v>2426.5500000000002</v>
      </c>
      <c r="DS146" s="2"/>
      <c r="DT146" s="2">
        <f t="shared" si="382"/>
        <v>2426.5500000000002</v>
      </c>
      <c r="DU146" s="2"/>
      <c r="DV146" s="2"/>
      <c r="DW146" s="266">
        <f t="shared" si="383"/>
        <v>2426.5500000000002</v>
      </c>
      <c r="DX146" s="441">
        <f t="shared" si="384"/>
        <v>0</v>
      </c>
    </row>
    <row r="147" spans="1:128">
      <c r="A147" s="450">
        <f t="shared" si="385"/>
        <v>8</v>
      </c>
      <c r="B147" s="433" t="s">
        <v>516</v>
      </c>
      <c r="C147" s="467" t="s">
        <v>509</v>
      </c>
      <c r="D147" s="468">
        <v>0.25890000000000002</v>
      </c>
      <c r="E147" s="442">
        <f>1129885+51000</f>
        <v>1180885</v>
      </c>
      <c r="F147" s="437" t="s">
        <v>1001</v>
      </c>
      <c r="G147" s="438">
        <v>41811</v>
      </c>
      <c r="H147" s="438"/>
      <c r="I147" s="438"/>
      <c r="J147" s="438"/>
      <c r="K147" s="438"/>
      <c r="L147" s="438"/>
      <c r="M147" s="433"/>
      <c r="N147" s="436"/>
      <c r="O147" s="436"/>
      <c r="P147" s="439"/>
      <c r="Q147" s="436"/>
      <c r="R147" s="436"/>
      <c r="S147" s="433"/>
      <c r="T147" s="436"/>
      <c r="U147" s="436"/>
      <c r="V147" s="433"/>
      <c r="W147" s="436"/>
      <c r="X147" s="436"/>
      <c r="Y147" s="433"/>
      <c r="Z147" s="436"/>
      <c r="AA147" s="436"/>
      <c r="AB147" s="433"/>
      <c r="AC147" s="436"/>
      <c r="AD147" s="436"/>
      <c r="AE147" s="436"/>
      <c r="AF147" s="436"/>
      <c r="AG147" s="436"/>
      <c r="AH147" s="436"/>
      <c r="AI147" s="439">
        <v>8</v>
      </c>
      <c r="AJ147" s="436">
        <f t="shared" si="359"/>
        <v>8</v>
      </c>
      <c r="AK147" s="440">
        <f>IF(AJ147&gt;0,1-(((E147*$AJ$4)/E147)^(1/AJ147)),0)</f>
        <v>0.31234397806636793</v>
      </c>
      <c r="AL147" s="2">
        <f t="shared" si="361"/>
        <v>0</v>
      </c>
      <c r="AM147" s="433">
        <f t="shared" si="362"/>
        <v>284</v>
      </c>
      <c r="AN147" s="436">
        <f t="shared" si="363"/>
        <v>237884</v>
      </c>
      <c r="AO147" s="436">
        <f>ROUND(IF(AL147&gt;0,0,(E147*AK147)*AM147/365),0)</f>
        <v>286990</v>
      </c>
      <c r="AP147" s="436">
        <f t="shared" si="365"/>
        <v>893895</v>
      </c>
      <c r="AQ147" s="436">
        <f>E147-AO147</f>
        <v>893895</v>
      </c>
      <c r="AR147" s="436">
        <f>$E147-($AL147+$AO147+$AP147)</f>
        <v>0</v>
      </c>
      <c r="AS147" s="436">
        <f t="shared" si="368"/>
        <v>49106</v>
      </c>
      <c r="AT147" s="2">
        <f>E147-AN147</f>
        <v>943001</v>
      </c>
      <c r="AU147" s="2">
        <f t="shared" si="370"/>
        <v>893895</v>
      </c>
      <c r="AV147" s="2">
        <f t="shared" si="371"/>
        <v>0</v>
      </c>
      <c r="AW147" s="433">
        <f t="shared" si="372"/>
        <v>365</v>
      </c>
      <c r="AX147" s="2">
        <f t="shared" si="386"/>
        <v>279202.72027363599</v>
      </c>
      <c r="AY147" s="2">
        <f t="shared" si="387"/>
        <v>614692.27972636395</v>
      </c>
      <c r="AZ147" s="433">
        <f t="shared" si="373"/>
        <v>365</v>
      </c>
      <c r="BA147" s="2">
        <f t="shared" si="388"/>
        <v>191995.43193641712</v>
      </c>
      <c r="BB147" s="2">
        <f t="shared" si="389"/>
        <v>422696.84778994683</v>
      </c>
      <c r="BC147" s="2">
        <f t="shared" si="390"/>
        <v>3650</v>
      </c>
      <c r="BD147" s="433">
        <f t="shared" si="374"/>
        <v>1014</v>
      </c>
      <c r="BE147" s="439">
        <f t="shared" si="375"/>
        <v>2636</v>
      </c>
      <c r="BF147" s="433">
        <f t="shared" si="376"/>
        <v>365</v>
      </c>
      <c r="BG147" s="149">
        <f t="shared" si="406"/>
        <v>132026.81495482603</v>
      </c>
      <c r="BH147" s="2">
        <f t="shared" si="377"/>
        <v>290670.0328351208</v>
      </c>
      <c r="BI147" s="2">
        <f t="shared" si="407"/>
        <v>90789.034360403413</v>
      </c>
      <c r="BJ147" s="2">
        <f t="shared" si="378"/>
        <v>199880.99847471737</v>
      </c>
      <c r="BK147" s="2">
        <f t="shared" si="408"/>
        <v>62431.626203470849</v>
      </c>
      <c r="BL147" s="2">
        <f t="shared" si="379"/>
        <v>137449.37227124651</v>
      </c>
      <c r="BM147" s="2"/>
      <c r="BN147" s="2">
        <f t="shared" si="380"/>
        <v>137449.37227124651</v>
      </c>
      <c r="BO147" s="2">
        <f t="shared" si="409"/>
        <v>78405.12227124651</v>
      </c>
      <c r="BP147" s="2">
        <f t="shared" si="391"/>
        <v>59044.25</v>
      </c>
      <c r="BQ147" s="2"/>
      <c r="BR147" s="2">
        <f t="shared" si="381"/>
        <v>59044.25</v>
      </c>
      <c r="BS147" s="2"/>
      <c r="BT147" s="2">
        <f t="shared" si="392"/>
        <v>59044.25</v>
      </c>
      <c r="BU147" s="2"/>
      <c r="BV147" s="2">
        <f t="shared" si="393"/>
        <v>59044.25</v>
      </c>
      <c r="BW147" s="2"/>
      <c r="BX147" s="2">
        <f t="shared" si="394"/>
        <v>59044.25</v>
      </c>
      <c r="BY147" s="2"/>
      <c r="BZ147" s="2">
        <f t="shared" si="395"/>
        <v>59044.25</v>
      </c>
      <c r="CA147" s="2"/>
      <c r="CB147" s="2">
        <f t="shared" si="396"/>
        <v>59044.25</v>
      </c>
      <c r="CC147" s="2"/>
      <c r="CD147" s="2">
        <f t="shared" si="397"/>
        <v>59044.25</v>
      </c>
      <c r="CE147" s="2"/>
      <c r="CF147" s="2">
        <f t="shared" si="398"/>
        <v>59044.25</v>
      </c>
      <c r="CG147" s="2"/>
      <c r="CH147" s="2">
        <f t="shared" si="399"/>
        <v>59044.25</v>
      </c>
      <c r="CI147" s="2"/>
      <c r="CJ147" s="2">
        <f t="shared" si="400"/>
        <v>59044.25</v>
      </c>
      <c r="CK147" s="2"/>
      <c r="CL147" s="2">
        <f t="shared" si="401"/>
        <v>59044.25</v>
      </c>
      <c r="CM147" s="2"/>
      <c r="CN147" s="2">
        <f t="shared" si="402"/>
        <v>59044.25</v>
      </c>
      <c r="CO147" s="2"/>
      <c r="CP147" s="2">
        <f t="shared" si="403"/>
        <v>59044.25</v>
      </c>
      <c r="CQ147" s="2"/>
      <c r="CR147" s="2">
        <f t="shared" si="404"/>
        <v>59044.25</v>
      </c>
      <c r="CS147" s="2"/>
      <c r="CT147" s="2">
        <f t="shared" si="404"/>
        <v>59044.25</v>
      </c>
      <c r="CU147" s="2"/>
      <c r="CV147" s="2">
        <f t="shared" si="404"/>
        <v>59044.25</v>
      </c>
      <c r="CW147" s="2"/>
      <c r="CX147" s="2">
        <f t="shared" si="404"/>
        <v>59044.25</v>
      </c>
      <c r="CY147" s="2"/>
      <c r="CZ147" s="2">
        <f t="shared" si="404"/>
        <v>59044.25</v>
      </c>
      <c r="DA147" s="2"/>
      <c r="DB147" s="2">
        <f t="shared" si="404"/>
        <v>59044.25</v>
      </c>
      <c r="DC147" s="2"/>
      <c r="DD147" s="2">
        <f t="shared" si="404"/>
        <v>59044.25</v>
      </c>
      <c r="DE147" s="2"/>
      <c r="DF147" s="2">
        <f t="shared" si="404"/>
        <v>59044.25</v>
      </c>
      <c r="DG147" s="2"/>
      <c r="DH147" s="2">
        <f t="shared" si="405"/>
        <v>59044.25</v>
      </c>
      <c r="DI147" s="2"/>
      <c r="DJ147" s="2">
        <f t="shared" si="405"/>
        <v>59044.25</v>
      </c>
      <c r="DK147" s="2"/>
      <c r="DL147" s="2">
        <f t="shared" si="405"/>
        <v>59044.25</v>
      </c>
      <c r="DM147" s="2"/>
      <c r="DN147" s="2">
        <f t="shared" si="405"/>
        <v>59044.25</v>
      </c>
      <c r="DO147" s="2"/>
      <c r="DP147" s="2">
        <f t="shared" si="405"/>
        <v>59044.25</v>
      </c>
      <c r="DQ147" s="2"/>
      <c r="DR147" s="2">
        <f t="shared" si="405"/>
        <v>59044.25</v>
      </c>
      <c r="DS147" s="2"/>
      <c r="DT147" s="2">
        <f t="shared" si="382"/>
        <v>59044.25</v>
      </c>
      <c r="DU147" s="2"/>
      <c r="DV147" s="2"/>
      <c r="DW147" s="266">
        <f t="shared" si="383"/>
        <v>59044.25</v>
      </c>
      <c r="DX147" s="441">
        <f t="shared" si="384"/>
        <v>0</v>
      </c>
    </row>
    <row r="148" spans="1:128">
      <c r="A148" s="450">
        <v>9</v>
      </c>
      <c r="B148" s="433" t="s">
        <v>517</v>
      </c>
      <c r="C148" s="467" t="s">
        <v>509</v>
      </c>
      <c r="D148" s="468">
        <v>0.25890000000000002</v>
      </c>
      <c r="E148" s="442">
        <v>567916</v>
      </c>
      <c r="F148" s="437" t="s">
        <v>1001</v>
      </c>
      <c r="G148" s="438">
        <v>42217</v>
      </c>
      <c r="H148" s="438"/>
      <c r="I148" s="438"/>
      <c r="J148" s="438"/>
      <c r="K148" s="438"/>
      <c r="L148" s="438"/>
      <c r="M148" s="433"/>
      <c r="N148" s="436"/>
      <c r="O148" s="436"/>
      <c r="P148" s="433"/>
      <c r="Q148" s="436"/>
      <c r="R148" s="436"/>
      <c r="S148" s="433"/>
      <c r="T148" s="436"/>
      <c r="U148" s="436"/>
      <c r="V148" s="433"/>
      <c r="W148" s="436"/>
      <c r="X148" s="436"/>
      <c r="Y148" s="433"/>
      <c r="Z148" s="436"/>
      <c r="AA148" s="436"/>
      <c r="AB148" s="433"/>
      <c r="AC148" s="436"/>
      <c r="AD148" s="436"/>
      <c r="AE148" s="436"/>
      <c r="AF148" s="436"/>
      <c r="AG148" s="436"/>
      <c r="AH148" s="436"/>
      <c r="AI148" s="439">
        <v>8</v>
      </c>
      <c r="AJ148" s="436">
        <f t="shared" si="359"/>
        <v>8</v>
      </c>
      <c r="AK148" s="440">
        <f>IF(AJ148&gt;0,1-(((E148*$AJ$4)/E148)^(1/AJ148)),0)</f>
        <v>0.31234397806636793</v>
      </c>
      <c r="AL148" s="2"/>
      <c r="AM148" s="433"/>
      <c r="AN148" s="436"/>
      <c r="AO148" s="436"/>
      <c r="AP148" s="436"/>
      <c r="AQ148" s="436"/>
      <c r="AR148" s="436"/>
      <c r="AS148" s="436"/>
      <c r="AT148" s="2"/>
      <c r="AU148" s="2"/>
      <c r="AV148" s="2"/>
      <c r="AW148" s="2">
        <f t="shared" si="372"/>
        <v>244</v>
      </c>
      <c r="AX148" s="2">
        <f>E148*AW148/365*AK148</f>
        <v>118580.75289314963</v>
      </c>
      <c r="AY148" s="2">
        <f>E148-AX148</f>
        <v>449335.24710685038</v>
      </c>
      <c r="AZ148" s="433">
        <f t="shared" si="373"/>
        <v>365</v>
      </c>
      <c r="BA148" s="2">
        <f t="shared" si="388"/>
        <v>140347.1585667881</v>
      </c>
      <c r="BB148" s="2">
        <f t="shared" si="389"/>
        <v>308988.08854006231</v>
      </c>
      <c r="BC148" s="2">
        <f t="shared" si="390"/>
        <v>3650</v>
      </c>
      <c r="BD148" s="433">
        <f t="shared" si="374"/>
        <v>608</v>
      </c>
      <c r="BE148" s="439">
        <f t="shared" si="375"/>
        <v>3042</v>
      </c>
      <c r="BF148" s="433">
        <f t="shared" si="376"/>
        <v>365</v>
      </c>
      <c r="BG148" s="149">
        <f t="shared" si="406"/>
        <v>96510.568749726168</v>
      </c>
      <c r="BH148" s="2">
        <f t="shared" si="377"/>
        <v>212477.51979033614</v>
      </c>
      <c r="BI148" s="2">
        <f t="shared" si="407"/>
        <v>66366.073780989012</v>
      </c>
      <c r="BJ148" s="2">
        <f t="shared" si="378"/>
        <v>146111.44600934713</v>
      </c>
      <c r="BK148" s="2">
        <f t="shared" si="408"/>
        <v>45637.030287588823</v>
      </c>
      <c r="BL148" s="2">
        <f t="shared" si="379"/>
        <v>100474.4157217583</v>
      </c>
      <c r="BM148" s="2"/>
      <c r="BN148" s="2">
        <f t="shared" si="380"/>
        <v>100474.4157217583</v>
      </c>
      <c r="BO148" s="2">
        <f t="shared" si="409"/>
        <v>72078.615721758295</v>
      </c>
      <c r="BP148" s="2">
        <f t="shared" si="391"/>
        <v>28395.800000000003</v>
      </c>
      <c r="BQ148" s="2"/>
      <c r="BR148" s="2">
        <f t="shared" si="381"/>
        <v>28395.800000000003</v>
      </c>
      <c r="BS148" s="2"/>
      <c r="BT148" s="2">
        <f t="shared" si="392"/>
        <v>28395.800000000003</v>
      </c>
      <c r="BU148" s="2"/>
      <c r="BV148" s="2">
        <f t="shared" si="393"/>
        <v>28395.800000000003</v>
      </c>
      <c r="BW148" s="2"/>
      <c r="BX148" s="2">
        <f t="shared" si="394"/>
        <v>28395.800000000003</v>
      </c>
      <c r="BY148" s="2"/>
      <c r="BZ148" s="2">
        <f t="shared" si="395"/>
        <v>28395.800000000003</v>
      </c>
      <c r="CA148" s="2"/>
      <c r="CB148" s="2">
        <f t="shared" si="396"/>
        <v>28395.800000000003</v>
      </c>
      <c r="CC148" s="2"/>
      <c r="CD148" s="2">
        <f t="shared" si="397"/>
        <v>28395.800000000003</v>
      </c>
      <c r="CE148" s="2"/>
      <c r="CF148" s="2">
        <f t="shared" si="398"/>
        <v>28395.800000000003</v>
      </c>
      <c r="CG148" s="2"/>
      <c r="CH148" s="2">
        <f t="shared" si="399"/>
        <v>28395.800000000003</v>
      </c>
      <c r="CI148" s="2"/>
      <c r="CJ148" s="2">
        <f t="shared" si="400"/>
        <v>28395.800000000003</v>
      </c>
      <c r="CK148" s="2"/>
      <c r="CL148" s="2">
        <f t="shared" si="401"/>
        <v>28395.800000000003</v>
      </c>
      <c r="CM148" s="2"/>
      <c r="CN148" s="2">
        <f t="shared" si="402"/>
        <v>28395.800000000003</v>
      </c>
      <c r="CO148" s="2"/>
      <c r="CP148" s="2">
        <f t="shared" si="403"/>
        <v>28395.800000000003</v>
      </c>
      <c r="CQ148" s="2"/>
      <c r="CR148" s="2">
        <f t="shared" si="404"/>
        <v>28395.800000000003</v>
      </c>
      <c r="CS148" s="2"/>
      <c r="CT148" s="2">
        <f t="shared" si="404"/>
        <v>28395.800000000003</v>
      </c>
      <c r="CU148" s="2"/>
      <c r="CV148" s="2">
        <f t="shared" si="404"/>
        <v>28395.800000000003</v>
      </c>
      <c r="CW148" s="2"/>
      <c r="CX148" s="2">
        <f t="shared" si="404"/>
        <v>28395.800000000003</v>
      </c>
      <c r="CY148" s="2"/>
      <c r="CZ148" s="2">
        <f t="shared" si="404"/>
        <v>28395.800000000003</v>
      </c>
      <c r="DA148" s="2"/>
      <c r="DB148" s="2">
        <f t="shared" si="404"/>
        <v>28395.800000000003</v>
      </c>
      <c r="DC148" s="2"/>
      <c r="DD148" s="2">
        <f t="shared" si="404"/>
        <v>28395.800000000003</v>
      </c>
      <c r="DE148" s="2"/>
      <c r="DF148" s="2">
        <f t="shared" si="404"/>
        <v>28395.800000000003</v>
      </c>
      <c r="DG148" s="2"/>
      <c r="DH148" s="2">
        <f t="shared" si="405"/>
        <v>28395.800000000003</v>
      </c>
      <c r="DI148" s="2"/>
      <c r="DJ148" s="2">
        <f t="shared" si="405"/>
        <v>28395.800000000003</v>
      </c>
      <c r="DK148" s="2"/>
      <c r="DL148" s="2">
        <f t="shared" si="405"/>
        <v>28395.800000000003</v>
      </c>
      <c r="DM148" s="2"/>
      <c r="DN148" s="2">
        <f t="shared" si="405"/>
        <v>28395.800000000003</v>
      </c>
      <c r="DO148" s="2"/>
      <c r="DP148" s="2">
        <f t="shared" si="405"/>
        <v>28395.800000000003</v>
      </c>
      <c r="DQ148" s="2"/>
      <c r="DR148" s="2">
        <f t="shared" si="405"/>
        <v>28395.800000000003</v>
      </c>
      <c r="DS148" s="2"/>
      <c r="DT148" s="2">
        <f t="shared" si="382"/>
        <v>28395.800000000003</v>
      </c>
      <c r="DU148" s="2"/>
      <c r="DV148" s="2"/>
      <c r="DW148" s="266">
        <f t="shared" si="383"/>
        <v>28395.800000000003</v>
      </c>
      <c r="DX148" s="441">
        <f t="shared" si="384"/>
        <v>0</v>
      </c>
    </row>
    <row r="149" spans="1:128">
      <c r="A149" s="450">
        <f>+A148+1</f>
        <v>10</v>
      </c>
      <c r="B149" s="433" t="s">
        <v>919</v>
      </c>
      <c r="C149" s="467" t="s">
        <v>509</v>
      </c>
      <c r="D149" s="468">
        <v>0.25890000000000002</v>
      </c>
      <c r="E149" s="469">
        <f>48650+26126/2</f>
        <v>61713</v>
      </c>
      <c r="F149" s="470" t="s">
        <v>921</v>
      </c>
      <c r="G149" s="438">
        <v>43322</v>
      </c>
      <c r="H149" s="438">
        <f>DATE(YEAR(G149)+I149,MONTH(G149),DAY(G149))-1</f>
        <v>46974</v>
      </c>
      <c r="I149" s="267">
        <v>10</v>
      </c>
      <c r="J149" s="267">
        <f>IF(($BI$6-$G149+1)&gt;365,365,($BI$6-$G149+1))</f>
        <v>234</v>
      </c>
      <c r="K149" s="267">
        <f>365-J149</f>
        <v>131</v>
      </c>
      <c r="L149" s="438"/>
      <c r="M149" s="433"/>
      <c r="N149" s="436"/>
      <c r="O149" s="436"/>
      <c r="P149" s="433"/>
      <c r="Q149" s="436"/>
      <c r="R149" s="436"/>
      <c r="S149" s="433"/>
      <c r="T149" s="436"/>
      <c r="U149" s="436"/>
      <c r="V149" s="433"/>
      <c r="W149" s="436"/>
      <c r="X149" s="436"/>
      <c r="Y149" s="433"/>
      <c r="Z149" s="436"/>
      <c r="AA149" s="436"/>
      <c r="AB149" s="433"/>
      <c r="AC149" s="436"/>
      <c r="AD149" s="436"/>
      <c r="AE149" s="436"/>
      <c r="AF149" s="436"/>
      <c r="AG149" s="436"/>
      <c r="AH149" s="436"/>
      <c r="AI149" s="439">
        <v>10</v>
      </c>
      <c r="AJ149" s="439">
        <v>10</v>
      </c>
      <c r="AK149" s="440">
        <f>1-((E149*5%)/E149)^(1/I149)</f>
        <v>0.2588655508930523</v>
      </c>
      <c r="AL149" s="2"/>
      <c r="AM149" s="433"/>
      <c r="AN149" s="436"/>
      <c r="AO149" s="436"/>
      <c r="AP149" s="436"/>
      <c r="AQ149" s="436"/>
      <c r="AR149" s="436"/>
      <c r="AS149" s="436"/>
      <c r="AT149" s="2"/>
      <c r="AU149" s="2"/>
      <c r="AV149" s="2"/>
      <c r="AW149" s="2"/>
      <c r="AX149" s="2"/>
      <c r="AY149" s="2"/>
      <c r="AZ149" s="433"/>
      <c r="BA149" s="2"/>
      <c r="BB149" s="2"/>
      <c r="BC149" s="2"/>
      <c r="BD149" s="433"/>
      <c r="BE149" s="439"/>
      <c r="BF149" s="433"/>
      <c r="BG149" s="149"/>
      <c r="BH149" s="2"/>
      <c r="BI149" s="2">
        <f>ROUND(+E149*AK149*J149/365,0)</f>
        <v>10242</v>
      </c>
      <c r="BJ149" s="2">
        <f>+E149-BI149</f>
        <v>51471</v>
      </c>
      <c r="BK149" s="2">
        <f>ROUND(+BJ149*$AK149,0)</f>
        <v>13324</v>
      </c>
      <c r="BL149" s="2">
        <f t="shared" si="379"/>
        <v>38147</v>
      </c>
      <c r="BM149" s="2"/>
      <c r="BN149" s="2">
        <f t="shared" si="380"/>
        <v>38147</v>
      </c>
      <c r="BO149" s="2">
        <f>ROUND(+BL149*$AK149,0)</f>
        <v>9875</v>
      </c>
      <c r="BP149" s="2">
        <f t="shared" si="391"/>
        <v>28272</v>
      </c>
      <c r="BQ149" s="2"/>
      <c r="BR149" s="2">
        <f t="shared" si="381"/>
        <v>28272</v>
      </c>
      <c r="BS149" s="2">
        <f>ROUND(+BP149*$AK149,0)</f>
        <v>7319</v>
      </c>
      <c r="BT149" s="2">
        <f t="shared" si="392"/>
        <v>20953</v>
      </c>
      <c r="BU149" s="2">
        <f t="shared" ref="BU149:BU156" si="410">ROUND(+BT149*$AK149,0)</f>
        <v>5424</v>
      </c>
      <c r="BV149" s="2">
        <f t="shared" si="393"/>
        <v>15529</v>
      </c>
      <c r="BW149" s="2">
        <f t="shared" ref="BW149:BW154" si="411">ROUND(+BV149*$AK149,0)</f>
        <v>4020</v>
      </c>
      <c r="BX149" s="2">
        <f t="shared" si="394"/>
        <v>11509</v>
      </c>
      <c r="BY149" s="2">
        <f t="shared" ref="BY149:BY154" si="412">ROUND(+BX149*$AK149,0)</f>
        <v>2979</v>
      </c>
      <c r="BZ149" s="2">
        <f t="shared" si="395"/>
        <v>8530</v>
      </c>
      <c r="CA149" s="2">
        <f t="shared" ref="CA149:CA154" si="413">ROUND(+BZ149*$AK149,0)</f>
        <v>2208</v>
      </c>
      <c r="CB149" s="2">
        <f t="shared" si="396"/>
        <v>6322</v>
      </c>
      <c r="CC149" s="2">
        <f>ROUND(+CB149*$AK149,0)</f>
        <v>1637</v>
      </c>
      <c r="CD149" s="2">
        <f t="shared" si="397"/>
        <v>4685</v>
      </c>
      <c r="CE149" s="2">
        <f>ROUND(+CD149*$AK149,0)</f>
        <v>1213</v>
      </c>
      <c r="CF149" s="2">
        <f t="shared" si="398"/>
        <v>3472</v>
      </c>
      <c r="CG149" s="317">
        <f>+(1-($E149*5%)/CF149)*CF149</f>
        <v>386.34999999999991</v>
      </c>
      <c r="CH149" s="2">
        <f>+CF149-CG149</f>
        <v>3085.65</v>
      </c>
      <c r="CI149" s="2"/>
      <c r="CJ149" s="2">
        <f t="shared" si="400"/>
        <v>3085.65</v>
      </c>
      <c r="CK149" s="2"/>
      <c r="CL149" s="2">
        <f t="shared" si="401"/>
        <v>3085.65</v>
      </c>
      <c r="CM149" s="2"/>
      <c r="CN149" s="2">
        <f t="shared" si="402"/>
        <v>3085.65</v>
      </c>
      <c r="CO149" s="2"/>
      <c r="CP149" s="2">
        <f t="shared" si="403"/>
        <v>3085.65</v>
      </c>
      <c r="CQ149" s="2"/>
      <c r="CR149" s="2">
        <f t="shared" si="404"/>
        <v>3085.65</v>
      </c>
      <c r="CS149" s="2"/>
      <c r="CT149" s="2">
        <f t="shared" si="404"/>
        <v>3085.65</v>
      </c>
      <c r="CU149" s="2"/>
      <c r="CV149" s="2">
        <f t="shared" si="404"/>
        <v>3085.65</v>
      </c>
      <c r="CW149" s="2"/>
      <c r="CX149" s="2">
        <f t="shared" si="404"/>
        <v>3085.65</v>
      </c>
      <c r="CY149" s="2"/>
      <c r="CZ149" s="2">
        <f t="shared" si="404"/>
        <v>3085.65</v>
      </c>
      <c r="DA149" s="2"/>
      <c r="DB149" s="2">
        <f t="shared" si="404"/>
        <v>3085.65</v>
      </c>
      <c r="DC149" s="2"/>
      <c r="DD149" s="2">
        <f t="shared" si="404"/>
        <v>3085.65</v>
      </c>
      <c r="DE149" s="2"/>
      <c r="DF149" s="2">
        <f t="shared" si="404"/>
        <v>3085.65</v>
      </c>
      <c r="DG149" s="2"/>
      <c r="DH149" s="2">
        <f t="shared" si="405"/>
        <v>3085.65</v>
      </c>
      <c r="DI149" s="2"/>
      <c r="DJ149" s="2">
        <f t="shared" si="405"/>
        <v>3085.65</v>
      </c>
      <c r="DK149" s="2"/>
      <c r="DL149" s="2">
        <f t="shared" si="405"/>
        <v>3085.65</v>
      </c>
      <c r="DM149" s="2"/>
      <c r="DN149" s="2">
        <f t="shared" si="405"/>
        <v>3085.65</v>
      </c>
      <c r="DO149" s="2"/>
      <c r="DP149" s="2">
        <f t="shared" si="405"/>
        <v>3085.65</v>
      </c>
      <c r="DQ149" s="2"/>
      <c r="DR149" s="2">
        <f t="shared" si="405"/>
        <v>3085.65</v>
      </c>
      <c r="DS149" s="2"/>
      <c r="DT149" s="2">
        <f t="shared" si="382"/>
        <v>3085.65</v>
      </c>
      <c r="DU149" s="2"/>
      <c r="DV149" s="2">
        <f>+DT149-DU149</f>
        <v>3085.65</v>
      </c>
      <c r="DW149" s="266">
        <f t="shared" si="383"/>
        <v>3085.65</v>
      </c>
      <c r="DX149" s="441">
        <f>+DW149-DV149</f>
        <v>0</v>
      </c>
    </row>
    <row r="150" spans="1:128">
      <c r="A150" s="450">
        <f>+A149+1</f>
        <v>11</v>
      </c>
      <c r="B150" s="433" t="s">
        <v>919</v>
      </c>
      <c r="C150" s="467" t="s">
        <v>509</v>
      </c>
      <c r="D150" s="468">
        <v>0.25890000000000002</v>
      </c>
      <c r="E150" s="469">
        <f>48650+26126/2</f>
        <v>61713</v>
      </c>
      <c r="F150" s="470" t="s">
        <v>921</v>
      </c>
      <c r="G150" s="438">
        <v>43322</v>
      </c>
      <c r="H150" s="438">
        <f>DATE(YEAR(G150)+I150,MONTH(G150),DAY(G150))-1</f>
        <v>46974</v>
      </c>
      <c r="I150" s="267">
        <v>10</v>
      </c>
      <c r="J150" s="267">
        <f>IF(($BI$6-$G150+1)&gt;365,365,($BI$6-$G150+1))</f>
        <v>234</v>
      </c>
      <c r="K150" s="267">
        <f>365-J150</f>
        <v>131</v>
      </c>
      <c r="L150" s="438"/>
      <c r="M150" s="433"/>
      <c r="N150" s="436"/>
      <c r="O150" s="436"/>
      <c r="P150" s="433"/>
      <c r="Q150" s="436"/>
      <c r="R150" s="436"/>
      <c r="S150" s="433"/>
      <c r="T150" s="436"/>
      <c r="U150" s="436"/>
      <c r="V150" s="433"/>
      <c r="W150" s="436"/>
      <c r="X150" s="436"/>
      <c r="Y150" s="433"/>
      <c r="Z150" s="436"/>
      <c r="AA150" s="436"/>
      <c r="AB150" s="433"/>
      <c r="AC150" s="436"/>
      <c r="AD150" s="436"/>
      <c r="AE150" s="436"/>
      <c r="AF150" s="436"/>
      <c r="AG150" s="436"/>
      <c r="AH150" s="436"/>
      <c r="AI150" s="439">
        <v>10</v>
      </c>
      <c r="AJ150" s="439">
        <v>10</v>
      </c>
      <c r="AK150" s="440">
        <f>1-((E150*5%)/E150)^(1/I150)</f>
        <v>0.2588655508930523</v>
      </c>
      <c r="AL150" s="2"/>
      <c r="AM150" s="433"/>
      <c r="AN150" s="436"/>
      <c r="AO150" s="436"/>
      <c r="AP150" s="436"/>
      <c r="AQ150" s="436"/>
      <c r="AR150" s="436"/>
      <c r="AS150" s="436"/>
      <c r="AT150" s="2"/>
      <c r="AU150" s="2"/>
      <c r="AV150" s="2"/>
      <c r="AW150" s="2"/>
      <c r="AX150" s="2"/>
      <c r="AY150" s="2"/>
      <c r="AZ150" s="433"/>
      <c r="BA150" s="2"/>
      <c r="BB150" s="2"/>
      <c r="BC150" s="2"/>
      <c r="BD150" s="433"/>
      <c r="BE150" s="439"/>
      <c r="BF150" s="433"/>
      <c r="BG150" s="149"/>
      <c r="BH150" s="2"/>
      <c r="BI150" s="2">
        <f>ROUND(+E150*AK150*J150/365,0)</f>
        <v>10242</v>
      </c>
      <c r="BJ150" s="2">
        <f>+E150-BI150</f>
        <v>51471</v>
      </c>
      <c r="BK150" s="2">
        <f>ROUND(+BJ150*$AK150,0)</f>
        <v>13324</v>
      </c>
      <c r="BL150" s="2">
        <f t="shared" si="379"/>
        <v>38147</v>
      </c>
      <c r="BM150" s="2"/>
      <c r="BN150" s="2">
        <f t="shared" si="380"/>
        <v>38147</v>
      </c>
      <c r="BO150" s="2">
        <f>ROUND(+BL150*$AK150,0)</f>
        <v>9875</v>
      </c>
      <c r="BP150" s="2">
        <f t="shared" si="391"/>
        <v>28272</v>
      </c>
      <c r="BQ150" s="2"/>
      <c r="BR150" s="2">
        <f t="shared" si="381"/>
        <v>28272</v>
      </c>
      <c r="BS150" s="2">
        <f>ROUND(+BP150*$AK150,0)</f>
        <v>7319</v>
      </c>
      <c r="BT150" s="2">
        <f t="shared" si="392"/>
        <v>20953</v>
      </c>
      <c r="BU150" s="2">
        <f t="shared" si="410"/>
        <v>5424</v>
      </c>
      <c r="BV150" s="2">
        <f t="shared" si="393"/>
        <v>15529</v>
      </c>
      <c r="BW150" s="2">
        <f t="shared" si="411"/>
        <v>4020</v>
      </c>
      <c r="BX150" s="2">
        <f t="shared" si="394"/>
        <v>11509</v>
      </c>
      <c r="BY150" s="2">
        <f t="shared" si="412"/>
        <v>2979</v>
      </c>
      <c r="BZ150" s="2">
        <f t="shared" si="395"/>
        <v>8530</v>
      </c>
      <c r="CA150" s="2">
        <f t="shared" si="413"/>
        <v>2208</v>
      </c>
      <c r="CB150" s="2">
        <f t="shared" si="396"/>
        <v>6322</v>
      </c>
      <c r="CC150" s="2">
        <f>ROUND(+CB150*$AK150,0)</f>
        <v>1637</v>
      </c>
      <c r="CD150" s="2">
        <f t="shared" si="397"/>
        <v>4685</v>
      </c>
      <c r="CE150" s="2">
        <f>ROUND(+CD150*$AK150,0)</f>
        <v>1213</v>
      </c>
      <c r="CF150" s="2">
        <f t="shared" si="398"/>
        <v>3472</v>
      </c>
      <c r="CG150" s="317">
        <f>+(1-($E150*5%)/CF150)*CF150</f>
        <v>386.34999999999991</v>
      </c>
      <c r="CH150" s="2">
        <f>+CF150-CG150</f>
        <v>3085.65</v>
      </c>
      <c r="CI150" s="2"/>
      <c r="CJ150" s="2">
        <f>+CH150-CI150</f>
        <v>3085.65</v>
      </c>
      <c r="CK150" s="2"/>
      <c r="CL150" s="2">
        <f>+CJ150-CK150</f>
        <v>3085.65</v>
      </c>
      <c r="CM150" s="2"/>
      <c r="CN150" s="2">
        <f>+CL150-CM150</f>
        <v>3085.65</v>
      </c>
      <c r="CO150" s="2"/>
      <c r="CP150" s="2">
        <f>+CN150-CO150</f>
        <v>3085.65</v>
      </c>
      <c r="CQ150" s="2"/>
      <c r="CR150" s="2">
        <f>+CP150-CQ150</f>
        <v>3085.65</v>
      </c>
      <c r="CS150" s="2"/>
      <c r="CT150" s="2">
        <f>+CR150-CS150</f>
        <v>3085.65</v>
      </c>
      <c r="CU150" s="2"/>
      <c r="CV150" s="2">
        <f>+CT150-CU150</f>
        <v>3085.65</v>
      </c>
      <c r="CW150" s="2"/>
      <c r="CX150" s="2">
        <f>+CV150-CW150</f>
        <v>3085.65</v>
      </c>
      <c r="CY150" s="2"/>
      <c r="CZ150" s="2">
        <f>+CX150-CY150</f>
        <v>3085.65</v>
      </c>
      <c r="DA150" s="2"/>
      <c r="DB150" s="2">
        <f>+CZ150-DA150</f>
        <v>3085.65</v>
      </c>
      <c r="DC150" s="2"/>
      <c r="DD150" s="2">
        <f>+DB150-DC150</f>
        <v>3085.65</v>
      </c>
      <c r="DE150" s="2"/>
      <c r="DF150" s="2">
        <f>+DD150-DE150</f>
        <v>3085.65</v>
      </c>
      <c r="DG150" s="2"/>
      <c r="DH150" s="2">
        <f>+DF150-DG150</f>
        <v>3085.65</v>
      </c>
      <c r="DI150" s="2"/>
      <c r="DJ150" s="2">
        <f>+DH150-DI150</f>
        <v>3085.65</v>
      </c>
      <c r="DK150" s="2"/>
      <c r="DL150" s="2">
        <f>+DJ150-DK150</f>
        <v>3085.65</v>
      </c>
      <c r="DM150" s="2"/>
      <c r="DN150" s="2">
        <f>+DL150-DM150</f>
        <v>3085.65</v>
      </c>
      <c r="DO150" s="2"/>
      <c r="DP150" s="2">
        <f>+DN150-DO150</f>
        <v>3085.65</v>
      </c>
      <c r="DQ150" s="2"/>
      <c r="DR150" s="2">
        <f>+DP150-DQ150</f>
        <v>3085.65</v>
      </c>
      <c r="DS150" s="2"/>
      <c r="DT150" s="2">
        <f>+DR150-DS150</f>
        <v>3085.65</v>
      </c>
      <c r="DU150" s="2"/>
      <c r="DV150" s="2">
        <f>+DT150-DU150</f>
        <v>3085.65</v>
      </c>
      <c r="DW150" s="266">
        <f t="shared" si="383"/>
        <v>3085.65</v>
      </c>
      <c r="DX150" s="441">
        <f>+DW150-DV150</f>
        <v>0</v>
      </c>
    </row>
    <row r="151" spans="1:128">
      <c r="A151" s="450">
        <f>+A150+1</f>
        <v>12</v>
      </c>
      <c r="B151" s="433" t="s">
        <v>920</v>
      </c>
      <c r="C151" s="467" t="s">
        <v>509</v>
      </c>
      <c r="D151" s="468">
        <v>0.25890000000000002</v>
      </c>
      <c r="E151" s="469">
        <f>66722+26941</f>
        <v>93663</v>
      </c>
      <c r="F151" s="470" t="s">
        <v>921</v>
      </c>
      <c r="G151" s="438">
        <v>43392</v>
      </c>
      <c r="H151" s="438">
        <f>DATE(YEAR(G151)+I151,MONTH(G151),DAY(G151))-1</f>
        <v>47044</v>
      </c>
      <c r="I151" s="267">
        <v>10</v>
      </c>
      <c r="J151" s="267">
        <f>IF(($BI$6-$G151+1)&gt;365,365,($BI$6-$G151+1))</f>
        <v>164</v>
      </c>
      <c r="K151" s="267">
        <f>365-J151</f>
        <v>201</v>
      </c>
      <c r="L151" s="438"/>
      <c r="M151" s="433"/>
      <c r="N151" s="436"/>
      <c r="O151" s="436"/>
      <c r="P151" s="433"/>
      <c r="Q151" s="436"/>
      <c r="R151" s="436"/>
      <c r="S151" s="433"/>
      <c r="T151" s="436"/>
      <c r="U151" s="436"/>
      <c r="V151" s="433"/>
      <c r="W151" s="436"/>
      <c r="X151" s="436"/>
      <c r="Y151" s="433"/>
      <c r="Z151" s="436"/>
      <c r="AA151" s="436"/>
      <c r="AB151" s="433"/>
      <c r="AC151" s="436"/>
      <c r="AD151" s="436"/>
      <c r="AE151" s="436"/>
      <c r="AF151" s="436"/>
      <c r="AG151" s="436"/>
      <c r="AH151" s="436"/>
      <c r="AI151" s="439">
        <v>10</v>
      </c>
      <c r="AJ151" s="439">
        <v>10</v>
      </c>
      <c r="AK151" s="440">
        <f>1-((E151*5%)/E151)^(1/I151)</f>
        <v>0.2588655508930523</v>
      </c>
      <c r="AL151" s="2"/>
      <c r="AM151" s="433"/>
      <c r="AN151" s="436"/>
      <c r="AO151" s="436"/>
      <c r="AP151" s="436"/>
      <c r="AQ151" s="436"/>
      <c r="AR151" s="436"/>
      <c r="AS151" s="436"/>
      <c r="AT151" s="2"/>
      <c r="AU151" s="2"/>
      <c r="AV151" s="2"/>
      <c r="AW151" s="2"/>
      <c r="AX151" s="2"/>
      <c r="AY151" s="2"/>
      <c r="AZ151" s="433"/>
      <c r="BA151" s="2"/>
      <c r="BB151" s="2"/>
      <c r="BC151" s="2"/>
      <c r="BD151" s="433"/>
      <c r="BE151" s="439"/>
      <c r="BF151" s="433"/>
      <c r="BG151" s="149"/>
      <c r="BH151" s="2"/>
      <c r="BI151" s="2">
        <f>ROUND(+E151*AK151*J151/365,0)</f>
        <v>10894</v>
      </c>
      <c r="BJ151" s="2">
        <f>+E151-BI151</f>
        <v>82769</v>
      </c>
      <c r="BK151" s="2">
        <f>ROUND(+BJ151*$AK151,0)</f>
        <v>21426</v>
      </c>
      <c r="BL151" s="2">
        <f t="shared" si="379"/>
        <v>61343</v>
      </c>
      <c r="BM151" s="2"/>
      <c r="BN151" s="2">
        <f t="shared" si="380"/>
        <v>61343</v>
      </c>
      <c r="BO151" s="2">
        <f>ROUND(+BL151*$AK151,0)</f>
        <v>15880</v>
      </c>
      <c r="BP151" s="2">
        <f t="shared" si="391"/>
        <v>45463</v>
      </c>
      <c r="BQ151" s="2"/>
      <c r="BR151" s="2">
        <f t="shared" si="381"/>
        <v>45463</v>
      </c>
      <c r="BS151" s="2">
        <f>ROUND(+BP151*$AK151,0)</f>
        <v>11769</v>
      </c>
      <c r="BT151" s="2">
        <f t="shared" si="392"/>
        <v>33694</v>
      </c>
      <c r="BU151" s="2">
        <f t="shared" si="410"/>
        <v>8722</v>
      </c>
      <c r="BV151" s="2">
        <f t="shared" si="393"/>
        <v>24972</v>
      </c>
      <c r="BW151" s="2">
        <f t="shared" si="411"/>
        <v>6464</v>
      </c>
      <c r="BX151" s="2">
        <f t="shared" si="394"/>
        <v>18508</v>
      </c>
      <c r="BY151" s="2">
        <f t="shared" si="412"/>
        <v>4791</v>
      </c>
      <c r="BZ151" s="2">
        <f t="shared" si="395"/>
        <v>13717</v>
      </c>
      <c r="CA151" s="2">
        <f t="shared" si="413"/>
        <v>3551</v>
      </c>
      <c r="CB151" s="2">
        <f t="shared" si="396"/>
        <v>10166</v>
      </c>
      <c r="CC151" s="2">
        <f>ROUND(+CB151*$AK151,0)</f>
        <v>2632</v>
      </c>
      <c r="CD151" s="2">
        <f t="shared" si="397"/>
        <v>7534</v>
      </c>
      <c r="CE151" s="2">
        <f>ROUND(+CD151*$AK151,0)</f>
        <v>1950</v>
      </c>
      <c r="CF151" s="2">
        <f t="shared" si="398"/>
        <v>5584</v>
      </c>
      <c r="CG151" s="317">
        <f>+(1-($E151*5%)/CF151)*CF151</f>
        <v>900.84999999999957</v>
      </c>
      <c r="CH151" s="2">
        <f>+CF151-CG151</f>
        <v>4683.1500000000005</v>
      </c>
      <c r="CI151" s="2"/>
      <c r="CJ151" s="2">
        <f>+CH151-CI151</f>
        <v>4683.1500000000005</v>
      </c>
      <c r="CK151" s="2"/>
      <c r="CL151" s="2">
        <f>+CJ151-CK151</f>
        <v>4683.1500000000005</v>
      </c>
      <c r="CM151" s="2"/>
      <c r="CN151" s="2">
        <f>+CL151-CM151</f>
        <v>4683.1500000000005</v>
      </c>
      <c r="CO151" s="2"/>
      <c r="CP151" s="2">
        <f>+CN151-CO151</f>
        <v>4683.1500000000005</v>
      </c>
      <c r="CQ151" s="2"/>
      <c r="CR151" s="2">
        <f>+CP151-CQ151</f>
        <v>4683.1500000000005</v>
      </c>
      <c r="CS151" s="2"/>
      <c r="CT151" s="2">
        <f>+CR151-CS151</f>
        <v>4683.1500000000005</v>
      </c>
      <c r="CU151" s="2"/>
      <c r="CV151" s="2">
        <f>+CT151-CU151</f>
        <v>4683.1500000000005</v>
      </c>
      <c r="CW151" s="2"/>
      <c r="CX151" s="2">
        <f>+CV151-CW151</f>
        <v>4683.1500000000005</v>
      </c>
      <c r="CY151" s="2"/>
      <c r="CZ151" s="2">
        <f>+CX151-CY151</f>
        <v>4683.1500000000005</v>
      </c>
      <c r="DA151" s="2"/>
      <c r="DB151" s="2">
        <f>+CZ151-DA151</f>
        <v>4683.1500000000005</v>
      </c>
      <c r="DC151" s="2"/>
      <c r="DD151" s="2">
        <f>+DB151-DC151</f>
        <v>4683.1500000000005</v>
      </c>
      <c r="DE151" s="2"/>
      <c r="DF151" s="2">
        <f>+DD151-DE151</f>
        <v>4683.1500000000005</v>
      </c>
      <c r="DG151" s="2"/>
      <c r="DH151" s="2">
        <f>+DF151-DG151</f>
        <v>4683.1500000000005</v>
      </c>
      <c r="DI151" s="2"/>
      <c r="DJ151" s="2">
        <f>+DH151-DI151</f>
        <v>4683.1500000000005</v>
      </c>
      <c r="DK151" s="2"/>
      <c r="DL151" s="2">
        <f>+DJ151-DK151</f>
        <v>4683.1500000000005</v>
      </c>
      <c r="DM151" s="2"/>
      <c r="DN151" s="2">
        <f>+DL151-DM151</f>
        <v>4683.1500000000005</v>
      </c>
      <c r="DO151" s="2"/>
      <c r="DP151" s="2">
        <f>+DN151-DO151</f>
        <v>4683.1500000000005</v>
      </c>
      <c r="DQ151" s="2"/>
      <c r="DR151" s="2">
        <f>+DP151-DQ151</f>
        <v>4683.1500000000005</v>
      </c>
      <c r="DS151" s="2"/>
      <c r="DT151" s="2">
        <f>+DR151-DS151</f>
        <v>4683.1500000000005</v>
      </c>
      <c r="DU151" s="2"/>
      <c r="DV151" s="2">
        <f>+DT151-DU151</f>
        <v>4683.1500000000005</v>
      </c>
      <c r="DW151" s="266">
        <f t="shared" si="383"/>
        <v>4683.1500000000005</v>
      </c>
      <c r="DX151" s="441">
        <f>+DW151-DV151</f>
        <v>0</v>
      </c>
    </row>
    <row r="152" spans="1:128">
      <c r="A152" s="450">
        <v>13</v>
      </c>
      <c r="B152" s="478" t="s">
        <v>815</v>
      </c>
      <c r="C152" s="433" t="s">
        <v>1081</v>
      </c>
      <c r="D152" s="472">
        <v>0.31230000000000002</v>
      </c>
      <c r="E152" s="332">
        <v>1299000</v>
      </c>
      <c r="F152" s="470" t="s">
        <v>921</v>
      </c>
      <c r="G152" s="438">
        <v>43404</v>
      </c>
      <c r="H152" s="438">
        <f>DATE(YEAR(G152)+I152,MONTH(G152),DAY(G152))-1</f>
        <v>46325</v>
      </c>
      <c r="I152" s="267">
        <v>8</v>
      </c>
      <c r="J152" s="267">
        <f>IF(($BI$6-$G152+1)&gt;365,365,($BI$6-$G152+1))</f>
        <v>152</v>
      </c>
      <c r="K152" s="267">
        <f>365-J152</f>
        <v>213</v>
      </c>
      <c r="L152" s="433"/>
      <c r="M152" s="433"/>
      <c r="N152" s="436"/>
      <c r="O152" s="436"/>
      <c r="P152" s="439"/>
      <c r="Q152" s="436"/>
      <c r="R152" s="436"/>
      <c r="S152" s="433"/>
      <c r="T152" s="436"/>
      <c r="U152" s="436"/>
      <c r="V152" s="433"/>
      <c r="W152" s="436"/>
      <c r="X152" s="436"/>
      <c r="Y152" s="433"/>
      <c r="Z152" s="436"/>
      <c r="AA152" s="436"/>
      <c r="AB152" s="433"/>
      <c r="AC152" s="436"/>
      <c r="AD152" s="436"/>
      <c r="AE152" s="436"/>
      <c r="AF152" s="436"/>
      <c r="AG152" s="436"/>
      <c r="AH152" s="436"/>
      <c r="AI152" s="439">
        <v>8</v>
      </c>
      <c r="AJ152" s="436">
        <f>AI152-AH152</f>
        <v>8</v>
      </c>
      <c r="AK152" s="440">
        <f>IF(AJ152&gt;0,1-(((E152*$AJ$4)/E152)^(1/AJ152)),0)</f>
        <v>0.31234397806636793</v>
      </c>
      <c r="AL152" s="2"/>
      <c r="AM152" s="433"/>
      <c r="AN152" s="436"/>
      <c r="AO152" s="436"/>
      <c r="AP152" s="436"/>
      <c r="AQ152" s="436"/>
      <c r="AR152" s="436"/>
      <c r="AS152" s="436"/>
      <c r="AT152" s="2"/>
      <c r="AU152" s="2"/>
      <c r="AV152" s="2"/>
      <c r="AW152" s="2"/>
      <c r="AX152" s="2"/>
      <c r="AY152" s="2"/>
      <c r="AZ152" s="433"/>
      <c r="BA152" s="2"/>
      <c r="BB152" s="2"/>
      <c r="BC152" s="2"/>
      <c r="BD152" s="433"/>
      <c r="BE152" s="439"/>
      <c r="BF152" s="433"/>
      <c r="BG152" s="149"/>
      <c r="BH152" s="2"/>
      <c r="BI152" s="2">
        <f>ROUND(+E152*AK152*J152/365,0)</f>
        <v>168964</v>
      </c>
      <c r="BJ152" s="2">
        <f>+E152-BI152</f>
        <v>1130036</v>
      </c>
      <c r="BK152" s="2">
        <f>ROUND(+BJ152*$AK152,0)</f>
        <v>352960</v>
      </c>
      <c r="BL152" s="2">
        <f t="shared" si="379"/>
        <v>777076</v>
      </c>
      <c r="BM152" s="2"/>
      <c r="BN152" s="2">
        <f t="shared" si="380"/>
        <v>777076</v>
      </c>
      <c r="BO152" s="2">
        <f>ROUND(+BL152*$AK152,0)</f>
        <v>242715</v>
      </c>
      <c r="BP152" s="2">
        <f>+BL152-BO152</f>
        <v>534361</v>
      </c>
      <c r="BQ152" s="2"/>
      <c r="BR152" s="2">
        <f t="shared" si="381"/>
        <v>534361</v>
      </c>
      <c r="BS152" s="2">
        <f>ROUND(+BP152*$AK152,0)</f>
        <v>166904</v>
      </c>
      <c r="BT152" s="2">
        <f>+BP152-BS152</f>
        <v>367457</v>
      </c>
      <c r="BU152" s="2">
        <f t="shared" si="410"/>
        <v>114773</v>
      </c>
      <c r="BV152" s="2">
        <f>+BT152-BU152</f>
        <v>252684</v>
      </c>
      <c r="BW152" s="2">
        <f t="shared" si="411"/>
        <v>78924</v>
      </c>
      <c r="BX152" s="2">
        <f>+BV152-BW152</f>
        <v>173760</v>
      </c>
      <c r="BY152" s="2">
        <f t="shared" si="412"/>
        <v>54273</v>
      </c>
      <c r="BZ152" s="2">
        <f>+BX152-BY152</f>
        <v>119487</v>
      </c>
      <c r="CA152" s="2">
        <f t="shared" si="413"/>
        <v>37321</v>
      </c>
      <c r="CB152" s="2">
        <f>+BZ152-CA152</f>
        <v>82166</v>
      </c>
      <c r="CC152" s="317">
        <f>+(1-($E152*5%)/CB152)*CB152</f>
        <v>17216</v>
      </c>
      <c r="CD152" s="2">
        <f>+CB152-CC152</f>
        <v>64950</v>
      </c>
      <c r="CE152" s="2">
        <v>0</v>
      </c>
      <c r="CF152" s="2">
        <f>+CD152-CE152</f>
        <v>64950</v>
      </c>
      <c r="CG152" s="2">
        <v>0</v>
      </c>
      <c r="CH152" s="2">
        <f>+CF152-CG152</f>
        <v>64950</v>
      </c>
      <c r="CI152" s="2">
        <v>0</v>
      </c>
      <c r="CJ152" s="2">
        <f>+CH152-CI152</f>
        <v>64950</v>
      </c>
      <c r="CK152" s="2">
        <v>0</v>
      </c>
      <c r="CL152" s="2">
        <f>+CJ152-CK152</f>
        <v>64950</v>
      </c>
      <c r="CM152" s="2">
        <v>0</v>
      </c>
      <c r="CN152" s="2">
        <f>+CL152-CM152</f>
        <v>64950</v>
      </c>
      <c r="CO152" s="2">
        <v>0</v>
      </c>
      <c r="CP152" s="2">
        <f>+CN152-CO152</f>
        <v>64950</v>
      </c>
      <c r="CQ152" s="2">
        <v>0</v>
      </c>
      <c r="CR152" s="2">
        <f>+CP152-CQ152</f>
        <v>64950</v>
      </c>
      <c r="CS152" s="2">
        <v>0</v>
      </c>
      <c r="CT152" s="2">
        <f>+CR152-CS152</f>
        <v>64950</v>
      </c>
      <c r="CU152" s="2">
        <v>0</v>
      </c>
      <c r="CV152" s="2">
        <f>+CT152-CU152</f>
        <v>64950</v>
      </c>
      <c r="CW152" s="2">
        <v>0</v>
      </c>
      <c r="CX152" s="2">
        <f>+CV152-CW152</f>
        <v>64950</v>
      </c>
      <c r="CY152" s="2">
        <v>0</v>
      </c>
      <c r="CZ152" s="2">
        <f>+CX152-CY152</f>
        <v>64950</v>
      </c>
      <c r="DA152" s="2">
        <v>0</v>
      </c>
      <c r="DB152" s="2">
        <f>+CZ152-DA152</f>
        <v>64950</v>
      </c>
      <c r="DC152" s="2">
        <v>0</v>
      </c>
      <c r="DD152" s="2">
        <f>+DB152-DC152</f>
        <v>64950</v>
      </c>
      <c r="DE152" s="2">
        <v>0</v>
      </c>
      <c r="DF152" s="2">
        <f>+DD152-DE152</f>
        <v>64950</v>
      </c>
      <c r="DG152" s="2">
        <v>0</v>
      </c>
      <c r="DH152" s="2">
        <f>+DF152-DG152</f>
        <v>64950</v>
      </c>
      <c r="DI152" s="2">
        <v>0</v>
      </c>
      <c r="DJ152" s="2">
        <f>+DH152-DI152</f>
        <v>64950</v>
      </c>
      <c r="DK152" s="2">
        <v>0</v>
      </c>
      <c r="DL152" s="2">
        <f>+DJ152-DK152</f>
        <v>64950</v>
      </c>
      <c r="DM152" s="2">
        <v>0</v>
      </c>
      <c r="DN152" s="2">
        <f>+DL152-DM152</f>
        <v>64950</v>
      </c>
      <c r="DO152" s="2">
        <v>0</v>
      </c>
      <c r="DP152" s="2">
        <f>+DN152-DO152</f>
        <v>64950</v>
      </c>
      <c r="DQ152" s="2">
        <v>0</v>
      </c>
      <c r="DR152" s="2">
        <f>+DP152-DQ152</f>
        <v>64950</v>
      </c>
      <c r="DS152" s="2">
        <v>0</v>
      </c>
      <c r="DT152" s="2">
        <f>+DR152-DS152</f>
        <v>64950</v>
      </c>
      <c r="DU152" s="2">
        <v>0</v>
      </c>
      <c r="DV152" s="2">
        <f>+DT152-DU152</f>
        <v>64950</v>
      </c>
      <c r="DW152" s="266">
        <f>+E152*5%</f>
        <v>64950</v>
      </c>
      <c r="DX152" s="441">
        <f>+DW152-DV152</f>
        <v>0</v>
      </c>
    </row>
    <row r="153" spans="1:128">
      <c r="A153" s="450">
        <v>14</v>
      </c>
      <c r="B153" s="478" t="s">
        <v>1031</v>
      </c>
      <c r="C153" s="433" t="s">
        <v>1081</v>
      </c>
      <c r="D153" s="472">
        <v>0.31230000000000002</v>
      </c>
      <c r="E153" s="330">
        <v>914953</v>
      </c>
      <c r="F153" s="470" t="s">
        <v>1080</v>
      </c>
      <c r="G153" s="438">
        <v>43768</v>
      </c>
      <c r="H153" s="438">
        <v>43768</v>
      </c>
      <c r="I153" s="267">
        <v>8</v>
      </c>
      <c r="J153" s="267">
        <f>IF(($BK$6-$G153+1)&gt;365,365,($BK$6-$G153+1))</f>
        <v>154</v>
      </c>
      <c r="K153" s="267">
        <f>365-J153</f>
        <v>211</v>
      </c>
      <c r="L153" s="433"/>
      <c r="M153" s="433"/>
      <c r="N153" s="436"/>
      <c r="O153" s="436"/>
      <c r="P153" s="439"/>
      <c r="Q153" s="436"/>
      <c r="R153" s="436"/>
      <c r="S153" s="433"/>
      <c r="T153" s="436"/>
      <c r="U153" s="436"/>
      <c r="V153" s="433"/>
      <c r="W153" s="436"/>
      <c r="X153" s="436"/>
      <c r="Y153" s="433"/>
      <c r="Z153" s="436"/>
      <c r="AA153" s="436"/>
      <c r="AB153" s="433"/>
      <c r="AC153" s="436"/>
      <c r="AD153" s="436"/>
      <c r="AE153" s="436"/>
      <c r="AF153" s="436"/>
      <c r="AG153" s="436"/>
      <c r="AH153" s="436"/>
      <c r="AI153" s="439">
        <v>8</v>
      </c>
      <c r="AJ153" s="436">
        <f>AI153-AH153</f>
        <v>8</v>
      </c>
      <c r="AK153" s="440">
        <f>IF(AJ153&gt;0,1-(((E153*$AJ$4)/E153)^(1/AJ153)),0)</f>
        <v>0.31234397806636793</v>
      </c>
      <c r="AL153" s="2"/>
      <c r="AM153" s="433"/>
      <c r="AN153" s="436"/>
      <c r="AO153" s="436"/>
      <c r="AP153" s="436"/>
      <c r="AQ153" s="436"/>
      <c r="AR153" s="436"/>
      <c r="AS153" s="436"/>
      <c r="AT153" s="2"/>
      <c r="AU153" s="2"/>
      <c r="AV153" s="2"/>
      <c r="AW153" s="2"/>
      <c r="AX153" s="2"/>
      <c r="AY153" s="2"/>
      <c r="AZ153" s="433"/>
      <c r="BA153" s="2"/>
      <c r="BB153" s="2"/>
      <c r="BC153" s="2"/>
      <c r="BD153" s="433"/>
      <c r="BE153" s="439"/>
      <c r="BF153" s="433"/>
      <c r="BG153" s="149"/>
      <c r="BH153" s="2"/>
      <c r="BI153" s="2"/>
      <c r="BJ153" s="2"/>
      <c r="BK153" s="2">
        <f>+ROUND((E153*J153*AK153)/365,0)</f>
        <v>120576</v>
      </c>
      <c r="BL153" s="331">
        <f>+E153-BK153</f>
        <v>794377</v>
      </c>
      <c r="BM153" s="331"/>
      <c r="BN153" s="2">
        <f t="shared" si="380"/>
        <v>794377</v>
      </c>
      <c r="BO153" s="2">
        <f>ROUND(+BL153*$AK153,0)</f>
        <v>248119</v>
      </c>
      <c r="BP153" s="2">
        <f>+BL153-BO153</f>
        <v>546258</v>
      </c>
      <c r="BQ153" s="2"/>
      <c r="BR153" s="2">
        <f t="shared" si="381"/>
        <v>546258</v>
      </c>
      <c r="BS153" s="2">
        <f>ROUND(+BP153*$AK153,0)</f>
        <v>170620</v>
      </c>
      <c r="BT153" s="2">
        <f>+BP153-BS153</f>
        <v>375638</v>
      </c>
      <c r="BU153" s="2">
        <f t="shared" si="410"/>
        <v>117328</v>
      </c>
      <c r="BV153" s="2">
        <f>+BT153-BU153</f>
        <v>258310</v>
      </c>
      <c r="BW153" s="2">
        <f t="shared" si="411"/>
        <v>80682</v>
      </c>
      <c r="BX153" s="2">
        <f>+BV153-BW153</f>
        <v>177628</v>
      </c>
      <c r="BY153" s="2">
        <f t="shared" si="412"/>
        <v>55481</v>
      </c>
      <c r="BZ153" s="2">
        <f>+BX153-BY153</f>
        <v>122147</v>
      </c>
      <c r="CA153" s="2">
        <f t="shared" si="413"/>
        <v>38152</v>
      </c>
      <c r="CB153" s="2">
        <f>+BZ153-CA153</f>
        <v>83995</v>
      </c>
      <c r="CC153" s="2">
        <f>ROUND(+CB153*$AK153,0)</f>
        <v>26235</v>
      </c>
      <c r="CD153" s="2">
        <f>+CB153-CC153</f>
        <v>57760</v>
      </c>
      <c r="CE153" s="2">
        <f>+CD153-CF153</f>
        <v>12012.349999999999</v>
      </c>
      <c r="CF153" s="2">
        <f>+E153*5%</f>
        <v>45747.65</v>
      </c>
      <c r="CG153" s="2">
        <v>0</v>
      </c>
      <c r="CH153" s="2">
        <f>+CF153-CG153</f>
        <v>45747.65</v>
      </c>
      <c r="CI153" s="2">
        <v>0</v>
      </c>
      <c r="CJ153" s="2">
        <f>+CH153-CI153</f>
        <v>45747.65</v>
      </c>
      <c r="CK153" s="2">
        <v>0</v>
      </c>
      <c r="CL153" s="2">
        <f>+CJ153-CK153</f>
        <v>45747.65</v>
      </c>
      <c r="CM153" s="2">
        <v>0</v>
      </c>
      <c r="CN153" s="2">
        <f>+CL153-CM153</f>
        <v>45747.65</v>
      </c>
      <c r="CO153" s="2">
        <v>0</v>
      </c>
      <c r="CP153" s="2">
        <f>+CN153-CO153</f>
        <v>45747.65</v>
      </c>
      <c r="CQ153" s="2">
        <v>0</v>
      </c>
      <c r="CR153" s="2">
        <f>+CP153-CQ153</f>
        <v>45747.65</v>
      </c>
      <c r="CS153" s="2">
        <v>0</v>
      </c>
      <c r="CT153" s="2">
        <f>+CR153-CS153</f>
        <v>45747.65</v>
      </c>
      <c r="CU153" s="2">
        <v>0</v>
      </c>
      <c r="CV153" s="2">
        <f>+CT153-CU153</f>
        <v>45747.65</v>
      </c>
      <c r="CW153" s="2">
        <v>0</v>
      </c>
      <c r="CX153" s="2">
        <f>+CV153-CW153</f>
        <v>45747.65</v>
      </c>
      <c r="CY153" s="2">
        <v>0</v>
      </c>
      <c r="CZ153" s="2">
        <f>+CX153-CY153</f>
        <v>45747.65</v>
      </c>
      <c r="DA153" s="2">
        <v>0</v>
      </c>
      <c r="DB153" s="2">
        <f>+CZ153-DA153</f>
        <v>45747.65</v>
      </c>
      <c r="DC153" s="2">
        <v>0</v>
      </c>
      <c r="DD153" s="2">
        <f>+DB153-DC153</f>
        <v>45747.65</v>
      </c>
      <c r="DE153" s="2">
        <v>0</v>
      </c>
      <c r="DF153" s="2">
        <f>+DD153-DE153</f>
        <v>45747.65</v>
      </c>
      <c r="DG153" s="2">
        <v>0</v>
      </c>
      <c r="DH153" s="2">
        <f>+DF153-DG153</f>
        <v>45747.65</v>
      </c>
      <c r="DI153" s="2">
        <v>0</v>
      </c>
      <c r="DJ153" s="2">
        <f>+DH153-DI153</f>
        <v>45747.65</v>
      </c>
      <c r="DK153" s="2">
        <v>0</v>
      </c>
      <c r="DL153" s="2">
        <f>+DJ153-DK153</f>
        <v>45747.65</v>
      </c>
      <c r="DM153" s="2">
        <v>0</v>
      </c>
      <c r="DN153" s="2">
        <f>+DL153-DM153</f>
        <v>45747.65</v>
      </c>
      <c r="DO153" s="2">
        <v>0</v>
      </c>
      <c r="DP153" s="2">
        <f>+DN153-DO153</f>
        <v>45747.65</v>
      </c>
      <c r="DQ153" s="2">
        <v>0</v>
      </c>
      <c r="DR153" s="2">
        <f>+DP153-DQ153</f>
        <v>45747.65</v>
      </c>
      <c r="DS153" s="2">
        <v>0</v>
      </c>
      <c r="DT153" s="2">
        <f>+DR153-DS153</f>
        <v>45747.65</v>
      </c>
      <c r="DU153" s="2">
        <v>0</v>
      </c>
      <c r="DV153" s="2">
        <f>+DT153-DU153</f>
        <v>45747.65</v>
      </c>
      <c r="DW153" s="266">
        <f>+E153*5%</f>
        <v>45747.65</v>
      </c>
      <c r="DX153" s="266">
        <f>+DW153-DV153</f>
        <v>0</v>
      </c>
    </row>
    <row r="154" spans="1:128">
      <c r="A154" s="450">
        <v>15</v>
      </c>
      <c r="B154" s="478" t="s">
        <v>1385</v>
      </c>
      <c r="C154" s="433" t="s">
        <v>1081</v>
      </c>
      <c r="D154" s="472">
        <v>0.31230000000000002</v>
      </c>
      <c r="E154" s="330">
        <f>'FA Additions'!F37</f>
        <v>625000</v>
      </c>
      <c r="F154" s="576" t="s">
        <v>1392</v>
      </c>
      <c r="G154" s="577">
        <v>44537</v>
      </c>
      <c r="H154" s="577"/>
      <c r="I154" s="267">
        <v>8</v>
      </c>
      <c r="J154" s="267">
        <f>IF(($BS$6-$G154+1)&gt;365,365,($BS$6-$G154+1))</f>
        <v>115</v>
      </c>
      <c r="K154" s="390"/>
      <c r="L154" s="450"/>
      <c r="M154" s="450"/>
      <c r="N154" s="442"/>
      <c r="O154" s="442"/>
      <c r="P154" s="572"/>
      <c r="Q154" s="442"/>
      <c r="R154" s="442"/>
      <c r="S154" s="450"/>
      <c r="T154" s="442"/>
      <c r="U154" s="442"/>
      <c r="V154" s="450"/>
      <c r="W154" s="442"/>
      <c r="X154" s="442"/>
      <c r="Y154" s="450"/>
      <c r="Z154" s="442"/>
      <c r="AA154" s="442"/>
      <c r="AB154" s="450"/>
      <c r="AC154" s="442"/>
      <c r="AD154" s="442"/>
      <c r="AE154" s="442"/>
      <c r="AF154" s="442"/>
      <c r="AG154" s="442"/>
      <c r="AH154" s="442"/>
      <c r="AI154" s="572">
        <v>8</v>
      </c>
      <c r="AJ154" s="436">
        <f>AI154-AH154</f>
        <v>8</v>
      </c>
      <c r="AK154" s="440">
        <f>IF(AJ154&gt;0,1-(((E154*$AJ$4)/E154)^(1/AJ154)),0)</f>
        <v>0.31234397806636793</v>
      </c>
      <c r="AL154" s="575"/>
      <c r="AM154" s="450"/>
      <c r="AN154" s="442"/>
      <c r="AO154" s="442"/>
      <c r="AP154" s="442"/>
      <c r="AQ154" s="442"/>
      <c r="AR154" s="442"/>
      <c r="AS154" s="442"/>
      <c r="AT154" s="575"/>
      <c r="AU154" s="575"/>
      <c r="AV154" s="575"/>
      <c r="AW154" s="575"/>
      <c r="AX154" s="575"/>
      <c r="AY154" s="575"/>
      <c r="AZ154" s="450"/>
      <c r="BA154" s="575"/>
      <c r="BB154" s="575"/>
      <c r="BC154" s="575"/>
      <c r="BD154" s="450"/>
      <c r="BE154" s="572"/>
      <c r="BF154" s="450"/>
      <c r="BG154" s="578"/>
      <c r="BH154" s="575"/>
      <c r="BI154" s="575"/>
      <c r="BJ154" s="575"/>
      <c r="BK154" s="575"/>
      <c r="BL154" s="574"/>
      <c r="BM154" s="574"/>
      <c r="BN154" s="575"/>
      <c r="BO154" s="575"/>
      <c r="BP154" s="575"/>
      <c r="BQ154" s="575"/>
      <c r="BR154" s="2">
        <f t="shared" si="381"/>
        <v>0</v>
      </c>
      <c r="BS154" s="575">
        <f>E154*AK154*J154/365</f>
        <v>61506.091571288212</v>
      </c>
      <c r="BT154" s="575">
        <f>E154-BS154</f>
        <v>563493.90842871182</v>
      </c>
      <c r="BU154" s="575">
        <f t="shared" si="410"/>
        <v>176004</v>
      </c>
      <c r="BV154" s="575">
        <f>+BT154-BU154</f>
        <v>387489.90842871182</v>
      </c>
      <c r="BW154" s="575">
        <f t="shared" si="411"/>
        <v>121030</v>
      </c>
      <c r="BX154" s="575">
        <f>+BV154-BW154</f>
        <v>266459.90842871182</v>
      </c>
      <c r="BY154" s="575">
        <f t="shared" si="412"/>
        <v>83227</v>
      </c>
      <c r="BZ154" s="575">
        <f>+BX154-BY154</f>
        <v>183232.90842871182</v>
      </c>
      <c r="CA154" s="575">
        <f t="shared" si="413"/>
        <v>57232</v>
      </c>
      <c r="CB154" s="575">
        <f>+BZ154-CA154</f>
        <v>126000.90842871182</v>
      </c>
      <c r="CC154" s="575">
        <f>ROUND(+CB154*$AK154,0)</f>
        <v>39356</v>
      </c>
      <c r="CD154" s="575">
        <f>+CB154-CC154</f>
        <v>86644.908428711817</v>
      </c>
      <c r="CE154" s="575"/>
      <c r="CF154" s="575"/>
      <c r="CG154" s="575"/>
      <c r="CH154" s="575"/>
      <c r="CI154" s="575"/>
      <c r="CJ154" s="575"/>
      <c r="CK154" s="575"/>
      <c r="CL154" s="575"/>
      <c r="CM154" s="575"/>
      <c r="CN154" s="575"/>
      <c r="CO154" s="575"/>
      <c r="CP154" s="575"/>
      <c r="CQ154" s="575"/>
      <c r="CR154" s="575"/>
      <c r="CS154" s="575"/>
      <c r="CT154" s="575"/>
      <c r="CU154" s="575"/>
      <c r="CV154" s="575"/>
      <c r="CW154" s="575"/>
      <c r="CX154" s="575"/>
      <c r="CY154" s="575"/>
      <c r="CZ154" s="575"/>
      <c r="DA154" s="575"/>
      <c r="DB154" s="575"/>
      <c r="DC154" s="575"/>
      <c r="DD154" s="575"/>
      <c r="DE154" s="575"/>
      <c r="DF154" s="575"/>
      <c r="DG154" s="575"/>
      <c r="DH154" s="575"/>
      <c r="DI154" s="575"/>
      <c r="DJ154" s="575"/>
      <c r="DK154" s="575"/>
      <c r="DL154" s="575"/>
      <c r="DM154" s="575"/>
      <c r="DN154" s="575"/>
      <c r="DO154" s="575"/>
      <c r="DP154" s="575"/>
      <c r="DQ154" s="575"/>
      <c r="DR154" s="575"/>
      <c r="DS154" s="575"/>
      <c r="DT154" s="575"/>
      <c r="DU154" s="575"/>
      <c r="DV154" s="575"/>
      <c r="DW154" s="3"/>
      <c r="DX154" s="3"/>
    </row>
    <row r="155" spans="1:128">
      <c r="A155" s="450">
        <v>16</v>
      </c>
      <c r="B155" s="478" t="s">
        <v>1386</v>
      </c>
      <c r="C155" s="433" t="s">
        <v>1081</v>
      </c>
      <c r="D155" s="472">
        <v>0.31230000000000002</v>
      </c>
      <c r="E155" s="330">
        <f>'FA Additions'!F38</f>
        <v>725000</v>
      </c>
      <c r="F155" s="576" t="s">
        <v>1392</v>
      </c>
      <c r="G155" s="577">
        <v>44537</v>
      </c>
      <c r="H155" s="577"/>
      <c r="I155" s="267">
        <v>8</v>
      </c>
      <c r="J155" s="267">
        <f>IF(($BS$6-$G155+1)&gt;365,365,($BS$6-$G155+1))</f>
        <v>115</v>
      </c>
      <c r="K155" s="390"/>
      <c r="L155" s="450"/>
      <c r="M155" s="450"/>
      <c r="N155" s="442"/>
      <c r="O155" s="442"/>
      <c r="P155" s="572"/>
      <c r="Q155" s="442"/>
      <c r="R155" s="442"/>
      <c r="S155" s="450"/>
      <c r="T155" s="442"/>
      <c r="U155" s="442"/>
      <c r="V155" s="450"/>
      <c r="W155" s="442"/>
      <c r="X155" s="442"/>
      <c r="Y155" s="450"/>
      <c r="Z155" s="442"/>
      <c r="AA155" s="442"/>
      <c r="AB155" s="450"/>
      <c r="AC155" s="442"/>
      <c r="AD155" s="442"/>
      <c r="AE155" s="442"/>
      <c r="AF155" s="442"/>
      <c r="AG155" s="442"/>
      <c r="AH155" s="442"/>
      <c r="AI155" s="572">
        <v>8</v>
      </c>
      <c r="AJ155" s="436">
        <f>AI155-AH155</f>
        <v>8</v>
      </c>
      <c r="AK155" s="440">
        <f>IF(AJ155&gt;0,1-(((E155*$AJ$4)/E155)^(1/AJ155)),0)</f>
        <v>0.31234397806636793</v>
      </c>
      <c r="AL155" s="575"/>
      <c r="AM155" s="450"/>
      <c r="AN155" s="442"/>
      <c r="AO155" s="442"/>
      <c r="AP155" s="442"/>
      <c r="AQ155" s="442"/>
      <c r="AR155" s="442"/>
      <c r="AS155" s="442"/>
      <c r="AT155" s="575"/>
      <c r="AU155" s="575"/>
      <c r="AV155" s="575"/>
      <c r="AW155" s="575"/>
      <c r="AX155" s="575"/>
      <c r="AY155" s="575"/>
      <c r="AZ155" s="450"/>
      <c r="BA155" s="575"/>
      <c r="BB155" s="575"/>
      <c r="BC155" s="575"/>
      <c r="BD155" s="450"/>
      <c r="BE155" s="572"/>
      <c r="BF155" s="450"/>
      <c r="BG155" s="578"/>
      <c r="BH155" s="575"/>
      <c r="BI155" s="575"/>
      <c r="BJ155" s="575"/>
      <c r="BK155" s="575"/>
      <c r="BL155" s="574"/>
      <c r="BM155" s="574"/>
      <c r="BN155" s="575"/>
      <c r="BO155" s="575"/>
      <c r="BP155" s="575"/>
      <c r="BQ155" s="575"/>
      <c r="BR155" s="2">
        <f t="shared" si="381"/>
        <v>0</v>
      </c>
      <c r="BS155" s="575">
        <f>E155*AK155*J155/365</f>
        <v>71347.06622269431</v>
      </c>
      <c r="BT155" s="575">
        <f>E155-BS155</f>
        <v>653652.93377730565</v>
      </c>
      <c r="BU155" s="575">
        <f t="shared" si="410"/>
        <v>204165</v>
      </c>
      <c r="BV155" s="575">
        <f>+BT155-BU155</f>
        <v>449487.93377730565</v>
      </c>
      <c r="BW155" s="575"/>
      <c r="BX155" s="575"/>
      <c r="BY155" s="575"/>
      <c r="BZ155" s="575"/>
      <c r="CA155" s="575"/>
      <c r="CB155" s="575"/>
      <c r="CC155" s="575"/>
      <c r="CD155" s="575"/>
      <c r="CE155" s="575"/>
      <c r="CF155" s="575"/>
      <c r="CG155" s="575"/>
      <c r="CH155" s="575"/>
      <c r="CI155" s="575"/>
      <c r="CJ155" s="575"/>
      <c r="CK155" s="575"/>
      <c r="CL155" s="575"/>
      <c r="CM155" s="575"/>
      <c r="CN155" s="575"/>
      <c r="CO155" s="575"/>
      <c r="CP155" s="575"/>
      <c r="CQ155" s="575"/>
      <c r="CR155" s="575"/>
      <c r="CS155" s="575"/>
      <c r="CT155" s="575"/>
      <c r="CU155" s="575"/>
      <c r="CV155" s="575"/>
      <c r="CW155" s="575"/>
      <c r="CX155" s="575"/>
      <c r="CY155" s="575"/>
      <c r="CZ155" s="575"/>
      <c r="DA155" s="575"/>
      <c r="DB155" s="575"/>
      <c r="DC155" s="575"/>
      <c r="DD155" s="575"/>
      <c r="DE155" s="575"/>
      <c r="DF155" s="575"/>
      <c r="DG155" s="575"/>
      <c r="DH155" s="575"/>
      <c r="DI155" s="575"/>
      <c r="DJ155" s="575"/>
      <c r="DK155" s="575"/>
      <c r="DL155" s="575"/>
      <c r="DM155" s="575"/>
      <c r="DN155" s="575"/>
      <c r="DO155" s="575"/>
      <c r="DP155" s="575"/>
      <c r="DQ155" s="575"/>
      <c r="DR155" s="575"/>
      <c r="DS155" s="575"/>
      <c r="DT155" s="575"/>
      <c r="DU155" s="575"/>
      <c r="DV155" s="575"/>
      <c r="DW155" s="3"/>
      <c r="DX155" s="3"/>
    </row>
    <row r="156" spans="1:128">
      <c r="A156" s="450">
        <v>17</v>
      </c>
      <c r="B156" s="478" t="s">
        <v>1519</v>
      </c>
      <c r="C156" s="434" t="s">
        <v>509</v>
      </c>
      <c r="D156" s="472">
        <v>0.31230000000000002</v>
      </c>
      <c r="E156" s="330">
        <f>'FA Additions'!F39</f>
        <v>785210</v>
      </c>
      <c r="F156" s="576" t="s">
        <v>1392</v>
      </c>
      <c r="G156" s="627">
        <v>44592</v>
      </c>
      <c r="H156" s="577"/>
      <c r="I156" s="267">
        <v>8</v>
      </c>
      <c r="J156" s="267">
        <f>IF(($BS$6-$G156+1)&gt;365,365,($BS$6-$G156+1))</f>
        <v>60</v>
      </c>
      <c r="K156" s="390"/>
      <c r="L156" s="450"/>
      <c r="M156" s="450"/>
      <c r="N156" s="442"/>
      <c r="O156" s="442"/>
      <c r="P156" s="572"/>
      <c r="Q156" s="442"/>
      <c r="R156" s="442"/>
      <c r="S156" s="450"/>
      <c r="T156" s="442"/>
      <c r="U156" s="442"/>
      <c r="V156" s="450"/>
      <c r="W156" s="442"/>
      <c r="X156" s="442"/>
      <c r="Y156" s="450"/>
      <c r="Z156" s="442"/>
      <c r="AA156" s="442"/>
      <c r="AB156" s="450"/>
      <c r="AC156" s="442"/>
      <c r="AD156" s="442"/>
      <c r="AE156" s="442"/>
      <c r="AF156" s="442"/>
      <c r="AG156" s="442"/>
      <c r="AH156" s="442"/>
      <c r="AI156" s="572">
        <v>8</v>
      </c>
      <c r="AJ156" s="436">
        <f>AI156-AH156</f>
        <v>8</v>
      </c>
      <c r="AK156" s="440">
        <f>IF(AJ156&gt;0,1-(((E156*$AJ$4)/E156)^(1/AJ156)),0)</f>
        <v>0.31234397806636793</v>
      </c>
      <c r="AL156" s="575"/>
      <c r="AM156" s="450"/>
      <c r="AN156" s="442"/>
      <c r="AO156" s="442"/>
      <c r="AP156" s="442"/>
      <c r="AQ156" s="442"/>
      <c r="AR156" s="442"/>
      <c r="AS156" s="442"/>
      <c r="AT156" s="575"/>
      <c r="AU156" s="575"/>
      <c r="AV156" s="575"/>
      <c r="AW156" s="575"/>
      <c r="AX156" s="575"/>
      <c r="AY156" s="575"/>
      <c r="AZ156" s="450"/>
      <c r="BA156" s="575"/>
      <c r="BB156" s="575"/>
      <c r="BC156" s="575"/>
      <c r="BD156" s="450"/>
      <c r="BE156" s="572"/>
      <c r="BF156" s="450"/>
      <c r="BG156" s="578"/>
      <c r="BH156" s="575"/>
      <c r="BI156" s="575"/>
      <c r="BJ156" s="575"/>
      <c r="BK156" s="575"/>
      <c r="BL156" s="574"/>
      <c r="BM156" s="574"/>
      <c r="BN156" s="575"/>
      <c r="BO156" s="575"/>
      <c r="BP156" s="575"/>
      <c r="BQ156" s="575"/>
      <c r="BR156" s="2">
        <f t="shared" si="381"/>
        <v>0</v>
      </c>
      <c r="BS156" s="575">
        <f>E156*AK156*J156/365</f>
        <v>40315.991509724838</v>
      </c>
      <c r="BT156" s="575">
        <f>E156-BS156</f>
        <v>744894.00849027513</v>
      </c>
      <c r="BU156" s="575">
        <f t="shared" si="410"/>
        <v>232663</v>
      </c>
      <c r="BV156" s="575">
        <f>+BT156-BU156</f>
        <v>512231.00849027513</v>
      </c>
      <c r="BW156" s="575"/>
      <c r="BX156" s="575"/>
      <c r="BY156" s="575"/>
      <c r="BZ156" s="575"/>
      <c r="CA156" s="575"/>
      <c r="CB156" s="575"/>
      <c r="CC156" s="575"/>
      <c r="CD156" s="575"/>
      <c r="CE156" s="575"/>
      <c r="CF156" s="575"/>
      <c r="CG156" s="575"/>
      <c r="CH156" s="575"/>
      <c r="CI156" s="575"/>
      <c r="CJ156" s="575"/>
      <c r="CK156" s="575"/>
      <c r="CL156" s="575"/>
      <c r="CM156" s="575"/>
      <c r="CN156" s="575"/>
      <c r="CO156" s="575"/>
      <c r="CP156" s="575"/>
      <c r="CQ156" s="575"/>
      <c r="CR156" s="575"/>
      <c r="CS156" s="575"/>
      <c r="CT156" s="575"/>
      <c r="CU156" s="575"/>
      <c r="CV156" s="575"/>
      <c r="CW156" s="575"/>
      <c r="CX156" s="575"/>
      <c r="CY156" s="575"/>
      <c r="CZ156" s="575"/>
      <c r="DA156" s="575"/>
      <c r="DB156" s="575"/>
      <c r="DC156" s="575"/>
      <c r="DD156" s="575"/>
      <c r="DE156" s="575"/>
      <c r="DF156" s="575"/>
      <c r="DG156" s="575"/>
      <c r="DH156" s="575"/>
      <c r="DI156" s="575"/>
      <c r="DJ156" s="575"/>
      <c r="DK156" s="575"/>
      <c r="DL156" s="575"/>
      <c r="DM156" s="575"/>
      <c r="DN156" s="575"/>
      <c r="DO156" s="575"/>
      <c r="DP156" s="575"/>
      <c r="DQ156" s="575"/>
      <c r="DR156" s="575"/>
      <c r="DS156" s="575"/>
      <c r="DT156" s="575"/>
      <c r="DU156" s="575"/>
      <c r="DV156" s="575"/>
      <c r="DW156" s="3"/>
      <c r="DX156" s="3"/>
    </row>
    <row r="157" spans="1:128">
      <c r="A157" s="450"/>
      <c r="B157" s="478"/>
      <c r="C157" s="434"/>
      <c r="D157" s="472"/>
      <c r="E157" s="330"/>
      <c r="F157" s="576"/>
      <c r="G157" s="577"/>
      <c r="H157" s="577"/>
      <c r="I157" s="390"/>
      <c r="J157" s="390"/>
      <c r="K157" s="390"/>
      <c r="L157" s="450"/>
      <c r="M157" s="450"/>
      <c r="N157" s="442"/>
      <c r="O157" s="442"/>
      <c r="P157" s="572"/>
      <c r="Q157" s="442"/>
      <c r="R157" s="442"/>
      <c r="S157" s="450"/>
      <c r="T157" s="442"/>
      <c r="U157" s="442"/>
      <c r="V157" s="450"/>
      <c r="W157" s="442"/>
      <c r="X157" s="442"/>
      <c r="Y157" s="450"/>
      <c r="Z157" s="442"/>
      <c r="AA157" s="442"/>
      <c r="AB157" s="450"/>
      <c r="AC157" s="442"/>
      <c r="AD157" s="442"/>
      <c r="AE157" s="442"/>
      <c r="AF157" s="442"/>
      <c r="AG157" s="442"/>
      <c r="AH157" s="442"/>
      <c r="AI157" s="572"/>
      <c r="AJ157" s="442"/>
      <c r="AK157" s="573"/>
      <c r="AL157" s="575"/>
      <c r="AM157" s="450"/>
      <c r="AN157" s="442"/>
      <c r="AO157" s="442"/>
      <c r="AP157" s="442"/>
      <c r="AQ157" s="442"/>
      <c r="AR157" s="442"/>
      <c r="AS157" s="442"/>
      <c r="AT157" s="575"/>
      <c r="AU157" s="575"/>
      <c r="AV157" s="575"/>
      <c r="AW157" s="575"/>
      <c r="AX157" s="575"/>
      <c r="AY157" s="575"/>
      <c r="AZ157" s="450"/>
      <c r="BA157" s="575"/>
      <c r="BB157" s="575"/>
      <c r="BC157" s="575"/>
      <c r="BD157" s="450"/>
      <c r="BE157" s="572"/>
      <c r="BF157" s="450"/>
      <c r="BG157" s="578"/>
      <c r="BH157" s="575"/>
      <c r="BI157" s="575"/>
      <c r="BJ157" s="575"/>
      <c r="BK157" s="575"/>
      <c r="BL157" s="574"/>
      <c r="BM157" s="574"/>
      <c r="BN157" s="575"/>
      <c r="BO157" s="575"/>
      <c r="BP157" s="575"/>
      <c r="BQ157" s="575"/>
      <c r="BR157" s="575"/>
      <c r="BS157" s="575"/>
      <c r="BT157" s="575"/>
      <c r="BU157" s="575"/>
      <c r="BV157" s="575"/>
      <c r="BW157" s="575"/>
      <c r="BX157" s="575"/>
      <c r="BY157" s="575"/>
      <c r="BZ157" s="575"/>
      <c r="CA157" s="575"/>
      <c r="CB157" s="575"/>
      <c r="CC157" s="575"/>
      <c r="CD157" s="575"/>
      <c r="CE157" s="575"/>
      <c r="CF157" s="575"/>
      <c r="CG157" s="575"/>
      <c r="CH157" s="575"/>
      <c r="CI157" s="575"/>
      <c r="CJ157" s="575"/>
      <c r="CK157" s="575"/>
      <c r="CL157" s="575"/>
      <c r="CM157" s="575"/>
      <c r="CN157" s="575"/>
      <c r="CO157" s="575"/>
      <c r="CP157" s="575"/>
      <c r="CQ157" s="575"/>
      <c r="CR157" s="575"/>
      <c r="CS157" s="575"/>
      <c r="CT157" s="575"/>
      <c r="CU157" s="575"/>
      <c r="CV157" s="575"/>
      <c r="CW157" s="575"/>
      <c r="CX157" s="575"/>
      <c r="CY157" s="575"/>
      <c r="CZ157" s="575"/>
      <c r="DA157" s="575"/>
      <c r="DB157" s="575"/>
      <c r="DC157" s="575"/>
      <c r="DD157" s="575"/>
      <c r="DE157" s="575"/>
      <c r="DF157" s="575"/>
      <c r="DG157" s="575"/>
      <c r="DH157" s="575"/>
      <c r="DI157" s="575"/>
      <c r="DJ157" s="575"/>
      <c r="DK157" s="575"/>
      <c r="DL157" s="575"/>
      <c r="DM157" s="575"/>
      <c r="DN157" s="575"/>
      <c r="DO157" s="575"/>
      <c r="DP157" s="575"/>
      <c r="DQ157" s="575"/>
      <c r="DR157" s="575"/>
      <c r="DS157" s="575"/>
      <c r="DT157" s="575"/>
      <c r="DU157" s="575"/>
      <c r="DV157" s="575"/>
      <c r="DW157" s="3"/>
      <c r="DX157" s="3"/>
    </row>
    <row r="158" spans="1:128">
      <c r="A158" s="474"/>
      <c r="B158" s="474"/>
      <c r="C158" s="475"/>
      <c r="D158" s="474"/>
      <c r="E158" s="394">
        <f>SUM(E140:E153)</f>
        <v>7298314.6600000001</v>
      </c>
      <c r="F158" s="394">
        <f>SUM(F140:F154)</f>
        <v>0</v>
      </c>
      <c r="G158" s="394"/>
      <c r="H158" s="394"/>
      <c r="I158" s="394">
        <f t="shared" ref="I158:BR158" si="414">SUM(I140:I153)</f>
        <v>46</v>
      </c>
      <c r="J158" s="394">
        <f t="shared" si="414"/>
        <v>938</v>
      </c>
      <c r="K158" s="394">
        <f t="shared" si="414"/>
        <v>887</v>
      </c>
      <c r="L158" s="394">
        <f t="shared" si="414"/>
        <v>0</v>
      </c>
      <c r="M158" s="394">
        <f t="shared" si="414"/>
        <v>351</v>
      </c>
      <c r="N158" s="394">
        <f t="shared" si="414"/>
        <v>7346</v>
      </c>
      <c r="O158" s="394">
        <f t="shared" si="414"/>
        <v>22159.78</v>
      </c>
      <c r="P158" s="394">
        <f t="shared" si="414"/>
        <v>493</v>
      </c>
      <c r="Q158" s="394">
        <f t="shared" si="414"/>
        <v>29206</v>
      </c>
      <c r="R158" s="394">
        <f t="shared" si="414"/>
        <v>474070.66000000003</v>
      </c>
      <c r="S158" s="394">
        <f t="shared" si="414"/>
        <v>730</v>
      </c>
      <c r="T158" s="394">
        <f t="shared" si="414"/>
        <v>67911</v>
      </c>
      <c r="U158" s="394">
        <f t="shared" si="414"/>
        <v>406159.66000000003</v>
      </c>
      <c r="V158" s="394">
        <f t="shared" si="414"/>
        <v>730</v>
      </c>
      <c r="W158" s="394">
        <f t="shared" si="414"/>
        <v>57955</v>
      </c>
      <c r="X158" s="394">
        <f t="shared" si="414"/>
        <v>348204.66000000003</v>
      </c>
      <c r="Y158" s="394">
        <f t="shared" si="414"/>
        <v>1297</v>
      </c>
      <c r="Z158" s="394">
        <f t="shared" si="414"/>
        <v>271964</v>
      </c>
      <c r="AA158" s="394">
        <f t="shared" si="414"/>
        <v>2580539.66</v>
      </c>
      <c r="AB158" s="394">
        <f t="shared" si="414"/>
        <v>2401</v>
      </c>
      <c r="AC158" s="394">
        <f t="shared" si="414"/>
        <v>689605</v>
      </c>
      <c r="AD158" s="394">
        <f t="shared" si="414"/>
        <v>1994484.66</v>
      </c>
      <c r="AE158" s="394">
        <f t="shared" si="414"/>
        <v>1123987</v>
      </c>
      <c r="AF158" s="394">
        <f t="shared" si="414"/>
        <v>1994484.66</v>
      </c>
      <c r="AG158" s="394">
        <f t="shared" si="414"/>
        <v>0</v>
      </c>
      <c r="AH158" s="394">
        <f t="shared" si="414"/>
        <v>16.463013698630139</v>
      </c>
      <c r="AI158" s="394">
        <f>SUM(AI140:AI154)</f>
        <v>136</v>
      </c>
      <c r="AJ158" s="394">
        <f t="shared" si="414"/>
        <v>111.53698630136986</v>
      </c>
      <c r="AK158" s="394">
        <f t="shared" si="414"/>
        <v>4.1227715735124741</v>
      </c>
      <c r="AL158" s="394">
        <f t="shared" si="414"/>
        <v>0</v>
      </c>
      <c r="AM158" s="394">
        <f t="shared" si="414"/>
        <v>2839</v>
      </c>
      <c r="AN158" s="394">
        <f t="shared" si="414"/>
        <v>754256</v>
      </c>
      <c r="AO158" s="394">
        <f t="shared" si="414"/>
        <v>970544</v>
      </c>
      <c r="AP158" s="394">
        <f t="shared" si="414"/>
        <v>2204825.66</v>
      </c>
      <c r="AQ158" s="394">
        <f t="shared" si="414"/>
        <v>2204825.66</v>
      </c>
      <c r="AR158" s="394">
        <f t="shared" si="414"/>
        <v>0</v>
      </c>
      <c r="AS158" s="394">
        <f t="shared" si="414"/>
        <v>216288</v>
      </c>
      <c r="AT158" s="394">
        <f t="shared" si="414"/>
        <v>2421113.66</v>
      </c>
      <c r="AU158" s="394">
        <f t="shared" si="414"/>
        <v>2204825.66</v>
      </c>
      <c r="AV158" s="394">
        <f t="shared" si="414"/>
        <v>0</v>
      </c>
      <c r="AW158" s="394">
        <f t="shared" si="414"/>
        <v>3164</v>
      </c>
      <c r="AX158" s="394">
        <f t="shared" si="414"/>
        <v>843388.53816853487</v>
      </c>
      <c r="AY158" s="394">
        <f t="shared" si="414"/>
        <v>1929353.121831465</v>
      </c>
      <c r="AZ158" s="394">
        <f t="shared" si="414"/>
        <v>3285</v>
      </c>
      <c r="BA158" s="394">
        <f t="shared" si="414"/>
        <v>624266.70936151093</v>
      </c>
      <c r="BB158" s="394">
        <f t="shared" si="414"/>
        <v>1305086.4124699542</v>
      </c>
      <c r="BC158" s="394">
        <f t="shared" si="414"/>
        <v>32850</v>
      </c>
      <c r="BD158" s="394">
        <f t="shared" si="414"/>
        <v>15296</v>
      </c>
      <c r="BE158" s="394">
        <f t="shared" si="414"/>
        <v>17554</v>
      </c>
      <c r="BF158" s="394">
        <f t="shared" si="414"/>
        <v>3285</v>
      </c>
      <c r="BG158" s="394">
        <f t="shared" si="414"/>
        <v>416134.59352190979</v>
      </c>
      <c r="BH158" s="394">
        <f t="shared" si="414"/>
        <v>888951.81894804456</v>
      </c>
      <c r="BI158" s="394">
        <f t="shared" si="414"/>
        <v>479569.97849661403</v>
      </c>
      <c r="BJ158" s="394">
        <f t="shared" si="414"/>
        <v>1925470.8404514305</v>
      </c>
      <c r="BK158" s="396">
        <f>SUM(BK140:BK153)</f>
        <v>706847.37145043747</v>
      </c>
      <c r="BL158" s="394">
        <f t="shared" si="414"/>
        <v>2133576.4690009928</v>
      </c>
      <c r="BM158" s="394"/>
      <c r="BN158" s="394"/>
      <c r="BO158" s="394">
        <f t="shared" si="414"/>
        <v>707586.83600099292</v>
      </c>
      <c r="BP158" s="394">
        <f t="shared" si="414"/>
        <v>1425989.6329999999</v>
      </c>
      <c r="BQ158" s="394">
        <f t="shared" si="414"/>
        <v>0</v>
      </c>
      <c r="BR158" s="394">
        <f t="shared" si="414"/>
        <v>1425989.6329999999</v>
      </c>
      <c r="BS158" s="394">
        <f>SUM(BS140:BS156)</f>
        <v>537100.14930370729</v>
      </c>
      <c r="BT158" s="394">
        <f>SUM(BT140:BT156)</f>
        <v>3024099.4836962926</v>
      </c>
      <c r="BU158" s="394">
        <f t="shared" ref="BU158:CD158" si="415">SUM(BU140:BU154)</f>
        <v>427675</v>
      </c>
      <c r="BV158" s="394">
        <f t="shared" si="415"/>
        <v>1197877.5414287117</v>
      </c>
      <c r="BW158" s="394">
        <f t="shared" si="415"/>
        <v>295140</v>
      </c>
      <c r="BX158" s="394">
        <f t="shared" si="415"/>
        <v>902737.54142871185</v>
      </c>
      <c r="BY158" s="394">
        <f t="shared" si="415"/>
        <v>203730</v>
      </c>
      <c r="BZ158" s="394">
        <f t="shared" si="415"/>
        <v>699007.54142871185</v>
      </c>
      <c r="CA158" s="394">
        <f t="shared" si="415"/>
        <v>140672</v>
      </c>
      <c r="CB158" s="394">
        <f t="shared" si="415"/>
        <v>558335.54142871185</v>
      </c>
      <c r="CC158" s="394">
        <f t="shared" si="415"/>
        <v>88713</v>
      </c>
      <c r="CD158" s="394">
        <f t="shared" si="415"/>
        <v>469622.54142871185</v>
      </c>
      <c r="CE158" s="394">
        <f t="shared" ref="CE158:DU158" si="416">SUM(CE140:CE153)</f>
        <v>16388.349999999999</v>
      </c>
      <c r="CF158" s="394">
        <f t="shared" si="416"/>
        <v>366589.28300000005</v>
      </c>
      <c r="CG158" s="394">
        <f t="shared" si="416"/>
        <v>1673.5499999999993</v>
      </c>
      <c r="CH158" s="394">
        <f t="shared" si="416"/>
        <v>364915.73300000001</v>
      </c>
      <c r="CI158" s="394">
        <f t="shared" si="416"/>
        <v>0</v>
      </c>
      <c r="CJ158" s="394">
        <f t="shared" si="416"/>
        <v>364915.73300000001</v>
      </c>
      <c r="CK158" s="394">
        <f t="shared" si="416"/>
        <v>0</v>
      </c>
      <c r="CL158" s="394">
        <f t="shared" si="416"/>
        <v>364915.73300000001</v>
      </c>
      <c r="CM158" s="394">
        <f t="shared" si="416"/>
        <v>0</v>
      </c>
      <c r="CN158" s="394">
        <f t="shared" si="416"/>
        <v>364915.73300000001</v>
      </c>
      <c r="CO158" s="394">
        <f t="shared" si="416"/>
        <v>0</v>
      </c>
      <c r="CP158" s="394">
        <f t="shared" si="416"/>
        <v>364915.73300000001</v>
      </c>
      <c r="CQ158" s="394">
        <f t="shared" si="416"/>
        <v>0</v>
      </c>
      <c r="CR158" s="394">
        <f t="shared" si="416"/>
        <v>364915.73300000001</v>
      </c>
      <c r="CS158" s="394">
        <f t="shared" si="416"/>
        <v>0</v>
      </c>
      <c r="CT158" s="394">
        <f t="shared" si="416"/>
        <v>364915.73300000001</v>
      </c>
      <c r="CU158" s="394">
        <f t="shared" si="416"/>
        <v>0</v>
      </c>
      <c r="CV158" s="394">
        <f t="shared" si="416"/>
        <v>364915.73300000001</v>
      </c>
      <c r="CW158" s="394">
        <f t="shared" si="416"/>
        <v>0</v>
      </c>
      <c r="CX158" s="394">
        <f t="shared" si="416"/>
        <v>364915.73300000001</v>
      </c>
      <c r="CY158" s="394">
        <f t="shared" si="416"/>
        <v>0</v>
      </c>
      <c r="CZ158" s="394">
        <f t="shared" si="416"/>
        <v>364915.73300000001</v>
      </c>
      <c r="DA158" s="394">
        <f t="shared" si="416"/>
        <v>0</v>
      </c>
      <c r="DB158" s="394">
        <f t="shared" si="416"/>
        <v>364915.73300000001</v>
      </c>
      <c r="DC158" s="394">
        <f t="shared" si="416"/>
        <v>0</v>
      </c>
      <c r="DD158" s="394">
        <f t="shared" si="416"/>
        <v>364915.73300000001</v>
      </c>
      <c r="DE158" s="394">
        <f t="shared" si="416"/>
        <v>0</v>
      </c>
      <c r="DF158" s="394">
        <f t="shared" si="416"/>
        <v>364915.73300000001</v>
      </c>
      <c r="DG158" s="394">
        <f t="shared" si="416"/>
        <v>0</v>
      </c>
      <c r="DH158" s="394">
        <f t="shared" si="416"/>
        <v>364915.73300000001</v>
      </c>
      <c r="DI158" s="394">
        <f t="shared" si="416"/>
        <v>0</v>
      </c>
      <c r="DJ158" s="394">
        <f t="shared" si="416"/>
        <v>364915.73300000001</v>
      </c>
      <c r="DK158" s="394">
        <f t="shared" si="416"/>
        <v>0</v>
      </c>
      <c r="DL158" s="394">
        <f t="shared" si="416"/>
        <v>364915.73300000001</v>
      </c>
      <c r="DM158" s="394">
        <f t="shared" si="416"/>
        <v>0</v>
      </c>
      <c r="DN158" s="394">
        <f t="shared" si="416"/>
        <v>364915.73300000001</v>
      </c>
      <c r="DO158" s="394">
        <f t="shared" si="416"/>
        <v>0</v>
      </c>
      <c r="DP158" s="394">
        <f t="shared" si="416"/>
        <v>364915.73300000001</v>
      </c>
      <c r="DQ158" s="394">
        <f t="shared" si="416"/>
        <v>0</v>
      </c>
      <c r="DR158" s="394">
        <f>SUM(DR140:DR153)</f>
        <v>364915.73300000001</v>
      </c>
      <c r="DS158" s="394">
        <f t="shared" si="416"/>
        <v>0</v>
      </c>
      <c r="DT158" s="394">
        <f>SUM(DT140:DT153)</f>
        <v>364915.73300000001</v>
      </c>
      <c r="DU158" s="394">
        <f t="shared" si="416"/>
        <v>0</v>
      </c>
      <c r="DV158" s="394">
        <f>SUM(DV140:DV153)</f>
        <v>121552.1</v>
      </c>
      <c r="DW158" s="394">
        <f>SUM(DW140:DW153)</f>
        <v>364915.73300000001</v>
      </c>
      <c r="DX158" s="394">
        <f>SUM(DX140:DX153)</f>
        <v>0</v>
      </c>
    </row>
    <row r="159" spans="1:128">
      <c r="D159" s="468"/>
      <c r="E159" s="442"/>
      <c r="F159" s="437"/>
      <c r="G159" s="438"/>
      <c r="H159" s="438"/>
      <c r="I159" s="438"/>
      <c r="J159" s="438"/>
      <c r="K159" s="438"/>
      <c r="L159" s="438"/>
      <c r="M159" s="433"/>
      <c r="N159" s="436"/>
      <c r="O159" s="436"/>
      <c r="P159" s="433"/>
      <c r="Q159" s="436"/>
      <c r="R159" s="436"/>
      <c r="S159" s="433"/>
      <c r="T159" s="436"/>
      <c r="U159" s="436"/>
      <c r="V159" s="433"/>
      <c r="W159" s="436"/>
      <c r="X159" s="436"/>
      <c r="Y159" s="433"/>
      <c r="Z159" s="436"/>
      <c r="AA159" s="436"/>
      <c r="AB159" s="433"/>
      <c r="AC159" s="436"/>
      <c r="AD159" s="436"/>
      <c r="AE159" s="436"/>
      <c r="AF159" s="436"/>
      <c r="AG159" s="436"/>
      <c r="AH159" s="436"/>
      <c r="AI159" s="439"/>
      <c r="AJ159" s="433"/>
      <c r="AK159" s="440"/>
      <c r="AL159" s="436"/>
      <c r="AM159" s="436"/>
      <c r="AN159" s="436"/>
      <c r="AO159" s="436"/>
      <c r="AP159" s="436"/>
      <c r="AQ159" s="436"/>
      <c r="AR159" s="433"/>
      <c r="AS159" s="436"/>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66" t="str">
        <f>IF(AJ159&lt;0,AP159/E159,"")</f>
        <v/>
      </c>
    </row>
    <row r="160" spans="1:128">
      <c r="A160" s="413">
        <v>1</v>
      </c>
      <c r="B160" s="413" t="s">
        <v>300</v>
      </c>
      <c r="C160" s="433" t="s">
        <v>518</v>
      </c>
      <c r="D160" s="468">
        <v>0.1391</v>
      </c>
      <c r="E160" s="442">
        <v>492774</v>
      </c>
      <c r="F160" s="437" t="s">
        <v>1001</v>
      </c>
      <c r="G160" s="438">
        <v>39539</v>
      </c>
      <c r="H160" s="438"/>
      <c r="I160" s="438"/>
      <c r="J160" s="438"/>
      <c r="K160" s="438"/>
      <c r="L160" s="438"/>
      <c r="M160" s="433">
        <f>IF(($M$6-G160+1)&gt;365,365,($M$6-G160+1))-6</f>
        <v>359</v>
      </c>
      <c r="N160" s="436">
        <f>ROUND(E160*M160/365*D160,0)</f>
        <v>67418</v>
      </c>
      <c r="O160" s="436">
        <f>E160-N160</f>
        <v>425356</v>
      </c>
      <c r="P160" s="433">
        <f>IF(($P$6-G160+1)&gt;365,365,($P$6-G160+1))</f>
        <v>365</v>
      </c>
      <c r="Q160" s="436">
        <f>ROUND(O160*D160/365*P160,0)</f>
        <v>59167</v>
      </c>
      <c r="R160" s="436">
        <f>O160-Q160</f>
        <v>366189</v>
      </c>
      <c r="S160" s="433">
        <f t="shared" ref="S160:S180" si="417">IF(($S$6-G160+1)&gt;365,365,($S$6-G160+1))</f>
        <v>365</v>
      </c>
      <c r="T160" s="436">
        <f>ROUND(R160*D160/365*S160,0)</f>
        <v>50937</v>
      </c>
      <c r="U160" s="436">
        <f>R160-T160</f>
        <v>315252</v>
      </c>
      <c r="V160" s="433">
        <f t="shared" ref="V160:V181" si="418">IF(($V$6-G160+1)&gt;365,365,($V$6-G160+1))</f>
        <v>365</v>
      </c>
      <c r="W160" s="436">
        <f t="shared" ref="W160:W180" si="419">ROUND(U160*D160/365*V160,0)</f>
        <v>43852</v>
      </c>
      <c r="X160" s="436">
        <f>U160-W160</f>
        <v>271400</v>
      </c>
      <c r="Y160" s="433">
        <f t="shared" ref="Y160:Y183" si="420">IF(($Y$6-G160+1)&gt;365,365,($Y$6-G160+1))</f>
        <v>365</v>
      </c>
      <c r="Z160" s="436">
        <f t="shared" ref="Z160:Z181" si="421">ROUND(X160*D160,0)</f>
        <v>37752</v>
      </c>
      <c r="AA160" s="436">
        <f t="shared" ref="AA160:AA186" si="422">IF((X160-Z160)&gt;0,X160-Z160,$E160-Z160)</f>
        <v>233648</v>
      </c>
      <c r="AB160" s="433">
        <f t="shared" ref="AB160:AB186" si="423">IF(($AB$6-G160+1)&gt;365,365,($AB$6-G160+1))</f>
        <v>365</v>
      </c>
      <c r="AC160" s="436">
        <f t="shared" ref="AC160:AC190" si="424">ROUND(IF(AA160&gt;0,AA160*$D160/365*AB160,($E160*$D160*AB160/365)),0)</f>
        <v>32500</v>
      </c>
      <c r="AD160" s="436">
        <f t="shared" ref="AD160:AD190" si="425">IF((AA160-AC160)&gt;0,AA160-AC160,$E160-AC160)</f>
        <v>201148</v>
      </c>
      <c r="AE160" s="436">
        <f t="shared" ref="AE160:AE190" si="426">T160+W160+Z160+AC160+Q160+N160</f>
        <v>291626</v>
      </c>
      <c r="AF160" s="436">
        <f>E160-AE160</f>
        <v>201148</v>
      </c>
      <c r="AG160" s="436">
        <f t="shared" ref="AG160:AG194" si="427">AD160-AF160</f>
        <v>0</v>
      </c>
      <c r="AH160" s="436">
        <f t="shared" ref="AH160:AH190" si="428">($AH$6-G160+1)/365</f>
        <v>6.0027397260273974</v>
      </c>
      <c r="AI160" s="439">
        <v>15</v>
      </c>
      <c r="AJ160" s="436">
        <f t="shared" ref="AJ160:AJ199" si="429">AI160-AH160</f>
        <v>8.9972602739726035</v>
      </c>
      <c r="AK160" s="440">
        <f t="shared" ref="AK160:AK190" si="430">IF(AJ160&gt;0,1-(((E160*$AJ$4)/AF160)^(1/AJ160)),0)</f>
        <v>0.20814228084810726</v>
      </c>
      <c r="AL160" s="2">
        <f t="shared" ref="AL160:AL199" si="431">IF(AJ160&lt;0,AF160-(E160*5%),0)</f>
        <v>0</v>
      </c>
      <c r="AM160" s="433">
        <f t="shared" ref="AM160:AM194" si="432">IF(($AM$6-$G160+1)&gt;365,365,($AM$6-$G160+1))</f>
        <v>365</v>
      </c>
      <c r="AN160" s="436">
        <f t="shared" ref="AN160:AN194" si="433">ROUND(IF(AF160&gt;0,AF160*$D160/365*AM160,($E160*$D160*AM160/365)),0)</f>
        <v>27980</v>
      </c>
      <c r="AO160" s="436">
        <f t="shared" ref="AO160:AO190" si="434">MIN(ROUND(IF(AL160&gt;0,0,(AK160*AF160)*AM160/365),0),AF160-(E160*5%))</f>
        <v>41867</v>
      </c>
      <c r="AP160" s="436">
        <f t="shared" ref="AP160:AP194" si="435">+IF(AJ160&lt;1,(E160*5%),IF(AF160&gt;0,AF160-AO160,E160-AO160))</f>
        <v>159281</v>
      </c>
      <c r="AQ160" s="436">
        <f>AF160-AO160-AL160</f>
        <v>159281</v>
      </c>
      <c r="AR160" s="436">
        <f>$AF160-($AL160+$AO160+$AP160)</f>
        <v>0</v>
      </c>
      <c r="AS160" s="436">
        <f>AO160-AN160</f>
        <v>13887</v>
      </c>
      <c r="AT160" s="2">
        <f t="shared" ref="AT160:AT190" si="436">AF160-AN160</f>
        <v>173168</v>
      </c>
      <c r="AU160" s="2">
        <f t="shared" ref="AU160:AU194" si="437">AT160-AS160-AL160</f>
        <v>159281</v>
      </c>
      <c r="AV160" s="2">
        <f t="shared" ref="AV160:AV193" si="438">AU160-AQ160</f>
        <v>0</v>
      </c>
      <c r="AW160" s="2">
        <f t="shared" ref="AW160:AW199" si="439">IF(($AW$6-$G160+1)&gt;365,365,($AW$6-$G160+1))</f>
        <v>365</v>
      </c>
      <c r="AX160" s="2">
        <f>AQ160*AK160</f>
        <v>33153.110635767371</v>
      </c>
      <c r="AY160" s="2">
        <f>AQ160-AX160</f>
        <v>126127.88936423263</v>
      </c>
      <c r="AZ160" s="433">
        <f t="shared" ref="AZ160:AZ199" si="440">IF(($AZ$6-$G160+1)&gt;365,365,($AZ$6-$G160+1))</f>
        <v>365</v>
      </c>
      <c r="BA160" s="2">
        <f>AY160*AK160</f>
        <v>26252.546570829109</v>
      </c>
      <c r="BB160" s="2">
        <f>AY160-BA160</f>
        <v>99875.342793403513</v>
      </c>
      <c r="BC160" s="2">
        <f>15*365</f>
        <v>5475</v>
      </c>
      <c r="BD160" s="433">
        <f t="shared" ref="BD160:BD199" si="441">+$BD$6-G160</f>
        <v>3286</v>
      </c>
      <c r="BE160" s="439">
        <f t="shared" ref="BE160:BE198" si="442">+BC160-BD160</f>
        <v>2189</v>
      </c>
      <c r="BF160" s="433">
        <f t="shared" ref="BF160:BF201" si="443">IF(($BF$6-$G160+1)&gt;365,365,($BF$6-$G160+1))</f>
        <v>365</v>
      </c>
      <c r="BG160" s="2">
        <f>+BB160*AK160</f>
        <v>20788.281649505581</v>
      </c>
      <c r="BH160" s="2">
        <f t="shared" ref="BH160:BH199" si="444">+BB160-BG160</f>
        <v>79087.061143897939</v>
      </c>
      <c r="BI160" s="2">
        <f t="shared" ref="BI160:BI201" si="445">+BH160*AK160</f>
        <v>16461.361292064637</v>
      </c>
      <c r="BJ160" s="2">
        <f>+BH160-BI160</f>
        <v>62625.699851833298</v>
      </c>
      <c r="BK160" s="2">
        <f>+BJ160*AK160</f>
        <v>13035.056006869556</v>
      </c>
      <c r="BL160" s="2">
        <f t="shared" ref="BL160:BL223" si="446">+BJ160-BK160</f>
        <v>49590.643844963743</v>
      </c>
      <c r="BM160" s="2"/>
      <c r="BN160" s="2">
        <f t="shared" ref="BN160:BN223" si="447">BL160-BM160</f>
        <v>49590.643844963743</v>
      </c>
      <c r="BO160" s="2">
        <f t="shared" ref="BO160:BO201" si="448">+BL160*AK160</f>
        <v>10321.909718616906</v>
      </c>
      <c r="BP160" s="2">
        <f>+BL160-BO160</f>
        <v>39268.734126346841</v>
      </c>
      <c r="BQ160" s="2"/>
      <c r="BR160" s="2">
        <f t="shared" ref="BR160:BR223" si="449">BP160-BQ160</f>
        <v>39268.734126346841</v>
      </c>
      <c r="BS160" s="2">
        <f t="shared" ref="BS160:BS201" si="450">+BP160*AK160</f>
        <v>8173.4838870757385</v>
      </c>
      <c r="BT160" s="2">
        <f>+BP160-BS160</f>
        <v>31095.250239271103</v>
      </c>
      <c r="BU160" s="2">
        <f>+BT160-E160*5%</f>
        <v>6456.5502392711023</v>
      </c>
      <c r="BV160" s="2">
        <f>+BT160-BU160</f>
        <v>24638.7</v>
      </c>
      <c r="BW160" s="2">
        <v>0</v>
      </c>
      <c r="BX160" s="2">
        <f>+BV160-BW160</f>
        <v>24638.7</v>
      </c>
      <c r="BY160" s="2">
        <v>0</v>
      </c>
      <c r="BZ160" s="2">
        <f>+BX160-BY160</f>
        <v>24638.7</v>
      </c>
      <c r="CA160" s="2">
        <v>0</v>
      </c>
      <c r="CB160" s="2">
        <f>+BZ160-CA160</f>
        <v>24638.7</v>
      </c>
      <c r="CC160" s="2">
        <v>0</v>
      </c>
      <c r="CD160" s="2">
        <f>+CB160-CC160</f>
        <v>24638.7</v>
      </c>
      <c r="CE160" s="2">
        <v>0</v>
      </c>
      <c r="CF160" s="2">
        <f>+CD160-CE160</f>
        <v>24638.7</v>
      </c>
      <c r="CG160" s="2">
        <v>0</v>
      </c>
      <c r="CH160" s="2">
        <f>+CF160-CG160</f>
        <v>24638.7</v>
      </c>
      <c r="CI160" s="2">
        <v>0</v>
      </c>
      <c r="CJ160" s="2">
        <f>+CH160-CI160</f>
        <v>24638.7</v>
      </c>
      <c r="CK160" s="2">
        <v>0</v>
      </c>
      <c r="CL160" s="2">
        <f>+CJ160-CK160</f>
        <v>24638.7</v>
      </c>
      <c r="CM160" s="2">
        <v>0</v>
      </c>
      <c r="CN160" s="2">
        <f>+CL160-CM160</f>
        <v>24638.7</v>
      </c>
      <c r="CO160" s="2">
        <v>0</v>
      </c>
      <c r="CP160" s="2">
        <f>+CN160-CO160</f>
        <v>24638.7</v>
      </c>
      <c r="CQ160" s="2">
        <v>0</v>
      </c>
      <c r="CR160" s="2">
        <f>+CP160-CQ160</f>
        <v>24638.7</v>
      </c>
      <c r="CS160" s="2"/>
      <c r="CT160" s="2">
        <f>+CR160-CS160</f>
        <v>24638.7</v>
      </c>
      <c r="CU160" s="2"/>
      <c r="CV160" s="2">
        <f>+CT160-CU160</f>
        <v>24638.7</v>
      </c>
      <c r="CW160" s="2"/>
      <c r="CX160" s="2">
        <f>+CV160-CW160</f>
        <v>24638.7</v>
      </c>
      <c r="CY160" s="2"/>
      <c r="CZ160" s="2">
        <f>+CX160-CY160</f>
        <v>24638.7</v>
      </c>
      <c r="DA160" s="2"/>
      <c r="DB160" s="2">
        <f>+CZ160-DA160</f>
        <v>24638.7</v>
      </c>
      <c r="DC160" s="2"/>
      <c r="DD160" s="2">
        <f>+DB160-DC160</f>
        <v>24638.7</v>
      </c>
      <c r="DE160" s="2"/>
      <c r="DF160" s="2">
        <f>+DD160-DE160</f>
        <v>24638.7</v>
      </c>
      <c r="DG160" s="2"/>
      <c r="DH160" s="2">
        <f>+DF160-DG160</f>
        <v>24638.7</v>
      </c>
      <c r="DI160" s="2"/>
      <c r="DJ160" s="2">
        <f>+DH160-DI160</f>
        <v>24638.7</v>
      </c>
      <c r="DK160" s="2"/>
      <c r="DL160" s="2">
        <f>+DJ160-DK160</f>
        <v>24638.7</v>
      </c>
      <c r="DM160" s="2"/>
      <c r="DN160" s="2">
        <f>+DL160-DM160</f>
        <v>24638.7</v>
      </c>
      <c r="DO160" s="2"/>
      <c r="DP160" s="2">
        <f>+DN160-DO160</f>
        <v>24638.7</v>
      </c>
      <c r="DQ160" s="2"/>
      <c r="DR160" s="2">
        <f>+DP160-DQ160</f>
        <v>24638.7</v>
      </c>
      <c r="DS160" s="2"/>
      <c r="DT160" s="2">
        <f t="shared" ref="DT160:DV202" si="451">+DR160-DS160</f>
        <v>24638.7</v>
      </c>
      <c r="DU160" s="2"/>
      <c r="DV160" s="2">
        <f t="shared" si="451"/>
        <v>24638.7</v>
      </c>
      <c r="DW160" s="266">
        <f t="shared" ref="DW160:DW223" si="452">+E160*5%</f>
        <v>24638.7</v>
      </c>
      <c r="DX160" s="441">
        <f t="shared" ref="DX160:DX223" si="453">+DW160-DR160</f>
        <v>0</v>
      </c>
    </row>
    <row r="161" spans="1:128">
      <c r="A161" s="413">
        <v>2</v>
      </c>
      <c r="B161" s="413" t="s">
        <v>519</v>
      </c>
      <c r="C161" s="433" t="s">
        <v>518</v>
      </c>
      <c r="D161" s="468">
        <v>0.1391</v>
      </c>
      <c r="E161" s="442">
        <v>75600</v>
      </c>
      <c r="F161" s="437" t="s">
        <v>1001</v>
      </c>
      <c r="G161" s="438">
        <v>40074</v>
      </c>
      <c r="H161" s="438"/>
      <c r="I161" s="438"/>
      <c r="J161" s="438"/>
      <c r="K161" s="438"/>
      <c r="L161" s="438"/>
      <c r="M161" s="433"/>
      <c r="N161" s="436"/>
      <c r="O161" s="436"/>
      <c r="P161" s="433">
        <f>IF(($P$6-G161+1)&gt;365,365,($P$6-G161+1))+2</f>
        <v>197</v>
      </c>
      <c r="Q161" s="436">
        <f t="shared" ref="Q161:Q175" si="454">ROUND(E161*D161/365*P161,0)</f>
        <v>5676</v>
      </c>
      <c r="R161" s="436">
        <f t="shared" ref="R161:R175" si="455">E161-Q161</f>
        <v>69924</v>
      </c>
      <c r="S161" s="433">
        <f t="shared" si="417"/>
        <v>365</v>
      </c>
      <c r="T161" s="436">
        <f>ROUND(R161*D161/365*S161,0)</f>
        <v>9726</v>
      </c>
      <c r="U161" s="436">
        <f t="shared" ref="U161:U175" si="456">R161-T161</f>
        <v>60198</v>
      </c>
      <c r="V161" s="433">
        <f t="shared" si="418"/>
        <v>365</v>
      </c>
      <c r="W161" s="436">
        <f t="shared" si="419"/>
        <v>8374</v>
      </c>
      <c r="X161" s="436">
        <f t="shared" ref="X161:X180" si="457">U161-W161</f>
        <v>51824</v>
      </c>
      <c r="Y161" s="433">
        <f t="shared" si="420"/>
        <v>365</v>
      </c>
      <c r="Z161" s="436">
        <f t="shared" si="421"/>
        <v>7209</v>
      </c>
      <c r="AA161" s="436">
        <f t="shared" si="422"/>
        <v>44615</v>
      </c>
      <c r="AB161" s="433">
        <f t="shared" si="423"/>
        <v>365</v>
      </c>
      <c r="AC161" s="436">
        <f t="shared" si="424"/>
        <v>6206</v>
      </c>
      <c r="AD161" s="436">
        <f t="shared" si="425"/>
        <v>38409</v>
      </c>
      <c r="AE161" s="436">
        <f t="shared" si="426"/>
        <v>37191</v>
      </c>
      <c r="AF161" s="436">
        <f>E161-AE161</f>
        <v>38409</v>
      </c>
      <c r="AG161" s="436">
        <f t="shared" si="427"/>
        <v>0</v>
      </c>
      <c r="AH161" s="436">
        <f t="shared" si="428"/>
        <v>4.536986301369863</v>
      </c>
      <c r="AI161" s="439">
        <v>15</v>
      </c>
      <c r="AJ161" s="436">
        <f t="shared" si="429"/>
        <v>10.463013698630137</v>
      </c>
      <c r="AK161" s="440">
        <f t="shared" si="430"/>
        <v>0.19876144570924192</v>
      </c>
      <c r="AL161" s="2">
        <f t="shared" si="431"/>
        <v>0</v>
      </c>
      <c r="AM161" s="433">
        <f t="shared" si="432"/>
        <v>365</v>
      </c>
      <c r="AN161" s="436">
        <f t="shared" si="433"/>
        <v>5343</v>
      </c>
      <c r="AO161" s="436">
        <f t="shared" si="434"/>
        <v>7634</v>
      </c>
      <c r="AP161" s="436">
        <f t="shared" si="435"/>
        <v>30775</v>
      </c>
      <c r="AQ161" s="436">
        <f>AF161-AO161-AL161</f>
        <v>30775</v>
      </c>
      <c r="AR161" s="436">
        <f>$AF161-($AL161+$AO161+$AP161)</f>
        <v>0</v>
      </c>
      <c r="AS161" s="436">
        <f>AO161-AN161</f>
        <v>2291</v>
      </c>
      <c r="AT161" s="2">
        <f t="shared" si="436"/>
        <v>33066</v>
      </c>
      <c r="AU161" s="2">
        <f t="shared" si="437"/>
        <v>30775</v>
      </c>
      <c r="AV161" s="2">
        <f t="shared" si="438"/>
        <v>0</v>
      </c>
      <c r="AW161" s="2">
        <f t="shared" si="439"/>
        <v>365</v>
      </c>
      <c r="AX161" s="2">
        <f t="shared" ref="AX161:AX194" si="458">AQ161*AK161</f>
        <v>6116.8834917019203</v>
      </c>
      <c r="AY161" s="2">
        <f t="shared" ref="AY161:AY194" si="459">AQ161-AX161</f>
        <v>24658.116508298081</v>
      </c>
      <c r="AZ161" s="433">
        <f t="shared" si="440"/>
        <v>365</v>
      </c>
      <c r="BA161" s="2">
        <f t="shared" ref="BA161:BA199" si="460">AY161*AK161</f>
        <v>4901.0828856562512</v>
      </c>
      <c r="BB161" s="2">
        <f t="shared" ref="BB161:BB199" si="461">AY161-BA161</f>
        <v>19757.033622641829</v>
      </c>
      <c r="BC161" s="2">
        <f t="shared" ref="BC161:BC201" si="462">15*365</f>
        <v>5475</v>
      </c>
      <c r="BD161" s="433">
        <f t="shared" si="441"/>
        <v>2751</v>
      </c>
      <c r="BE161" s="439">
        <f t="shared" si="442"/>
        <v>2724</v>
      </c>
      <c r="BF161" s="433">
        <f t="shared" si="443"/>
        <v>365</v>
      </c>
      <c r="BG161" s="2">
        <f t="shared" ref="BG161:BG199" si="463">+BB161*AK161</f>
        <v>3926.9365657623912</v>
      </c>
      <c r="BH161" s="2">
        <f t="shared" si="444"/>
        <v>15830.097056879438</v>
      </c>
      <c r="BI161" s="2">
        <f t="shared" si="445"/>
        <v>3146.4129767429727</v>
      </c>
      <c r="BJ161" s="2">
        <f t="shared" ref="BJ161:BJ201" si="464">+BH161-BI161</f>
        <v>12683.684080136465</v>
      </c>
      <c r="BK161" s="2">
        <f t="shared" ref="BK161:BK201" si="465">+BJ161*AK161</f>
        <v>2521.0273846872201</v>
      </c>
      <c r="BL161" s="2">
        <f t="shared" si="446"/>
        <v>10162.656695449245</v>
      </c>
      <c r="BM161" s="2"/>
      <c r="BN161" s="2">
        <f t="shared" si="447"/>
        <v>10162.656695449245</v>
      </c>
      <c r="BO161" s="2">
        <f t="shared" si="448"/>
        <v>2019.944337034199</v>
      </c>
      <c r="BP161" s="2">
        <f t="shared" ref="BP161:BP199" si="466">+BL161-BO161</f>
        <v>8142.7123584150459</v>
      </c>
      <c r="BQ161" s="2"/>
      <c r="BR161" s="2">
        <f t="shared" si="449"/>
        <v>8142.7123584150459</v>
      </c>
      <c r="BS161" s="2">
        <f t="shared" si="450"/>
        <v>1618.4572803530855</v>
      </c>
      <c r="BT161" s="2">
        <f t="shared" ref="BT161:BT199" si="467">+BP161-BS161</f>
        <v>6524.2550780619604</v>
      </c>
      <c r="BU161" s="2">
        <f t="shared" ref="BU161:BU201" si="468">+BT161*AK161</f>
        <v>1296.7703714914583</v>
      </c>
      <c r="BV161" s="2">
        <f t="shared" ref="BV161:BV199" si="469">+BT161-BU161</f>
        <v>5227.4847065705017</v>
      </c>
      <c r="BW161" s="2">
        <f t="shared" ref="BW161:BW175" si="470">+BV161-E161*5%</f>
        <v>1447.4847065705017</v>
      </c>
      <c r="BX161" s="2">
        <f t="shared" ref="BX161:BX199" si="471">+BV161-BW161</f>
        <v>3780</v>
      </c>
      <c r="BY161" s="2">
        <v>0</v>
      </c>
      <c r="BZ161" s="2">
        <f t="shared" ref="BZ161:BZ199" si="472">+BX161-BY161</f>
        <v>3780</v>
      </c>
      <c r="CA161" s="2">
        <v>0</v>
      </c>
      <c r="CB161" s="2">
        <f t="shared" ref="CB161:CB199" si="473">+BZ161-CA161</f>
        <v>3780</v>
      </c>
      <c r="CC161" s="2">
        <v>0</v>
      </c>
      <c r="CD161" s="2">
        <f t="shared" ref="CD161:CD199" si="474">+CB161-CC161</f>
        <v>3780</v>
      </c>
      <c r="CE161" s="2">
        <v>0</v>
      </c>
      <c r="CF161" s="2">
        <f t="shared" ref="CF161:CF199" si="475">+CD161-CE161</f>
        <v>3780</v>
      </c>
      <c r="CG161" s="2">
        <v>0</v>
      </c>
      <c r="CH161" s="2">
        <f t="shared" ref="CH161:CH199" si="476">+CF161-CG161</f>
        <v>3780</v>
      </c>
      <c r="CI161" s="2">
        <v>0</v>
      </c>
      <c r="CJ161" s="2">
        <f t="shared" ref="CJ161:CJ199" si="477">+CH161-CI161</f>
        <v>3780</v>
      </c>
      <c r="CK161" s="2">
        <v>0</v>
      </c>
      <c r="CL161" s="2">
        <f t="shared" ref="CL161:CL199" si="478">+CJ161-CK161</f>
        <v>3780</v>
      </c>
      <c r="CM161" s="2">
        <v>0</v>
      </c>
      <c r="CN161" s="2">
        <f t="shared" ref="CN161:CN199" si="479">+CL161-CM161</f>
        <v>3780</v>
      </c>
      <c r="CO161" s="2">
        <v>0</v>
      </c>
      <c r="CP161" s="2">
        <f t="shared" ref="CP161:CP199" si="480">+CN161-CO161</f>
        <v>3780</v>
      </c>
      <c r="CQ161" s="2">
        <v>0</v>
      </c>
      <c r="CR161" s="2">
        <f t="shared" ref="CR161:CR199" si="481">+CP161-CQ161</f>
        <v>3780</v>
      </c>
      <c r="CS161" s="2"/>
      <c r="CT161" s="2">
        <f t="shared" ref="CT161:DD202" si="482">+CR161-CS161</f>
        <v>3780</v>
      </c>
      <c r="CU161" s="2"/>
      <c r="CV161" s="2">
        <f t="shared" si="482"/>
        <v>3780</v>
      </c>
      <c r="CW161" s="2"/>
      <c r="CX161" s="2">
        <f t="shared" si="482"/>
        <v>3780</v>
      </c>
      <c r="CY161" s="2"/>
      <c r="CZ161" s="2">
        <f t="shared" si="482"/>
        <v>3780</v>
      </c>
      <c r="DA161" s="2"/>
      <c r="DB161" s="2">
        <f t="shared" si="482"/>
        <v>3780</v>
      </c>
      <c r="DC161" s="2"/>
      <c r="DD161" s="2">
        <f t="shared" si="482"/>
        <v>3780</v>
      </c>
      <c r="DE161" s="2"/>
      <c r="DF161" s="2">
        <f t="shared" ref="DF161:DF224" si="483">+DD161-DE161</f>
        <v>3780</v>
      </c>
      <c r="DG161" s="2"/>
      <c r="DH161" s="2">
        <f t="shared" ref="DH161:DH224" si="484">+DF161-DG161</f>
        <v>3780</v>
      </c>
      <c r="DI161" s="2"/>
      <c r="DJ161" s="2">
        <f t="shared" ref="DJ161:DJ224" si="485">+DH161-DI161</f>
        <v>3780</v>
      </c>
      <c r="DK161" s="2"/>
      <c r="DL161" s="2">
        <f t="shared" ref="DL161:DL224" si="486">+DJ161-DK161</f>
        <v>3780</v>
      </c>
      <c r="DM161" s="2"/>
      <c r="DN161" s="2">
        <f t="shared" ref="DN161:DN224" si="487">+DL161-DM161</f>
        <v>3780</v>
      </c>
      <c r="DO161" s="2"/>
      <c r="DP161" s="2">
        <f t="shared" ref="DP161:DP224" si="488">+DN161-DO161</f>
        <v>3780</v>
      </c>
      <c r="DQ161" s="2"/>
      <c r="DR161" s="2">
        <f t="shared" ref="DR161:DR224" si="489">+DP161-DQ161</f>
        <v>3780</v>
      </c>
      <c r="DS161" s="2"/>
      <c r="DT161" s="2">
        <f t="shared" si="451"/>
        <v>3780</v>
      </c>
      <c r="DU161" s="2"/>
      <c r="DV161" s="2">
        <f t="shared" si="451"/>
        <v>3780</v>
      </c>
      <c r="DW161" s="266">
        <f t="shared" si="452"/>
        <v>3780</v>
      </c>
      <c r="DX161" s="441">
        <f t="shared" si="453"/>
        <v>0</v>
      </c>
    </row>
    <row r="162" spans="1:128">
      <c r="A162" s="413">
        <v>3</v>
      </c>
      <c r="B162" s="413" t="s">
        <v>520</v>
      </c>
      <c r="C162" s="433" t="s">
        <v>518</v>
      </c>
      <c r="D162" s="468">
        <v>0.1391</v>
      </c>
      <c r="E162" s="442">
        <v>54000</v>
      </c>
      <c r="F162" s="437" t="s">
        <v>1001</v>
      </c>
      <c r="G162" s="438">
        <v>39995</v>
      </c>
      <c r="H162" s="438"/>
      <c r="I162" s="438"/>
      <c r="J162" s="438"/>
      <c r="K162" s="438"/>
      <c r="L162" s="438"/>
      <c r="M162" s="433"/>
      <c r="N162" s="436"/>
      <c r="O162" s="436"/>
      <c r="P162" s="433">
        <f>IF(($P$6-G162+1)&gt;365,365,($P$6-G162+1))</f>
        <v>274</v>
      </c>
      <c r="Q162" s="436">
        <f t="shared" si="454"/>
        <v>5639</v>
      </c>
      <c r="R162" s="436">
        <f t="shared" si="455"/>
        <v>48361</v>
      </c>
      <c r="S162" s="433">
        <f t="shared" si="417"/>
        <v>365</v>
      </c>
      <c r="T162" s="436">
        <f>ROUND(R162*D162/365*S162,0)</f>
        <v>6727</v>
      </c>
      <c r="U162" s="436">
        <f t="shared" si="456"/>
        <v>41634</v>
      </c>
      <c r="V162" s="433">
        <f t="shared" si="418"/>
        <v>365</v>
      </c>
      <c r="W162" s="436">
        <f t="shared" si="419"/>
        <v>5791</v>
      </c>
      <c r="X162" s="436">
        <f t="shared" si="457"/>
        <v>35843</v>
      </c>
      <c r="Y162" s="433">
        <f t="shared" si="420"/>
        <v>365</v>
      </c>
      <c r="Z162" s="436">
        <f t="shared" si="421"/>
        <v>4986</v>
      </c>
      <c r="AA162" s="436">
        <f t="shared" si="422"/>
        <v>30857</v>
      </c>
      <c r="AB162" s="433">
        <f t="shared" si="423"/>
        <v>365</v>
      </c>
      <c r="AC162" s="436">
        <f t="shared" si="424"/>
        <v>4292</v>
      </c>
      <c r="AD162" s="436">
        <f t="shared" si="425"/>
        <v>26565</v>
      </c>
      <c r="AE162" s="436">
        <f t="shared" si="426"/>
        <v>27435</v>
      </c>
      <c r="AF162" s="436">
        <f>E162-AE162</f>
        <v>26565</v>
      </c>
      <c r="AG162" s="436">
        <f t="shared" si="427"/>
        <v>0</v>
      </c>
      <c r="AH162" s="436">
        <f t="shared" si="428"/>
        <v>4.7534246575342465</v>
      </c>
      <c r="AI162" s="439">
        <v>15</v>
      </c>
      <c r="AJ162" s="436">
        <f t="shared" si="429"/>
        <v>10.246575342465754</v>
      </c>
      <c r="AK162" s="440">
        <f t="shared" si="430"/>
        <v>0.19999106632459218</v>
      </c>
      <c r="AL162" s="2">
        <f t="shared" si="431"/>
        <v>0</v>
      </c>
      <c r="AM162" s="433">
        <f t="shared" si="432"/>
        <v>365</v>
      </c>
      <c r="AN162" s="436">
        <f t="shared" si="433"/>
        <v>3695</v>
      </c>
      <c r="AO162" s="436">
        <f t="shared" si="434"/>
        <v>5313</v>
      </c>
      <c r="AP162" s="436">
        <f t="shared" si="435"/>
        <v>21252</v>
      </c>
      <c r="AQ162" s="436">
        <f>AF162-AO162-AL162</f>
        <v>21252</v>
      </c>
      <c r="AR162" s="436">
        <f>$AF162-($AL162+$AO162+$AP162)</f>
        <v>0</v>
      </c>
      <c r="AS162" s="436">
        <f>AO162-AN162</f>
        <v>1618</v>
      </c>
      <c r="AT162" s="2">
        <f t="shared" si="436"/>
        <v>22870</v>
      </c>
      <c r="AU162" s="2">
        <f t="shared" si="437"/>
        <v>21252</v>
      </c>
      <c r="AV162" s="2">
        <f t="shared" si="438"/>
        <v>0</v>
      </c>
      <c r="AW162" s="2">
        <f t="shared" si="439"/>
        <v>365</v>
      </c>
      <c r="AX162" s="2">
        <f t="shared" si="458"/>
        <v>4250.2101415302332</v>
      </c>
      <c r="AY162" s="2">
        <f t="shared" si="459"/>
        <v>17001.789858469769</v>
      </c>
      <c r="AZ162" s="433">
        <f t="shared" si="440"/>
        <v>365</v>
      </c>
      <c r="BA162" s="2">
        <f t="shared" si="460"/>
        <v>3400.2060832220063</v>
      </c>
      <c r="BB162" s="2">
        <f t="shared" si="461"/>
        <v>13601.583775247762</v>
      </c>
      <c r="BC162" s="2">
        <f t="shared" si="462"/>
        <v>5475</v>
      </c>
      <c r="BD162" s="433">
        <f t="shared" si="441"/>
        <v>2830</v>
      </c>
      <c r="BE162" s="439">
        <f t="shared" si="442"/>
        <v>2645</v>
      </c>
      <c r="BF162" s="433">
        <f t="shared" si="443"/>
        <v>365</v>
      </c>
      <c r="BG162" s="2">
        <f t="shared" si="463"/>
        <v>2720.195242915072</v>
      </c>
      <c r="BH162" s="2">
        <f t="shared" si="444"/>
        <v>10881.38853233269</v>
      </c>
      <c r="BI162" s="2">
        <f t="shared" si="445"/>
        <v>2176.180495673404</v>
      </c>
      <c r="BJ162" s="2">
        <f t="shared" si="464"/>
        <v>8705.2080366592854</v>
      </c>
      <c r="BK162" s="2">
        <f t="shared" si="465"/>
        <v>1740.9638378289001</v>
      </c>
      <c r="BL162" s="2">
        <f t="shared" si="446"/>
        <v>6964.2441988303854</v>
      </c>
      <c r="BM162" s="2"/>
      <c r="BN162" s="2">
        <f t="shared" si="447"/>
        <v>6964.2441988303854</v>
      </c>
      <c r="BO162" s="2">
        <f t="shared" si="448"/>
        <v>1392.7866234689438</v>
      </c>
      <c r="BP162" s="2">
        <f t="shared" si="466"/>
        <v>5571.4575753614417</v>
      </c>
      <c r="BQ162" s="2"/>
      <c r="BR162" s="2">
        <f t="shared" si="449"/>
        <v>5571.4575753614417</v>
      </c>
      <c r="BS162" s="2">
        <f t="shared" si="450"/>
        <v>1114.2417414787617</v>
      </c>
      <c r="BT162" s="2">
        <f t="shared" si="467"/>
        <v>4457.2158338826803</v>
      </c>
      <c r="BU162" s="2">
        <f t="shared" si="468"/>
        <v>891.40334745705354</v>
      </c>
      <c r="BV162" s="2">
        <f t="shared" si="469"/>
        <v>3565.812486425627</v>
      </c>
      <c r="BW162" s="2">
        <f t="shared" si="470"/>
        <v>865.81248642562696</v>
      </c>
      <c r="BX162" s="2">
        <f t="shared" si="471"/>
        <v>2700</v>
      </c>
      <c r="BY162" s="2">
        <v>0</v>
      </c>
      <c r="BZ162" s="2">
        <f t="shared" si="472"/>
        <v>2700</v>
      </c>
      <c r="CA162" s="2">
        <v>0</v>
      </c>
      <c r="CB162" s="2">
        <f t="shared" si="473"/>
        <v>2700</v>
      </c>
      <c r="CC162" s="2">
        <v>0</v>
      </c>
      <c r="CD162" s="2">
        <f t="shared" si="474"/>
        <v>2700</v>
      </c>
      <c r="CE162" s="2">
        <v>0</v>
      </c>
      <c r="CF162" s="2">
        <f t="shared" si="475"/>
        <v>2700</v>
      </c>
      <c r="CG162" s="2">
        <v>0</v>
      </c>
      <c r="CH162" s="2">
        <f t="shared" si="476"/>
        <v>2700</v>
      </c>
      <c r="CI162" s="2">
        <v>0</v>
      </c>
      <c r="CJ162" s="2">
        <f t="shared" si="477"/>
        <v>2700</v>
      </c>
      <c r="CK162" s="2">
        <v>0</v>
      </c>
      <c r="CL162" s="2">
        <f t="shared" si="478"/>
        <v>2700</v>
      </c>
      <c r="CM162" s="2">
        <v>0</v>
      </c>
      <c r="CN162" s="2">
        <f t="shared" si="479"/>
        <v>2700</v>
      </c>
      <c r="CO162" s="2">
        <v>0</v>
      </c>
      <c r="CP162" s="2">
        <f t="shared" si="480"/>
        <v>2700</v>
      </c>
      <c r="CQ162" s="2">
        <v>0</v>
      </c>
      <c r="CR162" s="2">
        <f t="shared" si="481"/>
        <v>2700</v>
      </c>
      <c r="CS162" s="2"/>
      <c r="CT162" s="2">
        <f t="shared" si="482"/>
        <v>2700</v>
      </c>
      <c r="CU162" s="2"/>
      <c r="CV162" s="2">
        <f t="shared" si="482"/>
        <v>2700</v>
      </c>
      <c r="CW162" s="2"/>
      <c r="CX162" s="2">
        <f t="shared" si="482"/>
        <v>2700</v>
      </c>
      <c r="CY162" s="2"/>
      <c r="CZ162" s="2">
        <f t="shared" si="482"/>
        <v>2700</v>
      </c>
      <c r="DA162" s="2"/>
      <c r="DB162" s="2">
        <f t="shared" si="482"/>
        <v>2700</v>
      </c>
      <c r="DC162" s="2"/>
      <c r="DD162" s="2">
        <f t="shared" si="482"/>
        <v>2700</v>
      </c>
      <c r="DE162" s="2"/>
      <c r="DF162" s="2">
        <f t="shared" si="483"/>
        <v>2700</v>
      </c>
      <c r="DG162" s="2"/>
      <c r="DH162" s="2">
        <f t="shared" si="484"/>
        <v>2700</v>
      </c>
      <c r="DI162" s="2"/>
      <c r="DJ162" s="2">
        <f t="shared" si="485"/>
        <v>2700</v>
      </c>
      <c r="DK162" s="2"/>
      <c r="DL162" s="2">
        <f t="shared" si="486"/>
        <v>2700</v>
      </c>
      <c r="DM162" s="2"/>
      <c r="DN162" s="2">
        <f t="shared" si="487"/>
        <v>2700</v>
      </c>
      <c r="DO162" s="2"/>
      <c r="DP162" s="2">
        <f t="shared" si="488"/>
        <v>2700</v>
      </c>
      <c r="DQ162" s="2"/>
      <c r="DR162" s="2">
        <f t="shared" si="489"/>
        <v>2700</v>
      </c>
      <c r="DS162" s="2"/>
      <c r="DT162" s="2">
        <f t="shared" si="451"/>
        <v>2700</v>
      </c>
      <c r="DU162" s="2"/>
      <c r="DV162" s="2">
        <f t="shared" si="451"/>
        <v>2700</v>
      </c>
      <c r="DW162" s="266">
        <f t="shared" si="452"/>
        <v>2700</v>
      </c>
      <c r="DX162" s="441">
        <f t="shared" si="453"/>
        <v>0</v>
      </c>
    </row>
    <row r="163" spans="1:128">
      <c r="A163" s="413">
        <v>4</v>
      </c>
      <c r="B163" s="413" t="s">
        <v>521</v>
      </c>
      <c r="C163" s="433" t="s">
        <v>518</v>
      </c>
      <c r="D163" s="468">
        <v>0.1391</v>
      </c>
      <c r="E163" s="442">
        <v>18680</v>
      </c>
      <c r="F163" s="437" t="s">
        <v>1001</v>
      </c>
      <c r="G163" s="438">
        <v>40096</v>
      </c>
      <c r="H163" s="438"/>
      <c r="I163" s="438"/>
      <c r="J163" s="438"/>
      <c r="K163" s="438"/>
      <c r="L163" s="438"/>
      <c r="M163" s="433"/>
      <c r="N163" s="436"/>
      <c r="O163" s="436"/>
      <c r="P163" s="439">
        <f t="shared" ref="P163:P168" si="490">$P$6-G163+1+2</f>
        <v>175</v>
      </c>
      <c r="Q163" s="436">
        <f t="shared" si="454"/>
        <v>1246</v>
      </c>
      <c r="R163" s="436">
        <f t="shared" si="455"/>
        <v>17434</v>
      </c>
      <c r="S163" s="433">
        <f t="shared" si="417"/>
        <v>365</v>
      </c>
      <c r="T163" s="436">
        <f>ROUND(R163*D163/365*S163,0)</f>
        <v>2425</v>
      </c>
      <c r="U163" s="436">
        <f t="shared" si="456"/>
        <v>15009</v>
      </c>
      <c r="V163" s="433">
        <f t="shared" si="418"/>
        <v>365</v>
      </c>
      <c r="W163" s="436">
        <f t="shared" si="419"/>
        <v>2088</v>
      </c>
      <c r="X163" s="436">
        <f t="shared" si="457"/>
        <v>12921</v>
      </c>
      <c r="Y163" s="433">
        <f t="shared" si="420"/>
        <v>365</v>
      </c>
      <c r="Z163" s="436">
        <f t="shared" si="421"/>
        <v>1797</v>
      </c>
      <c r="AA163" s="436">
        <f t="shared" si="422"/>
        <v>11124</v>
      </c>
      <c r="AB163" s="433">
        <f t="shared" si="423"/>
        <v>365</v>
      </c>
      <c r="AC163" s="436">
        <f t="shared" si="424"/>
        <v>1547</v>
      </c>
      <c r="AD163" s="436">
        <f t="shared" si="425"/>
        <v>9577</v>
      </c>
      <c r="AE163" s="436">
        <f t="shared" si="426"/>
        <v>9103</v>
      </c>
      <c r="AF163" s="436">
        <f>E163-AE163</f>
        <v>9577</v>
      </c>
      <c r="AG163" s="436">
        <f t="shared" si="427"/>
        <v>0</v>
      </c>
      <c r="AH163" s="436">
        <f t="shared" si="428"/>
        <v>4.4767123287671229</v>
      </c>
      <c r="AI163" s="439">
        <v>15</v>
      </c>
      <c r="AJ163" s="436">
        <f t="shared" si="429"/>
        <v>10.523287671232877</v>
      </c>
      <c r="AK163" s="440">
        <f t="shared" si="430"/>
        <v>0.1984354205150739</v>
      </c>
      <c r="AL163" s="2">
        <f t="shared" si="431"/>
        <v>0</v>
      </c>
      <c r="AM163" s="433">
        <f t="shared" si="432"/>
        <v>365</v>
      </c>
      <c r="AN163" s="436">
        <f t="shared" si="433"/>
        <v>1332</v>
      </c>
      <c r="AO163" s="436">
        <f t="shared" si="434"/>
        <v>1900</v>
      </c>
      <c r="AP163" s="436">
        <f t="shared" si="435"/>
        <v>7677</v>
      </c>
      <c r="AQ163" s="436">
        <f>AF163-AO163-AL163</f>
        <v>7677</v>
      </c>
      <c r="AR163" s="436">
        <f>$AF163-($AL163+$AO163+$AP163)</f>
        <v>0</v>
      </c>
      <c r="AS163" s="436">
        <f>AO163-AN163</f>
        <v>568</v>
      </c>
      <c r="AT163" s="2">
        <f t="shared" si="436"/>
        <v>8245</v>
      </c>
      <c r="AU163" s="2">
        <f t="shared" si="437"/>
        <v>7677</v>
      </c>
      <c r="AV163" s="2">
        <f t="shared" si="438"/>
        <v>0</v>
      </c>
      <c r="AW163" s="2">
        <f t="shared" si="439"/>
        <v>365</v>
      </c>
      <c r="AX163" s="2">
        <f t="shared" si="458"/>
        <v>1523.3887232942222</v>
      </c>
      <c r="AY163" s="2">
        <f t="shared" si="459"/>
        <v>6153.6112767057775</v>
      </c>
      <c r="AZ163" s="433">
        <f t="shared" si="440"/>
        <v>365</v>
      </c>
      <c r="BA163" s="2">
        <f t="shared" si="460"/>
        <v>1221.0944413794118</v>
      </c>
      <c r="BB163" s="2">
        <f t="shared" si="461"/>
        <v>4932.5168353263653</v>
      </c>
      <c r="BC163" s="2">
        <f t="shared" si="462"/>
        <v>5475</v>
      </c>
      <c r="BD163" s="433">
        <f t="shared" si="441"/>
        <v>2729</v>
      </c>
      <c r="BE163" s="439">
        <f t="shared" si="442"/>
        <v>2746</v>
      </c>
      <c r="BF163" s="433">
        <f t="shared" si="443"/>
        <v>365</v>
      </c>
      <c r="BG163" s="2">
        <f t="shared" si="463"/>
        <v>978.78605241566879</v>
      </c>
      <c r="BH163" s="2">
        <f t="shared" si="444"/>
        <v>3953.7307829106967</v>
      </c>
      <c r="BI163" s="2">
        <f t="shared" si="445"/>
        <v>784.56023051027648</v>
      </c>
      <c r="BJ163" s="2">
        <f t="shared" si="464"/>
        <v>3169.1705524004201</v>
      </c>
      <c r="BK163" s="2">
        <f t="shared" si="465"/>
        <v>628.87569124956644</v>
      </c>
      <c r="BL163" s="2">
        <f t="shared" si="446"/>
        <v>2540.2948611508536</v>
      </c>
      <c r="BM163" s="2"/>
      <c r="BN163" s="2">
        <f t="shared" si="447"/>
        <v>2540.2948611508536</v>
      </c>
      <c r="BO163" s="2">
        <f t="shared" si="448"/>
        <v>504.0844790047509</v>
      </c>
      <c r="BP163" s="2">
        <f t="shared" si="466"/>
        <v>2036.2103821461028</v>
      </c>
      <c r="BQ163" s="2"/>
      <c r="BR163" s="2">
        <f t="shared" si="449"/>
        <v>2036.2103821461028</v>
      </c>
      <c r="BS163" s="2">
        <f t="shared" si="450"/>
        <v>404.05626343832125</v>
      </c>
      <c r="BT163" s="2">
        <f t="shared" si="467"/>
        <v>1632.1541187077814</v>
      </c>
      <c r="BU163" s="2">
        <f t="shared" si="468"/>
        <v>323.87718889118844</v>
      </c>
      <c r="BV163" s="2">
        <f t="shared" si="469"/>
        <v>1308.2769298165931</v>
      </c>
      <c r="BW163" s="2">
        <f t="shared" si="470"/>
        <v>374.27692981659311</v>
      </c>
      <c r="BX163" s="2">
        <f t="shared" si="471"/>
        <v>934</v>
      </c>
      <c r="BY163" s="2">
        <v>0</v>
      </c>
      <c r="BZ163" s="2">
        <f t="shared" si="472"/>
        <v>934</v>
      </c>
      <c r="CA163" s="2">
        <v>0</v>
      </c>
      <c r="CB163" s="2">
        <f t="shared" si="473"/>
        <v>934</v>
      </c>
      <c r="CC163" s="2">
        <v>0</v>
      </c>
      <c r="CD163" s="2">
        <f t="shared" si="474"/>
        <v>934</v>
      </c>
      <c r="CE163" s="2">
        <v>0</v>
      </c>
      <c r="CF163" s="2">
        <f t="shared" si="475"/>
        <v>934</v>
      </c>
      <c r="CG163" s="2">
        <v>0</v>
      </c>
      <c r="CH163" s="2">
        <f t="shared" si="476"/>
        <v>934</v>
      </c>
      <c r="CI163" s="2">
        <v>0</v>
      </c>
      <c r="CJ163" s="2">
        <f t="shared" si="477"/>
        <v>934</v>
      </c>
      <c r="CK163" s="2">
        <v>0</v>
      </c>
      <c r="CL163" s="2">
        <f t="shared" si="478"/>
        <v>934</v>
      </c>
      <c r="CM163" s="2">
        <v>0</v>
      </c>
      <c r="CN163" s="2">
        <f t="shared" si="479"/>
        <v>934</v>
      </c>
      <c r="CO163" s="2">
        <v>0</v>
      </c>
      <c r="CP163" s="2">
        <f t="shared" si="480"/>
        <v>934</v>
      </c>
      <c r="CQ163" s="2">
        <v>0</v>
      </c>
      <c r="CR163" s="2">
        <f t="shared" si="481"/>
        <v>934</v>
      </c>
      <c r="CS163" s="2"/>
      <c r="CT163" s="2">
        <f t="shared" si="482"/>
        <v>934</v>
      </c>
      <c r="CU163" s="2"/>
      <c r="CV163" s="2">
        <f t="shared" si="482"/>
        <v>934</v>
      </c>
      <c r="CW163" s="2"/>
      <c r="CX163" s="2">
        <f t="shared" si="482"/>
        <v>934</v>
      </c>
      <c r="CY163" s="2"/>
      <c r="CZ163" s="2">
        <f t="shared" si="482"/>
        <v>934</v>
      </c>
      <c r="DA163" s="2"/>
      <c r="DB163" s="2">
        <f t="shared" si="482"/>
        <v>934</v>
      </c>
      <c r="DC163" s="2"/>
      <c r="DD163" s="2">
        <f t="shared" si="482"/>
        <v>934</v>
      </c>
      <c r="DE163" s="2"/>
      <c r="DF163" s="2">
        <f t="shared" si="483"/>
        <v>934</v>
      </c>
      <c r="DG163" s="2"/>
      <c r="DH163" s="2">
        <f t="shared" si="484"/>
        <v>934</v>
      </c>
      <c r="DI163" s="2"/>
      <c r="DJ163" s="2">
        <f t="shared" si="485"/>
        <v>934</v>
      </c>
      <c r="DK163" s="2"/>
      <c r="DL163" s="2">
        <f t="shared" si="486"/>
        <v>934</v>
      </c>
      <c r="DM163" s="2"/>
      <c r="DN163" s="2">
        <f t="shared" si="487"/>
        <v>934</v>
      </c>
      <c r="DO163" s="2"/>
      <c r="DP163" s="2">
        <f t="shared" si="488"/>
        <v>934</v>
      </c>
      <c r="DQ163" s="2"/>
      <c r="DR163" s="2">
        <f t="shared" si="489"/>
        <v>934</v>
      </c>
      <c r="DS163" s="2"/>
      <c r="DT163" s="2">
        <f t="shared" si="451"/>
        <v>934</v>
      </c>
      <c r="DU163" s="2"/>
      <c r="DV163" s="2">
        <f t="shared" si="451"/>
        <v>934</v>
      </c>
      <c r="DW163" s="266">
        <f t="shared" si="452"/>
        <v>934</v>
      </c>
      <c r="DX163" s="441">
        <f t="shared" si="453"/>
        <v>0</v>
      </c>
    </row>
    <row r="164" spans="1:128">
      <c r="A164" s="413">
        <v>5</v>
      </c>
      <c r="B164" s="413" t="s">
        <v>522</v>
      </c>
      <c r="C164" s="433" t="s">
        <v>518</v>
      </c>
      <c r="D164" s="468">
        <v>0.1391</v>
      </c>
      <c r="E164" s="442">
        <v>10400</v>
      </c>
      <c r="F164" s="437" t="s">
        <v>1001</v>
      </c>
      <c r="G164" s="438">
        <v>40101</v>
      </c>
      <c r="H164" s="438"/>
      <c r="I164" s="438"/>
      <c r="J164" s="438"/>
      <c r="K164" s="438"/>
      <c r="L164" s="438"/>
      <c r="M164" s="433"/>
      <c r="N164" s="436"/>
      <c r="O164" s="436"/>
      <c r="P164" s="439">
        <f t="shared" si="490"/>
        <v>170</v>
      </c>
      <c r="Q164" s="436">
        <f t="shared" si="454"/>
        <v>674</v>
      </c>
      <c r="R164" s="436">
        <f t="shared" si="455"/>
        <v>9726</v>
      </c>
      <c r="S164" s="433">
        <f t="shared" si="417"/>
        <v>365</v>
      </c>
      <c r="T164" s="436">
        <f>ROUND(R164*D164/365*S164,0)</f>
        <v>1353</v>
      </c>
      <c r="U164" s="436">
        <f t="shared" si="456"/>
        <v>8373</v>
      </c>
      <c r="V164" s="433">
        <f t="shared" si="418"/>
        <v>365</v>
      </c>
      <c r="W164" s="436">
        <f t="shared" si="419"/>
        <v>1165</v>
      </c>
      <c r="X164" s="436">
        <f t="shared" si="457"/>
        <v>7208</v>
      </c>
      <c r="Y164" s="433">
        <f t="shared" si="420"/>
        <v>365</v>
      </c>
      <c r="Z164" s="436">
        <f t="shared" si="421"/>
        <v>1003</v>
      </c>
      <c r="AA164" s="436">
        <f t="shared" si="422"/>
        <v>6205</v>
      </c>
      <c r="AB164" s="433">
        <f t="shared" si="423"/>
        <v>365</v>
      </c>
      <c r="AC164" s="436">
        <f t="shared" si="424"/>
        <v>863</v>
      </c>
      <c r="AD164" s="436">
        <f t="shared" si="425"/>
        <v>5342</v>
      </c>
      <c r="AE164" s="436">
        <f t="shared" si="426"/>
        <v>5058</v>
      </c>
      <c r="AF164" s="436">
        <f>E164-AE164</f>
        <v>5342</v>
      </c>
      <c r="AG164" s="436">
        <f t="shared" si="427"/>
        <v>0</v>
      </c>
      <c r="AH164" s="436">
        <f t="shared" si="428"/>
        <v>4.463013698630137</v>
      </c>
      <c r="AI164" s="439">
        <v>15</v>
      </c>
      <c r="AJ164" s="436">
        <f t="shared" si="429"/>
        <v>10.536986301369863</v>
      </c>
      <c r="AK164" s="440">
        <f t="shared" si="430"/>
        <v>0.19834818869391324</v>
      </c>
      <c r="AL164" s="2">
        <f t="shared" si="431"/>
        <v>0</v>
      </c>
      <c r="AM164" s="433">
        <f t="shared" si="432"/>
        <v>365</v>
      </c>
      <c r="AN164" s="436">
        <f t="shared" si="433"/>
        <v>743</v>
      </c>
      <c r="AO164" s="436">
        <f t="shared" si="434"/>
        <v>1060</v>
      </c>
      <c r="AP164" s="436">
        <f t="shared" si="435"/>
        <v>4282</v>
      </c>
      <c r="AQ164" s="436">
        <f t="shared" ref="AQ164:AQ190" si="491">AF164-AO164-AL164</f>
        <v>4282</v>
      </c>
      <c r="AR164" s="436">
        <f t="shared" ref="AR164:AR190" si="492">$AF164-($AL164+$AO164+$AP164)</f>
        <v>0</v>
      </c>
      <c r="AS164" s="436">
        <f t="shared" ref="AS164:AS194" si="493">AO164-AN164</f>
        <v>317</v>
      </c>
      <c r="AT164" s="2">
        <f t="shared" si="436"/>
        <v>4599</v>
      </c>
      <c r="AU164" s="2">
        <f t="shared" si="437"/>
        <v>4282</v>
      </c>
      <c r="AV164" s="2">
        <f t="shared" si="438"/>
        <v>0</v>
      </c>
      <c r="AW164" s="2">
        <f t="shared" si="439"/>
        <v>365</v>
      </c>
      <c r="AX164" s="2">
        <f t="shared" si="458"/>
        <v>849.32694398733645</v>
      </c>
      <c r="AY164" s="2">
        <f t="shared" si="459"/>
        <v>3432.6730560126634</v>
      </c>
      <c r="AZ164" s="433">
        <f t="shared" si="440"/>
        <v>365</v>
      </c>
      <c r="BA164" s="2">
        <f t="shared" si="460"/>
        <v>680.86448303851159</v>
      </c>
      <c r="BB164" s="2">
        <f t="shared" si="461"/>
        <v>2751.808572974152</v>
      </c>
      <c r="BC164" s="2">
        <f t="shared" si="462"/>
        <v>5475</v>
      </c>
      <c r="BD164" s="433">
        <f t="shared" si="441"/>
        <v>2724</v>
      </c>
      <c r="BE164" s="439">
        <f t="shared" si="442"/>
        <v>2751</v>
      </c>
      <c r="BF164" s="433">
        <f t="shared" si="443"/>
        <v>365</v>
      </c>
      <c r="BG164" s="2">
        <f t="shared" si="463"/>
        <v>545.81624608180516</v>
      </c>
      <c r="BH164" s="2">
        <f t="shared" si="444"/>
        <v>2205.9923268923467</v>
      </c>
      <c r="BI164" s="2">
        <f t="shared" si="445"/>
        <v>437.55458231176794</v>
      </c>
      <c r="BJ164" s="2">
        <f t="shared" si="464"/>
        <v>1768.4377445805787</v>
      </c>
      <c r="BK164" s="2">
        <f t="shared" si="465"/>
        <v>350.76642345550698</v>
      </c>
      <c r="BL164" s="2">
        <f t="shared" si="446"/>
        <v>1417.6713211250717</v>
      </c>
      <c r="BM164" s="2"/>
      <c r="BN164" s="2">
        <f t="shared" si="447"/>
        <v>1417.6713211250717</v>
      </c>
      <c r="BO164" s="2">
        <f t="shared" si="448"/>
        <v>281.19253870846501</v>
      </c>
      <c r="BP164" s="2">
        <f t="shared" si="466"/>
        <v>1136.4787824166067</v>
      </c>
      <c r="BQ164" s="2"/>
      <c r="BR164" s="2">
        <f t="shared" si="449"/>
        <v>1136.4787824166067</v>
      </c>
      <c r="BS164" s="2">
        <f t="shared" si="450"/>
        <v>225.41850798139788</v>
      </c>
      <c r="BT164" s="2">
        <f t="shared" si="467"/>
        <v>911.06027443520884</v>
      </c>
      <c r="BU164" s="2">
        <f t="shared" si="468"/>
        <v>180.70715522520319</v>
      </c>
      <c r="BV164" s="2">
        <f t="shared" si="469"/>
        <v>730.35311921000562</v>
      </c>
      <c r="BW164" s="2">
        <f t="shared" si="470"/>
        <v>210.35311921000562</v>
      </c>
      <c r="BX164" s="2">
        <f t="shared" si="471"/>
        <v>520</v>
      </c>
      <c r="BY164" s="2">
        <v>0</v>
      </c>
      <c r="BZ164" s="2">
        <f t="shared" si="472"/>
        <v>520</v>
      </c>
      <c r="CA164" s="2">
        <v>0</v>
      </c>
      <c r="CB164" s="2">
        <f t="shared" si="473"/>
        <v>520</v>
      </c>
      <c r="CC164" s="2">
        <v>0</v>
      </c>
      <c r="CD164" s="2">
        <f t="shared" si="474"/>
        <v>520</v>
      </c>
      <c r="CE164" s="2">
        <v>0</v>
      </c>
      <c r="CF164" s="2">
        <f t="shared" si="475"/>
        <v>520</v>
      </c>
      <c r="CG164" s="2">
        <v>0</v>
      </c>
      <c r="CH164" s="2">
        <f t="shared" si="476"/>
        <v>520</v>
      </c>
      <c r="CI164" s="2">
        <v>0</v>
      </c>
      <c r="CJ164" s="2">
        <f t="shared" si="477"/>
        <v>520</v>
      </c>
      <c r="CK164" s="2">
        <v>0</v>
      </c>
      <c r="CL164" s="2">
        <f t="shared" si="478"/>
        <v>520</v>
      </c>
      <c r="CM164" s="2">
        <v>0</v>
      </c>
      <c r="CN164" s="2">
        <f t="shared" si="479"/>
        <v>520</v>
      </c>
      <c r="CO164" s="2">
        <v>0</v>
      </c>
      <c r="CP164" s="2">
        <f t="shared" si="480"/>
        <v>520</v>
      </c>
      <c r="CQ164" s="2">
        <v>0</v>
      </c>
      <c r="CR164" s="2">
        <f t="shared" si="481"/>
        <v>520</v>
      </c>
      <c r="CS164" s="2"/>
      <c r="CT164" s="2">
        <f t="shared" si="482"/>
        <v>520</v>
      </c>
      <c r="CU164" s="2"/>
      <c r="CV164" s="2">
        <f t="shared" si="482"/>
        <v>520</v>
      </c>
      <c r="CW164" s="2"/>
      <c r="CX164" s="2">
        <f t="shared" si="482"/>
        <v>520</v>
      </c>
      <c r="CY164" s="2"/>
      <c r="CZ164" s="2">
        <f t="shared" si="482"/>
        <v>520</v>
      </c>
      <c r="DA164" s="2"/>
      <c r="DB164" s="2">
        <f t="shared" si="482"/>
        <v>520</v>
      </c>
      <c r="DC164" s="2"/>
      <c r="DD164" s="2">
        <f t="shared" si="482"/>
        <v>520</v>
      </c>
      <c r="DE164" s="2"/>
      <c r="DF164" s="2">
        <f t="shared" si="483"/>
        <v>520</v>
      </c>
      <c r="DG164" s="2"/>
      <c r="DH164" s="2">
        <f t="shared" si="484"/>
        <v>520</v>
      </c>
      <c r="DI164" s="2"/>
      <c r="DJ164" s="2">
        <f t="shared" si="485"/>
        <v>520</v>
      </c>
      <c r="DK164" s="2"/>
      <c r="DL164" s="2">
        <f t="shared" si="486"/>
        <v>520</v>
      </c>
      <c r="DM164" s="2"/>
      <c r="DN164" s="2">
        <f t="shared" si="487"/>
        <v>520</v>
      </c>
      <c r="DO164" s="2"/>
      <c r="DP164" s="2">
        <f t="shared" si="488"/>
        <v>520</v>
      </c>
      <c r="DQ164" s="2"/>
      <c r="DR164" s="2">
        <f t="shared" si="489"/>
        <v>520</v>
      </c>
      <c r="DS164" s="2"/>
      <c r="DT164" s="2">
        <f t="shared" si="451"/>
        <v>520</v>
      </c>
      <c r="DU164" s="2"/>
      <c r="DV164" s="2">
        <f t="shared" si="451"/>
        <v>520</v>
      </c>
      <c r="DW164" s="266">
        <f t="shared" si="452"/>
        <v>520</v>
      </c>
      <c r="DX164" s="441">
        <f t="shared" si="453"/>
        <v>0</v>
      </c>
    </row>
    <row r="165" spans="1:128">
      <c r="A165" s="413">
        <v>6</v>
      </c>
      <c r="B165" s="413" t="s">
        <v>523</v>
      </c>
      <c r="C165" s="433" t="s">
        <v>518</v>
      </c>
      <c r="D165" s="468">
        <v>0.1391</v>
      </c>
      <c r="E165" s="442">
        <v>679000</v>
      </c>
      <c r="F165" s="437" t="s">
        <v>1001</v>
      </c>
      <c r="G165" s="438">
        <v>40102</v>
      </c>
      <c r="H165" s="438"/>
      <c r="I165" s="438"/>
      <c r="J165" s="438"/>
      <c r="K165" s="438"/>
      <c r="L165" s="438"/>
      <c r="M165" s="433"/>
      <c r="N165" s="436"/>
      <c r="O165" s="436"/>
      <c r="P165" s="439">
        <f t="shared" si="490"/>
        <v>169</v>
      </c>
      <c r="Q165" s="436">
        <f t="shared" si="454"/>
        <v>43731</v>
      </c>
      <c r="R165" s="436">
        <f t="shared" si="455"/>
        <v>635269</v>
      </c>
      <c r="S165" s="433">
        <f t="shared" si="417"/>
        <v>365</v>
      </c>
      <c r="T165" s="436">
        <f>ROUND(R165*D165/365*S165,0)-13013</f>
        <v>75353</v>
      </c>
      <c r="U165" s="436">
        <f>R165-T165-100729</f>
        <v>459187</v>
      </c>
      <c r="V165" s="433">
        <f t="shared" si="418"/>
        <v>365</v>
      </c>
      <c r="W165" s="436">
        <f t="shared" si="419"/>
        <v>63873</v>
      </c>
      <c r="X165" s="436">
        <f t="shared" si="457"/>
        <v>395314</v>
      </c>
      <c r="Y165" s="433">
        <f t="shared" si="420"/>
        <v>365</v>
      </c>
      <c r="Z165" s="436">
        <f t="shared" si="421"/>
        <v>54988</v>
      </c>
      <c r="AA165" s="436">
        <f t="shared" si="422"/>
        <v>340326</v>
      </c>
      <c r="AB165" s="433">
        <f t="shared" si="423"/>
        <v>365</v>
      </c>
      <c r="AC165" s="436">
        <f t="shared" si="424"/>
        <v>47339</v>
      </c>
      <c r="AD165" s="436">
        <f t="shared" si="425"/>
        <v>292987</v>
      </c>
      <c r="AE165" s="436">
        <f t="shared" si="426"/>
        <v>285284</v>
      </c>
      <c r="AF165" s="436">
        <f>E165-AE165-100729</f>
        <v>292987</v>
      </c>
      <c r="AG165" s="436">
        <f t="shared" si="427"/>
        <v>0</v>
      </c>
      <c r="AH165" s="436">
        <f t="shared" si="428"/>
        <v>4.4602739726027396</v>
      </c>
      <c r="AI165" s="439">
        <v>15</v>
      </c>
      <c r="AJ165" s="436">
        <f t="shared" si="429"/>
        <v>10.539726027397261</v>
      </c>
      <c r="AK165" s="440">
        <f t="shared" si="430"/>
        <v>0.18493485016338684</v>
      </c>
      <c r="AL165" s="2">
        <f t="shared" si="431"/>
        <v>0</v>
      </c>
      <c r="AM165" s="433">
        <f t="shared" si="432"/>
        <v>365</v>
      </c>
      <c r="AN165" s="436">
        <f t="shared" si="433"/>
        <v>40754</v>
      </c>
      <c r="AO165" s="436">
        <f t="shared" si="434"/>
        <v>54184</v>
      </c>
      <c r="AP165" s="436">
        <f t="shared" si="435"/>
        <v>238803</v>
      </c>
      <c r="AQ165" s="436">
        <f t="shared" si="491"/>
        <v>238803</v>
      </c>
      <c r="AR165" s="436">
        <f t="shared" si="492"/>
        <v>0</v>
      </c>
      <c r="AS165" s="436">
        <f t="shared" si="493"/>
        <v>13430</v>
      </c>
      <c r="AT165" s="2">
        <f t="shared" si="436"/>
        <v>252233</v>
      </c>
      <c r="AU165" s="2">
        <f t="shared" si="437"/>
        <v>238803</v>
      </c>
      <c r="AV165" s="2">
        <f t="shared" si="438"/>
        <v>0</v>
      </c>
      <c r="AW165" s="2">
        <f t="shared" si="439"/>
        <v>365</v>
      </c>
      <c r="AX165" s="2">
        <f t="shared" si="458"/>
        <v>44162.997023567266</v>
      </c>
      <c r="AY165" s="2">
        <f t="shared" si="459"/>
        <v>194640.00297643273</v>
      </c>
      <c r="AZ165" s="433">
        <f t="shared" si="440"/>
        <v>365</v>
      </c>
      <c r="BA165" s="2">
        <f t="shared" si="460"/>
        <v>35995.719786247755</v>
      </c>
      <c r="BB165" s="2">
        <f t="shared" si="461"/>
        <v>158644.28319018497</v>
      </c>
      <c r="BC165" s="2">
        <f t="shared" si="462"/>
        <v>5475</v>
      </c>
      <c r="BD165" s="433">
        <f t="shared" si="441"/>
        <v>2723</v>
      </c>
      <c r="BE165" s="439">
        <f t="shared" si="442"/>
        <v>2752</v>
      </c>
      <c r="BF165" s="433">
        <f t="shared" si="443"/>
        <v>365</v>
      </c>
      <c r="BG165" s="2">
        <f t="shared" si="463"/>
        <v>29338.856741054769</v>
      </c>
      <c r="BH165" s="2">
        <f t="shared" si="444"/>
        <v>129305.4264491302</v>
      </c>
      <c r="BI165" s="2">
        <f t="shared" si="445"/>
        <v>23913.079665682733</v>
      </c>
      <c r="BJ165" s="2">
        <f t="shared" si="464"/>
        <v>105392.34678344747</v>
      </c>
      <c r="BK165" s="2">
        <f t="shared" si="465"/>
        <v>19490.717860764562</v>
      </c>
      <c r="BL165" s="2">
        <f t="shared" si="446"/>
        <v>85901.62892268291</v>
      </c>
      <c r="BM165" s="2"/>
      <c r="BN165" s="2">
        <f t="shared" si="447"/>
        <v>85901.62892268291</v>
      </c>
      <c r="BO165" s="2">
        <f t="shared" si="448"/>
        <v>15886.204873607221</v>
      </c>
      <c r="BP165" s="2">
        <f t="shared" si="466"/>
        <v>70015.424049075693</v>
      </c>
      <c r="BQ165" s="2"/>
      <c r="BR165" s="2">
        <f t="shared" si="449"/>
        <v>70015.424049075693</v>
      </c>
      <c r="BS165" s="2">
        <f t="shared" si="450"/>
        <v>12948.291955641806</v>
      </c>
      <c r="BT165" s="2">
        <f t="shared" si="467"/>
        <v>57067.132093433887</v>
      </c>
      <c r="BU165" s="2">
        <f t="shared" si="468"/>
        <v>10553.701522953401</v>
      </c>
      <c r="BV165" s="2">
        <f t="shared" si="469"/>
        <v>46513.430570480486</v>
      </c>
      <c r="BW165" s="2">
        <f t="shared" si="470"/>
        <v>12563.430570480486</v>
      </c>
      <c r="BX165" s="2">
        <f t="shared" si="471"/>
        <v>33950</v>
      </c>
      <c r="BY165" s="2">
        <v>0</v>
      </c>
      <c r="BZ165" s="2">
        <f t="shared" si="472"/>
        <v>33950</v>
      </c>
      <c r="CA165" s="2">
        <v>0</v>
      </c>
      <c r="CB165" s="2">
        <f t="shared" si="473"/>
        <v>33950</v>
      </c>
      <c r="CC165" s="2">
        <v>0</v>
      </c>
      <c r="CD165" s="2">
        <f t="shared" si="474"/>
        <v>33950</v>
      </c>
      <c r="CE165" s="2">
        <v>0</v>
      </c>
      <c r="CF165" s="2">
        <f t="shared" si="475"/>
        <v>33950</v>
      </c>
      <c r="CG165" s="2">
        <v>0</v>
      </c>
      <c r="CH165" s="2">
        <f t="shared" si="476"/>
        <v>33950</v>
      </c>
      <c r="CI165" s="2">
        <v>0</v>
      </c>
      <c r="CJ165" s="2">
        <f t="shared" si="477"/>
        <v>33950</v>
      </c>
      <c r="CK165" s="2">
        <v>0</v>
      </c>
      <c r="CL165" s="2">
        <f t="shared" si="478"/>
        <v>33950</v>
      </c>
      <c r="CM165" s="2">
        <v>0</v>
      </c>
      <c r="CN165" s="2">
        <f t="shared" si="479"/>
        <v>33950</v>
      </c>
      <c r="CO165" s="2">
        <v>0</v>
      </c>
      <c r="CP165" s="2">
        <f t="shared" si="480"/>
        <v>33950</v>
      </c>
      <c r="CQ165" s="2">
        <v>0</v>
      </c>
      <c r="CR165" s="2">
        <f t="shared" si="481"/>
        <v>33950</v>
      </c>
      <c r="CS165" s="2"/>
      <c r="CT165" s="2">
        <f t="shared" si="482"/>
        <v>33950</v>
      </c>
      <c r="CU165" s="2"/>
      <c r="CV165" s="2">
        <f t="shared" si="482"/>
        <v>33950</v>
      </c>
      <c r="CW165" s="2"/>
      <c r="CX165" s="2">
        <f t="shared" si="482"/>
        <v>33950</v>
      </c>
      <c r="CY165" s="2"/>
      <c r="CZ165" s="2">
        <f t="shared" si="482"/>
        <v>33950</v>
      </c>
      <c r="DA165" s="2"/>
      <c r="DB165" s="2">
        <f t="shared" si="482"/>
        <v>33950</v>
      </c>
      <c r="DC165" s="2"/>
      <c r="DD165" s="2">
        <f t="shared" si="482"/>
        <v>33950</v>
      </c>
      <c r="DE165" s="2"/>
      <c r="DF165" s="2">
        <f t="shared" si="483"/>
        <v>33950</v>
      </c>
      <c r="DG165" s="2"/>
      <c r="DH165" s="2">
        <f t="shared" si="484"/>
        <v>33950</v>
      </c>
      <c r="DI165" s="2"/>
      <c r="DJ165" s="2">
        <f t="shared" si="485"/>
        <v>33950</v>
      </c>
      <c r="DK165" s="2"/>
      <c r="DL165" s="2">
        <f t="shared" si="486"/>
        <v>33950</v>
      </c>
      <c r="DM165" s="2"/>
      <c r="DN165" s="2">
        <f t="shared" si="487"/>
        <v>33950</v>
      </c>
      <c r="DO165" s="2"/>
      <c r="DP165" s="2">
        <f t="shared" si="488"/>
        <v>33950</v>
      </c>
      <c r="DQ165" s="2"/>
      <c r="DR165" s="2">
        <f t="shared" si="489"/>
        <v>33950</v>
      </c>
      <c r="DS165" s="2"/>
      <c r="DT165" s="2">
        <f t="shared" si="451"/>
        <v>33950</v>
      </c>
      <c r="DU165" s="2"/>
      <c r="DV165" s="2">
        <f t="shared" si="451"/>
        <v>33950</v>
      </c>
      <c r="DW165" s="266">
        <f t="shared" si="452"/>
        <v>33950</v>
      </c>
      <c r="DX165" s="441">
        <f t="shared" si="453"/>
        <v>0</v>
      </c>
    </row>
    <row r="166" spans="1:128">
      <c r="A166" s="413">
        <v>7</v>
      </c>
      <c r="B166" s="413" t="s">
        <v>524</v>
      </c>
      <c r="C166" s="433" t="s">
        <v>518</v>
      </c>
      <c r="D166" s="468">
        <v>0.1391</v>
      </c>
      <c r="E166" s="442">
        <v>6850</v>
      </c>
      <c r="F166" s="437" t="s">
        <v>1001</v>
      </c>
      <c r="G166" s="438">
        <v>40105</v>
      </c>
      <c r="H166" s="438"/>
      <c r="I166" s="438"/>
      <c r="J166" s="438"/>
      <c r="K166" s="438"/>
      <c r="L166" s="438"/>
      <c r="M166" s="439"/>
      <c r="N166" s="436"/>
      <c r="O166" s="436"/>
      <c r="P166" s="439">
        <f t="shared" si="490"/>
        <v>166</v>
      </c>
      <c r="Q166" s="436">
        <f t="shared" si="454"/>
        <v>433</v>
      </c>
      <c r="R166" s="436">
        <f t="shared" si="455"/>
        <v>6417</v>
      </c>
      <c r="S166" s="433">
        <f t="shared" si="417"/>
        <v>365</v>
      </c>
      <c r="T166" s="436">
        <f>ROUND(R166*D166/365*S166,0)</f>
        <v>893</v>
      </c>
      <c r="U166" s="436">
        <f t="shared" si="456"/>
        <v>5524</v>
      </c>
      <c r="V166" s="433">
        <f t="shared" si="418"/>
        <v>365</v>
      </c>
      <c r="W166" s="436">
        <f t="shared" si="419"/>
        <v>768</v>
      </c>
      <c r="X166" s="436">
        <f t="shared" si="457"/>
        <v>4756</v>
      </c>
      <c r="Y166" s="433">
        <f t="shared" si="420"/>
        <v>365</v>
      </c>
      <c r="Z166" s="436">
        <f t="shared" si="421"/>
        <v>662</v>
      </c>
      <c r="AA166" s="436">
        <f t="shared" si="422"/>
        <v>4094</v>
      </c>
      <c r="AB166" s="433">
        <f t="shared" si="423"/>
        <v>365</v>
      </c>
      <c r="AC166" s="436">
        <f t="shared" si="424"/>
        <v>569</v>
      </c>
      <c r="AD166" s="436">
        <f t="shared" si="425"/>
        <v>3525</v>
      </c>
      <c r="AE166" s="436">
        <f t="shared" si="426"/>
        <v>3325</v>
      </c>
      <c r="AF166" s="436">
        <f>E166-AE166</f>
        <v>3525</v>
      </c>
      <c r="AG166" s="436">
        <f t="shared" si="427"/>
        <v>0</v>
      </c>
      <c r="AH166" s="436">
        <f t="shared" si="428"/>
        <v>4.4520547945205475</v>
      </c>
      <c r="AI166" s="439">
        <v>15</v>
      </c>
      <c r="AJ166" s="436">
        <f t="shared" si="429"/>
        <v>10.547945205479452</v>
      </c>
      <c r="AK166" s="440">
        <f t="shared" si="430"/>
        <v>0.19830370200480196</v>
      </c>
      <c r="AL166" s="2">
        <f t="shared" si="431"/>
        <v>0</v>
      </c>
      <c r="AM166" s="433">
        <f t="shared" si="432"/>
        <v>365</v>
      </c>
      <c r="AN166" s="436">
        <f t="shared" si="433"/>
        <v>490</v>
      </c>
      <c r="AO166" s="436">
        <f t="shared" si="434"/>
        <v>699</v>
      </c>
      <c r="AP166" s="436">
        <f t="shared" si="435"/>
        <v>2826</v>
      </c>
      <c r="AQ166" s="436">
        <f t="shared" si="491"/>
        <v>2826</v>
      </c>
      <c r="AR166" s="436">
        <f t="shared" si="492"/>
        <v>0</v>
      </c>
      <c r="AS166" s="436">
        <f t="shared" si="493"/>
        <v>209</v>
      </c>
      <c r="AT166" s="2">
        <f t="shared" si="436"/>
        <v>3035</v>
      </c>
      <c r="AU166" s="2">
        <f t="shared" si="437"/>
        <v>2826</v>
      </c>
      <c r="AV166" s="2">
        <f t="shared" si="438"/>
        <v>0</v>
      </c>
      <c r="AW166" s="2">
        <f t="shared" si="439"/>
        <v>365</v>
      </c>
      <c r="AX166" s="2">
        <f t="shared" si="458"/>
        <v>560.4062618655704</v>
      </c>
      <c r="AY166" s="2">
        <f t="shared" si="459"/>
        <v>2265.5937381344297</v>
      </c>
      <c r="AZ166" s="433">
        <f t="shared" si="440"/>
        <v>365</v>
      </c>
      <c r="BA166" s="2">
        <f t="shared" si="460"/>
        <v>449.27562551095531</v>
      </c>
      <c r="BB166" s="2">
        <f t="shared" si="461"/>
        <v>1816.3181126234745</v>
      </c>
      <c r="BC166" s="2">
        <f t="shared" si="462"/>
        <v>5475</v>
      </c>
      <c r="BD166" s="433">
        <f t="shared" si="441"/>
        <v>2720</v>
      </c>
      <c r="BE166" s="439">
        <f t="shared" si="442"/>
        <v>2755</v>
      </c>
      <c r="BF166" s="433">
        <f t="shared" si="443"/>
        <v>365</v>
      </c>
      <c r="BG166" s="2">
        <f t="shared" si="463"/>
        <v>360.1826057516098</v>
      </c>
      <c r="BH166" s="2">
        <f t="shared" si="444"/>
        <v>1456.1355068718647</v>
      </c>
      <c r="BI166" s="2">
        <f t="shared" si="445"/>
        <v>288.7570616333295</v>
      </c>
      <c r="BJ166" s="2">
        <f t="shared" si="464"/>
        <v>1167.3784452385353</v>
      </c>
      <c r="BK166" s="2">
        <f t="shared" si="465"/>
        <v>231.49546733141153</v>
      </c>
      <c r="BL166" s="2">
        <f t="shared" si="446"/>
        <v>935.88297790712375</v>
      </c>
      <c r="BM166" s="2"/>
      <c r="BN166" s="2">
        <f t="shared" si="447"/>
        <v>935.88297790712375</v>
      </c>
      <c r="BO166" s="2">
        <f t="shared" si="448"/>
        <v>185.58905916226092</v>
      </c>
      <c r="BP166" s="2">
        <f t="shared" si="466"/>
        <v>750.29391874486282</v>
      </c>
      <c r="BQ166" s="2"/>
      <c r="BR166" s="2">
        <f t="shared" si="449"/>
        <v>750.29391874486282</v>
      </c>
      <c r="BS166" s="2">
        <f t="shared" si="450"/>
        <v>148.78606167879639</v>
      </c>
      <c r="BT166" s="2">
        <f t="shared" si="467"/>
        <v>601.50785706606644</v>
      </c>
      <c r="BU166" s="2">
        <f t="shared" si="468"/>
        <v>119.28123484117626</v>
      </c>
      <c r="BV166" s="2">
        <f t="shared" si="469"/>
        <v>482.22662222489021</v>
      </c>
      <c r="BW166" s="2">
        <f t="shared" si="470"/>
        <v>139.72662222489021</v>
      </c>
      <c r="BX166" s="2">
        <f t="shared" si="471"/>
        <v>342.5</v>
      </c>
      <c r="BY166" s="2">
        <v>0</v>
      </c>
      <c r="BZ166" s="2">
        <f t="shared" si="472"/>
        <v>342.5</v>
      </c>
      <c r="CA166" s="2">
        <v>0</v>
      </c>
      <c r="CB166" s="2">
        <f t="shared" si="473"/>
        <v>342.5</v>
      </c>
      <c r="CC166" s="2">
        <v>0</v>
      </c>
      <c r="CD166" s="2">
        <f t="shared" si="474"/>
        <v>342.5</v>
      </c>
      <c r="CE166" s="2">
        <v>0</v>
      </c>
      <c r="CF166" s="2">
        <f t="shared" si="475"/>
        <v>342.5</v>
      </c>
      <c r="CG166" s="2">
        <v>0</v>
      </c>
      <c r="CH166" s="2">
        <f t="shared" si="476"/>
        <v>342.5</v>
      </c>
      <c r="CI166" s="2">
        <v>0</v>
      </c>
      <c r="CJ166" s="2">
        <f t="shared" si="477"/>
        <v>342.5</v>
      </c>
      <c r="CK166" s="2">
        <v>0</v>
      </c>
      <c r="CL166" s="2">
        <f t="shared" si="478"/>
        <v>342.5</v>
      </c>
      <c r="CM166" s="2">
        <v>0</v>
      </c>
      <c r="CN166" s="2">
        <f t="shared" si="479"/>
        <v>342.5</v>
      </c>
      <c r="CO166" s="2">
        <v>0</v>
      </c>
      <c r="CP166" s="2">
        <f t="shared" si="480"/>
        <v>342.5</v>
      </c>
      <c r="CQ166" s="2">
        <v>0</v>
      </c>
      <c r="CR166" s="2">
        <f t="shared" si="481"/>
        <v>342.5</v>
      </c>
      <c r="CS166" s="2"/>
      <c r="CT166" s="2">
        <f t="shared" si="482"/>
        <v>342.5</v>
      </c>
      <c r="CU166" s="2"/>
      <c r="CV166" s="2">
        <f t="shared" si="482"/>
        <v>342.5</v>
      </c>
      <c r="CW166" s="2"/>
      <c r="CX166" s="2">
        <f t="shared" si="482"/>
        <v>342.5</v>
      </c>
      <c r="CY166" s="2"/>
      <c r="CZ166" s="2">
        <f t="shared" si="482"/>
        <v>342.5</v>
      </c>
      <c r="DA166" s="2"/>
      <c r="DB166" s="2">
        <f t="shared" si="482"/>
        <v>342.5</v>
      </c>
      <c r="DC166" s="2"/>
      <c r="DD166" s="2">
        <f t="shared" si="482"/>
        <v>342.5</v>
      </c>
      <c r="DE166" s="2"/>
      <c r="DF166" s="2">
        <f t="shared" si="483"/>
        <v>342.5</v>
      </c>
      <c r="DG166" s="2"/>
      <c r="DH166" s="2">
        <f t="shared" si="484"/>
        <v>342.5</v>
      </c>
      <c r="DI166" s="2"/>
      <c r="DJ166" s="2">
        <f t="shared" si="485"/>
        <v>342.5</v>
      </c>
      <c r="DK166" s="2"/>
      <c r="DL166" s="2">
        <f t="shared" si="486"/>
        <v>342.5</v>
      </c>
      <c r="DM166" s="2"/>
      <c r="DN166" s="2">
        <f t="shared" si="487"/>
        <v>342.5</v>
      </c>
      <c r="DO166" s="2"/>
      <c r="DP166" s="2">
        <f t="shared" si="488"/>
        <v>342.5</v>
      </c>
      <c r="DQ166" s="2"/>
      <c r="DR166" s="2">
        <f t="shared" si="489"/>
        <v>342.5</v>
      </c>
      <c r="DS166" s="2"/>
      <c r="DT166" s="2">
        <f t="shared" si="451"/>
        <v>342.5</v>
      </c>
      <c r="DU166" s="2"/>
      <c r="DV166" s="2">
        <f t="shared" si="451"/>
        <v>342.5</v>
      </c>
      <c r="DW166" s="266">
        <f t="shared" si="452"/>
        <v>342.5</v>
      </c>
      <c r="DX166" s="441">
        <f t="shared" si="453"/>
        <v>0</v>
      </c>
    </row>
    <row r="167" spans="1:128">
      <c r="A167" s="413">
        <v>8</v>
      </c>
      <c r="B167" s="413" t="s">
        <v>525</v>
      </c>
      <c r="C167" s="433" t="s">
        <v>518</v>
      </c>
      <c r="D167" s="468">
        <v>0.1391</v>
      </c>
      <c r="E167" s="442">
        <v>32500</v>
      </c>
      <c r="F167" s="437" t="s">
        <v>1001</v>
      </c>
      <c r="G167" s="438">
        <v>40105</v>
      </c>
      <c r="H167" s="438"/>
      <c r="I167" s="438"/>
      <c r="J167" s="438"/>
      <c r="K167" s="438"/>
      <c r="L167" s="438"/>
      <c r="M167" s="433"/>
      <c r="N167" s="436"/>
      <c r="O167" s="436"/>
      <c r="P167" s="439">
        <f t="shared" si="490"/>
        <v>166</v>
      </c>
      <c r="Q167" s="436">
        <f t="shared" si="454"/>
        <v>2056</v>
      </c>
      <c r="R167" s="436">
        <f t="shared" si="455"/>
        <v>30444</v>
      </c>
      <c r="S167" s="433">
        <f t="shared" si="417"/>
        <v>365</v>
      </c>
      <c r="T167" s="436">
        <f>ROUND(R167*D167/365*S167,0)-762</f>
        <v>3473</v>
      </c>
      <c r="U167" s="436">
        <f>R167-T167-5902</f>
        <v>21069</v>
      </c>
      <c r="V167" s="433">
        <f t="shared" si="418"/>
        <v>365</v>
      </c>
      <c r="W167" s="436">
        <f t="shared" si="419"/>
        <v>2931</v>
      </c>
      <c r="X167" s="436">
        <f t="shared" si="457"/>
        <v>18138</v>
      </c>
      <c r="Y167" s="433">
        <f t="shared" si="420"/>
        <v>365</v>
      </c>
      <c r="Z167" s="436">
        <f t="shared" si="421"/>
        <v>2523</v>
      </c>
      <c r="AA167" s="436">
        <f t="shared" si="422"/>
        <v>15615</v>
      </c>
      <c r="AB167" s="433">
        <f t="shared" si="423"/>
        <v>365</v>
      </c>
      <c r="AC167" s="436">
        <f t="shared" si="424"/>
        <v>2172</v>
      </c>
      <c r="AD167" s="436">
        <f t="shared" si="425"/>
        <v>13443</v>
      </c>
      <c r="AE167" s="436">
        <f t="shared" si="426"/>
        <v>13155</v>
      </c>
      <c r="AF167" s="436">
        <f>E167-AE167-5902</f>
        <v>13443</v>
      </c>
      <c r="AG167" s="436">
        <f t="shared" si="427"/>
        <v>0</v>
      </c>
      <c r="AH167" s="436">
        <f t="shared" si="428"/>
        <v>4.4520547945205475</v>
      </c>
      <c r="AI167" s="439">
        <v>15</v>
      </c>
      <c r="AJ167" s="436">
        <f t="shared" si="429"/>
        <v>10.547945205479452</v>
      </c>
      <c r="AK167" s="440">
        <f t="shared" si="430"/>
        <v>0.18153013774485138</v>
      </c>
      <c r="AL167" s="2">
        <f t="shared" si="431"/>
        <v>0</v>
      </c>
      <c r="AM167" s="433">
        <f t="shared" si="432"/>
        <v>365</v>
      </c>
      <c r="AN167" s="436">
        <f t="shared" si="433"/>
        <v>1870</v>
      </c>
      <c r="AO167" s="436">
        <f t="shared" si="434"/>
        <v>2440</v>
      </c>
      <c r="AP167" s="436">
        <f t="shared" si="435"/>
        <v>11003</v>
      </c>
      <c r="AQ167" s="436">
        <f t="shared" si="491"/>
        <v>11003</v>
      </c>
      <c r="AR167" s="436">
        <f t="shared" si="492"/>
        <v>0</v>
      </c>
      <c r="AS167" s="436">
        <f t="shared" si="493"/>
        <v>570</v>
      </c>
      <c r="AT167" s="2">
        <f t="shared" si="436"/>
        <v>11573</v>
      </c>
      <c r="AU167" s="2">
        <f t="shared" si="437"/>
        <v>11003</v>
      </c>
      <c r="AV167" s="2">
        <f t="shared" si="438"/>
        <v>0</v>
      </c>
      <c r="AW167" s="2">
        <f t="shared" si="439"/>
        <v>365</v>
      </c>
      <c r="AX167" s="2">
        <f t="shared" si="458"/>
        <v>1997.3761056065998</v>
      </c>
      <c r="AY167" s="2">
        <f t="shared" si="459"/>
        <v>9005.6238943934004</v>
      </c>
      <c r="AZ167" s="433">
        <f t="shared" si="440"/>
        <v>365</v>
      </c>
      <c r="BA167" s="2">
        <f t="shared" si="460"/>
        <v>1634.7921460275588</v>
      </c>
      <c r="BB167" s="2">
        <f t="shared" si="461"/>
        <v>7370.8317483658411</v>
      </c>
      <c r="BC167" s="2">
        <f t="shared" si="462"/>
        <v>5475</v>
      </c>
      <c r="BD167" s="433">
        <f t="shared" si="441"/>
        <v>2720</v>
      </c>
      <c r="BE167" s="439">
        <f t="shared" si="442"/>
        <v>2755</v>
      </c>
      <c r="BF167" s="433">
        <f t="shared" si="443"/>
        <v>365</v>
      </c>
      <c r="BG167" s="2">
        <f t="shared" si="463"/>
        <v>1338.0281025749748</v>
      </c>
      <c r="BH167" s="2">
        <f t="shared" si="444"/>
        <v>6032.8036457908665</v>
      </c>
      <c r="BI167" s="2">
        <f t="shared" si="445"/>
        <v>1095.1356768080577</v>
      </c>
      <c r="BJ167" s="2">
        <f t="shared" si="464"/>
        <v>4937.6679689828088</v>
      </c>
      <c r="BK167" s="2">
        <f t="shared" si="465"/>
        <v>896.33554654778982</v>
      </c>
      <c r="BL167" s="2">
        <f t="shared" si="446"/>
        <v>4041.332422435019</v>
      </c>
      <c r="BM167" s="2"/>
      <c r="BN167" s="2">
        <f t="shared" si="447"/>
        <v>4041.332422435019</v>
      </c>
      <c r="BO167" s="2">
        <f t="shared" si="448"/>
        <v>733.62363131736288</v>
      </c>
      <c r="BP167" s="2">
        <f t="shared" si="466"/>
        <v>3307.7087911176559</v>
      </c>
      <c r="BQ167" s="2"/>
      <c r="BR167" s="2">
        <f t="shared" si="449"/>
        <v>3307.7087911176559</v>
      </c>
      <c r="BS167" s="2">
        <f t="shared" si="450"/>
        <v>600.44883247144389</v>
      </c>
      <c r="BT167" s="2">
        <f t="shared" si="467"/>
        <v>2707.259958646212</v>
      </c>
      <c r="BU167" s="2">
        <f t="shared" si="468"/>
        <v>491.44927320416753</v>
      </c>
      <c r="BV167" s="2">
        <f t="shared" si="469"/>
        <v>2215.8106854420444</v>
      </c>
      <c r="BW167" s="2">
        <f t="shared" si="470"/>
        <v>590.81068544204436</v>
      </c>
      <c r="BX167" s="2">
        <f t="shared" si="471"/>
        <v>1625</v>
      </c>
      <c r="BY167" s="2">
        <v>0</v>
      </c>
      <c r="BZ167" s="2">
        <f t="shared" si="472"/>
        <v>1625</v>
      </c>
      <c r="CA167" s="2">
        <v>0</v>
      </c>
      <c r="CB167" s="2">
        <f t="shared" si="473"/>
        <v>1625</v>
      </c>
      <c r="CC167" s="2">
        <v>0</v>
      </c>
      <c r="CD167" s="2">
        <f t="shared" si="474"/>
        <v>1625</v>
      </c>
      <c r="CE167" s="2">
        <v>0</v>
      </c>
      <c r="CF167" s="2">
        <f t="shared" si="475"/>
        <v>1625</v>
      </c>
      <c r="CG167" s="2">
        <v>0</v>
      </c>
      <c r="CH167" s="2">
        <f t="shared" si="476"/>
        <v>1625</v>
      </c>
      <c r="CI167" s="2">
        <v>0</v>
      </c>
      <c r="CJ167" s="2">
        <f t="shared" si="477"/>
        <v>1625</v>
      </c>
      <c r="CK167" s="2">
        <v>0</v>
      </c>
      <c r="CL167" s="2">
        <f t="shared" si="478"/>
        <v>1625</v>
      </c>
      <c r="CM167" s="2">
        <v>0</v>
      </c>
      <c r="CN167" s="2">
        <f t="shared" si="479"/>
        <v>1625</v>
      </c>
      <c r="CO167" s="2">
        <v>0</v>
      </c>
      <c r="CP167" s="2">
        <f t="shared" si="480"/>
        <v>1625</v>
      </c>
      <c r="CQ167" s="2">
        <v>0</v>
      </c>
      <c r="CR167" s="2">
        <f t="shared" si="481"/>
        <v>1625</v>
      </c>
      <c r="CS167" s="2"/>
      <c r="CT167" s="2">
        <f t="shared" si="482"/>
        <v>1625</v>
      </c>
      <c r="CU167" s="2"/>
      <c r="CV167" s="2">
        <f t="shared" si="482"/>
        <v>1625</v>
      </c>
      <c r="CW167" s="2"/>
      <c r="CX167" s="2">
        <f t="shared" si="482"/>
        <v>1625</v>
      </c>
      <c r="CY167" s="2"/>
      <c r="CZ167" s="2">
        <f t="shared" si="482"/>
        <v>1625</v>
      </c>
      <c r="DA167" s="2"/>
      <c r="DB167" s="2">
        <f t="shared" si="482"/>
        <v>1625</v>
      </c>
      <c r="DC167" s="2"/>
      <c r="DD167" s="2">
        <f t="shared" si="482"/>
        <v>1625</v>
      </c>
      <c r="DE167" s="2"/>
      <c r="DF167" s="2">
        <f t="shared" si="483"/>
        <v>1625</v>
      </c>
      <c r="DG167" s="2"/>
      <c r="DH167" s="2">
        <f t="shared" si="484"/>
        <v>1625</v>
      </c>
      <c r="DI167" s="2"/>
      <c r="DJ167" s="2">
        <f t="shared" si="485"/>
        <v>1625</v>
      </c>
      <c r="DK167" s="2"/>
      <c r="DL167" s="2">
        <f t="shared" si="486"/>
        <v>1625</v>
      </c>
      <c r="DM167" s="2"/>
      <c r="DN167" s="2">
        <f t="shared" si="487"/>
        <v>1625</v>
      </c>
      <c r="DO167" s="2"/>
      <c r="DP167" s="2">
        <f t="shared" si="488"/>
        <v>1625</v>
      </c>
      <c r="DQ167" s="2"/>
      <c r="DR167" s="2">
        <f t="shared" si="489"/>
        <v>1625</v>
      </c>
      <c r="DS167" s="2"/>
      <c r="DT167" s="2">
        <f t="shared" si="451"/>
        <v>1625</v>
      </c>
      <c r="DU167" s="2"/>
      <c r="DV167" s="2">
        <f t="shared" si="451"/>
        <v>1625</v>
      </c>
      <c r="DW167" s="266">
        <f t="shared" si="452"/>
        <v>1625</v>
      </c>
      <c r="DX167" s="441">
        <f t="shared" si="453"/>
        <v>0</v>
      </c>
    </row>
    <row r="168" spans="1:128">
      <c r="A168" s="413">
        <v>9</v>
      </c>
      <c r="B168" s="413" t="s">
        <v>526</v>
      </c>
      <c r="C168" s="433" t="s">
        <v>518</v>
      </c>
      <c r="D168" s="468">
        <v>0.1391</v>
      </c>
      <c r="E168" s="442">
        <v>65239</v>
      </c>
      <c r="F168" s="437" t="s">
        <v>1001</v>
      </c>
      <c r="G168" s="438">
        <v>40114</v>
      </c>
      <c r="H168" s="438"/>
      <c r="I168" s="438"/>
      <c r="J168" s="438"/>
      <c r="K168" s="438"/>
      <c r="L168" s="438"/>
      <c r="M168" s="433"/>
      <c r="N168" s="436"/>
      <c r="O168" s="436"/>
      <c r="P168" s="439">
        <f t="shared" si="490"/>
        <v>157</v>
      </c>
      <c r="Q168" s="436">
        <f t="shared" si="454"/>
        <v>3903</v>
      </c>
      <c r="R168" s="436">
        <f t="shared" si="455"/>
        <v>61336</v>
      </c>
      <c r="S168" s="433">
        <f t="shared" si="417"/>
        <v>365</v>
      </c>
      <c r="T168" s="436">
        <f>ROUND(R168*D168/365*S168,0)-1216</f>
        <v>7316</v>
      </c>
      <c r="U168" s="436">
        <f>R168-T168-9409</f>
        <v>44611</v>
      </c>
      <c r="V168" s="433">
        <f t="shared" si="418"/>
        <v>365</v>
      </c>
      <c r="W168" s="436">
        <f t="shared" si="419"/>
        <v>6205</v>
      </c>
      <c r="X168" s="436">
        <f t="shared" si="457"/>
        <v>38406</v>
      </c>
      <c r="Y168" s="433">
        <f t="shared" si="420"/>
        <v>365</v>
      </c>
      <c r="Z168" s="436">
        <f t="shared" si="421"/>
        <v>5342</v>
      </c>
      <c r="AA168" s="436">
        <f t="shared" si="422"/>
        <v>33064</v>
      </c>
      <c r="AB168" s="433">
        <f t="shared" si="423"/>
        <v>365</v>
      </c>
      <c r="AC168" s="436">
        <f t="shared" si="424"/>
        <v>4599</v>
      </c>
      <c r="AD168" s="436">
        <f t="shared" si="425"/>
        <v>28465</v>
      </c>
      <c r="AE168" s="436">
        <f t="shared" si="426"/>
        <v>27365</v>
      </c>
      <c r="AF168" s="436">
        <f>E168-AE168-9409</f>
        <v>28465</v>
      </c>
      <c r="AG168" s="436">
        <f t="shared" si="427"/>
        <v>0</v>
      </c>
      <c r="AH168" s="436">
        <f t="shared" si="428"/>
        <v>4.4273972602739722</v>
      </c>
      <c r="AI168" s="439">
        <v>15</v>
      </c>
      <c r="AJ168" s="436">
        <f t="shared" si="429"/>
        <v>10.572602739726028</v>
      </c>
      <c r="AK168" s="440">
        <f t="shared" si="430"/>
        <v>0.18527304766045005</v>
      </c>
      <c r="AL168" s="2">
        <f t="shared" si="431"/>
        <v>0</v>
      </c>
      <c r="AM168" s="433">
        <f t="shared" si="432"/>
        <v>365</v>
      </c>
      <c r="AN168" s="436">
        <f t="shared" si="433"/>
        <v>3959</v>
      </c>
      <c r="AO168" s="436">
        <f t="shared" si="434"/>
        <v>5274</v>
      </c>
      <c r="AP168" s="436">
        <f t="shared" si="435"/>
        <v>23191</v>
      </c>
      <c r="AQ168" s="436">
        <f t="shared" si="491"/>
        <v>23191</v>
      </c>
      <c r="AR168" s="436">
        <f t="shared" si="492"/>
        <v>0</v>
      </c>
      <c r="AS168" s="436">
        <f t="shared" si="493"/>
        <v>1315</v>
      </c>
      <c r="AT168" s="2">
        <f t="shared" si="436"/>
        <v>24506</v>
      </c>
      <c r="AU168" s="2">
        <f t="shared" si="437"/>
        <v>23191</v>
      </c>
      <c r="AV168" s="2">
        <f t="shared" si="438"/>
        <v>0</v>
      </c>
      <c r="AW168" s="2">
        <f t="shared" si="439"/>
        <v>365</v>
      </c>
      <c r="AX168" s="2">
        <f t="shared" si="458"/>
        <v>4296.6672482934973</v>
      </c>
      <c r="AY168" s="2">
        <f t="shared" si="459"/>
        <v>18894.332751706504</v>
      </c>
      <c r="AZ168" s="433">
        <f t="shared" si="440"/>
        <v>365</v>
      </c>
      <c r="BA168" s="2">
        <f t="shared" si="460"/>
        <v>3500.6106124193216</v>
      </c>
      <c r="BB168" s="2">
        <f t="shared" si="461"/>
        <v>15393.722139287183</v>
      </c>
      <c r="BC168" s="2">
        <f t="shared" si="462"/>
        <v>5475</v>
      </c>
      <c r="BD168" s="433">
        <f t="shared" si="441"/>
        <v>2711</v>
      </c>
      <c r="BE168" s="439">
        <f t="shared" si="442"/>
        <v>2764</v>
      </c>
      <c r="BF168" s="433">
        <f t="shared" si="443"/>
        <v>365</v>
      </c>
      <c r="BG168" s="2">
        <f t="shared" si="463"/>
        <v>2852.0418155838793</v>
      </c>
      <c r="BH168" s="2">
        <f t="shared" si="444"/>
        <v>12541.680323703304</v>
      </c>
      <c r="BI168" s="2">
        <f t="shared" si="445"/>
        <v>2323.6353363556109</v>
      </c>
      <c r="BJ168" s="2">
        <f t="shared" si="464"/>
        <v>10218.044987347694</v>
      </c>
      <c r="BK168" s="2">
        <f t="shared" si="465"/>
        <v>1893.128335937492</v>
      </c>
      <c r="BL168" s="2">
        <f t="shared" si="446"/>
        <v>8324.9166514102017</v>
      </c>
      <c r="BM168" s="2"/>
      <c r="BN168" s="2">
        <f t="shared" si="447"/>
        <v>8324.9166514102017</v>
      </c>
      <c r="BO168" s="2">
        <f t="shared" si="448"/>
        <v>1542.3826795259965</v>
      </c>
      <c r="BP168" s="2">
        <f t="shared" si="466"/>
        <v>6782.5339718842051</v>
      </c>
      <c r="BQ168" s="2"/>
      <c r="BR168" s="2">
        <f t="shared" si="449"/>
        <v>6782.5339718842051</v>
      </c>
      <c r="BS168" s="2">
        <f t="shared" si="450"/>
        <v>1256.6207398315239</v>
      </c>
      <c r="BT168" s="2">
        <f t="shared" si="467"/>
        <v>5525.9132320526815</v>
      </c>
      <c r="BU168" s="2">
        <f t="shared" si="468"/>
        <v>1023.802785609608</v>
      </c>
      <c r="BV168" s="2">
        <f t="shared" si="469"/>
        <v>4502.1104464430737</v>
      </c>
      <c r="BW168" s="2">
        <f t="shared" si="470"/>
        <v>1240.1604464430734</v>
      </c>
      <c r="BX168" s="2">
        <f t="shared" si="471"/>
        <v>3261.9500000000003</v>
      </c>
      <c r="BY168" s="2">
        <v>0</v>
      </c>
      <c r="BZ168" s="2">
        <f t="shared" si="472"/>
        <v>3261.9500000000003</v>
      </c>
      <c r="CA168" s="2">
        <v>0</v>
      </c>
      <c r="CB168" s="2">
        <f t="shared" si="473"/>
        <v>3261.9500000000003</v>
      </c>
      <c r="CC168" s="2">
        <v>0</v>
      </c>
      <c r="CD168" s="2">
        <f t="shared" si="474"/>
        <v>3261.9500000000003</v>
      </c>
      <c r="CE168" s="2">
        <v>0</v>
      </c>
      <c r="CF168" s="2">
        <f t="shared" si="475"/>
        <v>3261.9500000000003</v>
      </c>
      <c r="CG168" s="2">
        <v>0</v>
      </c>
      <c r="CH168" s="2">
        <f t="shared" si="476"/>
        <v>3261.9500000000003</v>
      </c>
      <c r="CI168" s="2">
        <v>0</v>
      </c>
      <c r="CJ168" s="2">
        <f t="shared" si="477"/>
        <v>3261.9500000000003</v>
      </c>
      <c r="CK168" s="2">
        <v>0</v>
      </c>
      <c r="CL168" s="2">
        <f t="shared" si="478"/>
        <v>3261.9500000000003</v>
      </c>
      <c r="CM168" s="2">
        <v>0</v>
      </c>
      <c r="CN168" s="2">
        <f t="shared" si="479"/>
        <v>3261.9500000000003</v>
      </c>
      <c r="CO168" s="2">
        <v>0</v>
      </c>
      <c r="CP168" s="2">
        <f t="shared" si="480"/>
        <v>3261.9500000000003</v>
      </c>
      <c r="CQ168" s="2">
        <v>0</v>
      </c>
      <c r="CR168" s="2">
        <f t="shared" si="481"/>
        <v>3261.9500000000003</v>
      </c>
      <c r="CS168" s="2"/>
      <c r="CT168" s="2">
        <f t="shared" si="482"/>
        <v>3261.9500000000003</v>
      </c>
      <c r="CU168" s="2"/>
      <c r="CV168" s="2">
        <f t="shared" si="482"/>
        <v>3261.9500000000003</v>
      </c>
      <c r="CW168" s="2"/>
      <c r="CX168" s="2">
        <f t="shared" si="482"/>
        <v>3261.9500000000003</v>
      </c>
      <c r="CY168" s="2"/>
      <c r="CZ168" s="2">
        <f t="shared" si="482"/>
        <v>3261.9500000000003</v>
      </c>
      <c r="DA168" s="2"/>
      <c r="DB168" s="2">
        <f t="shared" si="482"/>
        <v>3261.9500000000003</v>
      </c>
      <c r="DC168" s="2"/>
      <c r="DD168" s="2">
        <f t="shared" si="482"/>
        <v>3261.9500000000003</v>
      </c>
      <c r="DE168" s="2"/>
      <c r="DF168" s="2">
        <f t="shared" si="483"/>
        <v>3261.9500000000003</v>
      </c>
      <c r="DG168" s="2"/>
      <c r="DH168" s="2">
        <f t="shared" si="484"/>
        <v>3261.9500000000003</v>
      </c>
      <c r="DI168" s="2"/>
      <c r="DJ168" s="2">
        <f t="shared" si="485"/>
        <v>3261.9500000000003</v>
      </c>
      <c r="DK168" s="2"/>
      <c r="DL168" s="2">
        <f t="shared" si="486"/>
        <v>3261.9500000000003</v>
      </c>
      <c r="DM168" s="2"/>
      <c r="DN168" s="2">
        <f t="shared" si="487"/>
        <v>3261.9500000000003</v>
      </c>
      <c r="DO168" s="2"/>
      <c r="DP168" s="2">
        <f t="shared" si="488"/>
        <v>3261.9500000000003</v>
      </c>
      <c r="DQ168" s="2"/>
      <c r="DR168" s="2">
        <f t="shared" si="489"/>
        <v>3261.9500000000003</v>
      </c>
      <c r="DS168" s="2"/>
      <c r="DT168" s="2">
        <f t="shared" si="451"/>
        <v>3261.9500000000003</v>
      </c>
      <c r="DU168" s="2"/>
      <c r="DV168" s="2">
        <f t="shared" si="451"/>
        <v>3261.9500000000003</v>
      </c>
      <c r="DW168" s="266">
        <f t="shared" si="452"/>
        <v>3261.9500000000003</v>
      </c>
      <c r="DX168" s="441">
        <f t="shared" si="453"/>
        <v>0</v>
      </c>
    </row>
    <row r="169" spans="1:128">
      <c r="A169" s="413">
        <v>10</v>
      </c>
      <c r="B169" s="413" t="s">
        <v>523</v>
      </c>
      <c r="C169" s="433" t="s">
        <v>518</v>
      </c>
      <c r="D169" s="468">
        <v>0.1391</v>
      </c>
      <c r="E169" s="442">
        <v>21000</v>
      </c>
      <c r="F169" s="437" t="s">
        <v>1001</v>
      </c>
      <c r="G169" s="438">
        <v>40119</v>
      </c>
      <c r="H169" s="438"/>
      <c r="I169" s="438"/>
      <c r="J169" s="438"/>
      <c r="K169" s="438"/>
      <c r="L169" s="438"/>
      <c r="M169" s="433"/>
      <c r="N169" s="436"/>
      <c r="O169" s="436"/>
      <c r="P169" s="439">
        <f>$P$6-G169+1+3</f>
        <v>153</v>
      </c>
      <c r="Q169" s="436">
        <f t="shared" si="454"/>
        <v>1224</v>
      </c>
      <c r="R169" s="436">
        <f t="shared" si="455"/>
        <v>19776</v>
      </c>
      <c r="S169" s="433">
        <f t="shared" si="417"/>
        <v>365</v>
      </c>
      <c r="T169" s="436">
        <f>ROUND(R169*D169/365*S169,0)</f>
        <v>2751</v>
      </c>
      <c r="U169" s="436">
        <f t="shared" si="456"/>
        <v>17025</v>
      </c>
      <c r="V169" s="433">
        <f t="shared" si="418"/>
        <v>365</v>
      </c>
      <c r="W169" s="436">
        <f t="shared" si="419"/>
        <v>2368</v>
      </c>
      <c r="X169" s="436">
        <f t="shared" si="457"/>
        <v>14657</v>
      </c>
      <c r="Y169" s="433">
        <f t="shared" si="420"/>
        <v>365</v>
      </c>
      <c r="Z169" s="436">
        <f t="shared" si="421"/>
        <v>2039</v>
      </c>
      <c r="AA169" s="436">
        <f t="shared" si="422"/>
        <v>12618</v>
      </c>
      <c r="AB169" s="433">
        <f t="shared" si="423"/>
        <v>365</v>
      </c>
      <c r="AC169" s="436">
        <f t="shared" si="424"/>
        <v>1755</v>
      </c>
      <c r="AD169" s="436">
        <f t="shared" si="425"/>
        <v>10863</v>
      </c>
      <c r="AE169" s="436">
        <f t="shared" si="426"/>
        <v>10137</v>
      </c>
      <c r="AF169" s="436">
        <f>E169-AE169</f>
        <v>10863</v>
      </c>
      <c r="AG169" s="436">
        <f t="shared" si="427"/>
        <v>0</v>
      </c>
      <c r="AH169" s="436">
        <f t="shared" si="428"/>
        <v>4.4136986301369863</v>
      </c>
      <c r="AI169" s="439">
        <v>15</v>
      </c>
      <c r="AJ169" s="436">
        <f t="shared" si="429"/>
        <v>10.586301369863014</v>
      </c>
      <c r="AK169" s="440">
        <f t="shared" si="430"/>
        <v>0.19805607421320293</v>
      </c>
      <c r="AL169" s="2">
        <f t="shared" si="431"/>
        <v>0</v>
      </c>
      <c r="AM169" s="433">
        <f t="shared" si="432"/>
        <v>365</v>
      </c>
      <c r="AN169" s="436">
        <f t="shared" si="433"/>
        <v>1511</v>
      </c>
      <c r="AO169" s="436">
        <f t="shared" si="434"/>
        <v>2151</v>
      </c>
      <c r="AP169" s="436">
        <f t="shared" si="435"/>
        <v>8712</v>
      </c>
      <c r="AQ169" s="436">
        <f t="shared" si="491"/>
        <v>8712</v>
      </c>
      <c r="AR169" s="436">
        <f t="shared" si="492"/>
        <v>0</v>
      </c>
      <c r="AS169" s="436">
        <f t="shared" si="493"/>
        <v>640</v>
      </c>
      <c r="AT169" s="2">
        <f t="shared" si="436"/>
        <v>9352</v>
      </c>
      <c r="AU169" s="2">
        <f t="shared" si="437"/>
        <v>8712</v>
      </c>
      <c r="AV169" s="2">
        <f t="shared" si="438"/>
        <v>0</v>
      </c>
      <c r="AW169" s="2">
        <f t="shared" si="439"/>
        <v>365</v>
      </c>
      <c r="AX169" s="2">
        <f t="shared" si="458"/>
        <v>1725.464518545424</v>
      </c>
      <c r="AY169" s="2">
        <f t="shared" si="459"/>
        <v>6986.5354814545763</v>
      </c>
      <c r="AZ169" s="433">
        <f t="shared" si="440"/>
        <v>365</v>
      </c>
      <c r="BA169" s="2">
        <f t="shared" si="460"/>
        <v>1383.725789808143</v>
      </c>
      <c r="BB169" s="2">
        <f t="shared" si="461"/>
        <v>5602.8096916464328</v>
      </c>
      <c r="BC169" s="2">
        <f t="shared" si="462"/>
        <v>5475</v>
      </c>
      <c r="BD169" s="433">
        <f t="shared" si="441"/>
        <v>2706</v>
      </c>
      <c r="BE169" s="439">
        <f t="shared" si="442"/>
        <v>2769</v>
      </c>
      <c r="BF169" s="433">
        <f t="shared" si="443"/>
        <v>365</v>
      </c>
      <c r="BG169" s="2">
        <f t="shared" si="463"/>
        <v>1109.6704920911784</v>
      </c>
      <c r="BH169" s="2">
        <f t="shared" si="444"/>
        <v>4493.1391995552549</v>
      </c>
      <c r="BI169" s="2">
        <f t="shared" si="445"/>
        <v>889.8935107573667</v>
      </c>
      <c r="BJ169" s="2">
        <f t="shared" si="464"/>
        <v>3603.2456887978883</v>
      </c>
      <c r="BK169" s="2">
        <f t="shared" si="465"/>
        <v>713.64469554895811</v>
      </c>
      <c r="BL169" s="2">
        <f t="shared" si="446"/>
        <v>2889.6009932489301</v>
      </c>
      <c r="BM169" s="2"/>
      <c r="BN169" s="2">
        <f t="shared" si="447"/>
        <v>2889.6009932489301</v>
      </c>
      <c r="BO169" s="2">
        <f t="shared" si="448"/>
        <v>572.303028765455</v>
      </c>
      <c r="BP169" s="2">
        <f t="shared" si="466"/>
        <v>2317.297964483475</v>
      </c>
      <c r="BQ169" s="2"/>
      <c r="BR169" s="2">
        <f t="shared" si="449"/>
        <v>2317.297964483475</v>
      </c>
      <c r="BS169" s="2">
        <f t="shared" si="450"/>
        <v>458.95493762784321</v>
      </c>
      <c r="BT169" s="2">
        <f t="shared" si="467"/>
        <v>1858.3430268556317</v>
      </c>
      <c r="BU169" s="2">
        <f t="shared" si="468"/>
        <v>368.05612444050718</v>
      </c>
      <c r="BV169" s="2">
        <f t="shared" si="469"/>
        <v>1490.2869024151246</v>
      </c>
      <c r="BW169" s="2">
        <f t="shared" si="470"/>
        <v>440.28690241512459</v>
      </c>
      <c r="BX169" s="2">
        <f t="shared" si="471"/>
        <v>1050</v>
      </c>
      <c r="BY169" s="2">
        <v>0</v>
      </c>
      <c r="BZ169" s="2">
        <f t="shared" si="472"/>
        <v>1050</v>
      </c>
      <c r="CA169" s="2">
        <v>0</v>
      </c>
      <c r="CB169" s="2">
        <f t="shared" si="473"/>
        <v>1050</v>
      </c>
      <c r="CC169" s="2">
        <v>0</v>
      </c>
      <c r="CD169" s="2">
        <f t="shared" si="474"/>
        <v>1050</v>
      </c>
      <c r="CE169" s="2">
        <v>0</v>
      </c>
      <c r="CF169" s="2">
        <f t="shared" si="475"/>
        <v>1050</v>
      </c>
      <c r="CG169" s="2">
        <v>0</v>
      </c>
      <c r="CH169" s="2">
        <f t="shared" si="476"/>
        <v>1050</v>
      </c>
      <c r="CI169" s="2">
        <v>0</v>
      </c>
      <c r="CJ169" s="2">
        <f t="shared" si="477"/>
        <v>1050</v>
      </c>
      <c r="CK169" s="2">
        <v>0</v>
      </c>
      <c r="CL169" s="2">
        <f t="shared" si="478"/>
        <v>1050</v>
      </c>
      <c r="CM169" s="2">
        <v>0</v>
      </c>
      <c r="CN169" s="2">
        <f t="shared" si="479"/>
        <v>1050</v>
      </c>
      <c r="CO169" s="2">
        <v>0</v>
      </c>
      <c r="CP169" s="2">
        <f t="shared" si="480"/>
        <v>1050</v>
      </c>
      <c r="CQ169" s="2">
        <v>0</v>
      </c>
      <c r="CR169" s="2">
        <f t="shared" si="481"/>
        <v>1050</v>
      </c>
      <c r="CS169" s="2"/>
      <c r="CT169" s="2">
        <f t="shared" si="482"/>
        <v>1050</v>
      </c>
      <c r="CU169" s="2"/>
      <c r="CV169" s="2">
        <f t="shared" si="482"/>
        <v>1050</v>
      </c>
      <c r="CW169" s="2"/>
      <c r="CX169" s="2">
        <f t="shared" si="482"/>
        <v>1050</v>
      </c>
      <c r="CY169" s="2"/>
      <c r="CZ169" s="2">
        <f t="shared" si="482"/>
        <v>1050</v>
      </c>
      <c r="DA169" s="2"/>
      <c r="DB169" s="2">
        <f t="shared" si="482"/>
        <v>1050</v>
      </c>
      <c r="DC169" s="2"/>
      <c r="DD169" s="2">
        <f t="shared" si="482"/>
        <v>1050</v>
      </c>
      <c r="DE169" s="2"/>
      <c r="DF169" s="2">
        <f t="shared" si="483"/>
        <v>1050</v>
      </c>
      <c r="DG169" s="2"/>
      <c r="DH169" s="2">
        <f t="shared" si="484"/>
        <v>1050</v>
      </c>
      <c r="DI169" s="2"/>
      <c r="DJ169" s="2">
        <f t="shared" si="485"/>
        <v>1050</v>
      </c>
      <c r="DK169" s="2"/>
      <c r="DL169" s="2">
        <f t="shared" si="486"/>
        <v>1050</v>
      </c>
      <c r="DM169" s="2"/>
      <c r="DN169" s="2">
        <f t="shared" si="487"/>
        <v>1050</v>
      </c>
      <c r="DO169" s="2"/>
      <c r="DP169" s="2">
        <f t="shared" si="488"/>
        <v>1050</v>
      </c>
      <c r="DQ169" s="2"/>
      <c r="DR169" s="2">
        <f t="shared" si="489"/>
        <v>1050</v>
      </c>
      <c r="DS169" s="2"/>
      <c r="DT169" s="2">
        <f t="shared" si="451"/>
        <v>1050</v>
      </c>
      <c r="DU169" s="2"/>
      <c r="DV169" s="2">
        <f t="shared" si="451"/>
        <v>1050</v>
      </c>
      <c r="DW169" s="266">
        <f t="shared" si="452"/>
        <v>1050</v>
      </c>
      <c r="DX169" s="441">
        <f t="shared" si="453"/>
        <v>0</v>
      </c>
    </row>
    <row r="170" spans="1:128">
      <c r="A170" s="413">
        <v>11</v>
      </c>
      <c r="B170" s="413" t="s">
        <v>527</v>
      </c>
      <c r="C170" s="433" t="s">
        <v>518</v>
      </c>
      <c r="D170" s="468">
        <v>0.1391</v>
      </c>
      <c r="E170" s="442">
        <v>134616</v>
      </c>
      <c r="F170" s="437" t="s">
        <v>1001</v>
      </c>
      <c r="G170" s="438">
        <v>40169</v>
      </c>
      <c r="H170" s="438"/>
      <c r="I170" s="438"/>
      <c r="J170" s="438"/>
      <c r="K170" s="438"/>
      <c r="L170" s="438"/>
      <c r="M170" s="433"/>
      <c r="N170" s="436"/>
      <c r="O170" s="436"/>
      <c r="P170" s="439">
        <f>$P$6-G170+1</f>
        <v>100</v>
      </c>
      <c r="Q170" s="436">
        <f t="shared" si="454"/>
        <v>5130</v>
      </c>
      <c r="R170" s="436">
        <f t="shared" si="455"/>
        <v>129486</v>
      </c>
      <c r="S170" s="433">
        <f t="shared" si="417"/>
        <v>365</v>
      </c>
      <c r="T170" s="436">
        <f>ROUND(R170*D170/365*S170,0)-2609</f>
        <v>15403</v>
      </c>
      <c r="U170" s="436">
        <f>R170-T170-20192</f>
        <v>93891</v>
      </c>
      <c r="V170" s="433">
        <f t="shared" si="418"/>
        <v>365</v>
      </c>
      <c r="W170" s="436">
        <f t="shared" si="419"/>
        <v>13060</v>
      </c>
      <c r="X170" s="436">
        <f t="shared" si="457"/>
        <v>80831</v>
      </c>
      <c r="Y170" s="433">
        <f t="shared" si="420"/>
        <v>365</v>
      </c>
      <c r="Z170" s="436">
        <f t="shared" si="421"/>
        <v>11244</v>
      </c>
      <c r="AA170" s="436">
        <f t="shared" si="422"/>
        <v>69587</v>
      </c>
      <c r="AB170" s="433">
        <f t="shared" si="423"/>
        <v>365</v>
      </c>
      <c r="AC170" s="436">
        <f t="shared" si="424"/>
        <v>9680</v>
      </c>
      <c r="AD170" s="436">
        <f t="shared" si="425"/>
        <v>59907</v>
      </c>
      <c r="AE170" s="436">
        <f t="shared" si="426"/>
        <v>54517</v>
      </c>
      <c r="AF170" s="436">
        <f>E170-AE170-20192</f>
        <v>59907</v>
      </c>
      <c r="AG170" s="436">
        <f t="shared" si="427"/>
        <v>0</v>
      </c>
      <c r="AH170" s="436">
        <f t="shared" si="428"/>
        <v>4.2767123287671236</v>
      </c>
      <c r="AI170" s="439">
        <v>15</v>
      </c>
      <c r="AJ170" s="436">
        <f t="shared" si="429"/>
        <v>10.723287671232876</v>
      </c>
      <c r="AK170" s="440">
        <f t="shared" si="430"/>
        <v>0.18442725341383737</v>
      </c>
      <c r="AL170" s="2">
        <f t="shared" si="431"/>
        <v>0</v>
      </c>
      <c r="AM170" s="433">
        <f t="shared" si="432"/>
        <v>365</v>
      </c>
      <c r="AN170" s="436">
        <f t="shared" si="433"/>
        <v>8333</v>
      </c>
      <c r="AO170" s="436">
        <f t="shared" si="434"/>
        <v>11048</v>
      </c>
      <c r="AP170" s="436">
        <f t="shared" si="435"/>
        <v>48859</v>
      </c>
      <c r="AQ170" s="436">
        <f t="shared" si="491"/>
        <v>48859</v>
      </c>
      <c r="AR170" s="436">
        <f t="shared" si="492"/>
        <v>0</v>
      </c>
      <c r="AS170" s="436">
        <f t="shared" si="493"/>
        <v>2715</v>
      </c>
      <c r="AT170" s="2">
        <f t="shared" si="436"/>
        <v>51574</v>
      </c>
      <c r="AU170" s="2">
        <f t="shared" si="437"/>
        <v>48859</v>
      </c>
      <c r="AV170" s="2">
        <f t="shared" si="438"/>
        <v>0</v>
      </c>
      <c r="AW170" s="2">
        <f t="shared" si="439"/>
        <v>365</v>
      </c>
      <c r="AX170" s="2">
        <f t="shared" si="458"/>
        <v>9010.9311745466803</v>
      </c>
      <c r="AY170" s="2">
        <f t="shared" si="459"/>
        <v>39848.068825453316</v>
      </c>
      <c r="AZ170" s="433">
        <f t="shared" si="440"/>
        <v>365</v>
      </c>
      <c r="BA170" s="2">
        <f t="shared" si="460"/>
        <v>7349.0698873239116</v>
      </c>
      <c r="BB170" s="2">
        <f t="shared" si="461"/>
        <v>32498.998938129404</v>
      </c>
      <c r="BC170" s="2">
        <f t="shared" si="462"/>
        <v>5475</v>
      </c>
      <c r="BD170" s="433">
        <f t="shared" si="441"/>
        <v>2656</v>
      </c>
      <c r="BE170" s="439">
        <f t="shared" si="442"/>
        <v>2819</v>
      </c>
      <c r="BF170" s="433">
        <f t="shared" si="443"/>
        <v>365</v>
      </c>
      <c r="BG170" s="2">
        <f t="shared" si="463"/>
        <v>5993.7011128584227</v>
      </c>
      <c r="BH170" s="2">
        <f t="shared" si="444"/>
        <v>26505.29782527098</v>
      </c>
      <c r="BI170" s="2">
        <f t="shared" si="445"/>
        <v>4888.2992788304837</v>
      </c>
      <c r="BJ170" s="2">
        <f t="shared" si="464"/>
        <v>21616.998546440496</v>
      </c>
      <c r="BK170" s="2">
        <f t="shared" si="465"/>
        <v>3986.7636689709352</v>
      </c>
      <c r="BL170" s="2">
        <f t="shared" si="446"/>
        <v>17630.23487746956</v>
      </c>
      <c r="BM170" s="2"/>
      <c r="BN170" s="2">
        <f t="shared" si="447"/>
        <v>17630.23487746956</v>
      </c>
      <c r="BO170" s="2">
        <f t="shared" si="448"/>
        <v>3251.4957954925526</v>
      </c>
      <c r="BP170" s="2">
        <f t="shared" si="466"/>
        <v>14378.739081977008</v>
      </c>
      <c r="BQ170" s="2"/>
      <c r="BR170" s="2">
        <f t="shared" si="449"/>
        <v>14378.739081977008</v>
      </c>
      <c r="BS170" s="2">
        <f t="shared" si="450"/>
        <v>2651.831356443221</v>
      </c>
      <c r="BT170" s="2">
        <f t="shared" si="467"/>
        <v>11726.907725533787</v>
      </c>
      <c r="BU170" s="2">
        <f t="shared" si="468"/>
        <v>2162.7613828577068</v>
      </c>
      <c r="BV170" s="2">
        <f t="shared" si="469"/>
        <v>9564.1463426760802</v>
      </c>
      <c r="BW170" s="2">
        <f t="shared" si="470"/>
        <v>2833.34634267608</v>
      </c>
      <c r="BX170" s="2">
        <f t="shared" si="471"/>
        <v>6730.8</v>
      </c>
      <c r="BY170" s="2">
        <v>0</v>
      </c>
      <c r="BZ170" s="2">
        <f t="shared" si="472"/>
        <v>6730.8</v>
      </c>
      <c r="CA170" s="2">
        <v>0</v>
      </c>
      <c r="CB170" s="2">
        <f t="shared" si="473"/>
        <v>6730.8</v>
      </c>
      <c r="CC170" s="2">
        <v>0</v>
      </c>
      <c r="CD170" s="2">
        <f t="shared" si="474"/>
        <v>6730.8</v>
      </c>
      <c r="CE170" s="2">
        <v>0</v>
      </c>
      <c r="CF170" s="2">
        <f t="shared" si="475"/>
        <v>6730.8</v>
      </c>
      <c r="CG170" s="2">
        <v>0</v>
      </c>
      <c r="CH170" s="2">
        <f t="shared" si="476"/>
        <v>6730.8</v>
      </c>
      <c r="CI170" s="2">
        <v>0</v>
      </c>
      <c r="CJ170" s="2">
        <f t="shared" si="477"/>
        <v>6730.8</v>
      </c>
      <c r="CK170" s="2">
        <v>0</v>
      </c>
      <c r="CL170" s="2">
        <f t="shared" si="478"/>
        <v>6730.8</v>
      </c>
      <c r="CM170" s="2">
        <v>0</v>
      </c>
      <c r="CN170" s="2">
        <f t="shared" si="479"/>
        <v>6730.8</v>
      </c>
      <c r="CO170" s="2">
        <v>0</v>
      </c>
      <c r="CP170" s="2">
        <f t="shared" si="480"/>
        <v>6730.8</v>
      </c>
      <c r="CQ170" s="2">
        <v>0</v>
      </c>
      <c r="CR170" s="2">
        <f t="shared" si="481"/>
        <v>6730.8</v>
      </c>
      <c r="CS170" s="2"/>
      <c r="CT170" s="2">
        <f t="shared" si="482"/>
        <v>6730.8</v>
      </c>
      <c r="CU170" s="2"/>
      <c r="CV170" s="2">
        <f t="shared" si="482"/>
        <v>6730.8</v>
      </c>
      <c r="CW170" s="2"/>
      <c r="CX170" s="2">
        <f t="shared" si="482"/>
        <v>6730.8</v>
      </c>
      <c r="CY170" s="2"/>
      <c r="CZ170" s="2">
        <f t="shared" si="482"/>
        <v>6730.8</v>
      </c>
      <c r="DA170" s="2"/>
      <c r="DB170" s="2">
        <f t="shared" si="482"/>
        <v>6730.8</v>
      </c>
      <c r="DC170" s="2"/>
      <c r="DD170" s="2">
        <f t="shared" si="482"/>
        <v>6730.8</v>
      </c>
      <c r="DE170" s="2"/>
      <c r="DF170" s="2">
        <f t="shared" si="483"/>
        <v>6730.8</v>
      </c>
      <c r="DG170" s="2"/>
      <c r="DH170" s="2">
        <f t="shared" si="484"/>
        <v>6730.8</v>
      </c>
      <c r="DI170" s="2"/>
      <c r="DJ170" s="2">
        <f t="shared" si="485"/>
        <v>6730.8</v>
      </c>
      <c r="DK170" s="2"/>
      <c r="DL170" s="2">
        <f t="shared" si="486"/>
        <v>6730.8</v>
      </c>
      <c r="DM170" s="2"/>
      <c r="DN170" s="2">
        <f t="shared" si="487"/>
        <v>6730.8</v>
      </c>
      <c r="DO170" s="2"/>
      <c r="DP170" s="2">
        <f t="shared" si="488"/>
        <v>6730.8</v>
      </c>
      <c r="DQ170" s="2"/>
      <c r="DR170" s="2">
        <f t="shared" si="489"/>
        <v>6730.8</v>
      </c>
      <c r="DS170" s="2"/>
      <c r="DT170" s="2">
        <f t="shared" si="451"/>
        <v>6730.8</v>
      </c>
      <c r="DU170" s="2"/>
      <c r="DV170" s="2">
        <f t="shared" si="451"/>
        <v>6730.8</v>
      </c>
      <c r="DW170" s="266">
        <f t="shared" si="452"/>
        <v>6730.8</v>
      </c>
      <c r="DX170" s="441">
        <f t="shared" si="453"/>
        <v>0</v>
      </c>
    </row>
    <row r="171" spans="1:128">
      <c r="A171" s="413">
        <v>12</v>
      </c>
      <c r="B171" s="413" t="s">
        <v>528</v>
      </c>
      <c r="C171" s="433" t="s">
        <v>518</v>
      </c>
      <c r="D171" s="468">
        <v>0.1391</v>
      </c>
      <c r="E171" s="442">
        <v>110520</v>
      </c>
      <c r="F171" s="437" t="s">
        <v>1001</v>
      </c>
      <c r="G171" s="438">
        <v>40169</v>
      </c>
      <c r="H171" s="438"/>
      <c r="I171" s="438"/>
      <c r="J171" s="438"/>
      <c r="K171" s="438"/>
      <c r="L171" s="438"/>
      <c r="M171" s="433"/>
      <c r="N171" s="436"/>
      <c r="O171" s="436"/>
      <c r="P171" s="433">
        <f>IF(($P$6-G171+1)&gt;365,365,($P$6-G171+1))</f>
        <v>100</v>
      </c>
      <c r="Q171" s="436">
        <f t="shared" si="454"/>
        <v>4212</v>
      </c>
      <c r="R171" s="436">
        <f t="shared" si="455"/>
        <v>106308</v>
      </c>
      <c r="S171" s="433">
        <f t="shared" si="417"/>
        <v>365</v>
      </c>
      <c r="T171" s="436">
        <f>ROUND(R171*D171/365*S171,0)-2142</f>
        <v>12645</v>
      </c>
      <c r="U171" s="436">
        <f>R171-T171-16578</f>
        <v>77085</v>
      </c>
      <c r="V171" s="433">
        <f t="shared" si="418"/>
        <v>365</v>
      </c>
      <c r="W171" s="436">
        <f t="shared" si="419"/>
        <v>10723</v>
      </c>
      <c r="X171" s="436">
        <f t="shared" si="457"/>
        <v>66362</v>
      </c>
      <c r="Y171" s="433">
        <f t="shared" si="420"/>
        <v>365</v>
      </c>
      <c r="Z171" s="436">
        <f t="shared" si="421"/>
        <v>9231</v>
      </c>
      <c r="AA171" s="436">
        <f t="shared" si="422"/>
        <v>57131</v>
      </c>
      <c r="AB171" s="433">
        <f t="shared" si="423"/>
        <v>365</v>
      </c>
      <c r="AC171" s="436">
        <f t="shared" si="424"/>
        <v>7947</v>
      </c>
      <c r="AD171" s="436">
        <f t="shared" si="425"/>
        <v>49184</v>
      </c>
      <c r="AE171" s="436">
        <f t="shared" si="426"/>
        <v>44758</v>
      </c>
      <c r="AF171" s="436">
        <f>E171-AE171-16578</f>
        <v>49184</v>
      </c>
      <c r="AG171" s="436">
        <f t="shared" si="427"/>
        <v>0</v>
      </c>
      <c r="AH171" s="436">
        <f t="shared" si="428"/>
        <v>4.2767123287671236</v>
      </c>
      <c r="AI171" s="439">
        <v>15</v>
      </c>
      <c r="AJ171" s="436">
        <f t="shared" si="429"/>
        <v>10.723287671232876</v>
      </c>
      <c r="AK171" s="440">
        <f t="shared" si="430"/>
        <v>0.1844276176048486</v>
      </c>
      <c r="AL171" s="2">
        <f t="shared" si="431"/>
        <v>0</v>
      </c>
      <c r="AM171" s="433">
        <f t="shared" si="432"/>
        <v>365</v>
      </c>
      <c r="AN171" s="436">
        <f t="shared" si="433"/>
        <v>6841</v>
      </c>
      <c r="AO171" s="436">
        <f t="shared" si="434"/>
        <v>9071</v>
      </c>
      <c r="AP171" s="436">
        <f t="shared" si="435"/>
        <v>40113</v>
      </c>
      <c r="AQ171" s="436">
        <f t="shared" si="491"/>
        <v>40113</v>
      </c>
      <c r="AR171" s="436">
        <f t="shared" si="492"/>
        <v>0</v>
      </c>
      <c r="AS171" s="436">
        <f t="shared" si="493"/>
        <v>2230</v>
      </c>
      <c r="AT171" s="2">
        <f t="shared" si="436"/>
        <v>42343</v>
      </c>
      <c r="AU171" s="2">
        <f t="shared" si="437"/>
        <v>40113</v>
      </c>
      <c r="AV171" s="2">
        <f t="shared" si="438"/>
        <v>0</v>
      </c>
      <c r="AW171" s="2">
        <f t="shared" si="439"/>
        <v>365</v>
      </c>
      <c r="AX171" s="2">
        <f t="shared" si="458"/>
        <v>7397.9450249832917</v>
      </c>
      <c r="AY171" s="2">
        <f t="shared" si="459"/>
        <v>32715.054975016708</v>
      </c>
      <c r="AZ171" s="433">
        <f t="shared" si="440"/>
        <v>365</v>
      </c>
      <c r="BA171" s="2">
        <f t="shared" si="460"/>
        <v>6033.5596488539813</v>
      </c>
      <c r="BB171" s="2">
        <f t="shared" si="461"/>
        <v>26681.495326162727</v>
      </c>
      <c r="BC171" s="2">
        <f t="shared" si="462"/>
        <v>5475</v>
      </c>
      <c r="BD171" s="433">
        <f t="shared" si="441"/>
        <v>2656</v>
      </c>
      <c r="BE171" s="439">
        <f t="shared" si="442"/>
        <v>2819</v>
      </c>
      <c r="BF171" s="433">
        <f t="shared" si="443"/>
        <v>365</v>
      </c>
      <c r="BG171" s="2">
        <f t="shared" si="463"/>
        <v>4920.8046171390943</v>
      </c>
      <c r="BH171" s="2">
        <f t="shared" si="444"/>
        <v>21760.690709023635</v>
      </c>
      <c r="BI171" s="2">
        <f t="shared" si="445"/>
        <v>4013.2723449011928</v>
      </c>
      <c r="BJ171" s="2">
        <f t="shared" si="464"/>
        <v>17747.418364122441</v>
      </c>
      <c r="BK171" s="2">
        <f t="shared" si="465"/>
        <v>3273.1140875316414</v>
      </c>
      <c r="BL171" s="2">
        <f t="shared" si="446"/>
        <v>14474.304276590799</v>
      </c>
      <c r="BM171" s="2"/>
      <c r="BN171" s="2">
        <f t="shared" si="447"/>
        <v>14474.304276590799</v>
      </c>
      <c r="BO171" s="2">
        <f t="shared" si="448"/>
        <v>2669.4614542193126</v>
      </c>
      <c r="BP171" s="2">
        <f t="shared" si="466"/>
        <v>11804.842822371487</v>
      </c>
      <c r="BQ171" s="2"/>
      <c r="BR171" s="2">
        <f t="shared" si="449"/>
        <v>11804.842822371487</v>
      </c>
      <c r="BS171" s="2">
        <f t="shared" si="450"/>
        <v>2177.1390379296704</v>
      </c>
      <c r="BT171" s="2">
        <f t="shared" si="467"/>
        <v>9627.7037844418173</v>
      </c>
      <c r="BU171" s="2">
        <f t="shared" si="468"/>
        <v>1775.6144719697893</v>
      </c>
      <c r="BV171" s="2">
        <f t="shared" si="469"/>
        <v>7852.0893124720278</v>
      </c>
      <c r="BW171" s="2">
        <f t="shared" si="470"/>
        <v>2326.0893124720278</v>
      </c>
      <c r="BX171" s="2">
        <f t="shared" si="471"/>
        <v>5526</v>
      </c>
      <c r="BY171" s="2">
        <v>0</v>
      </c>
      <c r="BZ171" s="2">
        <f t="shared" si="472"/>
        <v>5526</v>
      </c>
      <c r="CA171" s="2">
        <v>0</v>
      </c>
      <c r="CB171" s="2">
        <f t="shared" si="473"/>
        <v>5526</v>
      </c>
      <c r="CC171" s="2">
        <v>0</v>
      </c>
      <c r="CD171" s="2">
        <f t="shared" si="474"/>
        <v>5526</v>
      </c>
      <c r="CE171" s="2">
        <v>0</v>
      </c>
      <c r="CF171" s="2">
        <f t="shared" si="475"/>
        <v>5526</v>
      </c>
      <c r="CG171" s="2">
        <v>0</v>
      </c>
      <c r="CH171" s="2">
        <f t="shared" si="476"/>
        <v>5526</v>
      </c>
      <c r="CI171" s="2">
        <v>0</v>
      </c>
      <c r="CJ171" s="2">
        <f t="shared" si="477"/>
        <v>5526</v>
      </c>
      <c r="CK171" s="2">
        <v>0</v>
      </c>
      <c r="CL171" s="2">
        <f t="shared" si="478"/>
        <v>5526</v>
      </c>
      <c r="CM171" s="2">
        <v>0</v>
      </c>
      <c r="CN171" s="2">
        <f t="shared" si="479"/>
        <v>5526</v>
      </c>
      <c r="CO171" s="2">
        <v>0</v>
      </c>
      <c r="CP171" s="2">
        <f t="shared" si="480"/>
        <v>5526</v>
      </c>
      <c r="CQ171" s="2">
        <v>0</v>
      </c>
      <c r="CR171" s="2">
        <f t="shared" si="481"/>
        <v>5526</v>
      </c>
      <c r="CS171" s="2"/>
      <c r="CT171" s="2">
        <f t="shared" si="482"/>
        <v>5526</v>
      </c>
      <c r="CU171" s="2"/>
      <c r="CV171" s="2">
        <f t="shared" si="482"/>
        <v>5526</v>
      </c>
      <c r="CW171" s="2"/>
      <c r="CX171" s="2">
        <f t="shared" si="482"/>
        <v>5526</v>
      </c>
      <c r="CY171" s="2"/>
      <c r="CZ171" s="2">
        <f t="shared" si="482"/>
        <v>5526</v>
      </c>
      <c r="DA171" s="2"/>
      <c r="DB171" s="2">
        <f t="shared" si="482"/>
        <v>5526</v>
      </c>
      <c r="DC171" s="2"/>
      <c r="DD171" s="2">
        <f t="shared" si="482"/>
        <v>5526</v>
      </c>
      <c r="DE171" s="2"/>
      <c r="DF171" s="2">
        <f t="shared" si="483"/>
        <v>5526</v>
      </c>
      <c r="DG171" s="2"/>
      <c r="DH171" s="2">
        <f t="shared" si="484"/>
        <v>5526</v>
      </c>
      <c r="DI171" s="2"/>
      <c r="DJ171" s="2">
        <f t="shared" si="485"/>
        <v>5526</v>
      </c>
      <c r="DK171" s="2"/>
      <c r="DL171" s="2">
        <f t="shared" si="486"/>
        <v>5526</v>
      </c>
      <c r="DM171" s="2"/>
      <c r="DN171" s="2">
        <f t="shared" si="487"/>
        <v>5526</v>
      </c>
      <c r="DO171" s="2"/>
      <c r="DP171" s="2">
        <f t="shared" si="488"/>
        <v>5526</v>
      </c>
      <c r="DQ171" s="2"/>
      <c r="DR171" s="2">
        <f t="shared" si="489"/>
        <v>5526</v>
      </c>
      <c r="DS171" s="2"/>
      <c r="DT171" s="2">
        <f t="shared" si="451"/>
        <v>5526</v>
      </c>
      <c r="DU171" s="2"/>
      <c r="DV171" s="2">
        <f t="shared" si="451"/>
        <v>5526</v>
      </c>
      <c r="DW171" s="266">
        <f t="shared" si="452"/>
        <v>5526</v>
      </c>
      <c r="DX171" s="441">
        <f t="shared" si="453"/>
        <v>0</v>
      </c>
    </row>
    <row r="172" spans="1:128">
      <c r="A172" s="413">
        <v>13</v>
      </c>
      <c r="B172" s="413" t="s">
        <v>520</v>
      </c>
      <c r="C172" s="433" t="s">
        <v>518</v>
      </c>
      <c r="D172" s="468">
        <v>0.1391</v>
      </c>
      <c r="E172" s="442">
        <v>43270</v>
      </c>
      <c r="F172" s="437" t="s">
        <v>1001</v>
      </c>
      <c r="G172" s="438">
        <v>40173</v>
      </c>
      <c r="H172" s="438"/>
      <c r="I172" s="438"/>
      <c r="J172" s="438"/>
      <c r="K172" s="438"/>
      <c r="L172" s="438"/>
      <c r="M172" s="433"/>
      <c r="N172" s="436"/>
      <c r="O172" s="436"/>
      <c r="P172" s="433">
        <f>IF(($P$6-G172+1)&gt;365,365,($P$6-G172+1))</f>
        <v>96</v>
      </c>
      <c r="Q172" s="436">
        <f t="shared" si="454"/>
        <v>1583</v>
      </c>
      <c r="R172" s="436">
        <f t="shared" si="455"/>
        <v>41687</v>
      </c>
      <c r="S172" s="433">
        <f t="shared" si="417"/>
        <v>365</v>
      </c>
      <c r="T172" s="436">
        <f>ROUND(R172*D172/365*S172,0)</f>
        <v>5799</v>
      </c>
      <c r="U172" s="436">
        <f>R172-T172</f>
        <v>35888</v>
      </c>
      <c r="V172" s="433">
        <f t="shared" si="418"/>
        <v>365</v>
      </c>
      <c r="W172" s="436">
        <f t="shared" si="419"/>
        <v>4992</v>
      </c>
      <c r="X172" s="436">
        <f t="shared" si="457"/>
        <v>30896</v>
      </c>
      <c r="Y172" s="433">
        <f t="shared" si="420"/>
        <v>365</v>
      </c>
      <c r="Z172" s="436">
        <f t="shared" si="421"/>
        <v>4298</v>
      </c>
      <c r="AA172" s="436">
        <f t="shared" si="422"/>
        <v>26598</v>
      </c>
      <c r="AB172" s="433">
        <f t="shared" si="423"/>
        <v>365</v>
      </c>
      <c r="AC172" s="436">
        <f t="shared" si="424"/>
        <v>3700</v>
      </c>
      <c r="AD172" s="436">
        <f t="shared" si="425"/>
        <v>22898</v>
      </c>
      <c r="AE172" s="436">
        <f t="shared" si="426"/>
        <v>20372</v>
      </c>
      <c r="AF172" s="436">
        <f t="shared" ref="AF172:AF178" si="494">E172-AE172</f>
        <v>22898</v>
      </c>
      <c r="AG172" s="436">
        <f t="shared" si="427"/>
        <v>0</v>
      </c>
      <c r="AH172" s="436">
        <f t="shared" si="428"/>
        <v>4.2657534246575342</v>
      </c>
      <c r="AI172" s="439">
        <v>15</v>
      </c>
      <c r="AJ172" s="436">
        <f t="shared" si="429"/>
        <v>10.734246575342466</v>
      </c>
      <c r="AK172" s="440">
        <f t="shared" si="430"/>
        <v>0.19731581364490036</v>
      </c>
      <c r="AL172" s="2">
        <f t="shared" si="431"/>
        <v>0</v>
      </c>
      <c r="AM172" s="433">
        <f t="shared" si="432"/>
        <v>365</v>
      </c>
      <c r="AN172" s="436">
        <f t="shared" si="433"/>
        <v>3185</v>
      </c>
      <c r="AO172" s="436">
        <f t="shared" si="434"/>
        <v>4518</v>
      </c>
      <c r="AP172" s="436">
        <f t="shared" si="435"/>
        <v>18380</v>
      </c>
      <c r="AQ172" s="436">
        <f t="shared" si="491"/>
        <v>18380</v>
      </c>
      <c r="AR172" s="436">
        <f t="shared" si="492"/>
        <v>0</v>
      </c>
      <c r="AS172" s="436">
        <f t="shared" si="493"/>
        <v>1333</v>
      </c>
      <c r="AT172" s="2">
        <f t="shared" si="436"/>
        <v>19713</v>
      </c>
      <c r="AU172" s="2">
        <f t="shared" si="437"/>
        <v>18380</v>
      </c>
      <c r="AV172" s="2">
        <f t="shared" si="438"/>
        <v>0</v>
      </c>
      <c r="AW172" s="2">
        <f t="shared" si="439"/>
        <v>365</v>
      </c>
      <c r="AX172" s="2">
        <f t="shared" si="458"/>
        <v>3626.6646547932687</v>
      </c>
      <c r="AY172" s="2">
        <f t="shared" si="459"/>
        <v>14753.335345206731</v>
      </c>
      <c r="AZ172" s="433">
        <f t="shared" si="440"/>
        <v>365</v>
      </c>
      <c r="BA172" s="2">
        <f t="shared" si="460"/>
        <v>2911.0663676155332</v>
      </c>
      <c r="BB172" s="2">
        <f t="shared" si="461"/>
        <v>11842.268977591199</v>
      </c>
      <c r="BC172" s="2">
        <f t="shared" si="462"/>
        <v>5475</v>
      </c>
      <c r="BD172" s="433">
        <f t="shared" si="441"/>
        <v>2652</v>
      </c>
      <c r="BE172" s="439">
        <f t="shared" si="442"/>
        <v>2823</v>
      </c>
      <c r="BF172" s="433">
        <f t="shared" si="443"/>
        <v>365</v>
      </c>
      <c r="BG172" s="2">
        <f t="shared" si="463"/>
        <v>2336.6669387151696</v>
      </c>
      <c r="BH172" s="2">
        <f t="shared" si="444"/>
        <v>9505.6020388760298</v>
      </c>
      <c r="BI172" s="2">
        <f t="shared" si="445"/>
        <v>1875.6056004854477</v>
      </c>
      <c r="BJ172" s="2">
        <f t="shared" si="464"/>
        <v>7629.9964383905826</v>
      </c>
      <c r="BK172" s="2">
        <f t="shared" si="465"/>
        <v>1505.5189553487296</v>
      </c>
      <c r="BL172" s="2">
        <f t="shared" si="446"/>
        <v>6124.4774830418528</v>
      </c>
      <c r="BM172" s="2"/>
      <c r="BN172" s="2">
        <f t="shared" si="447"/>
        <v>6124.4774830418528</v>
      </c>
      <c r="BO172" s="2">
        <f t="shared" si="448"/>
        <v>1208.4562577162746</v>
      </c>
      <c r="BP172" s="2">
        <f t="shared" si="466"/>
        <v>4916.0212253255777</v>
      </c>
      <c r="BQ172" s="2"/>
      <c r="BR172" s="2">
        <f t="shared" si="449"/>
        <v>4916.0212253255777</v>
      </c>
      <c r="BS172" s="2">
        <f t="shared" si="450"/>
        <v>970.00872797071645</v>
      </c>
      <c r="BT172" s="2">
        <f t="shared" si="467"/>
        <v>3946.0124973548614</v>
      </c>
      <c r="BU172" s="2">
        <f t="shared" si="468"/>
        <v>778.61066656851972</v>
      </c>
      <c r="BV172" s="2">
        <f t="shared" si="469"/>
        <v>3167.4018307863416</v>
      </c>
      <c r="BW172" s="2">
        <f t="shared" si="470"/>
        <v>1003.9018307863416</v>
      </c>
      <c r="BX172" s="2">
        <f t="shared" si="471"/>
        <v>2163.5</v>
      </c>
      <c r="BY172" s="2">
        <v>0</v>
      </c>
      <c r="BZ172" s="2">
        <f t="shared" si="472"/>
        <v>2163.5</v>
      </c>
      <c r="CA172" s="2">
        <v>0</v>
      </c>
      <c r="CB172" s="2">
        <f t="shared" si="473"/>
        <v>2163.5</v>
      </c>
      <c r="CC172" s="2">
        <v>0</v>
      </c>
      <c r="CD172" s="2">
        <f t="shared" si="474"/>
        <v>2163.5</v>
      </c>
      <c r="CE172" s="2">
        <v>0</v>
      </c>
      <c r="CF172" s="2">
        <f t="shared" si="475"/>
        <v>2163.5</v>
      </c>
      <c r="CG172" s="2">
        <v>0</v>
      </c>
      <c r="CH172" s="2">
        <f t="shared" si="476"/>
        <v>2163.5</v>
      </c>
      <c r="CI172" s="2">
        <v>0</v>
      </c>
      <c r="CJ172" s="2">
        <f t="shared" si="477"/>
        <v>2163.5</v>
      </c>
      <c r="CK172" s="2">
        <v>0</v>
      </c>
      <c r="CL172" s="2">
        <f t="shared" si="478"/>
        <v>2163.5</v>
      </c>
      <c r="CM172" s="2">
        <v>0</v>
      </c>
      <c r="CN172" s="2">
        <f t="shared" si="479"/>
        <v>2163.5</v>
      </c>
      <c r="CO172" s="2">
        <v>0</v>
      </c>
      <c r="CP172" s="2">
        <f t="shared" si="480"/>
        <v>2163.5</v>
      </c>
      <c r="CQ172" s="2">
        <v>0</v>
      </c>
      <c r="CR172" s="2">
        <f t="shared" si="481"/>
        <v>2163.5</v>
      </c>
      <c r="CS172" s="2"/>
      <c r="CT172" s="2">
        <f t="shared" si="482"/>
        <v>2163.5</v>
      </c>
      <c r="CU172" s="2"/>
      <c r="CV172" s="2">
        <f t="shared" si="482"/>
        <v>2163.5</v>
      </c>
      <c r="CW172" s="2"/>
      <c r="CX172" s="2">
        <f t="shared" si="482"/>
        <v>2163.5</v>
      </c>
      <c r="CY172" s="2"/>
      <c r="CZ172" s="2">
        <f t="shared" si="482"/>
        <v>2163.5</v>
      </c>
      <c r="DA172" s="2"/>
      <c r="DB172" s="2">
        <f t="shared" si="482"/>
        <v>2163.5</v>
      </c>
      <c r="DC172" s="2"/>
      <c r="DD172" s="2">
        <f t="shared" si="482"/>
        <v>2163.5</v>
      </c>
      <c r="DE172" s="2"/>
      <c r="DF172" s="2">
        <f t="shared" si="483"/>
        <v>2163.5</v>
      </c>
      <c r="DG172" s="2"/>
      <c r="DH172" s="2">
        <f t="shared" si="484"/>
        <v>2163.5</v>
      </c>
      <c r="DI172" s="2"/>
      <c r="DJ172" s="2">
        <f t="shared" si="485"/>
        <v>2163.5</v>
      </c>
      <c r="DK172" s="2"/>
      <c r="DL172" s="2">
        <f t="shared" si="486"/>
        <v>2163.5</v>
      </c>
      <c r="DM172" s="2"/>
      <c r="DN172" s="2">
        <f t="shared" si="487"/>
        <v>2163.5</v>
      </c>
      <c r="DO172" s="2"/>
      <c r="DP172" s="2">
        <f t="shared" si="488"/>
        <v>2163.5</v>
      </c>
      <c r="DQ172" s="2"/>
      <c r="DR172" s="2">
        <f t="shared" si="489"/>
        <v>2163.5</v>
      </c>
      <c r="DS172" s="2"/>
      <c r="DT172" s="2">
        <f t="shared" si="451"/>
        <v>2163.5</v>
      </c>
      <c r="DU172" s="2"/>
      <c r="DV172" s="2">
        <f t="shared" si="451"/>
        <v>2163.5</v>
      </c>
      <c r="DW172" s="266">
        <f t="shared" si="452"/>
        <v>2163.5</v>
      </c>
      <c r="DX172" s="441">
        <f t="shared" si="453"/>
        <v>0</v>
      </c>
    </row>
    <row r="173" spans="1:128">
      <c r="A173" s="413">
        <v>14</v>
      </c>
      <c r="B173" s="413" t="s">
        <v>529</v>
      </c>
      <c r="C173" s="433" t="s">
        <v>518</v>
      </c>
      <c r="D173" s="468">
        <v>0.1391</v>
      </c>
      <c r="E173" s="442">
        <v>55000</v>
      </c>
      <c r="F173" s="437" t="s">
        <v>1001</v>
      </c>
      <c r="G173" s="438">
        <v>40208</v>
      </c>
      <c r="H173" s="438"/>
      <c r="I173" s="438"/>
      <c r="J173" s="438"/>
      <c r="K173" s="438"/>
      <c r="L173" s="438"/>
      <c r="M173" s="433"/>
      <c r="N173" s="436"/>
      <c r="O173" s="436"/>
      <c r="P173" s="433">
        <f>IF(($P$6-G173+1)&gt;365,365,($P$6-G173+1))</f>
        <v>61</v>
      </c>
      <c r="Q173" s="436">
        <f t="shared" si="454"/>
        <v>1279</v>
      </c>
      <c r="R173" s="436">
        <f t="shared" si="455"/>
        <v>53721</v>
      </c>
      <c r="S173" s="433">
        <f t="shared" si="417"/>
        <v>365</v>
      </c>
      <c r="T173" s="436">
        <f>ROUND(R173*D173/365*S173,0)</f>
        <v>7473</v>
      </c>
      <c r="U173" s="436">
        <f t="shared" si="456"/>
        <v>46248</v>
      </c>
      <c r="V173" s="433">
        <f t="shared" si="418"/>
        <v>365</v>
      </c>
      <c r="W173" s="436">
        <f t="shared" si="419"/>
        <v>6433</v>
      </c>
      <c r="X173" s="436">
        <f t="shared" si="457"/>
        <v>39815</v>
      </c>
      <c r="Y173" s="433">
        <f t="shared" si="420"/>
        <v>365</v>
      </c>
      <c r="Z173" s="436">
        <f t="shared" si="421"/>
        <v>5538</v>
      </c>
      <c r="AA173" s="436">
        <f t="shared" si="422"/>
        <v>34277</v>
      </c>
      <c r="AB173" s="433">
        <f t="shared" si="423"/>
        <v>365</v>
      </c>
      <c r="AC173" s="436">
        <f t="shared" si="424"/>
        <v>4768</v>
      </c>
      <c r="AD173" s="436">
        <f t="shared" si="425"/>
        <v>29509</v>
      </c>
      <c r="AE173" s="436">
        <f t="shared" si="426"/>
        <v>25491</v>
      </c>
      <c r="AF173" s="436">
        <f t="shared" si="494"/>
        <v>29509</v>
      </c>
      <c r="AG173" s="436">
        <f t="shared" si="427"/>
        <v>0</v>
      </c>
      <c r="AH173" s="436">
        <f t="shared" si="428"/>
        <v>4.1698630136986301</v>
      </c>
      <c r="AI173" s="439">
        <v>15</v>
      </c>
      <c r="AJ173" s="436">
        <f t="shared" si="429"/>
        <v>10.830136986301369</v>
      </c>
      <c r="AK173" s="440">
        <f t="shared" si="430"/>
        <v>0.19677428703741717</v>
      </c>
      <c r="AL173" s="2">
        <f t="shared" si="431"/>
        <v>0</v>
      </c>
      <c r="AM173" s="433">
        <f t="shared" si="432"/>
        <v>365</v>
      </c>
      <c r="AN173" s="436">
        <f t="shared" si="433"/>
        <v>4105</v>
      </c>
      <c r="AO173" s="436">
        <f t="shared" si="434"/>
        <v>5807</v>
      </c>
      <c r="AP173" s="436">
        <f t="shared" si="435"/>
        <v>23702</v>
      </c>
      <c r="AQ173" s="436">
        <f t="shared" si="491"/>
        <v>23702</v>
      </c>
      <c r="AR173" s="436">
        <f t="shared" si="492"/>
        <v>0</v>
      </c>
      <c r="AS173" s="436">
        <f t="shared" si="493"/>
        <v>1702</v>
      </c>
      <c r="AT173" s="2">
        <f t="shared" si="436"/>
        <v>25404</v>
      </c>
      <c r="AU173" s="2">
        <f t="shared" si="437"/>
        <v>23702</v>
      </c>
      <c r="AV173" s="2">
        <f t="shared" si="438"/>
        <v>0</v>
      </c>
      <c r="AW173" s="2">
        <f t="shared" si="439"/>
        <v>365</v>
      </c>
      <c r="AX173" s="2">
        <f t="shared" si="458"/>
        <v>4663.9441513608617</v>
      </c>
      <c r="AY173" s="2">
        <f t="shared" si="459"/>
        <v>19038.055848639138</v>
      </c>
      <c r="AZ173" s="433">
        <f t="shared" si="440"/>
        <v>365</v>
      </c>
      <c r="BA173" s="2">
        <f t="shared" si="460"/>
        <v>3746.1998661944967</v>
      </c>
      <c r="BB173" s="2">
        <f t="shared" si="461"/>
        <v>15291.855982444642</v>
      </c>
      <c r="BC173" s="2">
        <f t="shared" si="462"/>
        <v>5475</v>
      </c>
      <c r="BD173" s="433">
        <f t="shared" si="441"/>
        <v>2617</v>
      </c>
      <c r="BE173" s="439">
        <f t="shared" si="442"/>
        <v>2858</v>
      </c>
      <c r="BF173" s="433">
        <f t="shared" si="443"/>
        <v>365</v>
      </c>
      <c r="BG173" s="2">
        <f t="shared" si="463"/>
        <v>3009.044058424407</v>
      </c>
      <c r="BH173" s="2">
        <f t="shared" si="444"/>
        <v>12282.811924020236</v>
      </c>
      <c r="BI173" s="2">
        <f t="shared" si="445"/>
        <v>2416.941559163768</v>
      </c>
      <c r="BJ173" s="2">
        <f t="shared" si="464"/>
        <v>9865.8703648564679</v>
      </c>
      <c r="BK173" s="2">
        <f t="shared" si="465"/>
        <v>1941.3496070482142</v>
      </c>
      <c r="BL173" s="2">
        <f t="shared" si="446"/>
        <v>7924.5207578082536</v>
      </c>
      <c r="BM173" s="2"/>
      <c r="BN173" s="2">
        <f t="shared" si="447"/>
        <v>7924.5207578082536</v>
      </c>
      <c r="BO173" s="2">
        <f t="shared" si="448"/>
        <v>1559.3419222309319</v>
      </c>
      <c r="BP173" s="2">
        <f t="shared" si="466"/>
        <v>6365.1788355773215</v>
      </c>
      <c r="BQ173" s="2"/>
      <c r="BR173" s="2">
        <f t="shared" si="449"/>
        <v>6365.1788355773215</v>
      </c>
      <c r="BS173" s="2">
        <f t="shared" si="450"/>
        <v>1252.5035272363846</v>
      </c>
      <c r="BT173" s="2">
        <f t="shared" si="467"/>
        <v>5112.6753083409367</v>
      </c>
      <c r="BU173" s="2">
        <f t="shared" si="468"/>
        <v>1006.0430386525949</v>
      </c>
      <c r="BV173" s="2">
        <f t="shared" si="469"/>
        <v>4106.6322696883417</v>
      </c>
      <c r="BW173" s="2">
        <f t="shared" si="470"/>
        <v>1356.6322696883417</v>
      </c>
      <c r="BX173" s="2">
        <f t="shared" si="471"/>
        <v>2750</v>
      </c>
      <c r="BY173" s="2">
        <v>0</v>
      </c>
      <c r="BZ173" s="2">
        <f t="shared" si="472"/>
        <v>2750</v>
      </c>
      <c r="CA173" s="2">
        <v>0</v>
      </c>
      <c r="CB173" s="2">
        <f t="shared" si="473"/>
        <v>2750</v>
      </c>
      <c r="CC173" s="2">
        <v>0</v>
      </c>
      <c r="CD173" s="2">
        <f t="shared" si="474"/>
        <v>2750</v>
      </c>
      <c r="CE173" s="2">
        <v>0</v>
      </c>
      <c r="CF173" s="2">
        <f t="shared" si="475"/>
        <v>2750</v>
      </c>
      <c r="CG173" s="2">
        <v>0</v>
      </c>
      <c r="CH173" s="2">
        <f t="shared" si="476"/>
        <v>2750</v>
      </c>
      <c r="CI173" s="2">
        <v>0</v>
      </c>
      <c r="CJ173" s="2">
        <f t="shared" si="477"/>
        <v>2750</v>
      </c>
      <c r="CK173" s="2">
        <v>0</v>
      </c>
      <c r="CL173" s="2">
        <f t="shared" si="478"/>
        <v>2750</v>
      </c>
      <c r="CM173" s="2">
        <v>0</v>
      </c>
      <c r="CN173" s="2">
        <f t="shared" si="479"/>
        <v>2750</v>
      </c>
      <c r="CO173" s="2">
        <v>0</v>
      </c>
      <c r="CP173" s="2">
        <f t="shared" si="480"/>
        <v>2750</v>
      </c>
      <c r="CQ173" s="2">
        <v>0</v>
      </c>
      <c r="CR173" s="2">
        <f t="shared" si="481"/>
        <v>2750</v>
      </c>
      <c r="CS173" s="2"/>
      <c r="CT173" s="2">
        <f t="shared" si="482"/>
        <v>2750</v>
      </c>
      <c r="CU173" s="2"/>
      <c r="CV173" s="2">
        <f t="shared" si="482"/>
        <v>2750</v>
      </c>
      <c r="CW173" s="2"/>
      <c r="CX173" s="2">
        <f t="shared" si="482"/>
        <v>2750</v>
      </c>
      <c r="CY173" s="2"/>
      <c r="CZ173" s="2">
        <f t="shared" si="482"/>
        <v>2750</v>
      </c>
      <c r="DA173" s="2"/>
      <c r="DB173" s="2">
        <f t="shared" si="482"/>
        <v>2750</v>
      </c>
      <c r="DC173" s="2"/>
      <c r="DD173" s="2">
        <f t="shared" si="482"/>
        <v>2750</v>
      </c>
      <c r="DE173" s="2"/>
      <c r="DF173" s="2">
        <f t="shared" si="483"/>
        <v>2750</v>
      </c>
      <c r="DG173" s="2"/>
      <c r="DH173" s="2">
        <f t="shared" si="484"/>
        <v>2750</v>
      </c>
      <c r="DI173" s="2"/>
      <c r="DJ173" s="2">
        <f t="shared" si="485"/>
        <v>2750</v>
      </c>
      <c r="DK173" s="2"/>
      <c r="DL173" s="2">
        <f t="shared" si="486"/>
        <v>2750</v>
      </c>
      <c r="DM173" s="2"/>
      <c r="DN173" s="2">
        <f t="shared" si="487"/>
        <v>2750</v>
      </c>
      <c r="DO173" s="2"/>
      <c r="DP173" s="2">
        <f t="shared" si="488"/>
        <v>2750</v>
      </c>
      <c r="DQ173" s="2"/>
      <c r="DR173" s="2">
        <f t="shared" si="489"/>
        <v>2750</v>
      </c>
      <c r="DS173" s="2"/>
      <c r="DT173" s="2">
        <f t="shared" si="451"/>
        <v>2750</v>
      </c>
      <c r="DU173" s="2"/>
      <c r="DV173" s="2">
        <f t="shared" si="451"/>
        <v>2750</v>
      </c>
      <c r="DW173" s="266">
        <f t="shared" si="452"/>
        <v>2750</v>
      </c>
      <c r="DX173" s="441">
        <f t="shared" si="453"/>
        <v>0</v>
      </c>
    </row>
    <row r="174" spans="1:128">
      <c r="A174" s="413">
        <v>15</v>
      </c>
      <c r="B174" s="413" t="s">
        <v>530</v>
      </c>
      <c r="C174" s="433" t="s">
        <v>518</v>
      </c>
      <c r="D174" s="468">
        <v>0.1391</v>
      </c>
      <c r="E174" s="442">
        <f>1090113</f>
        <v>1090113</v>
      </c>
      <c r="F174" s="437" t="s">
        <v>1001</v>
      </c>
      <c r="G174" s="438">
        <v>40214</v>
      </c>
      <c r="H174" s="438"/>
      <c r="I174" s="438"/>
      <c r="J174" s="438"/>
      <c r="K174" s="438"/>
      <c r="L174" s="438"/>
      <c r="M174" s="433"/>
      <c r="N174" s="436"/>
      <c r="O174" s="436"/>
      <c r="P174" s="433">
        <v>45</v>
      </c>
      <c r="Q174" s="436">
        <f t="shared" si="454"/>
        <v>18695</v>
      </c>
      <c r="R174" s="436">
        <f t="shared" si="455"/>
        <v>1071418</v>
      </c>
      <c r="S174" s="433">
        <f t="shared" si="417"/>
        <v>365</v>
      </c>
      <c r="T174" s="436">
        <f>ROUND(R174*D174/365*S174,0)</f>
        <v>149034</v>
      </c>
      <c r="U174" s="436">
        <f t="shared" si="456"/>
        <v>922384</v>
      </c>
      <c r="V174" s="433">
        <f t="shared" si="418"/>
        <v>365</v>
      </c>
      <c r="W174" s="436">
        <f t="shared" si="419"/>
        <v>128304</v>
      </c>
      <c r="X174" s="436">
        <f t="shared" si="457"/>
        <v>794080</v>
      </c>
      <c r="Y174" s="433">
        <f t="shared" si="420"/>
        <v>365</v>
      </c>
      <c r="Z174" s="436">
        <f t="shared" si="421"/>
        <v>110457</v>
      </c>
      <c r="AA174" s="436">
        <f t="shared" si="422"/>
        <v>683623</v>
      </c>
      <c r="AB174" s="433">
        <f t="shared" si="423"/>
        <v>365</v>
      </c>
      <c r="AC174" s="436">
        <f t="shared" si="424"/>
        <v>95092</v>
      </c>
      <c r="AD174" s="436">
        <f t="shared" si="425"/>
        <v>588531</v>
      </c>
      <c r="AE174" s="436">
        <f t="shared" si="426"/>
        <v>501582</v>
      </c>
      <c r="AF174" s="436">
        <f t="shared" si="494"/>
        <v>588531</v>
      </c>
      <c r="AG174" s="436">
        <f t="shared" si="427"/>
        <v>0</v>
      </c>
      <c r="AH174" s="436">
        <f t="shared" si="428"/>
        <v>4.1534246575342468</v>
      </c>
      <c r="AI174" s="439">
        <v>15</v>
      </c>
      <c r="AJ174" s="436">
        <f t="shared" si="429"/>
        <v>10.846575342465753</v>
      </c>
      <c r="AK174" s="440">
        <f t="shared" si="430"/>
        <v>0.19696894100928253</v>
      </c>
      <c r="AL174" s="2">
        <f t="shared" si="431"/>
        <v>0</v>
      </c>
      <c r="AM174" s="433">
        <f t="shared" si="432"/>
        <v>365</v>
      </c>
      <c r="AN174" s="436">
        <f t="shared" si="433"/>
        <v>81865</v>
      </c>
      <c r="AO174" s="436">
        <f t="shared" si="434"/>
        <v>115922</v>
      </c>
      <c r="AP174" s="436">
        <f t="shared" si="435"/>
        <v>472609</v>
      </c>
      <c r="AQ174" s="436">
        <f t="shared" si="491"/>
        <v>472609</v>
      </c>
      <c r="AR174" s="436">
        <f t="shared" si="492"/>
        <v>0</v>
      </c>
      <c r="AS174" s="436">
        <f t="shared" si="493"/>
        <v>34057</v>
      </c>
      <c r="AT174" s="2">
        <f t="shared" si="436"/>
        <v>506666</v>
      </c>
      <c r="AU174" s="2">
        <f t="shared" si="437"/>
        <v>472609</v>
      </c>
      <c r="AV174" s="2">
        <f t="shared" si="438"/>
        <v>0</v>
      </c>
      <c r="AW174" s="2">
        <f t="shared" si="439"/>
        <v>365</v>
      </c>
      <c r="AX174" s="2">
        <f t="shared" si="458"/>
        <v>93089.294241456009</v>
      </c>
      <c r="AY174" s="2">
        <f t="shared" si="459"/>
        <v>379519.70575854398</v>
      </c>
      <c r="AZ174" s="433">
        <f t="shared" si="440"/>
        <v>365</v>
      </c>
      <c r="BA174" s="2">
        <f t="shared" si="460"/>
        <v>74753.594535414915</v>
      </c>
      <c r="BB174" s="2">
        <f t="shared" si="461"/>
        <v>304766.11122312909</v>
      </c>
      <c r="BC174" s="2">
        <f t="shared" si="462"/>
        <v>5475</v>
      </c>
      <c r="BD174" s="433">
        <f t="shared" si="441"/>
        <v>2611</v>
      </c>
      <c r="BE174" s="439">
        <f t="shared" si="442"/>
        <v>2864</v>
      </c>
      <c r="BF174" s="433">
        <f t="shared" si="443"/>
        <v>365</v>
      </c>
      <c r="BG174" s="2">
        <f t="shared" si="463"/>
        <v>60029.458183136951</v>
      </c>
      <c r="BH174" s="2">
        <f t="shared" si="444"/>
        <v>244736.65303999215</v>
      </c>
      <c r="BI174" s="2">
        <f t="shared" si="445"/>
        <v>48205.519375443459</v>
      </c>
      <c r="BJ174" s="2">
        <f t="shared" si="464"/>
        <v>196531.13366454869</v>
      </c>
      <c r="BK174" s="2">
        <f t="shared" si="465"/>
        <v>38710.529273259912</v>
      </c>
      <c r="BL174" s="2">
        <f t="shared" si="446"/>
        <v>157820.60439128877</v>
      </c>
      <c r="BM174" s="2"/>
      <c r="BN174" s="2">
        <f t="shared" si="447"/>
        <v>157820.60439128877</v>
      </c>
      <c r="BO174" s="2">
        <f t="shared" si="448"/>
        <v>31085.757316397074</v>
      </c>
      <c r="BP174" s="2">
        <f t="shared" si="466"/>
        <v>126734.8470748917</v>
      </c>
      <c r="BQ174" s="2"/>
      <c r="BR174" s="2">
        <f t="shared" si="449"/>
        <v>126734.8470748917</v>
      </c>
      <c r="BS174" s="2">
        <f t="shared" si="450"/>
        <v>24962.828617314786</v>
      </c>
      <c r="BT174" s="2">
        <f t="shared" si="467"/>
        <v>101772.01845757692</v>
      </c>
      <c r="BU174" s="2">
        <f t="shared" si="468"/>
        <v>20045.926699966083</v>
      </c>
      <c r="BV174" s="2">
        <f t="shared" si="469"/>
        <v>81726.091757610848</v>
      </c>
      <c r="BW174" s="2">
        <f t="shared" si="470"/>
        <v>27220.441757610846</v>
      </c>
      <c r="BX174" s="2">
        <f t="shared" si="471"/>
        <v>54505.65</v>
      </c>
      <c r="BY174" s="2">
        <v>0</v>
      </c>
      <c r="BZ174" s="2">
        <f t="shared" si="472"/>
        <v>54505.65</v>
      </c>
      <c r="CA174" s="2">
        <v>0</v>
      </c>
      <c r="CB174" s="2">
        <f t="shared" si="473"/>
        <v>54505.65</v>
      </c>
      <c r="CC174" s="2">
        <v>0</v>
      </c>
      <c r="CD174" s="2">
        <f t="shared" si="474"/>
        <v>54505.65</v>
      </c>
      <c r="CE174" s="2">
        <v>0</v>
      </c>
      <c r="CF174" s="2">
        <f t="shared" si="475"/>
        <v>54505.65</v>
      </c>
      <c r="CG174" s="2">
        <v>0</v>
      </c>
      <c r="CH174" s="2">
        <f t="shared" si="476"/>
        <v>54505.65</v>
      </c>
      <c r="CI174" s="2">
        <v>0</v>
      </c>
      <c r="CJ174" s="2">
        <f t="shared" si="477"/>
        <v>54505.65</v>
      </c>
      <c r="CK174" s="2">
        <v>0</v>
      </c>
      <c r="CL174" s="2">
        <f t="shared" si="478"/>
        <v>54505.65</v>
      </c>
      <c r="CM174" s="2">
        <v>0</v>
      </c>
      <c r="CN174" s="2">
        <f t="shared" si="479"/>
        <v>54505.65</v>
      </c>
      <c r="CO174" s="2">
        <v>0</v>
      </c>
      <c r="CP174" s="2">
        <f t="shared" si="480"/>
        <v>54505.65</v>
      </c>
      <c r="CQ174" s="2">
        <v>0</v>
      </c>
      <c r="CR174" s="2">
        <f t="shared" si="481"/>
        <v>54505.65</v>
      </c>
      <c r="CS174" s="2"/>
      <c r="CT174" s="2">
        <f t="shared" si="482"/>
        <v>54505.65</v>
      </c>
      <c r="CU174" s="2"/>
      <c r="CV174" s="2">
        <f t="shared" si="482"/>
        <v>54505.65</v>
      </c>
      <c r="CW174" s="2"/>
      <c r="CX174" s="2">
        <f t="shared" si="482"/>
        <v>54505.65</v>
      </c>
      <c r="CY174" s="2"/>
      <c r="CZ174" s="2">
        <f t="shared" si="482"/>
        <v>54505.65</v>
      </c>
      <c r="DA174" s="2"/>
      <c r="DB174" s="2">
        <f t="shared" si="482"/>
        <v>54505.65</v>
      </c>
      <c r="DC174" s="2"/>
      <c r="DD174" s="2">
        <f t="shared" si="482"/>
        <v>54505.65</v>
      </c>
      <c r="DE174" s="2"/>
      <c r="DF174" s="2">
        <f t="shared" si="483"/>
        <v>54505.65</v>
      </c>
      <c r="DG174" s="2"/>
      <c r="DH174" s="2">
        <f t="shared" si="484"/>
        <v>54505.65</v>
      </c>
      <c r="DI174" s="2"/>
      <c r="DJ174" s="2">
        <f t="shared" si="485"/>
        <v>54505.65</v>
      </c>
      <c r="DK174" s="2"/>
      <c r="DL174" s="2">
        <f t="shared" si="486"/>
        <v>54505.65</v>
      </c>
      <c r="DM174" s="2"/>
      <c r="DN174" s="2">
        <f t="shared" si="487"/>
        <v>54505.65</v>
      </c>
      <c r="DO174" s="2"/>
      <c r="DP174" s="2">
        <f t="shared" si="488"/>
        <v>54505.65</v>
      </c>
      <c r="DQ174" s="2"/>
      <c r="DR174" s="2">
        <f t="shared" si="489"/>
        <v>54505.65</v>
      </c>
      <c r="DS174" s="2"/>
      <c r="DT174" s="2">
        <f t="shared" si="451"/>
        <v>54505.65</v>
      </c>
      <c r="DU174" s="2"/>
      <c r="DV174" s="2">
        <f t="shared" si="451"/>
        <v>54505.65</v>
      </c>
      <c r="DW174" s="266">
        <f t="shared" si="452"/>
        <v>54505.65</v>
      </c>
      <c r="DX174" s="441">
        <f t="shared" si="453"/>
        <v>0</v>
      </c>
    </row>
    <row r="175" spans="1:128">
      <c r="A175" s="413">
        <v>16</v>
      </c>
      <c r="B175" s="413" t="s">
        <v>531</v>
      </c>
      <c r="C175" s="433" t="s">
        <v>518</v>
      </c>
      <c r="D175" s="468">
        <v>0.1391</v>
      </c>
      <c r="E175" s="442">
        <v>769490</v>
      </c>
      <c r="F175" s="437" t="s">
        <v>1001</v>
      </c>
      <c r="G175" s="438">
        <v>40264</v>
      </c>
      <c r="H175" s="438"/>
      <c r="I175" s="438"/>
      <c r="J175" s="438"/>
      <c r="K175" s="438"/>
      <c r="L175" s="438"/>
      <c r="M175" s="433"/>
      <c r="N175" s="436"/>
      <c r="O175" s="436"/>
      <c r="P175" s="433">
        <v>45</v>
      </c>
      <c r="Q175" s="436">
        <f t="shared" si="454"/>
        <v>13196</v>
      </c>
      <c r="R175" s="436">
        <f t="shared" si="455"/>
        <v>756294</v>
      </c>
      <c r="S175" s="433">
        <f t="shared" si="417"/>
        <v>365</v>
      </c>
      <c r="T175" s="436">
        <f>ROUND(R175*D175/365*S175,0)</f>
        <v>105200</v>
      </c>
      <c r="U175" s="436">
        <f t="shared" si="456"/>
        <v>651094</v>
      </c>
      <c r="V175" s="433">
        <f t="shared" si="418"/>
        <v>365</v>
      </c>
      <c r="W175" s="436">
        <f t="shared" si="419"/>
        <v>90567</v>
      </c>
      <c r="X175" s="436">
        <f t="shared" si="457"/>
        <v>560527</v>
      </c>
      <c r="Y175" s="433">
        <f t="shared" si="420"/>
        <v>365</v>
      </c>
      <c r="Z175" s="436">
        <f t="shared" si="421"/>
        <v>77969</v>
      </c>
      <c r="AA175" s="436">
        <f t="shared" si="422"/>
        <v>482558</v>
      </c>
      <c r="AB175" s="433">
        <f t="shared" si="423"/>
        <v>365</v>
      </c>
      <c r="AC175" s="436">
        <f t="shared" si="424"/>
        <v>67124</v>
      </c>
      <c r="AD175" s="436">
        <f t="shared" si="425"/>
        <v>415434</v>
      </c>
      <c r="AE175" s="436">
        <f t="shared" si="426"/>
        <v>354056</v>
      </c>
      <c r="AF175" s="436">
        <f t="shared" si="494"/>
        <v>415434</v>
      </c>
      <c r="AG175" s="436">
        <f t="shared" si="427"/>
        <v>0</v>
      </c>
      <c r="AH175" s="436">
        <f t="shared" si="428"/>
        <v>4.0164383561643833</v>
      </c>
      <c r="AI175" s="439">
        <v>15</v>
      </c>
      <c r="AJ175" s="436">
        <f t="shared" si="429"/>
        <v>10.983561643835618</v>
      </c>
      <c r="AK175" s="440">
        <f t="shared" si="430"/>
        <v>0.19476915404525641</v>
      </c>
      <c r="AL175" s="2">
        <f t="shared" si="431"/>
        <v>0</v>
      </c>
      <c r="AM175" s="433">
        <f t="shared" si="432"/>
        <v>365</v>
      </c>
      <c r="AN175" s="436">
        <f t="shared" si="433"/>
        <v>57787</v>
      </c>
      <c r="AO175" s="436">
        <f t="shared" si="434"/>
        <v>80914</v>
      </c>
      <c r="AP175" s="436">
        <f t="shared" si="435"/>
        <v>334520</v>
      </c>
      <c r="AQ175" s="436">
        <f t="shared" si="491"/>
        <v>334520</v>
      </c>
      <c r="AR175" s="436">
        <f t="shared" si="492"/>
        <v>0</v>
      </c>
      <c r="AS175" s="436">
        <f t="shared" si="493"/>
        <v>23127</v>
      </c>
      <c r="AT175" s="2">
        <f t="shared" si="436"/>
        <v>357647</v>
      </c>
      <c r="AU175" s="2">
        <f t="shared" si="437"/>
        <v>334520</v>
      </c>
      <c r="AV175" s="2">
        <f t="shared" si="438"/>
        <v>0</v>
      </c>
      <c r="AW175" s="2">
        <f t="shared" si="439"/>
        <v>365</v>
      </c>
      <c r="AX175" s="2">
        <f t="shared" si="458"/>
        <v>65154.177411219171</v>
      </c>
      <c r="AY175" s="2">
        <f t="shared" si="459"/>
        <v>269365.82258878084</v>
      </c>
      <c r="AZ175" s="433">
        <f t="shared" si="440"/>
        <v>365</v>
      </c>
      <c r="BA175" s="2">
        <f t="shared" si="460"/>
        <v>52464.15339432146</v>
      </c>
      <c r="BB175" s="2">
        <f t="shared" si="461"/>
        <v>216901.66919445939</v>
      </c>
      <c r="BC175" s="2">
        <f t="shared" si="462"/>
        <v>5475</v>
      </c>
      <c r="BD175" s="433">
        <f t="shared" si="441"/>
        <v>2561</v>
      </c>
      <c r="BE175" s="439">
        <f t="shared" si="442"/>
        <v>2914</v>
      </c>
      <c r="BF175" s="433">
        <f t="shared" si="443"/>
        <v>365</v>
      </c>
      <c r="BG175" s="2">
        <f t="shared" si="463"/>
        <v>42245.754620008905</v>
      </c>
      <c r="BH175" s="2">
        <f t="shared" si="444"/>
        <v>174655.91457445049</v>
      </c>
      <c r="BI175" s="2">
        <f t="shared" si="445"/>
        <v>34017.584730666291</v>
      </c>
      <c r="BJ175" s="2">
        <f t="shared" si="464"/>
        <v>140638.32984378422</v>
      </c>
      <c r="BK175" s="2">
        <f t="shared" si="465"/>
        <v>27392.00853001159</v>
      </c>
      <c r="BL175" s="2">
        <f t="shared" si="446"/>
        <v>113246.32131377263</v>
      </c>
      <c r="BM175" s="2"/>
      <c r="BN175" s="2">
        <f t="shared" si="447"/>
        <v>113246.32131377263</v>
      </c>
      <c r="BO175" s="2">
        <f t="shared" si="448"/>
        <v>22056.890201020786</v>
      </c>
      <c r="BP175" s="2">
        <f t="shared" si="466"/>
        <v>91189.431112751845</v>
      </c>
      <c r="BQ175" s="2"/>
      <c r="BR175" s="2">
        <f t="shared" si="449"/>
        <v>91189.431112751845</v>
      </c>
      <c r="BS175" s="2">
        <f t="shared" si="450"/>
        <v>17760.888355698862</v>
      </c>
      <c r="BT175" s="2">
        <f t="shared" si="467"/>
        <v>73428.542757052986</v>
      </c>
      <c r="BU175" s="2">
        <f t="shared" si="468"/>
        <v>14301.615155567149</v>
      </c>
      <c r="BV175" s="2">
        <f t="shared" si="469"/>
        <v>59126.927601485833</v>
      </c>
      <c r="BW175" s="2">
        <f t="shared" si="470"/>
        <v>20652.427601485833</v>
      </c>
      <c r="BX175" s="2">
        <f t="shared" si="471"/>
        <v>38474.5</v>
      </c>
      <c r="BY175" s="2">
        <v>0</v>
      </c>
      <c r="BZ175" s="2">
        <f t="shared" si="472"/>
        <v>38474.5</v>
      </c>
      <c r="CA175" s="2">
        <v>0</v>
      </c>
      <c r="CB175" s="2">
        <f t="shared" si="473"/>
        <v>38474.5</v>
      </c>
      <c r="CC175" s="2">
        <v>0</v>
      </c>
      <c r="CD175" s="2">
        <f t="shared" si="474"/>
        <v>38474.5</v>
      </c>
      <c r="CE175" s="2">
        <v>0</v>
      </c>
      <c r="CF175" s="2">
        <f t="shared" si="475"/>
        <v>38474.5</v>
      </c>
      <c r="CG175" s="2">
        <v>0</v>
      </c>
      <c r="CH175" s="2">
        <f t="shared" si="476"/>
        <v>38474.5</v>
      </c>
      <c r="CI175" s="2">
        <v>0</v>
      </c>
      <c r="CJ175" s="2">
        <f t="shared" si="477"/>
        <v>38474.5</v>
      </c>
      <c r="CK175" s="2">
        <v>0</v>
      </c>
      <c r="CL175" s="2">
        <f t="shared" si="478"/>
        <v>38474.5</v>
      </c>
      <c r="CM175" s="2">
        <v>0</v>
      </c>
      <c r="CN175" s="2">
        <f t="shared" si="479"/>
        <v>38474.5</v>
      </c>
      <c r="CO175" s="2">
        <v>0</v>
      </c>
      <c r="CP175" s="2">
        <f t="shared" si="480"/>
        <v>38474.5</v>
      </c>
      <c r="CQ175" s="2">
        <v>0</v>
      </c>
      <c r="CR175" s="2">
        <f t="shared" si="481"/>
        <v>38474.5</v>
      </c>
      <c r="CS175" s="2"/>
      <c r="CT175" s="2">
        <f t="shared" si="482"/>
        <v>38474.5</v>
      </c>
      <c r="CU175" s="2"/>
      <c r="CV175" s="2">
        <f t="shared" si="482"/>
        <v>38474.5</v>
      </c>
      <c r="CW175" s="2"/>
      <c r="CX175" s="2">
        <f t="shared" si="482"/>
        <v>38474.5</v>
      </c>
      <c r="CY175" s="2"/>
      <c r="CZ175" s="2">
        <f t="shared" si="482"/>
        <v>38474.5</v>
      </c>
      <c r="DA175" s="2"/>
      <c r="DB175" s="2">
        <f t="shared" si="482"/>
        <v>38474.5</v>
      </c>
      <c r="DC175" s="2"/>
      <c r="DD175" s="2">
        <f t="shared" si="482"/>
        <v>38474.5</v>
      </c>
      <c r="DE175" s="2"/>
      <c r="DF175" s="2">
        <f t="shared" si="483"/>
        <v>38474.5</v>
      </c>
      <c r="DG175" s="2"/>
      <c r="DH175" s="2">
        <f t="shared" si="484"/>
        <v>38474.5</v>
      </c>
      <c r="DI175" s="2"/>
      <c r="DJ175" s="2">
        <f t="shared" si="485"/>
        <v>38474.5</v>
      </c>
      <c r="DK175" s="2"/>
      <c r="DL175" s="2">
        <f t="shared" si="486"/>
        <v>38474.5</v>
      </c>
      <c r="DM175" s="2"/>
      <c r="DN175" s="2">
        <f t="shared" si="487"/>
        <v>38474.5</v>
      </c>
      <c r="DO175" s="2"/>
      <c r="DP175" s="2">
        <f t="shared" si="488"/>
        <v>38474.5</v>
      </c>
      <c r="DQ175" s="2"/>
      <c r="DR175" s="2">
        <f t="shared" si="489"/>
        <v>38474.5</v>
      </c>
      <c r="DS175" s="2"/>
      <c r="DT175" s="2">
        <f t="shared" si="451"/>
        <v>38474.5</v>
      </c>
      <c r="DU175" s="2"/>
      <c r="DV175" s="2">
        <f t="shared" si="451"/>
        <v>38474.5</v>
      </c>
      <c r="DW175" s="266">
        <f t="shared" si="452"/>
        <v>38474.5</v>
      </c>
      <c r="DX175" s="441">
        <f t="shared" si="453"/>
        <v>0</v>
      </c>
    </row>
    <row r="176" spans="1:128">
      <c r="A176" s="413">
        <v>17</v>
      </c>
      <c r="B176" s="413" t="s">
        <v>532</v>
      </c>
      <c r="C176" s="433" t="s">
        <v>518</v>
      </c>
      <c r="D176" s="468">
        <v>0.1391</v>
      </c>
      <c r="E176" s="442">
        <v>42978</v>
      </c>
      <c r="F176" s="437" t="s">
        <v>1001</v>
      </c>
      <c r="G176" s="438">
        <v>40302</v>
      </c>
      <c r="H176" s="438"/>
      <c r="I176" s="438"/>
      <c r="J176" s="438"/>
      <c r="K176" s="438"/>
      <c r="L176" s="438"/>
      <c r="M176" s="433"/>
      <c r="N176" s="436"/>
      <c r="O176" s="436"/>
      <c r="P176" s="433"/>
      <c r="Q176" s="436"/>
      <c r="R176" s="436"/>
      <c r="S176" s="433">
        <f t="shared" si="417"/>
        <v>332</v>
      </c>
      <c r="T176" s="436">
        <f>ROUND(E176*D176/365*S176,0)</f>
        <v>5438</v>
      </c>
      <c r="U176" s="436">
        <f>E176-T176</f>
        <v>37540</v>
      </c>
      <c r="V176" s="433">
        <f t="shared" si="418"/>
        <v>365</v>
      </c>
      <c r="W176" s="436">
        <f t="shared" si="419"/>
        <v>5222</v>
      </c>
      <c r="X176" s="436">
        <f t="shared" si="457"/>
        <v>32318</v>
      </c>
      <c r="Y176" s="433">
        <f t="shared" si="420"/>
        <v>365</v>
      </c>
      <c r="Z176" s="436">
        <f t="shared" si="421"/>
        <v>4495</v>
      </c>
      <c r="AA176" s="436">
        <f t="shared" si="422"/>
        <v>27823</v>
      </c>
      <c r="AB176" s="433">
        <f t="shared" si="423"/>
        <v>365</v>
      </c>
      <c r="AC176" s="436">
        <f t="shared" si="424"/>
        <v>3870</v>
      </c>
      <c r="AD176" s="436">
        <f t="shared" si="425"/>
        <v>23953</v>
      </c>
      <c r="AE176" s="436">
        <f t="shared" si="426"/>
        <v>19025</v>
      </c>
      <c r="AF176" s="436">
        <f t="shared" si="494"/>
        <v>23953</v>
      </c>
      <c r="AG176" s="436">
        <f t="shared" si="427"/>
        <v>0</v>
      </c>
      <c r="AH176" s="436">
        <f t="shared" si="428"/>
        <v>3.9123287671232876</v>
      </c>
      <c r="AI176" s="439">
        <v>15</v>
      </c>
      <c r="AJ176" s="436">
        <f t="shared" si="429"/>
        <v>11.087671232876712</v>
      </c>
      <c r="AK176" s="440">
        <f t="shared" si="430"/>
        <v>0.19544112090951193</v>
      </c>
      <c r="AL176" s="2">
        <f t="shared" si="431"/>
        <v>0</v>
      </c>
      <c r="AM176" s="433">
        <f t="shared" si="432"/>
        <v>365</v>
      </c>
      <c r="AN176" s="436">
        <f t="shared" si="433"/>
        <v>3332</v>
      </c>
      <c r="AO176" s="436">
        <f t="shared" si="434"/>
        <v>4681</v>
      </c>
      <c r="AP176" s="436">
        <f t="shared" si="435"/>
        <v>19272</v>
      </c>
      <c r="AQ176" s="436">
        <f t="shared" si="491"/>
        <v>19272</v>
      </c>
      <c r="AR176" s="436">
        <f t="shared" si="492"/>
        <v>0</v>
      </c>
      <c r="AS176" s="436">
        <f t="shared" si="493"/>
        <v>1349</v>
      </c>
      <c r="AT176" s="2">
        <f t="shared" si="436"/>
        <v>20621</v>
      </c>
      <c r="AU176" s="2">
        <f t="shared" si="437"/>
        <v>19272</v>
      </c>
      <c r="AV176" s="2">
        <f t="shared" si="438"/>
        <v>0</v>
      </c>
      <c r="AW176" s="2">
        <f t="shared" si="439"/>
        <v>365</v>
      </c>
      <c r="AX176" s="2">
        <f t="shared" si="458"/>
        <v>3766.5412821681139</v>
      </c>
      <c r="AY176" s="2">
        <f t="shared" si="459"/>
        <v>15505.458717831887</v>
      </c>
      <c r="AZ176" s="433">
        <f t="shared" si="440"/>
        <v>365</v>
      </c>
      <c r="BA176" s="2">
        <f t="shared" si="460"/>
        <v>3030.4042320292278</v>
      </c>
      <c r="BB176" s="2">
        <f t="shared" si="461"/>
        <v>12475.054485802659</v>
      </c>
      <c r="BC176" s="2">
        <f t="shared" si="462"/>
        <v>5475</v>
      </c>
      <c r="BD176" s="433">
        <f t="shared" si="441"/>
        <v>2523</v>
      </c>
      <c r="BE176" s="439">
        <f t="shared" si="442"/>
        <v>2952</v>
      </c>
      <c r="BF176" s="433">
        <f t="shared" si="443"/>
        <v>365</v>
      </c>
      <c r="BG176" s="2">
        <f t="shared" si="463"/>
        <v>2438.1386321125065</v>
      </c>
      <c r="BH176" s="2">
        <f t="shared" si="444"/>
        <v>10036.915853690152</v>
      </c>
      <c r="BI176" s="2">
        <f t="shared" si="445"/>
        <v>1961.6260849196542</v>
      </c>
      <c r="BJ176" s="2">
        <f t="shared" si="464"/>
        <v>8075.2897687704981</v>
      </c>
      <c r="BK176" s="2">
        <f t="shared" si="465"/>
        <v>1578.2436840776195</v>
      </c>
      <c r="BL176" s="2">
        <f t="shared" si="446"/>
        <v>6497.0460846928781</v>
      </c>
      <c r="BM176" s="2"/>
      <c r="BN176" s="2">
        <f t="shared" si="447"/>
        <v>6497.0460846928781</v>
      </c>
      <c r="BO176" s="2">
        <f t="shared" si="448"/>
        <v>1269.789969393132</v>
      </c>
      <c r="BP176" s="2">
        <f t="shared" si="466"/>
        <v>5227.2561152997459</v>
      </c>
      <c r="BQ176" s="2"/>
      <c r="BR176" s="2">
        <f t="shared" si="449"/>
        <v>5227.2561152997459</v>
      </c>
      <c r="BS176" s="2">
        <f t="shared" si="450"/>
        <v>1021.6207944552833</v>
      </c>
      <c r="BT176" s="2">
        <f t="shared" si="467"/>
        <v>4205.6353208444625</v>
      </c>
      <c r="BU176" s="2">
        <f t="shared" si="468"/>
        <v>821.9540812424766</v>
      </c>
      <c r="BV176" s="2">
        <f t="shared" si="469"/>
        <v>3383.6812396019859</v>
      </c>
      <c r="BW176" s="2">
        <f t="shared" ref="BW176:BW201" si="495">+BV176*AK176</f>
        <v>661.31045426829894</v>
      </c>
      <c r="BX176" s="2">
        <f t="shared" si="471"/>
        <v>2722.3707853336869</v>
      </c>
      <c r="BY176" s="2">
        <f>+BX176-E176*5%</f>
        <v>573.47078533368676</v>
      </c>
      <c r="BZ176" s="2">
        <f t="shared" si="472"/>
        <v>2148.9</v>
      </c>
      <c r="CA176" s="2">
        <v>0</v>
      </c>
      <c r="CB176" s="2">
        <f t="shared" si="473"/>
        <v>2148.9</v>
      </c>
      <c r="CC176" s="2">
        <v>0</v>
      </c>
      <c r="CD176" s="2">
        <f t="shared" si="474"/>
        <v>2148.9</v>
      </c>
      <c r="CE176" s="2">
        <v>0</v>
      </c>
      <c r="CF176" s="2">
        <f t="shared" si="475"/>
        <v>2148.9</v>
      </c>
      <c r="CG176" s="2">
        <v>0</v>
      </c>
      <c r="CH176" s="2">
        <f t="shared" si="476"/>
        <v>2148.9</v>
      </c>
      <c r="CI176" s="2">
        <v>0</v>
      </c>
      <c r="CJ176" s="2">
        <f t="shared" si="477"/>
        <v>2148.9</v>
      </c>
      <c r="CK176" s="2">
        <v>0</v>
      </c>
      <c r="CL176" s="2">
        <f t="shared" si="478"/>
        <v>2148.9</v>
      </c>
      <c r="CM176" s="2">
        <v>0</v>
      </c>
      <c r="CN176" s="2">
        <f t="shared" si="479"/>
        <v>2148.9</v>
      </c>
      <c r="CO176" s="2">
        <v>0</v>
      </c>
      <c r="CP176" s="2">
        <f t="shared" si="480"/>
        <v>2148.9</v>
      </c>
      <c r="CQ176" s="2">
        <v>0</v>
      </c>
      <c r="CR176" s="2">
        <f t="shared" si="481"/>
        <v>2148.9</v>
      </c>
      <c r="CS176" s="2"/>
      <c r="CT176" s="2">
        <f t="shared" si="482"/>
        <v>2148.9</v>
      </c>
      <c r="CU176" s="2"/>
      <c r="CV176" s="2">
        <f t="shared" si="482"/>
        <v>2148.9</v>
      </c>
      <c r="CW176" s="2"/>
      <c r="CX176" s="2">
        <f t="shared" si="482"/>
        <v>2148.9</v>
      </c>
      <c r="CY176" s="2"/>
      <c r="CZ176" s="2">
        <f t="shared" si="482"/>
        <v>2148.9</v>
      </c>
      <c r="DA176" s="2"/>
      <c r="DB176" s="2">
        <f t="shared" si="482"/>
        <v>2148.9</v>
      </c>
      <c r="DC176" s="2"/>
      <c r="DD176" s="2">
        <f t="shared" si="482"/>
        <v>2148.9</v>
      </c>
      <c r="DE176" s="2"/>
      <c r="DF176" s="2">
        <f t="shared" si="483"/>
        <v>2148.9</v>
      </c>
      <c r="DG176" s="2"/>
      <c r="DH176" s="2">
        <f t="shared" si="484"/>
        <v>2148.9</v>
      </c>
      <c r="DI176" s="2"/>
      <c r="DJ176" s="2">
        <f t="shared" si="485"/>
        <v>2148.9</v>
      </c>
      <c r="DK176" s="2"/>
      <c r="DL176" s="2">
        <f t="shared" si="486"/>
        <v>2148.9</v>
      </c>
      <c r="DM176" s="2"/>
      <c r="DN176" s="2">
        <f t="shared" si="487"/>
        <v>2148.9</v>
      </c>
      <c r="DO176" s="2"/>
      <c r="DP176" s="2">
        <f t="shared" si="488"/>
        <v>2148.9</v>
      </c>
      <c r="DQ176" s="2"/>
      <c r="DR176" s="2">
        <f t="shared" si="489"/>
        <v>2148.9</v>
      </c>
      <c r="DS176" s="2"/>
      <c r="DT176" s="2">
        <f t="shared" si="451"/>
        <v>2148.9</v>
      </c>
      <c r="DU176" s="2"/>
      <c r="DV176" s="2">
        <f t="shared" si="451"/>
        <v>2148.9</v>
      </c>
      <c r="DW176" s="266">
        <f t="shared" si="452"/>
        <v>2148.9</v>
      </c>
      <c r="DX176" s="441">
        <f t="shared" si="453"/>
        <v>0</v>
      </c>
    </row>
    <row r="177" spans="1:128">
      <c r="A177" s="413">
        <v>18</v>
      </c>
      <c r="B177" s="413" t="s">
        <v>519</v>
      </c>
      <c r="C177" s="433" t="s">
        <v>518</v>
      </c>
      <c r="D177" s="468">
        <v>0.1391</v>
      </c>
      <c r="E177" s="442">
        <v>44000</v>
      </c>
      <c r="F177" s="437" t="s">
        <v>1001</v>
      </c>
      <c r="G177" s="438">
        <v>40360</v>
      </c>
      <c r="H177" s="438"/>
      <c r="I177" s="438"/>
      <c r="J177" s="438"/>
      <c r="K177" s="438"/>
      <c r="L177" s="438"/>
      <c r="M177" s="433"/>
      <c r="N177" s="436"/>
      <c r="O177" s="436"/>
      <c r="P177" s="433"/>
      <c r="Q177" s="436"/>
      <c r="R177" s="436"/>
      <c r="S177" s="433">
        <f t="shared" si="417"/>
        <v>274</v>
      </c>
      <c r="T177" s="436">
        <f>ROUND(E177*D177/365*S177,0)</f>
        <v>4594</v>
      </c>
      <c r="U177" s="436">
        <f>E177-T177</f>
        <v>39406</v>
      </c>
      <c r="V177" s="433">
        <f t="shared" si="418"/>
        <v>365</v>
      </c>
      <c r="W177" s="436">
        <f t="shared" si="419"/>
        <v>5481</v>
      </c>
      <c r="X177" s="436">
        <f t="shared" si="457"/>
        <v>33925</v>
      </c>
      <c r="Y177" s="433">
        <f t="shared" si="420"/>
        <v>365</v>
      </c>
      <c r="Z177" s="436">
        <f t="shared" si="421"/>
        <v>4719</v>
      </c>
      <c r="AA177" s="436">
        <f t="shared" si="422"/>
        <v>29206</v>
      </c>
      <c r="AB177" s="433">
        <f t="shared" si="423"/>
        <v>365</v>
      </c>
      <c r="AC177" s="436">
        <f t="shared" si="424"/>
        <v>4063</v>
      </c>
      <c r="AD177" s="436">
        <f t="shared" si="425"/>
        <v>25143</v>
      </c>
      <c r="AE177" s="436">
        <f t="shared" si="426"/>
        <v>18857</v>
      </c>
      <c r="AF177" s="436">
        <f t="shared" si="494"/>
        <v>25143</v>
      </c>
      <c r="AG177" s="436">
        <f t="shared" si="427"/>
        <v>0</v>
      </c>
      <c r="AH177" s="436">
        <f t="shared" si="428"/>
        <v>3.7534246575342465</v>
      </c>
      <c r="AI177" s="439">
        <v>15</v>
      </c>
      <c r="AJ177" s="436">
        <f t="shared" si="429"/>
        <v>11.246575342465754</v>
      </c>
      <c r="AK177" s="440">
        <f t="shared" si="430"/>
        <v>0.19475615292887027</v>
      </c>
      <c r="AL177" s="2">
        <f t="shared" si="431"/>
        <v>0</v>
      </c>
      <c r="AM177" s="433">
        <f t="shared" si="432"/>
        <v>365</v>
      </c>
      <c r="AN177" s="436">
        <f t="shared" si="433"/>
        <v>3497</v>
      </c>
      <c r="AO177" s="436">
        <f t="shared" si="434"/>
        <v>4897</v>
      </c>
      <c r="AP177" s="436">
        <f t="shared" si="435"/>
        <v>20246</v>
      </c>
      <c r="AQ177" s="436">
        <f t="shared" si="491"/>
        <v>20246</v>
      </c>
      <c r="AR177" s="436">
        <f t="shared" si="492"/>
        <v>0</v>
      </c>
      <c r="AS177" s="436">
        <f t="shared" si="493"/>
        <v>1400</v>
      </c>
      <c r="AT177" s="2">
        <f t="shared" si="436"/>
        <v>21646</v>
      </c>
      <c r="AU177" s="2">
        <f t="shared" si="437"/>
        <v>20246</v>
      </c>
      <c r="AV177" s="2">
        <f t="shared" si="438"/>
        <v>0</v>
      </c>
      <c r="AW177" s="2">
        <f t="shared" si="439"/>
        <v>365</v>
      </c>
      <c r="AX177" s="2">
        <f t="shared" si="458"/>
        <v>3943.0330721979076</v>
      </c>
      <c r="AY177" s="2">
        <f t="shared" si="459"/>
        <v>16302.966927802092</v>
      </c>
      <c r="AZ177" s="433">
        <f t="shared" si="440"/>
        <v>365</v>
      </c>
      <c r="BA177" s="2">
        <f t="shared" si="460"/>
        <v>3175.1031201853384</v>
      </c>
      <c r="BB177" s="2">
        <f t="shared" si="461"/>
        <v>13127.863807616754</v>
      </c>
      <c r="BC177" s="2">
        <f t="shared" si="462"/>
        <v>5475</v>
      </c>
      <c r="BD177" s="433">
        <f t="shared" si="441"/>
        <v>2465</v>
      </c>
      <c r="BE177" s="439">
        <f t="shared" si="442"/>
        <v>3010</v>
      </c>
      <c r="BF177" s="433">
        <f t="shared" si="443"/>
        <v>365</v>
      </c>
      <c r="BG177" s="2">
        <f t="shared" si="463"/>
        <v>2556.7322513455897</v>
      </c>
      <c r="BH177" s="2">
        <f t="shared" si="444"/>
        <v>10571.131556271164</v>
      </c>
      <c r="BI177" s="2">
        <f t="shared" si="445"/>
        <v>2058.7929140043534</v>
      </c>
      <c r="BJ177" s="2">
        <f t="shared" si="464"/>
        <v>8512.3386422668118</v>
      </c>
      <c r="BK177" s="2">
        <f t="shared" si="465"/>
        <v>1657.8303263956473</v>
      </c>
      <c r="BL177" s="2">
        <f t="shared" si="446"/>
        <v>6854.5083158711641</v>
      </c>
      <c r="BM177" s="2"/>
      <c r="BN177" s="2">
        <f t="shared" si="447"/>
        <v>6854.5083158711641</v>
      </c>
      <c r="BO177" s="2">
        <f t="shared" si="448"/>
        <v>1334.9576698180174</v>
      </c>
      <c r="BP177" s="2">
        <f t="shared" si="466"/>
        <v>5519.5506460531469</v>
      </c>
      <c r="BQ177" s="2"/>
      <c r="BR177" s="2">
        <f t="shared" si="449"/>
        <v>5519.5506460531469</v>
      </c>
      <c r="BS177" s="2">
        <f t="shared" si="450"/>
        <v>1074.9664497213714</v>
      </c>
      <c r="BT177" s="2">
        <f t="shared" si="467"/>
        <v>4444.5841963317753</v>
      </c>
      <c r="BU177" s="2">
        <f t="shared" si="468"/>
        <v>865.61011944603126</v>
      </c>
      <c r="BV177" s="2">
        <f t="shared" si="469"/>
        <v>3578.9740768857441</v>
      </c>
      <c r="BW177" s="2">
        <f t="shared" si="495"/>
        <v>697.02722264642227</v>
      </c>
      <c r="BX177" s="2">
        <f t="shared" si="471"/>
        <v>2881.946854239322</v>
      </c>
      <c r="BY177" s="2">
        <f>+BX177-E177*5%</f>
        <v>681.94685423932196</v>
      </c>
      <c r="BZ177" s="2">
        <f t="shared" si="472"/>
        <v>2200</v>
      </c>
      <c r="CA177" s="2">
        <v>0</v>
      </c>
      <c r="CB177" s="2">
        <f t="shared" si="473"/>
        <v>2200</v>
      </c>
      <c r="CC177" s="2">
        <v>0</v>
      </c>
      <c r="CD177" s="2">
        <f t="shared" si="474"/>
        <v>2200</v>
      </c>
      <c r="CE177" s="2">
        <v>0</v>
      </c>
      <c r="CF177" s="2">
        <f t="shared" si="475"/>
        <v>2200</v>
      </c>
      <c r="CG177" s="2">
        <v>0</v>
      </c>
      <c r="CH177" s="2">
        <f t="shared" si="476"/>
        <v>2200</v>
      </c>
      <c r="CI177" s="2">
        <v>0</v>
      </c>
      <c r="CJ177" s="2">
        <f t="shared" si="477"/>
        <v>2200</v>
      </c>
      <c r="CK177" s="2">
        <v>0</v>
      </c>
      <c r="CL177" s="2">
        <f t="shared" si="478"/>
        <v>2200</v>
      </c>
      <c r="CM177" s="2">
        <v>0</v>
      </c>
      <c r="CN177" s="2">
        <f t="shared" si="479"/>
        <v>2200</v>
      </c>
      <c r="CO177" s="2">
        <v>0</v>
      </c>
      <c r="CP177" s="2">
        <f t="shared" si="480"/>
        <v>2200</v>
      </c>
      <c r="CQ177" s="2">
        <v>0</v>
      </c>
      <c r="CR177" s="2">
        <f t="shared" si="481"/>
        <v>2200</v>
      </c>
      <c r="CS177" s="2"/>
      <c r="CT177" s="2">
        <f t="shared" si="482"/>
        <v>2200</v>
      </c>
      <c r="CU177" s="2"/>
      <c r="CV177" s="2">
        <f t="shared" si="482"/>
        <v>2200</v>
      </c>
      <c r="CW177" s="2"/>
      <c r="CX177" s="2">
        <f t="shared" si="482"/>
        <v>2200</v>
      </c>
      <c r="CY177" s="2"/>
      <c r="CZ177" s="2">
        <f t="shared" si="482"/>
        <v>2200</v>
      </c>
      <c r="DA177" s="2"/>
      <c r="DB177" s="2">
        <f t="shared" si="482"/>
        <v>2200</v>
      </c>
      <c r="DC177" s="2"/>
      <c r="DD177" s="2">
        <f t="shared" si="482"/>
        <v>2200</v>
      </c>
      <c r="DE177" s="2"/>
      <c r="DF177" s="2">
        <f t="shared" si="483"/>
        <v>2200</v>
      </c>
      <c r="DG177" s="2"/>
      <c r="DH177" s="2">
        <f t="shared" si="484"/>
        <v>2200</v>
      </c>
      <c r="DI177" s="2"/>
      <c r="DJ177" s="2">
        <f t="shared" si="485"/>
        <v>2200</v>
      </c>
      <c r="DK177" s="2"/>
      <c r="DL177" s="2">
        <f t="shared" si="486"/>
        <v>2200</v>
      </c>
      <c r="DM177" s="2"/>
      <c r="DN177" s="2">
        <f t="shared" si="487"/>
        <v>2200</v>
      </c>
      <c r="DO177" s="2"/>
      <c r="DP177" s="2">
        <f t="shared" si="488"/>
        <v>2200</v>
      </c>
      <c r="DQ177" s="2"/>
      <c r="DR177" s="2">
        <f t="shared" si="489"/>
        <v>2200</v>
      </c>
      <c r="DS177" s="2"/>
      <c r="DT177" s="2">
        <f t="shared" si="451"/>
        <v>2200</v>
      </c>
      <c r="DU177" s="2"/>
      <c r="DV177" s="2">
        <f t="shared" si="451"/>
        <v>2200</v>
      </c>
      <c r="DW177" s="266">
        <f t="shared" si="452"/>
        <v>2200</v>
      </c>
      <c r="DX177" s="441">
        <f t="shared" si="453"/>
        <v>0</v>
      </c>
    </row>
    <row r="178" spans="1:128">
      <c r="A178" s="413">
        <v>19</v>
      </c>
      <c r="B178" s="413" t="s">
        <v>519</v>
      </c>
      <c r="C178" s="433" t="s">
        <v>518</v>
      </c>
      <c r="D178" s="468">
        <v>0.1391</v>
      </c>
      <c r="E178" s="442">
        <v>71820</v>
      </c>
      <c r="F178" s="437" t="s">
        <v>1001</v>
      </c>
      <c r="G178" s="438">
        <v>40401</v>
      </c>
      <c r="H178" s="438"/>
      <c r="I178" s="438"/>
      <c r="J178" s="438"/>
      <c r="K178" s="438"/>
      <c r="L178" s="438"/>
      <c r="M178" s="433"/>
      <c r="N178" s="436"/>
      <c r="O178" s="436"/>
      <c r="P178" s="433"/>
      <c r="Q178" s="436"/>
      <c r="R178" s="436"/>
      <c r="S178" s="433">
        <f t="shared" si="417"/>
        <v>233</v>
      </c>
      <c r="T178" s="436">
        <f>ROUND(E178*D178/365*S178,0)</f>
        <v>6377</v>
      </c>
      <c r="U178" s="436">
        <f>E178-T178</f>
        <v>65443</v>
      </c>
      <c r="V178" s="433">
        <f t="shared" si="418"/>
        <v>365</v>
      </c>
      <c r="W178" s="436">
        <f t="shared" si="419"/>
        <v>9103</v>
      </c>
      <c r="X178" s="436">
        <f t="shared" si="457"/>
        <v>56340</v>
      </c>
      <c r="Y178" s="433">
        <f t="shared" si="420"/>
        <v>365</v>
      </c>
      <c r="Z178" s="436">
        <f t="shared" si="421"/>
        <v>7837</v>
      </c>
      <c r="AA178" s="436">
        <f t="shared" si="422"/>
        <v>48503</v>
      </c>
      <c r="AB178" s="433">
        <f t="shared" si="423"/>
        <v>365</v>
      </c>
      <c r="AC178" s="436">
        <f t="shared" si="424"/>
        <v>6747</v>
      </c>
      <c r="AD178" s="436">
        <f t="shared" si="425"/>
        <v>41756</v>
      </c>
      <c r="AE178" s="436">
        <f t="shared" si="426"/>
        <v>30064</v>
      </c>
      <c r="AF178" s="436">
        <f t="shared" si="494"/>
        <v>41756</v>
      </c>
      <c r="AG178" s="436">
        <f t="shared" si="427"/>
        <v>0</v>
      </c>
      <c r="AH178" s="436">
        <f t="shared" si="428"/>
        <v>3.6410958904109587</v>
      </c>
      <c r="AI178" s="439">
        <v>15</v>
      </c>
      <c r="AJ178" s="436">
        <f t="shared" si="429"/>
        <v>11.358904109589041</v>
      </c>
      <c r="AK178" s="440">
        <f t="shared" si="430"/>
        <v>0.19425683507170088</v>
      </c>
      <c r="AL178" s="2">
        <f t="shared" si="431"/>
        <v>0</v>
      </c>
      <c r="AM178" s="433">
        <f t="shared" si="432"/>
        <v>365</v>
      </c>
      <c r="AN178" s="436">
        <f t="shared" si="433"/>
        <v>5808</v>
      </c>
      <c r="AO178" s="436">
        <f t="shared" si="434"/>
        <v>8111</v>
      </c>
      <c r="AP178" s="436">
        <f t="shared" si="435"/>
        <v>33645</v>
      </c>
      <c r="AQ178" s="436">
        <f t="shared" si="491"/>
        <v>33645</v>
      </c>
      <c r="AR178" s="436">
        <f t="shared" si="492"/>
        <v>0</v>
      </c>
      <c r="AS178" s="436">
        <f t="shared" si="493"/>
        <v>2303</v>
      </c>
      <c r="AT178" s="2">
        <f t="shared" si="436"/>
        <v>35948</v>
      </c>
      <c r="AU178" s="2">
        <f t="shared" si="437"/>
        <v>33645</v>
      </c>
      <c r="AV178" s="2">
        <f t="shared" si="438"/>
        <v>0</v>
      </c>
      <c r="AW178" s="2">
        <f t="shared" si="439"/>
        <v>365</v>
      </c>
      <c r="AX178" s="2">
        <f t="shared" si="458"/>
        <v>6535.7712159873763</v>
      </c>
      <c r="AY178" s="2">
        <f t="shared" si="459"/>
        <v>27109.228784012623</v>
      </c>
      <c r="AZ178" s="433">
        <f t="shared" si="440"/>
        <v>365</v>
      </c>
      <c r="BA178" s="2">
        <f t="shared" si="460"/>
        <v>5266.1529848169466</v>
      </c>
      <c r="BB178" s="2">
        <f t="shared" si="461"/>
        <v>21843.075799195678</v>
      </c>
      <c r="BC178" s="2">
        <f t="shared" si="462"/>
        <v>5475</v>
      </c>
      <c r="BD178" s="433">
        <f t="shared" si="441"/>
        <v>2424</v>
      </c>
      <c r="BE178" s="439">
        <f t="shared" si="442"/>
        <v>3051</v>
      </c>
      <c r="BF178" s="433">
        <f t="shared" si="443"/>
        <v>365</v>
      </c>
      <c r="BG178" s="2">
        <f t="shared" si="463"/>
        <v>4243.166772983016</v>
      </c>
      <c r="BH178" s="2">
        <f t="shared" si="444"/>
        <v>17599.909026212663</v>
      </c>
      <c r="BI178" s="2">
        <f t="shared" si="445"/>
        <v>3418.9026249819331</v>
      </c>
      <c r="BJ178" s="2">
        <f t="shared" si="464"/>
        <v>14181.00640123073</v>
      </c>
      <c r="BK178" s="2">
        <f t="shared" si="465"/>
        <v>2754.7574216346125</v>
      </c>
      <c r="BL178" s="2">
        <f t="shared" si="446"/>
        <v>11426.248979596117</v>
      </c>
      <c r="BM178" s="2"/>
      <c r="BN178" s="2">
        <f t="shared" si="447"/>
        <v>11426.248979596117</v>
      </c>
      <c r="BO178" s="2">
        <f t="shared" si="448"/>
        <v>2219.6269635175936</v>
      </c>
      <c r="BP178" s="2">
        <f t="shared" si="466"/>
        <v>9206.6220160785233</v>
      </c>
      <c r="BQ178" s="2"/>
      <c r="BR178" s="2">
        <f t="shared" si="449"/>
        <v>9206.6220160785233</v>
      </c>
      <c r="BS178" s="2">
        <f t="shared" si="450"/>
        <v>1788.4492545448559</v>
      </c>
      <c r="BT178" s="2">
        <f t="shared" si="467"/>
        <v>7418.1727615336677</v>
      </c>
      <c r="BU178" s="2">
        <f t="shared" si="468"/>
        <v>1441.0307626706297</v>
      </c>
      <c r="BV178" s="2">
        <f t="shared" si="469"/>
        <v>5977.1419988630378</v>
      </c>
      <c r="BW178" s="2">
        <f t="shared" si="495"/>
        <v>1161.1006874732736</v>
      </c>
      <c r="BX178" s="2">
        <f t="shared" si="471"/>
        <v>4816.0413113897639</v>
      </c>
      <c r="BY178" s="2">
        <f>+BX178-E178*5%</f>
        <v>1225.0413113897639</v>
      </c>
      <c r="BZ178" s="2">
        <f t="shared" si="472"/>
        <v>3591</v>
      </c>
      <c r="CA178" s="2">
        <v>0</v>
      </c>
      <c r="CB178" s="2">
        <f t="shared" si="473"/>
        <v>3591</v>
      </c>
      <c r="CC178" s="2">
        <v>0</v>
      </c>
      <c r="CD178" s="2">
        <f t="shared" si="474"/>
        <v>3591</v>
      </c>
      <c r="CE178" s="2">
        <v>0</v>
      </c>
      <c r="CF178" s="2">
        <f t="shared" si="475"/>
        <v>3591</v>
      </c>
      <c r="CG178" s="2">
        <v>0</v>
      </c>
      <c r="CH178" s="2">
        <f t="shared" si="476"/>
        <v>3591</v>
      </c>
      <c r="CI178" s="2">
        <v>0</v>
      </c>
      <c r="CJ178" s="2">
        <f t="shared" si="477"/>
        <v>3591</v>
      </c>
      <c r="CK178" s="2">
        <v>0</v>
      </c>
      <c r="CL178" s="2">
        <f t="shared" si="478"/>
        <v>3591</v>
      </c>
      <c r="CM178" s="2">
        <v>0</v>
      </c>
      <c r="CN178" s="2">
        <f t="shared" si="479"/>
        <v>3591</v>
      </c>
      <c r="CO178" s="2">
        <v>0</v>
      </c>
      <c r="CP178" s="2">
        <f t="shared" si="480"/>
        <v>3591</v>
      </c>
      <c r="CQ178" s="2">
        <v>0</v>
      </c>
      <c r="CR178" s="2">
        <f t="shared" si="481"/>
        <v>3591</v>
      </c>
      <c r="CS178" s="2"/>
      <c r="CT178" s="2">
        <f t="shared" si="482"/>
        <v>3591</v>
      </c>
      <c r="CU178" s="2"/>
      <c r="CV178" s="2">
        <f t="shared" si="482"/>
        <v>3591</v>
      </c>
      <c r="CW178" s="2"/>
      <c r="CX178" s="2">
        <f t="shared" si="482"/>
        <v>3591</v>
      </c>
      <c r="CY178" s="2"/>
      <c r="CZ178" s="2">
        <f t="shared" si="482"/>
        <v>3591</v>
      </c>
      <c r="DA178" s="2"/>
      <c r="DB178" s="2">
        <f t="shared" si="482"/>
        <v>3591</v>
      </c>
      <c r="DC178" s="2"/>
      <c r="DD178" s="2">
        <f t="shared" si="482"/>
        <v>3591</v>
      </c>
      <c r="DE178" s="2"/>
      <c r="DF178" s="2">
        <f t="shared" si="483"/>
        <v>3591</v>
      </c>
      <c r="DG178" s="2"/>
      <c r="DH178" s="2">
        <f t="shared" si="484"/>
        <v>3591</v>
      </c>
      <c r="DI178" s="2"/>
      <c r="DJ178" s="2">
        <f t="shared" si="485"/>
        <v>3591</v>
      </c>
      <c r="DK178" s="2"/>
      <c r="DL178" s="2">
        <f t="shared" si="486"/>
        <v>3591</v>
      </c>
      <c r="DM178" s="2"/>
      <c r="DN178" s="2">
        <f t="shared" si="487"/>
        <v>3591</v>
      </c>
      <c r="DO178" s="2"/>
      <c r="DP178" s="2">
        <f t="shared" si="488"/>
        <v>3591</v>
      </c>
      <c r="DQ178" s="2"/>
      <c r="DR178" s="2">
        <f t="shared" si="489"/>
        <v>3591</v>
      </c>
      <c r="DS178" s="2"/>
      <c r="DT178" s="2">
        <f t="shared" si="451"/>
        <v>3591</v>
      </c>
      <c r="DU178" s="2"/>
      <c r="DV178" s="2">
        <f t="shared" si="451"/>
        <v>3591</v>
      </c>
      <c r="DW178" s="266">
        <f t="shared" si="452"/>
        <v>3591</v>
      </c>
      <c r="DX178" s="441">
        <f t="shared" si="453"/>
        <v>0</v>
      </c>
    </row>
    <row r="179" spans="1:128">
      <c r="A179" s="413">
        <v>20</v>
      </c>
      <c r="B179" s="413" t="s">
        <v>520</v>
      </c>
      <c r="C179" s="433" t="s">
        <v>518</v>
      </c>
      <c r="D179" s="468">
        <v>0.1391</v>
      </c>
      <c r="E179" s="442">
        <f>10900+121500</f>
        <v>132400</v>
      </c>
      <c r="F179" s="437" t="s">
        <v>1001</v>
      </c>
      <c r="G179" s="438">
        <v>40359</v>
      </c>
      <c r="H179" s="438"/>
      <c r="I179" s="438"/>
      <c r="J179" s="438"/>
      <c r="K179" s="438"/>
      <c r="L179" s="438"/>
      <c r="M179" s="433"/>
      <c r="N179" s="436"/>
      <c r="O179" s="436"/>
      <c r="P179" s="433"/>
      <c r="Q179" s="436"/>
      <c r="R179" s="436"/>
      <c r="S179" s="433">
        <f t="shared" si="417"/>
        <v>275</v>
      </c>
      <c r="T179" s="436">
        <f>ROUND(E179*D179/365*S179,0)-838</f>
        <v>13038</v>
      </c>
      <c r="U179" s="436">
        <f>E179-T179-6490</f>
        <v>112872</v>
      </c>
      <c r="V179" s="433">
        <f t="shared" si="418"/>
        <v>365</v>
      </c>
      <c r="W179" s="436">
        <f t="shared" si="419"/>
        <v>15700</v>
      </c>
      <c r="X179" s="436">
        <f t="shared" si="457"/>
        <v>97172</v>
      </c>
      <c r="Y179" s="433">
        <f t="shared" si="420"/>
        <v>365</v>
      </c>
      <c r="Z179" s="436">
        <f t="shared" si="421"/>
        <v>13517</v>
      </c>
      <c r="AA179" s="436">
        <f t="shared" si="422"/>
        <v>83655</v>
      </c>
      <c r="AB179" s="433">
        <f t="shared" si="423"/>
        <v>365</v>
      </c>
      <c r="AC179" s="436">
        <f t="shared" si="424"/>
        <v>11636</v>
      </c>
      <c r="AD179" s="436">
        <f t="shared" si="425"/>
        <v>72019</v>
      </c>
      <c r="AE179" s="436">
        <f t="shared" si="426"/>
        <v>53891</v>
      </c>
      <c r="AF179" s="436">
        <f>E179-AE179-6490</f>
        <v>72019</v>
      </c>
      <c r="AG179" s="436">
        <f t="shared" si="427"/>
        <v>0</v>
      </c>
      <c r="AH179" s="436">
        <f t="shared" si="428"/>
        <v>3.7561643835616438</v>
      </c>
      <c r="AI179" s="439">
        <v>15</v>
      </c>
      <c r="AJ179" s="436">
        <f t="shared" si="429"/>
        <v>11.243835616438357</v>
      </c>
      <c r="AK179" s="440">
        <f t="shared" si="430"/>
        <v>0.19126129018743987</v>
      </c>
      <c r="AL179" s="2">
        <f t="shared" si="431"/>
        <v>0</v>
      </c>
      <c r="AM179" s="433">
        <f t="shared" si="432"/>
        <v>365</v>
      </c>
      <c r="AN179" s="436">
        <f t="shared" si="433"/>
        <v>10018</v>
      </c>
      <c r="AO179" s="436">
        <f t="shared" si="434"/>
        <v>13774</v>
      </c>
      <c r="AP179" s="436">
        <f t="shared" si="435"/>
        <v>58245</v>
      </c>
      <c r="AQ179" s="436">
        <f t="shared" si="491"/>
        <v>58245</v>
      </c>
      <c r="AR179" s="436">
        <f t="shared" si="492"/>
        <v>0</v>
      </c>
      <c r="AS179" s="436">
        <f t="shared" si="493"/>
        <v>3756</v>
      </c>
      <c r="AT179" s="2">
        <f t="shared" si="436"/>
        <v>62001</v>
      </c>
      <c r="AU179" s="2">
        <f t="shared" si="437"/>
        <v>58245</v>
      </c>
      <c r="AV179" s="2">
        <f t="shared" si="438"/>
        <v>0</v>
      </c>
      <c r="AW179" s="2">
        <f t="shared" si="439"/>
        <v>365</v>
      </c>
      <c r="AX179" s="2">
        <f t="shared" si="458"/>
        <v>11140.013846967435</v>
      </c>
      <c r="AY179" s="2">
        <f t="shared" si="459"/>
        <v>47104.986153032565</v>
      </c>
      <c r="AZ179" s="433">
        <f t="shared" si="440"/>
        <v>365</v>
      </c>
      <c r="BA179" s="2">
        <f t="shared" si="460"/>
        <v>9009.3604258904979</v>
      </c>
      <c r="BB179" s="2">
        <f t="shared" si="461"/>
        <v>38095.625727142069</v>
      </c>
      <c r="BC179" s="2">
        <f t="shared" si="462"/>
        <v>5475</v>
      </c>
      <c r="BD179" s="433">
        <f t="shared" si="441"/>
        <v>2466</v>
      </c>
      <c r="BE179" s="439">
        <f t="shared" si="442"/>
        <v>3009</v>
      </c>
      <c r="BF179" s="433">
        <f t="shared" si="443"/>
        <v>365</v>
      </c>
      <c r="BG179" s="2">
        <f t="shared" si="463"/>
        <v>7286.2185270710197</v>
      </c>
      <c r="BH179" s="2">
        <f t="shared" si="444"/>
        <v>30809.407200071051</v>
      </c>
      <c r="BI179" s="2">
        <f t="shared" si="445"/>
        <v>5892.6469709957883</v>
      </c>
      <c r="BJ179" s="2">
        <f t="shared" si="464"/>
        <v>24916.760229075262</v>
      </c>
      <c r="BK179" s="2">
        <f t="shared" si="465"/>
        <v>4765.6117087040247</v>
      </c>
      <c r="BL179" s="2">
        <f t="shared" si="446"/>
        <v>20151.148520371236</v>
      </c>
      <c r="BM179" s="2"/>
      <c r="BN179" s="2">
        <f t="shared" si="447"/>
        <v>20151.148520371236</v>
      </c>
      <c r="BO179" s="2">
        <f t="shared" si="448"/>
        <v>3854.1346647649225</v>
      </c>
      <c r="BP179" s="2">
        <f t="shared" si="466"/>
        <v>16297.013855606314</v>
      </c>
      <c r="BQ179" s="2"/>
      <c r="BR179" s="2">
        <f t="shared" si="449"/>
        <v>16297.013855606314</v>
      </c>
      <c r="BS179" s="2">
        <f t="shared" si="450"/>
        <v>3116.9878962258476</v>
      </c>
      <c r="BT179" s="2">
        <f t="shared" si="467"/>
        <v>13180.025959380466</v>
      </c>
      <c r="BU179" s="2">
        <f t="shared" si="468"/>
        <v>2520.8287696950579</v>
      </c>
      <c r="BV179" s="2">
        <f t="shared" si="469"/>
        <v>10659.197189685408</v>
      </c>
      <c r="BW179" s="2">
        <f t="shared" si="495"/>
        <v>2038.6918068615644</v>
      </c>
      <c r="BX179" s="2">
        <f t="shared" si="471"/>
        <v>8620.5053828238433</v>
      </c>
      <c r="BY179" s="2">
        <f>+BX179-E179*5%</f>
        <v>2000.5053828238433</v>
      </c>
      <c r="BZ179" s="2">
        <f t="shared" si="472"/>
        <v>6620</v>
      </c>
      <c r="CA179" s="2">
        <v>0</v>
      </c>
      <c r="CB179" s="2">
        <f t="shared" si="473"/>
        <v>6620</v>
      </c>
      <c r="CC179" s="2">
        <v>0</v>
      </c>
      <c r="CD179" s="2">
        <f t="shared" si="474"/>
        <v>6620</v>
      </c>
      <c r="CE179" s="2">
        <v>0</v>
      </c>
      <c r="CF179" s="2">
        <f t="shared" si="475"/>
        <v>6620</v>
      </c>
      <c r="CG179" s="2">
        <v>0</v>
      </c>
      <c r="CH179" s="2">
        <f t="shared" si="476"/>
        <v>6620</v>
      </c>
      <c r="CI179" s="2">
        <v>0</v>
      </c>
      <c r="CJ179" s="2">
        <f t="shared" si="477"/>
        <v>6620</v>
      </c>
      <c r="CK179" s="2">
        <v>0</v>
      </c>
      <c r="CL179" s="2">
        <f t="shared" si="478"/>
        <v>6620</v>
      </c>
      <c r="CM179" s="2">
        <v>0</v>
      </c>
      <c r="CN179" s="2">
        <f t="shared" si="479"/>
        <v>6620</v>
      </c>
      <c r="CO179" s="2">
        <v>0</v>
      </c>
      <c r="CP179" s="2">
        <f t="shared" si="480"/>
        <v>6620</v>
      </c>
      <c r="CQ179" s="2">
        <v>0</v>
      </c>
      <c r="CR179" s="2">
        <f t="shared" si="481"/>
        <v>6620</v>
      </c>
      <c r="CS179" s="2"/>
      <c r="CT179" s="2">
        <f t="shared" si="482"/>
        <v>6620</v>
      </c>
      <c r="CU179" s="2"/>
      <c r="CV179" s="2">
        <f t="shared" si="482"/>
        <v>6620</v>
      </c>
      <c r="CW179" s="2"/>
      <c r="CX179" s="2">
        <f t="shared" si="482"/>
        <v>6620</v>
      </c>
      <c r="CY179" s="2"/>
      <c r="CZ179" s="2">
        <f t="shared" si="482"/>
        <v>6620</v>
      </c>
      <c r="DA179" s="2"/>
      <c r="DB179" s="2">
        <f t="shared" si="482"/>
        <v>6620</v>
      </c>
      <c r="DC179" s="2"/>
      <c r="DD179" s="2">
        <f t="shared" si="482"/>
        <v>6620</v>
      </c>
      <c r="DE179" s="2"/>
      <c r="DF179" s="2">
        <f t="shared" si="483"/>
        <v>6620</v>
      </c>
      <c r="DG179" s="2"/>
      <c r="DH179" s="2">
        <f t="shared" si="484"/>
        <v>6620</v>
      </c>
      <c r="DI179" s="2"/>
      <c r="DJ179" s="2">
        <f t="shared" si="485"/>
        <v>6620</v>
      </c>
      <c r="DK179" s="2"/>
      <c r="DL179" s="2">
        <f t="shared" si="486"/>
        <v>6620</v>
      </c>
      <c r="DM179" s="2"/>
      <c r="DN179" s="2">
        <f t="shared" si="487"/>
        <v>6620</v>
      </c>
      <c r="DO179" s="2"/>
      <c r="DP179" s="2">
        <f t="shared" si="488"/>
        <v>6620</v>
      </c>
      <c r="DQ179" s="2"/>
      <c r="DR179" s="2">
        <f t="shared" si="489"/>
        <v>6620</v>
      </c>
      <c r="DS179" s="2"/>
      <c r="DT179" s="2">
        <f t="shared" si="451"/>
        <v>6620</v>
      </c>
      <c r="DU179" s="2"/>
      <c r="DV179" s="2">
        <f t="shared" si="451"/>
        <v>6620</v>
      </c>
      <c r="DW179" s="266">
        <f t="shared" si="452"/>
        <v>6620</v>
      </c>
      <c r="DX179" s="441">
        <f t="shared" si="453"/>
        <v>0</v>
      </c>
    </row>
    <row r="180" spans="1:128">
      <c r="A180" s="413">
        <v>21</v>
      </c>
      <c r="B180" s="413" t="s">
        <v>532</v>
      </c>
      <c r="C180" s="433" t="s">
        <v>518</v>
      </c>
      <c r="D180" s="468">
        <v>0.1391</v>
      </c>
      <c r="E180" s="442">
        <v>43500</v>
      </c>
      <c r="F180" s="437" t="s">
        <v>1001</v>
      </c>
      <c r="G180" s="438">
        <v>40400</v>
      </c>
      <c r="H180" s="438"/>
      <c r="I180" s="438"/>
      <c r="J180" s="438"/>
      <c r="K180" s="438"/>
      <c r="L180" s="438"/>
      <c r="M180" s="433"/>
      <c r="N180" s="436"/>
      <c r="O180" s="436"/>
      <c r="P180" s="433"/>
      <c r="Q180" s="436"/>
      <c r="R180" s="436"/>
      <c r="S180" s="433">
        <f t="shared" si="417"/>
        <v>234</v>
      </c>
      <c r="T180" s="436">
        <f>ROUND(E180*D180/365*S180,0)</f>
        <v>3879</v>
      </c>
      <c r="U180" s="436">
        <f>E180-T180</f>
        <v>39621</v>
      </c>
      <c r="V180" s="433">
        <f t="shared" si="418"/>
        <v>365</v>
      </c>
      <c r="W180" s="436">
        <f t="shared" si="419"/>
        <v>5511</v>
      </c>
      <c r="X180" s="436">
        <f t="shared" si="457"/>
        <v>34110</v>
      </c>
      <c r="Y180" s="433">
        <f t="shared" si="420"/>
        <v>365</v>
      </c>
      <c r="Z180" s="436">
        <f t="shared" si="421"/>
        <v>4745</v>
      </c>
      <c r="AA180" s="436">
        <f t="shared" si="422"/>
        <v>29365</v>
      </c>
      <c r="AB180" s="433">
        <f t="shared" si="423"/>
        <v>365</v>
      </c>
      <c r="AC180" s="436">
        <f t="shared" si="424"/>
        <v>4085</v>
      </c>
      <c r="AD180" s="436">
        <f t="shared" si="425"/>
        <v>25280</v>
      </c>
      <c r="AE180" s="436">
        <f t="shared" si="426"/>
        <v>18220</v>
      </c>
      <c r="AF180" s="436">
        <f t="shared" ref="AF180:AF190" si="496">E180-AE180</f>
        <v>25280</v>
      </c>
      <c r="AG180" s="436">
        <f t="shared" si="427"/>
        <v>0</v>
      </c>
      <c r="AH180" s="436">
        <f t="shared" si="428"/>
        <v>3.6438356164383561</v>
      </c>
      <c r="AI180" s="439">
        <v>15</v>
      </c>
      <c r="AJ180" s="436">
        <f t="shared" si="429"/>
        <v>11.356164383561644</v>
      </c>
      <c r="AK180" s="440">
        <f t="shared" si="430"/>
        <v>0.19426848677041098</v>
      </c>
      <c r="AL180" s="2">
        <f t="shared" si="431"/>
        <v>0</v>
      </c>
      <c r="AM180" s="433">
        <f t="shared" si="432"/>
        <v>365</v>
      </c>
      <c r="AN180" s="436">
        <f t="shared" si="433"/>
        <v>3516</v>
      </c>
      <c r="AO180" s="436">
        <f t="shared" si="434"/>
        <v>4911</v>
      </c>
      <c r="AP180" s="436">
        <f t="shared" si="435"/>
        <v>20369</v>
      </c>
      <c r="AQ180" s="436">
        <f t="shared" si="491"/>
        <v>20369</v>
      </c>
      <c r="AR180" s="436">
        <f t="shared" si="492"/>
        <v>0</v>
      </c>
      <c r="AS180" s="436">
        <f t="shared" si="493"/>
        <v>1395</v>
      </c>
      <c r="AT180" s="2">
        <f t="shared" si="436"/>
        <v>21764</v>
      </c>
      <c r="AU180" s="2">
        <f t="shared" si="437"/>
        <v>20369</v>
      </c>
      <c r="AV180" s="2">
        <f t="shared" si="438"/>
        <v>0</v>
      </c>
      <c r="AW180" s="2">
        <f t="shared" si="439"/>
        <v>365</v>
      </c>
      <c r="AX180" s="2">
        <f t="shared" si="458"/>
        <v>3957.0548070265013</v>
      </c>
      <c r="AY180" s="2">
        <f t="shared" si="459"/>
        <v>16411.945192973501</v>
      </c>
      <c r="AZ180" s="433">
        <f t="shared" si="440"/>
        <v>365</v>
      </c>
      <c r="BA180" s="2">
        <f t="shared" si="460"/>
        <v>3188.3237575978824</v>
      </c>
      <c r="BB180" s="2">
        <f t="shared" si="461"/>
        <v>13223.621435375619</v>
      </c>
      <c r="BC180" s="2">
        <f t="shared" si="462"/>
        <v>5475</v>
      </c>
      <c r="BD180" s="433">
        <f t="shared" si="441"/>
        <v>2425</v>
      </c>
      <c r="BE180" s="439">
        <f t="shared" si="442"/>
        <v>3050</v>
      </c>
      <c r="BF180" s="433">
        <f t="shared" si="443"/>
        <v>365</v>
      </c>
      <c r="BG180" s="2">
        <f t="shared" si="463"/>
        <v>2568.9329258751914</v>
      </c>
      <c r="BH180" s="2">
        <f t="shared" si="444"/>
        <v>10654.688509500427</v>
      </c>
      <c r="BI180" s="2">
        <f t="shared" si="445"/>
        <v>2069.8702137507335</v>
      </c>
      <c r="BJ180" s="2">
        <f t="shared" si="464"/>
        <v>8584.8182957496938</v>
      </c>
      <c r="BK180" s="2">
        <f t="shared" si="465"/>
        <v>1667.7596595142315</v>
      </c>
      <c r="BL180" s="2">
        <f t="shared" si="446"/>
        <v>6917.0586362354625</v>
      </c>
      <c r="BM180" s="2"/>
      <c r="BN180" s="2">
        <f t="shared" si="447"/>
        <v>6917.0586362354625</v>
      </c>
      <c r="BO180" s="2">
        <f t="shared" si="448"/>
        <v>1343.766514163666</v>
      </c>
      <c r="BP180" s="2">
        <f t="shared" si="466"/>
        <v>5573.2921220717963</v>
      </c>
      <c r="BQ180" s="2"/>
      <c r="BR180" s="2">
        <f t="shared" si="449"/>
        <v>5573.2921220717963</v>
      </c>
      <c r="BS180" s="2">
        <f t="shared" si="450"/>
        <v>1082.7150268843404</v>
      </c>
      <c r="BT180" s="2">
        <f t="shared" si="467"/>
        <v>4490.5770951874556</v>
      </c>
      <c r="BU180" s="2">
        <f t="shared" si="468"/>
        <v>872.37761700793476</v>
      </c>
      <c r="BV180" s="2">
        <f t="shared" si="469"/>
        <v>3618.1994781795211</v>
      </c>
      <c r="BW180" s="2">
        <f t="shared" si="495"/>
        <v>702.90213745942617</v>
      </c>
      <c r="BX180" s="2">
        <f t="shared" si="471"/>
        <v>2915.2973407200948</v>
      </c>
      <c r="BY180" s="2">
        <f>+BX180-E180*5%</f>
        <v>740.29734072009478</v>
      </c>
      <c r="BZ180" s="2">
        <f t="shared" si="472"/>
        <v>2175</v>
      </c>
      <c r="CA180" s="2">
        <v>0</v>
      </c>
      <c r="CB180" s="2">
        <f t="shared" si="473"/>
        <v>2175</v>
      </c>
      <c r="CC180" s="2">
        <v>0</v>
      </c>
      <c r="CD180" s="2">
        <f t="shared" si="474"/>
        <v>2175</v>
      </c>
      <c r="CE180" s="2">
        <v>0</v>
      </c>
      <c r="CF180" s="2">
        <f t="shared" si="475"/>
        <v>2175</v>
      </c>
      <c r="CG180" s="2">
        <v>0</v>
      </c>
      <c r="CH180" s="2">
        <f t="shared" si="476"/>
        <v>2175</v>
      </c>
      <c r="CI180" s="2">
        <v>0</v>
      </c>
      <c r="CJ180" s="2">
        <f t="shared" si="477"/>
        <v>2175</v>
      </c>
      <c r="CK180" s="2">
        <v>0</v>
      </c>
      <c r="CL180" s="2">
        <f t="shared" si="478"/>
        <v>2175</v>
      </c>
      <c r="CM180" s="2">
        <v>0</v>
      </c>
      <c r="CN180" s="2">
        <f t="shared" si="479"/>
        <v>2175</v>
      </c>
      <c r="CO180" s="2">
        <v>0</v>
      </c>
      <c r="CP180" s="2">
        <f t="shared" si="480"/>
        <v>2175</v>
      </c>
      <c r="CQ180" s="2">
        <v>0</v>
      </c>
      <c r="CR180" s="2">
        <f t="shared" si="481"/>
        <v>2175</v>
      </c>
      <c r="CS180" s="2"/>
      <c r="CT180" s="2">
        <f t="shared" si="482"/>
        <v>2175</v>
      </c>
      <c r="CU180" s="2"/>
      <c r="CV180" s="2">
        <f t="shared" si="482"/>
        <v>2175</v>
      </c>
      <c r="CW180" s="2"/>
      <c r="CX180" s="2">
        <f t="shared" si="482"/>
        <v>2175</v>
      </c>
      <c r="CY180" s="2"/>
      <c r="CZ180" s="2">
        <f t="shared" si="482"/>
        <v>2175</v>
      </c>
      <c r="DA180" s="2"/>
      <c r="DB180" s="2">
        <f t="shared" si="482"/>
        <v>2175</v>
      </c>
      <c r="DC180" s="2"/>
      <c r="DD180" s="2">
        <f t="shared" si="482"/>
        <v>2175</v>
      </c>
      <c r="DE180" s="2"/>
      <c r="DF180" s="2">
        <f t="shared" si="483"/>
        <v>2175</v>
      </c>
      <c r="DG180" s="2"/>
      <c r="DH180" s="2">
        <f t="shared" si="484"/>
        <v>2175</v>
      </c>
      <c r="DI180" s="2"/>
      <c r="DJ180" s="2">
        <f t="shared" si="485"/>
        <v>2175</v>
      </c>
      <c r="DK180" s="2"/>
      <c r="DL180" s="2">
        <f t="shared" si="486"/>
        <v>2175</v>
      </c>
      <c r="DM180" s="2"/>
      <c r="DN180" s="2">
        <f t="shared" si="487"/>
        <v>2175</v>
      </c>
      <c r="DO180" s="2"/>
      <c r="DP180" s="2">
        <f t="shared" si="488"/>
        <v>2175</v>
      </c>
      <c r="DQ180" s="2"/>
      <c r="DR180" s="2">
        <f t="shared" si="489"/>
        <v>2175</v>
      </c>
      <c r="DS180" s="2"/>
      <c r="DT180" s="2">
        <f t="shared" si="451"/>
        <v>2175</v>
      </c>
      <c r="DU180" s="2"/>
      <c r="DV180" s="2">
        <f t="shared" si="451"/>
        <v>2175</v>
      </c>
      <c r="DW180" s="266">
        <f t="shared" si="452"/>
        <v>2175</v>
      </c>
      <c r="DX180" s="441">
        <f t="shared" si="453"/>
        <v>0</v>
      </c>
    </row>
    <row r="181" spans="1:128">
      <c r="A181" s="413">
        <v>22</v>
      </c>
      <c r="B181" s="413" t="s">
        <v>533</v>
      </c>
      <c r="C181" s="433" t="s">
        <v>518</v>
      </c>
      <c r="D181" s="468">
        <v>0.1391</v>
      </c>
      <c r="E181" s="442">
        <v>461250</v>
      </c>
      <c r="F181" s="437" t="s">
        <v>1001</v>
      </c>
      <c r="G181" s="438">
        <v>40894</v>
      </c>
      <c r="H181" s="438"/>
      <c r="I181" s="438"/>
      <c r="J181" s="438"/>
      <c r="K181" s="438"/>
      <c r="L181" s="438"/>
      <c r="M181" s="433"/>
      <c r="N181" s="436"/>
      <c r="O181" s="436"/>
      <c r="P181" s="433"/>
      <c r="Q181" s="436"/>
      <c r="R181" s="436"/>
      <c r="S181" s="433"/>
      <c r="T181" s="436"/>
      <c r="U181" s="436"/>
      <c r="V181" s="433">
        <f t="shared" si="418"/>
        <v>106</v>
      </c>
      <c r="W181" s="436">
        <f>ROUND((E181-T181)*D181/365*V181,0)</f>
        <v>18633</v>
      </c>
      <c r="X181" s="436">
        <f>IF((U181-W181)&gt;0,U181-W181,E181-W181)</f>
        <v>442617</v>
      </c>
      <c r="Y181" s="433">
        <f t="shared" si="420"/>
        <v>365</v>
      </c>
      <c r="Z181" s="436">
        <f t="shared" si="421"/>
        <v>61568</v>
      </c>
      <c r="AA181" s="436">
        <f t="shared" si="422"/>
        <v>381049</v>
      </c>
      <c r="AB181" s="433">
        <f t="shared" si="423"/>
        <v>365</v>
      </c>
      <c r="AC181" s="436">
        <f t="shared" si="424"/>
        <v>53004</v>
      </c>
      <c r="AD181" s="436">
        <f t="shared" si="425"/>
        <v>328045</v>
      </c>
      <c r="AE181" s="436">
        <f t="shared" si="426"/>
        <v>133205</v>
      </c>
      <c r="AF181" s="436">
        <f t="shared" si="496"/>
        <v>328045</v>
      </c>
      <c r="AG181" s="436">
        <f t="shared" si="427"/>
        <v>0</v>
      </c>
      <c r="AH181" s="436">
        <f t="shared" si="428"/>
        <v>2.2904109589041095</v>
      </c>
      <c r="AI181" s="439">
        <v>15</v>
      </c>
      <c r="AJ181" s="436">
        <f t="shared" si="429"/>
        <v>12.70958904109589</v>
      </c>
      <c r="AK181" s="440">
        <f t="shared" si="430"/>
        <v>0.18851785669959487</v>
      </c>
      <c r="AL181" s="2">
        <f t="shared" si="431"/>
        <v>0</v>
      </c>
      <c r="AM181" s="433">
        <f t="shared" si="432"/>
        <v>365</v>
      </c>
      <c r="AN181" s="436">
        <f t="shared" si="433"/>
        <v>45631</v>
      </c>
      <c r="AO181" s="436">
        <f t="shared" si="434"/>
        <v>61842</v>
      </c>
      <c r="AP181" s="436">
        <f t="shared" si="435"/>
        <v>266203</v>
      </c>
      <c r="AQ181" s="436">
        <f t="shared" si="491"/>
        <v>266203</v>
      </c>
      <c r="AR181" s="436">
        <f t="shared" si="492"/>
        <v>0</v>
      </c>
      <c r="AS181" s="436">
        <f t="shared" si="493"/>
        <v>16211</v>
      </c>
      <c r="AT181" s="2">
        <f t="shared" si="436"/>
        <v>282414</v>
      </c>
      <c r="AU181" s="2">
        <f t="shared" si="437"/>
        <v>266203</v>
      </c>
      <c r="AV181" s="2">
        <f t="shared" si="438"/>
        <v>0</v>
      </c>
      <c r="AW181" s="2">
        <f t="shared" si="439"/>
        <v>365</v>
      </c>
      <c r="AX181" s="2">
        <f t="shared" si="458"/>
        <v>50184.019007002251</v>
      </c>
      <c r="AY181" s="2">
        <f t="shared" si="459"/>
        <v>216018.98099299776</v>
      </c>
      <c r="AZ181" s="433">
        <f t="shared" si="440"/>
        <v>365</v>
      </c>
      <c r="BA181" s="2">
        <f t="shared" si="460"/>
        <v>40723.435303230457</v>
      </c>
      <c r="BB181" s="2">
        <f t="shared" si="461"/>
        <v>175295.54568976731</v>
      </c>
      <c r="BC181" s="2">
        <f t="shared" si="462"/>
        <v>5475</v>
      </c>
      <c r="BD181" s="433">
        <f t="shared" si="441"/>
        <v>1931</v>
      </c>
      <c r="BE181" s="439">
        <f t="shared" si="442"/>
        <v>3544</v>
      </c>
      <c r="BF181" s="433">
        <f t="shared" si="443"/>
        <v>365</v>
      </c>
      <c r="BG181" s="2">
        <f t="shared" si="463"/>
        <v>33046.340562420839</v>
      </c>
      <c r="BH181" s="2">
        <f t="shared" si="444"/>
        <v>142249.20512734647</v>
      </c>
      <c r="BI181" s="2">
        <f t="shared" si="445"/>
        <v>26816.515267828378</v>
      </c>
      <c r="BJ181" s="2">
        <f t="shared" si="464"/>
        <v>115432.6898595181</v>
      </c>
      <c r="BK181" s="2">
        <f t="shared" si="465"/>
        <v>21761.123285385409</v>
      </c>
      <c r="BL181" s="2">
        <f t="shared" si="446"/>
        <v>93671.566574132681</v>
      </c>
      <c r="BM181" s="2"/>
      <c r="BN181" s="2">
        <f t="shared" si="447"/>
        <v>93671.566574132681</v>
      </c>
      <c r="BO181" s="2">
        <f t="shared" si="448"/>
        <v>17658.762964248905</v>
      </c>
      <c r="BP181" s="2">
        <f t="shared" si="466"/>
        <v>76012.803609883777</v>
      </c>
      <c r="BQ181" s="2"/>
      <c r="BR181" s="2">
        <f t="shared" si="449"/>
        <v>76012.803609883777</v>
      </c>
      <c r="BS181" s="2">
        <f t="shared" si="450"/>
        <v>14329.770818262517</v>
      </c>
      <c r="BT181" s="2">
        <f t="shared" si="467"/>
        <v>61683.032791621255</v>
      </c>
      <c r="BU181" s="2">
        <f t="shared" si="468"/>
        <v>11628.353136607268</v>
      </c>
      <c r="BV181" s="2">
        <f t="shared" si="469"/>
        <v>50054.679655013984</v>
      </c>
      <c r="BW181" s="2">
        <f t="shared" si="495"/>
        <v>9436.2009263480522</v>
      </c>
      <c r="BX181" s="2">
        <f t="shared" si="471"/>
        <v>40618.478728665934</v>
      </c>
      <c r="BY181" s="2">
        <f t="shared" ref="BY181:BY201" si="497">+BX181*AK181</f>
        <v>7657.3085523261871</v>
      </c>
      <c r="BZ181" s="2">
        <f t="shared" si="472"/>
        <v>32961.170176339743</v>
      </c>
      <c r="CA181" s="2">
        <f>+BZ181-E181*5%</f>
        <v>9898.6701763397432</v>
      </c>
      <c r="CB181" s="2">
        <f t="shared" si="473"/>
        <v>23062.5</v>
      </c>
      <c r="CC181" s="2">
        <v>0</v>
      </c>
      <c r="CD181" s="2">
        <f t="shared" si="474"/>
        <v>23062.5</v>
      </c>
      <c r="CE181" s="2">
        <v>0</v>
      </c>
      <c r="CF181" s="2">
        <f t="shared" si="475"/>
        <v>23062.5</v>
      </c>
      <c r="CG181" s="2">
        <v>0</v>
      </c>
      <c r="CH181" s="2">
        <f t="shared" si="476"/>
        <v>23062.5</v>
      </c>
      <c r="CI181" s="2">
        <v>0</v>
      </c>
      <c r="CJ181" s="2">
        <f t="shared" si="477"/>
        <v>23062.5</v>
      </c>
      <c r="CK181" s="2">
        <v>0</v>
      </c>
      <c r="CL181" s="2">
        <f t="shared" si="478"/>
        <v>23062.5</v>
      </c>
      <c r="CM181" s="2">
        <v>0</v>
      </c>
      <c r="CN181" s="2">
        <f t="shared" si="479"/>
        <v>23062.5</v>
      </c>
      <c r="CO181" s="2">
        <v>0</v>
      </c>
      <c r="CP181" s="2">
        <f t="shared" si="480"/>
        <v>23062.5</v>
      </c>
      <c r="CQ181" s="2">
        <v>0</v>
      </c>
      <c r="CR181" s="2">
        <f t="shared" si="481"/>
        <v>23062.5</v>
      </c>
      <c r="CS181" s="2"/>
      <c r="CT181" s="2">
        <f t="shared" si="482"/>
        <v>23062.5</v>
      </c>
      <c r="CU181" s="2"/>
      <c r="CV181" s="2">
        <f t="shared" si="482"/>
        <v>23062.5</v>
      </c>
      <c r="CW181" s="2"/>
      <c r="CX181" s="2">
        <f t="shared" si="482"/>
        <v>23062.5</v>
      </c>
      <c r="CY181" s="2"/>
      <c r="CZ181" s="2">
        <f t="shared" si="482"/>
        <v>23062.5</v>
      </c>
      <c r="DA181" s="2"/>
      <c r="DB181" s="2">
        <f t="shared" si="482"/>
        <v>23062.5</v>
      </c>
      <c r="DC181" s="2"/>
      <c r="DD181" s="2">
        <f t="shared" si="482"/>
        <v>23062.5</v>
      </c>
      <c r="DE181" s="2"/>
      <c r="DF181" s="2">
        <f t="shared" si="483"/>
        <v>23062.5</v>
      </c>
      <c r="DG181" s="2"/>
      <c r="DH181" s="2">
        <f t="shared" si="484"/>
        <v>23062.5</v>
      </c>
      <c r="DI181" s="2"/>
      <c r="DJ181" s="2">
        <f t="shared" si="485"/>
        <v>23062.5</v>
      </c>
      <c r="DK181" s="2"/>
      <c r="DL181" s="2">
        <f t="shared" si="486"/>
        <v>23062.5</v>
      </c>
      <c r="DM181" s="2"/>
      <c r="DN181" s="2">
        <f t="shared" si="487"/>
        <v>23062.5</v>
      </c>
      <c r="DO181" s="2"/>
      <c r="DP181" s="2">
        <f t="shared" si="488"/>
        <v>23062.5</v>
      </c>
      <c r="DQ181" s="2"/>
      <c r="DR181" s="2">
        <f t="shared" si="489"/>
        <v>23062.5</v>
      </c>
      <c r="DS181" s="2"/>
      <c r="DT181" s="2">
        <f t="shared" si="451"/>
        <v>23062.5</v>
      </c>
      <c r="DU181" s="2"/>
      <c r="DV181" s="2">
        <f t="shared" si="451"/>
        <v>23062.5</v>
      </c>
      <c r="DW181" s="266">
        <f t="shared" si="452"/>
        <v>23062.5</v>
      </c>
      <c r="DX181" s="441">
        <f t="shared" si="453"/>
        <v>0</v>
      </c>
    </row>
    <row r="182" spans="1:128">
      <c r="A182" s="413">
        <v>23</v>
      </c>
      <c r="B182" s="413" t="s">
        <v>534</v>
      </c>
      <c r="C182" s="433" t="s">
        <v>518</v>
      </c>
      <c r="D182" s="468">
        <v>0.1391</v>
      </c>
      <c r="E182" s="442">
        <f>367180-91700</f>
        <v>275480</v>
      </c>
      <c r="F182" s="437" t="s">
        <v>1001</v>
      </c>
      <c r="G182" s="438">
        <v>41036</v>
      </c>
      <c r="H182" s="438"/>
      <c r="I182" s="438"/>
      <c r="J182" s="438"/>
      <c r="K182" s="438"/>
      <c r="L182" s="438"/>
      <c r="M182" s="433"/>
      <c r="N182" s="436"/>
      <c r="O182" s="436"/>
      <c r="P182" s="433"/>
      <c r="Q182" s="436"/>
      <c r="R182" s="436"/>
      <c r="S182" s="433"/>
      <c r="T182" s="436"/>
      <c r="U182" s="436"/>
      <c r="V182" s="433"/>
      <c r="W182" s="436"/>
      <c r="X182" s="436"/>
      <c r="Y182" s="433">
        <f t="shared" si="420"/>
        <v>329</v>
      </c>
      <c r="Z182" s="436">
        <f>ROUND(IF(X182&gt;0,X182*$D182/365*Y182,($E182*$D182*Y182/365)),0)</f>
        <v>34540</v>
      </c>
      <c r="AA182" s="436">
        <f t="shared" si="422"/>
        <v>240940</v>
      </c>
      <c r="AB182" s="433">
        <f t="shared" si="423"/>
        <v>365</v>
      </c>
      <c r="AC182" s="436">
        <f t="shared" si="424"/>
        <v>33515</v>
      </c>
      <c r="AD182" s="436">
        <f t="shared" si="425"/>
        <v>207425</v>
      </c>
      <c r="AE182" s="436">
        <f t="shared" si="426"/>
        <v>68055</v>
      </c>
      <c r="AF182" s="436">
        <f t="shared" si="496"/>
        <v>207425</v>
      </c>
      <c r="AG182" s="436">
        <f t="shared" si="427"/>
        <v>0</v>
      </c>
      <c r="AH182" s="436">
        <f t="shared" si="428"/>
        <v>1.9013698630136986</v>
      </c>
      <c r="AI182" s="439">
        <v>15</v>
      </c>
      <c r="AJ182" s="436">
        <f t="shared" si="429"/>
        <v>13.098630136986301</v>
      </c>
      <c r="AK182" s="440">
        <f t="shared" si="430"/>
        <v>0.18701576789887775</v>
      </c>
      <c r="AL182" s="2">
        <f t="shared" si="431"/>
        <v>0</v>
      </c>
      <c r="AM182" s="433">
        <f t="shared" si="432"/>
        <v>365</v>
      </c>
      <c r="AN182" s="436">
        <f t="shared" si="433"/>
        <v>28853</v>
      </c>
      <c r="AO182" s="436">
        <f t="shared" si="434"/>
        <v>38792</v>
      </c>
      <c r="AP182" s="436">
        <f t="shared" si="435"/>
        <v>168633</v>
      </c>
      <c r="AQ182" s="436">
        <f t="shared" si="491"/>
        <v>168633</v>
      </c>
      <c r="AR182" s="436">
        <f t="shared" si="492"/>
        <v>0</v>
      </c>
      <c r="AS182" s="436">
        <f t="shared" si="493"/>
        <v>9939</v>
      </c>
      <c r="AT182" s="2">
        <f t="shared" si="436"/>
        <v>178572</v>
      </c>
      <c r="AU182" s="2">
        <f t="shared" si="437"/>
        <v>168633</v>
      </c>
      <c r="AV182" s="2">
        <f t="shared" si="438"/>
        <v>0</v>
      </c>
      <c r="AW182" s="2">
        <f t="shared" si="439"/>
        <v>365</v>
      </c>
      <c r="AX182" s="2">
        <f t="shared" si="458"/>
        <v>31537.02998809145</v>
      </c>
      <c r="AY182" s="2">
        <f t="shared" si="459"/>
        <v>137095.97001190856</v>
      </c>
      <c r="AZ182" s="433">
        <f t="shared" si="440"/>
        <v>365</v>
      </c>
      <c r="BA182" s="2">
        <f t="shared" si="460"/>
        <v>25639.108107618595</v>
      </c>
      <c r="BB182" s="2">
        <f t="shared" si="461"/>
        <v>111456.86190428997</v>
      </c>
      <c r="BC182" s="2">
        <f t="shared" si="462"/>
        <v>5475</v>
      </c>
      <c r="BD182" s="433">
        <f t="shared" si="441"/>
        <v>1789</v>
      </c>
      <c r="BE182" s="439">
        <f t="shared" si="442"/>
        <v>3686</v>
      </c>
      <c r="BF182" s="433">
        <f t="shared" si="443"/>
        <v>365</v>
      </c>
      <c r="BG182" s="2">
        <f t="shared" si="463"/>
        <v>20844.190616629963</v>
      </c>
      <c r="BH182" s="2">
        <f t="shared" si="444"/>
        <v>90612.671287660007</v>
      </c>
      <c r="BI182" s="2">
        <f t="shared" si="445"/>
        <v>16945.998302230328</v>
      </c>
      <c r="BJ182" s="2">
        <f t="shared" si="464"/>
        <v>73666.672985429672</v>
      </c>
      <c r="BK182" s="2">
        <f t="shared" si="465"/>
        <v>13776.829416925642</v>
      </c>
      <c r="BL182" s="2">
        <f t="shared" si="446"/>
        <v>59889.843568504031</v>
      </c>
      <c r="BM182" s="2"/>
      <c r="BN182" s="2">
        <f t="shared" si="447"/>
        <v>59889.843568504031</v>
      </c>
      <c r="BO182" s="2">
        <f t="shared" si="448"/>
        <v>11200.345084307446</v>
      </c>
      <c r="BP182" s="2">
        <f t="shared" si="466"/>
        <v>48689.498484196585</v>
      </c>
      <c r="BQ182" s="2"/>
      <c r="BR182" s="2">
        <f t="shared" si="449"/>
        <v>48689.498484196585</v>
      </c>
      <c r="BS182" s="2">
        <f t="shared" si="450"/>
        <v>9105.7039476332684</v>
      </c>
      <c r="BT182" s="2">
        <f t="shared" si="467"/>
        <v>39583.79453656332</v>
      </c>
      <c r="BU182" s="2">
        <f t="shared" si="468"/>
        <v>7402.793731606791</v>
      </c>
      <c r="BV182" s="2">
        <f t="shared" si="469"/>
        <v>32181.000804956529</v>
      </c>
      <c r="BW182" s="2">
        <f t="shared" si="495"/>
        <v>6018.3545772933485</v>
      </c>
      <c r="BX182" s="2">
        <f t="shared" si="471"/>
        <v>26162.646227663179</v>
      </c>
      <c r="BY182" s="2">
        <f t="shared" si="497"/>
        <v>4892.8273745331062</v>
      </c>
      <c r="BZ182" s="2">
        <f t="shared" si="472"/>
        <v>21269.818853130073</v>
      </c>
      <c r="CA182" s="2">
        <f t="shared" ref="CA182:CA201" si="498">+BZ182*AK182</f>
        <v>3977.7915058881476</v>
      </c>
      <c r="CB182" s="2">
        <f t="shared" si="473"/>
        <v>17292.027347241925</v>
      </c>
      <c r="CC182" s="2">
        <f>+CB182-E182*5%</f>
        <v>3518.0273472419249</v>
      </c>
      <c r="CD182" s="2">
        <f t="shared" si="474"/>
        <v>13774</v>
      </c>
      <c r="CE182" s="2">
        <v>0</v>
      </c>
      <c r="CF182" s="2">
        <f t="shared" si="475"/>
        <v>13774</v>
      </c>
      <c r="CG182" s="2">
        <v>0</v>
      </c>
      <c r="CH182" s="2">
        <f t="shared" si="476"/>
        <v>13774</v>
      </c>
      <c r="CI182" s="2">
        <v>0</v>
      </c>
      <c r="CJ182" s="2">
        <f t="shared" si="477"/>
        <v>13774</v>
      </c>
      <c r="CK182" s="2">
        <v>0</v>
      </c>
      <c r="CL182" s="2">
        <f t="shared" si="478"/>
        <v>13774</v>
      </c>
      <c r="CM182" s="2">
        <v>0</v>
      </c>
      <c r="CN182" s="2">
        <f t="shared" si="479"/>
        <v>13774</v>
      </c>
      <c r="CO182" s="2">
        <v>0</v>
      </c>
      <c r="CP182" s="2">
        <f t="shared" si="480"/>
        <v>13774</v>
      </c>
      <c r="CQ182" s="2">
        <v>0</v>
      </c>
      <c r="CR182" s="2">
        <f t="shared" si="481"/>
        <v>13774</v>
      </c>
      <c r="CS182" s="2"/>
      <c r="CT182" s="2">
        <f t="shared" si="482"/>
        <v>13774</v>
      </c>
      <c r="CU182" s="2"/>
      <c r="CV182" s="2">
        <f t="shared" si="482"/>
        <v>13774</v>
      </c>
      <c r="CW182" s="2"/>
      <c r="CX182" s="2">
        <f t="shared" si="482"/>
        <v>13774</v>
      </c>
      <c r="CY182" s="2"/>
      <c r="CZ182" s="2">
        <f t="shared" si="482"/>
        <v>13774</v>
      </c>
      <c r="DA182" s="2"/>
      <c r="DB182" s="2">
        <f t="shared" si="482"/>
        <v>13774</v>
      </c>
      <c r="DC182" s="2"/>
      <c r="DD182" s="2">
        <f t="shared" si="482"/>
        <v>13774</v>
      </c>
      <c r="DE182" s="2"/>
      <c r="DF182" s="2">
        <f t="shared" si="483"/>
        <v>13774</v>
      </c>
      <c r="DG182" s="2"/>
      <c r="DH182" s="2">
        <f t="shared" si="484"/>
        <v>13774</v>
      </c>
      <c r="DI182" s="2"/>
      <c r="DJ182" s="2">
        <f t="shared" si="485"/>
        <v>13774</v>
      </c>
      <c r="DK182" s="2"/>
      <c r="DL182" s="2">
        <f t="shared" si="486"/>
        <v>13774</v>
      </c>
      <c r="DM182" s="2"/>
      <c r="DN182" s="2">
        <f t="shared" si="487"/>
        <v>13774</v>
      </c>
      <c r="DO182" s="2"/>
      <c r="DP182" s="2">
        <f t="shared" si="488"/>
        <v>13774</v>
      </c>
      <c r="DQ182" s="2"/>
      <c r="DR182" s="2">
        <f t="shared" si="489"/>
        <v>13774</v>
      </c>
      <c r="DS182" s="2"/>
      <c r="DT182" s="2">
        <f t="shared" si="451"/>
        <v>13774</v>
      </c>
      <c r="DU182" s="2"/>
      <c r="DV182" s="2">
        <f t="shared" si="451"/>
        <v>13774</v>
      </c>
      <c r="DW182" s="266">
        <f t="shared" si="452"/>
        <v>13774</v>
      </c>
      <c r="DX182" s="441">
        <f t="shared" si="453"/>
        <v>0</v>
      </c>
    </row>
    <row r="183" spans="1:128">
      <c r="A183" s="413">
        <v>24</v>
      </c>
      <c r="B183" s="413" t="s">
        <v>535</v>
      </c>
      <c r="C183" s="433" t="s">
        <v>518</v>
      </c>
      <c r="D183" s="468">
        <v>0.1391</v>
      </c>
      <c r="E183" s="442">
        <v>296141</v>
      </c>
      <c r="F183" s="437" t="s">
        <v>1001</v>
      </c>
      <c r="G183" s="438">
        <v>41163</v>
      </c>
      <c r="H183" s="438"/>
      <c r="I183" s="438"/>
      <c r="J183" s="438"/>
      <c r="K183" s="438"/>
      <c r="L183" s="438"/>
      <c r="M183" s="433"/>
      <c r="N183" s="436"/>
      <c r="O183" s="436"/>
      <c r="P183" s="433"/>
      <c r="Q183" s="436"/>
      <c r="R183" s="436"/>
      <c r="S183" s="433"/>
      <c r="T183" s="436"/>
      <c r="U183" s="436"/>
      <c r="V183" s="433"/>
      <c r="W183" s="436"/>
      <c r="X183" s="436"/>
      <c r="Y183" s="433">
        <f t="shared" si="420"/>
        <v>202</v>
      </c>
      <c r="Z183" s="436">
        <f>ROUND(IF(X183&gt;0,X183*$D183/365*Y183,($E183*$D183*Y183/365)),0)</f>
        <v>22797</v>
      </c>
      <c r="AA183" s="436">
        <f t="shared" si="422"/>
        <v>273344</v>
      </c>
      <c r="AB183" s="433">
        <f t="shared" si="423"/>
        <v>365</v>
      </c>
      <c r="AC183" s="436">
        <f t="shared" si="424"/>
        <v>38022</v>
      </c>
      <c r="AD183" s="436">
        <f t="shared" si="425"/>
        <v>235322</v>
      </c>
      <c r="AE183" s="436">
        <f t="shared" si="426"/>
        <v>60819</v>
      </c>
      <c r="AF183" s="436">
        <f t="shared" si="496"/>
        <v>235322</v>
      </c>
      <c r="AG183" s="436">
        <f t="shared" si="427"/>
        <v>0</v>
      </c>
      <c r="AH183" s="436">
        <f t="shared" si="428"/>
        <v>1.5534246575342465</v>
      </c>
      <c r="AI183" s="439">
        <v>15</v>
      </c>
      <c r="AJ183" s="436">
        <f t="shared" si="429"/>
        <v>13.446575342465753</v>
      </c>
      <c r="AK183" s="440">
        <f t="shared" si="430"/>
        <v>0.18591612735265794</v>
      </c>
      <c r="AL183" s="2">
        <f t="shared" si="431"/>
        <v>0</v>
      </c>
      <c r="AM183" s="433">
        <f t="shared" si="432"/>
        <v>365</v>
      </c>
      <c r="AN183" s="436">
        <f t="shared" si="433"/>
        <v>32733</v>
      </c>
      <c r="AO183" s="436">
        <f t="shared" si="434"/>
        <v>43750</v>
      </c>
      <c r="AP183" s="436">
        <f t="shared" si="435"/>
        <v>191572</v>
      </c>
      <c r="AQ183" s="436">
        <f t="shared" si="491"/>
        <v>191572</v>
      </c>
      <c r="AR183" s="436">
        <f t="shared" si="492"/>
        <v>0</v>
      </c>
      <c r="AS183" s="436">
        <f t="shared" si="493"/>
        <v>11017</v>
      </c>
      <c r="AT183" s="2">
        <f t="shared" si="436"/>
        <v>202589</v>
      </c>
      <c r="AU183" s="2">
        <f t="shared" si="437"/>
        <v>191572</v>
      </c>
      <c r="AV183" s="2">
        <f t="shared" si="438"/>
        <v>0</v>
      </c>
      <c r="AW183" s="2">
        <f t="shared" si="439"/>
        <v>365</v>
      </c>
      <c r="AX183" s="2">
        <f t="shared" si="458"/>
        <v>35616.324349203387</v>
      </c>
      <c r="AY183" s="2">
        <f t="shared" si="459"/>
        <v>155955.67565079662</v>
      </c>
      <c r="AZ183" s="433">
        <f t="shared" si="440"/>
        <v>365</v>
      </c>
      <c r="BA183" s="2">
        <f t="shared" si="460"/>
        <v>28994.675255663322</v>
      </c>
      <c r="BB183" s="2">
        <f t="shared" si="461"/>
        <v>126961.00039513331</v>
      </c>
      <c r="BC183" s="2">
        <f t="shared" si="462"/>
        <v>5475</v>
      </c>
      <c r="BD183" s="433">
        <f t="shared" si="441"/>
        <v>1662</v>
      </c>
      <c r="BE183" s="439">
        <f t="shared" si="442"/>
        <v>3813</v>
      </c>
      <c r="BF183" s="433">
        <f t="shared" si="443"/>
        <v>365</v>
      </c>
      <c r="BG183" s="2">
        <f t="shared" si="463"/>
        <v>23604.097518282459</v>
      </c>
      <c r="BH183" s="2">
        <f t="shared" si="444"/>
        <v>103356.90287685084</v>
      </c>
      <c r="BI183" s="2">
        <f t="shared" si="445"/>
        <v>19215.7151180289</v>
      </c>
      <c r="BJ183" s="2">
        <f t="shared" si="464"/>
        <v>84141.187758821936</v>
      </c>
      <c r="BK183" s="2">
        <f t="shared" si="465"/>
        <v>15643.203778973042</v>
      </c>
      <c r="BL183" s="2">
        <f t="shared" si="446"/>
        <v>68497.983979848897</v>
      </c>
      <c r="BM183" s="2"/>
      <c r="BN183" s="2">
        <f t="shared" si="447"/>
        <v>68497.983979848897</v>
      </c>
      <c r="BO183" s="2">
        <f t="shared" si="448"/>
        <v>12734.879912997911</v>
      </c>
      <c r="BP183" s="2">
        <f t="shared" si="466"/>
        <v>55763.104066850989</v>
      </c>
      <c r="BQ183" s="2"/>
      <c r="BR183" s="2">
        <f t="shared" si="449"/>
        <v>55763.104066850989</v>
      </c>
      <c r="BS183" s="2">
        <f t="shared" si="450"/>
        <v>10367.260357272187</v>
      </c>
      <c r="BT183" s="2">
        <f t="shared" si="467"/>
        <v>45395.843709578803</v>
      </c>
      <c r="BU183" s="2">
        <f t="shared" si="468"/>
        <v>8439.8194603914089</v>
      </c>
      <c r="BV183" s="2">
        <f t="shared" si="469"/>
        <v>36956.024249187394</v>
      </c>
      <c r="BW183" s="2">
        <f t="shared" si="495"/>
        <v>6870.7209107598392</v>
      </c>
      <c r="BX183" s="2">
        <f t="shared" si="471"/>
        <v>30085.303338427555</v>
      </c>
      <c r="BY183" s="2">
        <f t="shared" si="497"/>
        <v>5593.3430869104423</v>
      </c>
      <c r="BZ183" s="2">
        <f t="shared" si="472"/>
        <v>24491.960251517114</v>
      </c>
      <c r="CA183" s="2">
        <f t="shared" si="498"/>
        <v>4553.4504012372918</v>
      </c>
      <c r="CB183" s="2">
        <f t="shared" si="473"/>
        <v>19938.509850279821</v>
      </c>
      <c r="CC183" s="2">
        <f>+CB183-E183*5%</f>
        <v>5131.4598502798199</v>
      </c>
      <c r="CD183" s="2">
        <f t="shared" si="474"/>
        <v>14807.050000000001</v>
      </c>
      <c r="CE183" s="2">
        <v>0</v>
      </c>
      <c r="CF183" s="2">
        <f t="shared" si="475"/>
        <v>14807.050000000001</v>
      </c>
      <c r="CG183" s="2">
        <v>0</v>
      </c>
      <c r="CH183" s="2">
        <f t="shared" si="476"/>
        <v>14807.050000000001</v>
      </c>
      <c r="CI183" s="2">
        <v>0</v>
      </c>
      <c r="CJ183" s="2">
        <f t="shared" si="477"/>
        <v>14807.050000000001</v>
      </c>
      <c r="CK183" s="2">
        <v>0</v>
      </c>
      <c r="CL183" s="2">
        <f t="shared" si="478"/>
        <v>14807.050000000001</v>
      </c>
      <c r="CM183" s="2">
        <v>0</v>
      </c>
      <c r="CN183" s="2">
        <f t="shared" si="479"/>
        <v>14807.050000000001</v>
      </c>
      <c r="CO183" s="2">
        <v>0</v>
      </c>
      <c r="CP183" s="2">
        <f t="shared" si="480"/>
        <v>14807.050000000001</v>
      </c>
      <c r="CQ183" s="2">
        <v>0</v>
      </c>
      <c r="CR183" s="2">
        <f t="shared" si="481"/>
        <v>14807.050000000001</v>
      </c>
      <c r="CS183" s="2"/>
      <c r="CT183" s="2">
        <f t="shared" si="482"/>
        <v>14807.050000000001</v>
      </c>
      <c r="CU183" s="2"/>
      <c r="CV183" s="2">
        <f t="shared" si="482"/>
        <v>14807.050000000001</v>
      </c>
      <c r="CW183" s="2"/>
      <c r="CX183" s="2">
        <f t="shared" si="482"/>
        <v>14807.050000000001</v>
      </c>
      <c r="CY183" s="2"/>
      <c r="CZ183" s="2">
        <f t="shared" si="482"/>
        <v>14807.050000000001</v>
      </c>
      <c r="DA183" s="2"/>
      <c r="DB183" s="2">
        <f t="shared" si="482"/>
        <v>14807.050000000001</v>
      </c>
      <c r="DC183" s="2"/>
      <c r="DD183" s="2">
        <f t="shared" si="482"/>
        <v>14807.050000000001</v>
      </c>
      <c r="DE183" s="2"/>
      <c r="DF183" s="2">
        <f t="shared" si="483"/>
        <v>14807.050000000001</v>
      </c>
      <c r="DG183" s="2"/>
      <c r="DH183" s="2">
        <f t="shared" si="484"/>
        <v>14807.050000000001</v>
      </c>
      <c r="DI183" s="2"/>
      <c r="DJ183" s="2">
        <f t="shared" si="485"/>
        <v>14807.050000000001</v>
      </c>
      <c r="DK183" s="2"/>
      <c r="DL183" s="2">
        <f t="shared" si="486"/>
        <v>14807.050000000001</v>
      </c>
      <c r="DM183" s="2"/>
      <c r="DN183" s="2">
        <f t="shared" si="487"/>
        <v>14807.050000000001</v>
      </c>
      <c r="DO183" s="2"/>
      <c r="DP183" s="2">
        <f t="shared" si="488"/>
        <v>14807.050000000001</v>
      </c>
      <c r="DQ183" s="2"/>
      <c r="DR183" s="2">
        <f t="shared" si="489"/>
        <v>14807.050000000001</v>
      </c>
      <c r="DS183" s="2"/>
      <c r="DT183" s="2">
        <f t="shared" si="451"/>
        <v>14807.050000000001</v>
      </c>
      <c r="DU183" s="2"/>
      <c r="DV183" s="2">
        <f t="shared" si="451"/>
        <v>14807.050000000001</v>
      </c>
      <c r="DW183" s="266">
        <f t="shared" si="452"/>
        <v>14807.050000000001</v>
      </c>
      <c r="DX183" s="441">
        <f t="shared" si="453"/>
        <v>0</v>
      </c>
    </row>
    <row r="184" spans="1:128">
      <c r="A184" s="413">
        <v>25</v>
      </c>
      <c r="B184" s="413" t="s">
        <v>536</v>
      </c>
      <c r="C184" s="433" t="s">
        <v>518</v>
      </c>
      <c r="D184" s="468">
        <v>0.1391</v>
      </c>
      <c r="E184" s="442">
        <v>148500</v>
      </c>
      <c r="F184" s="437" t="s">
        <v>1001</v>
      </c>
      <c r="G184" s="438">
        <v>41255</v>
      </c>
      <c r="H184" s="438"/>
      <c r="I184" s="438"/>
      <c r="J184" s="438"/>
      <c r="K184" s="438"/>
      <c r="L184" s="438"/>
      <c r="M184" s="433"/>
      <c r="N184" s="436"/>
      <c r="O184" s="436"/>
      <c r="P184" s="433"/>
      <c r="Q184" s="436"/>
      <c r="R184" s="436"/>
      <c r="S184" s="433"/>
      <c r="T184" s="436"/>
      <c r="U184" s="436"/>
      <c r="V184" s="433"/>
      <c r="W184" s="436"/>
      <c r="X184" s="436"/>
      <c r="Y184" s="433">
        <f>IF(($Y$6-G184+1)&gt;365,365,($Y$6-G184+1))-1</f>
        <v>109</v>
      </c>
      <c r="Z184" s="436">
        <f>ROUND(IF(X184&gt;0,X184*$D184/365*Y184,($E184*$D184*Y184/365)),0)</f>
        <v>6169</v>
      </c>
      <c r="AA184" s="436">
        <f t="shared" si="422"/>
        <v>142331</v>
      </c>
      <c r="AB184" s="433">
        <f t="shared" si="423"/>
        <v>365</v>
      </c>
      <c r="AC184" s="436">
        <f t="shared" si="424"/>
        <v>19798</v>
      </c>
      <c r="AD184" s="436">
        <f t="shared" si="425"/>
        <v>122533</v>
      </c>
      <c r="AE184" s="436">
        <f t="shared" si="426"/>
        <v>25967</v>
      </c>
      <c r="AF184" s="436">
        <f t="shared" si="496"/>
        <v>122533</v>
      </c>
      <c r="AG184" s="436">
        <f t="shared" si="427"/>
        <v>0</v>
      </c>
      <c r="AH184" s="436">
        <f t="shared" si="428"/>
        <v>1.3013698630136987</v>
      </c>
      <c r="AI184" s="439">
        <v>15</v>
      </c>
      <c r="AJ184" s="436">
        <f t="shared" si="429"/>
        <v>13.698630136986301</v>
      </c>
      <c r="AK184" s="440">
        <f t="shared" si="430"/>
        <v>0.18507363691353329</v>
      </c>
      <c r="AL184" s="2">
        <f t="shared" si="431"/>
        <v>0</v>
      </c>
      <c r="AM184" s="433">
        <f t="shared" si="432"/>
        <v>365</v>
      </c>
      <c r="AN184" s="436">
        <f t="shared" si="433"/>
        <v>17044</v>
      </c>
      <c r="AO184" s="436">
        <f t="shared" si="434"/>
        <v>22678</v>
      </c>
      <c r="AP184" s="436">
        <f t="shared" si="435"/>
        <v>99855</v>
      </c>
      <c r="AQ184" s="436">
        <f t="shared" si="491"/>
        <v>99855</v>
      </c>
      <c r="AR184" s="436">
        <f t="shared" si="492"/>
        <v>0</v>
      </c>
      <c r="AS184" s="436">
        <f t="shared" si="493"/>
        <v>5634</v>
      </c>
      <c r="AT184" s="2">
        <f t="shared" si="436"/>
        <v>105489</v>
      </c>
      <c r="AU184" s="2">
        <f t="shared" si="437"/>
        <v>99855</v>
      </c>
      <c r="AV184" s="2">
        <f t="shared" si="438"/>
        <v>0</v>
      </c>
      <c r="AW184" s="2">
        <f t="shared" si="439"/>
        <v>365</v>
      </c>
      <c r="AX184" s="2">
        <f t="shared" si="458"/>
        <v>18480.528014000865</v>
      </c>
      <c r="AY184" s="2">
        <f t="shared" si="459"/>
        <v>81374.471985999131</v>
      </c>
      <c r="AZ184" s="433">
        <f t="shared" si="440"/>
        <v>365</v>
      </c>
      <c r="BA184" s="2">
        <f t="shared" si="460"/>
        <v>15060.26948236729</v>
      </c>
      <c r="BB184" s="2">
        <f t="shared" si="461"/>
        <v>66314.202503631837</v>
      </c>
      <c r="BC184" s="2">
        <f t="shared" si="462"/>
        <v>5475</v>
      </c>
      <c r="BD184" s="433">
        <f t="shared" si="441"/>
        <v>1570</v>
      </c>
      <c r="BE184" s="439">
        <f t="shared" si="442"/>
        <v>3905</v>
      </c>
      <c r="BF184" s="433">
        <f t="shared" si="443"/>
        <v>365</v>
      </c>
      <c r="BG184" s="2">
        <f t="shared" si="463"/>
        <v>12273.010636367679</v>
      </c>
      <c r="BH184" s="2">
        <f t="shared" si="444"/>
        <v>54041.191867264162</v>
      </c>
      <c r="BI184" s="2">
        <f t="shared" si="445"/>
        <v>10001.599922016636</v>
      </c>
      <c r="BJ184" s="2">
        <f t="shared" si="464"/>
        <v>44039.591945247528</v>
      </c>
      <c r="BK184" s="2">
        <f t="shared" si="465"/>
        <v>8150.5674494949062</v>
      </c>
      <c r="BL184" s="2">
        <f t="shared" si="446"/>
        <v>35889.024495752623</v>
      </c>
      <c r="BM184" s="2"/>
      <c r="BN184" s="2">
        <f t="shared" si="447"/>
        <v>35889.024495752623</v>
      </c>
      <c r="BO184" s="2">
        <f t="shared" si="448"/>
        <v>6642.1122887078227</v>
      </c>
      <c r="BP184" s="2">
        <f t="shared" si="466"/>
        <v>29246.912207044799</v>
      </c>
      <c r="BQ184" s="2"/>
      <c r="BR184" s="2">
        <f t="shared" si="449"/>
        <v>29246.912207044799</v>
      </c>
      <c r="BS184" s="2">
        <f t="shared" si="450"/>
        <v>5412.8324106485934</v>
      </c>
      <c r="BT184" s="2">
        <f t="shared" si="467"/>
        <v>23834.079796396207</v>
      </c>
      <c r="BU184" s="2">
        <f t="shared" si="468"/>
        <v>4411.0598304064106</v>
      </c>
      <c r="BV184" s="2">
        <f t="shared" si="469"/>
        <v>19423.019965989795</v>
      </c>
      <c r="BW184" s="2">
        <f t="shared" si="495"/>
        <v>3594.6889449499031</v>
      </c>
      <c r="BX184" s="2">
        <f t="shared" si="471"/>
        <v>15828.331021039892</v>
      </c>
      <c r="BY184" s="2">
        <f t="shared" si="497"/>
        <v>2929.4067883351527</v>
      </c>
      <c r="BZ184" s="2">
        <f t="shared" si="472"/>
        <v>12898.92423270474</v>
      </c>
      <c r="CA184" s="2">
        <f t="shared" si="498"/>
        <v>2387.2508200187731</v>
      </c>
      <c r="CB184" s="2">
        <f t="shared" si="473"/>
        <v>10511.673412685966</v>
      </c>
      <c r="CC184" s="2">
        <f>+CB184-E184*5%</f>
        <v>3086.6734126859665</v>
      </c>
      <c r="CD184" s="2">
        <f t="shared" si="474"/>
        <v>7425</v>
      </c>
      <c r="CE184" s="2">
        <v>0</v>
      </c>
      <c r="CF184" s="2">
        <f t="shared" si="475"/>
        <v>7425</v>
      </c>
      <c r="CG184" s="2">
        <v>0</v>
      </c>
      <c r="CH184" s="2">
        <f t="shared" si="476"/>
        <v>7425</v>
      </c>
      <c r="CI184" s="2">
        <v>0</v>
      </c>
      <c r="CJ184" s="2">
        <f t="shared" si="477"/>
        <v>7425</v>
      </c>
      <c r="CK184" s="2">
        <v>0</v>
      </c>
      <c r="CL184" s="2">
        <f t="shared" si="478"/>
        <v>7425</v>
      </c>
      <c r="CM184" s="2">
        <v>0</v>
      </c>
      <c r="CN184" s="2">
        <f t="shared" si="479"/>
        <v>7425</v>
      </c>
      <c r="CO184" s="2">
        <v>0</v>
      </c>
      <c r="CP184" s="2">
        <f t="shared" si="480"/>
        <v>7425</v>
      </c>
      <c r="CQ184" s="2">
        <v>0</v>
      </c>
      <c r="CR184" s="2">
        <f t="shared" si="481"/>
        <v>7425</v>
      </c>
      <c r="CS184" s="2"/>
      <c r="CT184" s="2">
        <f t="shared" si="482"/>
        <v>7425</v>
      </c>
      <c r="CU184" s="2"/>
      <c r="CV184" s="2">
        <f t="shared" si="482"/>
        <v>7425</v>
      </c>
      <c r="CW184" s="2"/>
      <c r="CX184" s="2">
        <f t="shared" si="482"/>
        <v>7425</v>
      </c>
      <c r="CY184" s="2"/>
      <c r="CZ184" s="2">
        <f t="shared" si="482"/>
        <v>7425</v>
      </c>
      <c r="DA184" s="2"/>
      <c r="DB184" s="2">
        <f t="shared" si="482"/>
        <v>7425</v>
      </c>
      <c r="DC184" s="2"/>
      <c r="DD184" s="2">
        <f t="shared" si="482"/>
        <v>7425</v>
      </c>
      <c r="DE184" s="2"/>
      <c r="DF184" s="2">
        <f t="shared" si="483"/>
        <v>7425</v>
      </c>
      <c r="DG184" s="2"/>
      <c r="DH184" s="2">
        <f t="shared" si="484"/>
        <v>7425</v>
      </c>
      <c r="DI184" s="2"/>
      <c r="DJ184" s="2">
        <f t="shared" si="485"/>
        <v>7425</v>
      </c>
      <c r="DK184" s="2"/>
      <c r="DL184" s="2">
        <f t="shared" si="486"/>
        <v>7425</v>
      </c>
      <c r="DM184" s="2"/>
      <c r="DN184" s="2">
        <f t="shared" si="487"/>
        <v>7425</v>
      </c>
      <c r="DO184" s="2"/>
      <c r="DP184" s="2">
        <f t="shared" si="488"/>
        <v>7425</v>
      </c>
      <c r="DQ184" s="2"/>
      <c r="DR184" s="2">
        <f t="shared" si="489"/>
        <v>7425</v>
      </c>
      <c r="DS184" s="2"/>
      <c r="DT184" s="2">
        <f t="shared" si="451"/>
        <v>7425</v>
      </c>
      <c r="DU184" s="2"/>
      <c r="DV184" s="2">
        <f t="shared" si="451"/>
        <v>7425</v>
      </c>
      <c r="DW184" s="266">
        <f t="shared" si="452"/>
        <v>7425</v>
      </c>
      <c r="DX184" s="441">
        <f t="shared" si="453"/>
        <v>0</v>
      </c>
    </row>
    <row r="185" spans="1:128">
      <c r="A185" s="413">
        <v>26</v>
      </c>
      <c r="B185" s="413" t="s">
        <v>537</v>
      </c>
      <c r="C185" s="433" t="s">
        <v>518</v>
      </c>
      <c r="D185" s="468">
        <v>0.1391</v>
      </c>
      <c r="E185" s="442">
        <v>58501</v>
      </c>
      <c r="F185" s="437" t="s">
        <v>1001</v>
      </c>
      <c r="G185" s="438">
        <v>41011</v>
      </c>
      <c r="H185" s="438"/>
      <c r="I185" s="438"/>
      <c r="J185" s="438"/>
      <c r="K185" s="438"/>
      <c r="L185" s="438"/>
      <c r="M185" s="433"/>
      <c r="N185" s="436"/>
      <c r="O185" s="436"/>
      <c r="P185" s="433"/>
      <c r="Q185" s="436"/>
      <c r="R185" s="436"/>
      <c r="S185" s="433"/>
      <c r="T185" s="436"/>
      <c r="U185" s="436"/>
      <c r="V185" s="433"/>
      <c r="W185" s="436"/>
      <c r="X185" s="436"/>
      <c r="Y185" s="433">
        <f>IF(($Y$6-G185+1)&gt;365,365,($Y$6-G185+1))</f>
        <v>354</v>
      </c>
      <c r="Z185" s="436">
        <f>ROUND(IF(X185&gt;0,X185*$D185/365*Y185,($E185*$D185*Y185/365)),0)</f>
        <v>7892</v>
      </c>
      <c r="AA185" s="436">
        <f t="shared" si="422"/>
        <v>50609</v>
      </c>
      <c r="AB185" s="433">
        <f t="shared" si="423"/>
        <v>365</v>
      </c>
      <c r="AC185" s="436">
        <f t="shared" si="424"/>
        <v>7040</v>
      </c>
      <c r="AD185" s="436">
        <f t="shared" si="425"/>
        <v>43569</v>
      </c>
      <c r="AE185" s="436">
        <f t="shared" si="426"/>
        <v>14932</v>
      </c>
      <c r="AF185" s="436">
        <f t="shared" si="496"/>
        <v>43569</v>
      </c>
      <c r="AG185" s="436">
        <f t="shared" si="427"/>
        <v>0</v>
      </c>
      <c r="AH185" s="436">
        <f t="shared" si="428"/>
        <v>1.9698630136986301</v>
      </c>
      <c r="AI185" s="439">
        <v>15</v>
      </c>
      <c r="AJ185" s="436">
        <f t="shared" si="429"/>
        <v>13.03013698630137</v>
      </c>
      <c r="AK185" s="440">
        <f t="shared" si="430"/>
        <v>0.18721716552781842</v>
      </c>
      <c r="AL185" s="2">
        <f t="shared" si="431"/>
        <v>0</v>
      </c>
      <c r="AM185" s="433">
        <f t="shared" si="432"/>
        <v>365</v>
      </c>
      <c r="AN185" s="436">
        <f t="shared" si="433"/>
        <v>6060</v>
      </c>
      <c r="AO185" s="436">
        <f t="shared" si="434"/>
        <v>8157</v>
      </c>
      <c r="AP185" s="436">
        <f t="shared" si="435"/>
        <v>35412</v>
      </c>
      <c r="AQ185" s="436">
        <f t="shared" si="491"/>
        <v>35412</v>
      </c>
      <c r="AR185" s="436">
        <f t="shared" si="492"/>
        <v>0</v>
      </c>
      <c r="AS185" s="436">
        <f t="shared" si="493"/>
        <v>2097</v>
      </c>
      <c r="AT185" s="2">
        <f t="shared" si="436"/>
        <v>37509</v>
      </c>
      <c r="AU185" s="2">
        <f t="shared" si="437"/>
        <v>35412</v>
      </c>
      <c r="AV185" s="2">
        <f t="shared" si="438"/>
        <v>0</v>
      </c>
      <c r="AW185" s="2">
        <f t="shared" si="439"/>
        <v>365</v>
      </c>
      <c r="AX185" s="2">
        <f t="shared" si="458"/>
        <v>6629.7342656711062</v>
      </c>
      <c r="AY185" s="2">
        <f t="shared" si="459"/>
        <v>28782.265734328896</v>
      </c>
      <c r="AZ185" s="433">
        <f t="shared" si="440"/>
        <v>365</v>
      </c>
      <c r="BA185" s="2">
        <f t="shared" si="460"/>
        <v>5388.534208249509</v>
      </c>
      <c r="BB185" s="2">
        <f t="shared" si="461"/>
        <v>23393.731526079388</v>
      </c>
      <c r="BC185" s="2">
        <f t="shared" si="462"/>
        <v>5475</v>
      </c>
      <c r="BD185" s="433">
        <f t="shared" si="441"/>
        <v>1814</v>
      </c>
      <c r="BE185" s="439">
        <f t="shared" si="442"/>
        <v>3661</v>
      </c>
      <c r="BF185" s="433">
        <f t="shared" si="443"/>
        <v>365</v>
      </c>
      <c r="BG185" s="2">
        <f t="shared" si="463"/>
        <v>4379.7081074313492</v>
      </c>
      <c r="BH185" s="2">
        <f t="shared" si="444"/>
        <v>19014.023418648037</v>
      </c>
      <c r="BI185" s="2">
        <f t="shared" si="445"/>
        <v>3559.7515697188455</v>
      </c>
      <c r="BJ185" s="2">
        <f t="shared" si="464"/>
        <v>15454.271848929191</v>
      </c>
      <c r="BK185" s="2">
        <f t="shared" si="465"/>
        <v>2893.3049708528806</v>
      </c>
      <c r="BL185" s="2">
        <f t="shared" si="446"/>
        <v>12560.96687807631</v>
      </c>
      <c r="BM185" s="2"/>
      <c r="BN185" s="2">
        <f t="shared" si="447"/>
        <v>12560.96687807631</v>
      </c>
      <c r="BO185" s="2">
        <f t="shared" si="448"/>
        <v>2351.6286152022572</v>
      </c>
      <c r="BP185" s="2">
        <f t="shared" si="466"/>
        <v>10209.338262874053</v>
      </c>
      <c r="BQ185" s="2"/>
      <c r="BR185" s="2">
        <f t="shared" si="449"/>
        <v>10209.338262874053</v>
      </c>
      <c r="BS185" s="2">
        <f t="shared" si="450"/>
        <v>1911.3633714899818</v>
      </c>
      <c r="BT185" s="2">
        <f t="shared" si="467"/>
        <v>8297.9748913840704</v>
      </c>
      <c r="BU185" s="2">
        <f t="shared" si="468"/>
        <v>1553.5233387859325</v>
      </c>
      <c r="BV185" s="2">
        <f t="shared" si="469"/>
        <v>6744.4515525981378</v>
      </c>
      <c r="BW185" s="2">
        <f t="shared" si="495"/>
        <v>1262.6771027171176</v>
      </c>
      <c r="BX185" s="2">
        <f t="shared" si="471"/>
        <v>5481.7744498810207</v>
      </c>
      <c r="BY185" s="2">
        <f t="shared" si="497"/>
        <v>1026.2822745695407</v>
      </c>
      <c r="BZ185" s="2">
        <f t="shared" si="472"/>
        <v>4455.4921753114795</v>
      </c>
      <c r="CA185" s="2">
        <f t="shared" si="498"/>
        <v>834.14461609318903</v>
      </c>
      <c r="CB185" s="2">
        <f t="shared" si="473"/>
        <v>3621.3475592182904</v>
      </c>
      <c r="CC185" s="2">
        <f>+CB185-E185*5%</f>
        <v>696.29755921829019</v>
      </c>
      <c r="CD185" s="2">
        <f t="shared" si="474"/>
        <v>2925.05</v>
      </c>
      <c r="CE185" s="2">
        <v>0</v>
      </c>
      <c r="CF185" s="2">
        <f t="shared" si="475"/>
        <v>2925.05</v>
      </c>
      <c r="CG185" s="2">
        <v>0</v>
      </c>
      <c r="CH185" s="2">
        <f t="shared" si="476"/>
        <v>2925.05</v>
      </c>
      <c r="CI185" s="2">
        <v>0</v>
      </c>
      <c r="CJ185" s="2">
        <f t="shared" si="477"/>
        <v>2925.05</v>
      </c>
      <c r="CK185" s="2">
        <v>0</v>
      </c>
      <c r="CL185" s="2">
        <f t="shared" si="478"/>
        <v>2925.05</v>
      </c>
      <c r="CM185" s="2">
        <v>0</v>
      </c>
      <c r="CN185" s="2">
        <f t="shared" si="479"/>
        <v>2925.05</v>
      </c>
      <c r="CO185" s="2">
        <v>0</v>
      </c>
      <c r="CP185" s="2">
        <f t="shared" si="480"/>
        <v>2925.05</v>
      </c>
      <c r="CQ185" s="2">
        <v>0</v>
      </c>
      <c r="CR185" s="2">
        <f t="shared" si="481"/>
        <v>2925.05</v>
      </c>
      <c r="CS185" s="2"/>
      <c r="CT185" s="2">
        <f t="shared" si="482"/>
        <v>2925.05</v>
      </c>
      <c r="CU185" s="2"/>
      <c r="CV185" s="2">
        <f t="shared" si="482"/>
        <v>2925.05</v>
      </c>
      <c r="CW185" s="2"/>
      <c r="CX185" s="2">
        <f t="shared" si="482"/>
        <v>2925.05</v>
      </c>
      <c r="CY185" s="2"/>
      <c r="CZ185" s="2">
        <f t="shared" si="482"/>
        <v>2925.05</v>
      </c>
      <c r="DA185" s="2"/>
      <c r="DB185" s="2">
        <f t="shared" si="482"/>
        <v>2925.05</v>
      </c>
      <c r="DC185" s="2"/>
      <c r="DD185" s="2">
        <f t="shared" si="482"/>
        <v>2925.05</v>
      </c>
      <c r="DE185" s="2"/>
      <c r="DF185" s="2">
        <f t="shared" si="483"/>
        <v>2925.05</v>
      </c>
      <c r="DG185" s="2"/>
      <c r="DH185" s="2">
        <f t="shared" si="484"/>
        <v>2925.05</v>
      </c>
      <c r="DI185" s="2"/>
      <c r="DJ185" s="2">
        <f t="shared" si="485"/>
        <v>2925.05</v>
      </c>
      <c r="DK185" s="2"/>
      <c r="DL185" s="2">
        <f t="shared" si="486"/>
        <v>2925.05</v>
      </c>
      <c r="DM185" s="2"/>
      <c r="DN185" s="2">
        <f t="shared" si="487"/>
        <v>2925.05</v>
      </c>
      <c r="DO185" s="2"/>
      <c r="DP185" s="2">
        <f t="shared" si="488"/>
        <v>2925.05</v>
      </c>
      <c r="DQ185" s="2"/>
      <c r="DR185" s="2">
        <f t="shared" si="489"/>
        <v>2925.05</v>
      </c>
      <c r="DS185" s="2"/>
      <c r="DT185" s="2">
        <f t="shared" si="451"/>
        <v>2925.05</v>
      </c>
      <c r="DU185" s="2"/>
      <c r="DV185" s="2">
        <f t="shared" si="451"/>
        <v>2925.05</v>
      </c>
      <c r="DW185" s="266">
        <f t="shared" si="452"/>
        <v>2925.05</v>
      </c>
      <c r="DX185" s="441">
        <f t="shared" si="453"/>
        <v>0</v>
      </c>
    </row>
    <row r="186" spans="1:128">
      <c r="A186" s="413">
        <v>27</v>
      </c>
      <c r="B186" s="413" t="s">
        <v>538</v>
      </c>
      <c r="C186" s="433" t="s">
        <v>518</v>
      </c>
      <c r="D186" s="468">
        <v>0.1391</v>
      </c>
      <c r="E186" s="442">
        <v>588000</v>
      </c>
      <c r="F186" s="437" t="s">
        <v>1001</v>
      </c>
      <c r="G186" s="438">
        <v>41316</v>
      </c>
      <c r="H186" s="438"/>
      <c r="I186" s="438"/>
      <c r="J186" s="438"/>
      <c r="K186" s="438"/>
      <c r="L186" s="438"/>
      <c r="M186" s="433"/>
      <c r="N186" s="436"/>
      <c r="O186" s="436"/>
      <c r="P186" s="433"/>
      <c r="Q186" s="436"/>
      <c r="R186" s="436"/>
      <c r="S186" s="433"/>
      <c r="T186" s="436"/>
      <c r="U186" s="436"/>
      <c r="V186" s="433"/>
      <c r="W186" s="436"/>
      <c r="X186" s="436"/>
      <c r="Y186" s="433">
        <f>IF(($Y$6-G186+1)&gt;365,365,($Y$6-G186+1))</f>
        <v>49</v>
      </c>
      <c r="Z186" s="436">
        <f>ROUND(IF(X186&gt;0,X186*$D186/365*Y186,($E186*$D186*Y186/365)),0)</f>
        <v>10980</v>
      </c>
      <c r="AA186" s="436">
        <f t="shared" si="422"/>
        <v>577020</v>
      </c>
      <c r="AB186" s="433">
        <f t="shared" si="423"/>
        <v>365</v>
      </c>
      <c r="AC186" s="436">
        <f t="shared" si="424"/>
        <v>80263</v>
      </c>
      <c r="AD186" s="436">
        <f t="shared" si="425"/>
        <v>496757</v>
      </c>
      <c r="AE186" s="436">
        <f t="shared" si="426"/>
        <v>91243</v>
      </c>
      <c r="AF186" s="436">
        <f t="shared" si="496"/>
        <v>496757</v>
      </c>
      <c r="AG186" s="436">
        <f t="shared" si="427"/>
        <v>0</v>
      </c>
      <c r="AH186" s="436">
        <f t="shared" si="428"/>
        <v>1.1342465753424658</v>
      </c>
      <c r="AI186" s="439">
        <v>15</v>
      </c>
      <c r="AJ186" s="436">
        <f t="shared" si="429"/>
        <v>13.865753424657534</v>
      </c>
      <c r="AK186" s="440">
        <f t="shared" si="430"/>
        <v>0.18444897190396858</v>
      </c>
      <c r="AL186" s="2">
        <f t="shared" si="431"/>
        <v>0</v>
      </c>
      <c r="AM186" s="433">
        <f t="shared" si="432"/>
        <v>365</v>
      </c>
      <c r="AN186" s="436">
        <f t="shared" si="433"/>
        <v>69099</v>
      </c>
      <c r="AO186" s="436">
        <f t="shared" si="434"/>
        <v>91626</v>
      </c>
      <c r="AP186" s="436">
        <f t="shared" si="435"/>
        <v>405131</v>
      </c>
      <c r="AQ186" s="436">
        <f t="shared" si="491"/>
        <v>405131</v>
      </c>
      <c r="AR186" s="436">
        <f t="shared" si="492"/>
        <v>0</v>
      </c>
      <c r="AS186" s="436">
        <f t="shared" si="493"/>
        <v>22527</v>
      </c>
      <c r="AT186" s="2">
        <f t="shared" si="436"/>
        <v>427658</v>
      </c>
      <c r="AU186" s="2">
        <f t="shared" si="437"/>
        <v>405131</v>
      </c>
      <c r="AV186" s="2">
        <f t="shared" si="438"/>
        <v>0</v>
      </c>
      <c r="AW186" s="2">
        <f t="shared" si="439"/>
        <v>365</v>
      </c>
      <c r="AX186" s="2">
        <f t="shared" si="458"/>
        <v>74725.996436426693</v>
      </c>
      <c r="AY186" s="2">
        <f t="shared" si="459"/>
        <v>330405.00356357329</v>
      </c>
      <c r="AZ186" s="433">
        <f t="shared" si="440"/>
        <v>365</v>
      </c>
      <c r="BA186" s="2">
        <f t="shared" si="460"/>
        <v>60942.863219228173</v>
      </c>
      <c r="BB186" s="2">
        <f t="shared" si="461"/>
        <v>269462.14034434513</v>
      </c>
      <c r="BC186" s="2">
        <f t="shared" si="462"/>
        <v>5475</v>
      </c>
      <c r="BD186" s="433">
        <f t="shared" si="441"/>
        <v>1509</v>
      </c>
      <c r="BE186" s="439">
        <f t="shared" si="442"/>
        <v>3966</v>
      </c>
      <c r="BF186" s="433">
        <f t="shared" si="443"/>
        <v>365</v>
      </c>
      <c r="BG186" s="2">
        <f t="shared" si="463"/>
        <v>49702.014753557356</v>
      </c>
      <c r="BH186" s="2">
        <f t="shared" si="444"/>
        <v>219760.12559078776</v>
      </c>
      <c r="BI186" s="2">
        <f t="shared" si="445"/>
        <v>40534.52923070782</v>
      </c>
      <c r="BJ186" s="2">
        <f t="shared" si="464"/>
        <v>179225.59636007994</v>
      </c>
      <c r="BK186" s="2">
        <f t="shared" si="465"/>
        <v>33057.976987492402</v>
      </c>
      <c r="BL186" s="2">
        <f t="shared" si="446"/>
        <v>146167.61937258753</v>
      </c>
      <c r="BM186" s="2"/>
      <c r="BN186" s="2">
        <f t="shared" si="447"/>
        <v>146167.61937258753</v>
      </c>
      <c r="BO186" s="2">
        <f t="shared" si="448"/>
        <v>26960.467118924371</v>
      </c>
      <c r="BP186" s="2">
        <f t="shared" si="466"/>
        <v>119207.15225366317</v>
      </c>
      <c r="BQ186" s="2"/>
      <c r="BR186" s="2">
        <f t="shared" si="449"/>
        <v>119207.15225366317</v>
      </c>
      <c r="BS186" s="2">
        <f t="shared" si="450"/>
        <v>21987.636676788024</v>
      </c>
      <c r="BT186" s="2">
        <f t="shared" si="467"/>
        <v>97219.515576875143</v>
      </c>
      <c r="BU186" s="2">
        <f t="shared" si="468"/>
        <v>17932.039697156481</v>
      </c>
      <c r="BV186" s="2">
        <f t="shared" si="469"/>
        <v>79287.475879718666</v>
      </c>
      <c r="BW186" s="2">
        <f t="shared" si="495"/>
        <v>14624.493410874815</v>
      </c>
      <c r="BX186" s="2">
        <f t="shared" si="471"/>
        <v>64662.982468843853</v>
      </c>
      <c r="BY186" s="2">
        <f t="shared" si="497"/>
        <v>11927.020636622592</v>
      </c>
      <c r="BZ186" s="2">
        <f t="shared" si="472"/>
        <v>52735.961832221263</v>
      </c>
      <c r="CA186" s="2">
        <f t="shared" si="498"/>
        <v>9727.0939423201398</v>
      </c>
      <c r="CB186" s="2">
        <f t="shared" si="473"/>
        <v>43008.867889901121</v>
      </c>
      <c r="CC186" s="2">
        <f>+CB186-E186*5%</f>
        <v>13608.867889901121</v>
      </c>
      <c r="CD186" s="2">
        <f t="shared" si="474"/>
        <v>29400</v>
      </c>
      <c r="CE186" s="2">
        <v>0</v>
      </c>
      <c r="CF186" s="2">
        <f t="shared" si="475"/>
        <v>29400</v>
      </c>
      <c r="CG186" s="2">
        <v>0</v>
      </c>
      <c r="CH186" s="2">
        <f t="shared" si="476"/>
        <v>29400</v>
      </c>
      <c r="CI186" s="2">
        <v>0</v>
      </c>
      <c r="CJ186" s="2">
        <f t="shared" si="477"/>
        <v>29400</v>
      </c>
      <c r="CK186" s="2">
        <v>0</v>
      </c>
      <c r="CL186" s="2">
        <f t="shared" si="478"/>
        <v>29400</v>
      </c>
      <c r="CM186" s="2">
        <v>0</v>
      </c>
      <c r="CN186" s="2">
        <f t="shared" si="479"/>
        <v>29400</v>
      </c>
      <c r="CO186" s="2">
        <v>0</v>
      </c>
      <c r="CP186" s="2">
        <f t="shared" si="480"/>
        <v>29400</v>
      </c>
      <c r="CQ186" s="2">
        <v>0</v>
      </c>
      <c r="CR186" s="2">
        <f t="shared" si="481"/>
        <v>29400</v>
      </c>
      <c r="CS186" s="2"/>
      <c r="CT186" s="2">
        <f t="shared" si="482"/>
        <v>29400</v>
      </c>
      <c r="CU186" s="2"/>
      <c r="CV186" s="2">
        <f t="shared" si="482"/>
        <v>29400</v>
      </c>
      <c r="CW186" s="2"/>
      <c r="CX186" s="2">
        <f t="shared" si="482"/>
        <v>29400</v>
      </c>
      <c r="CY186" s="2"/>
      <c r="CZ186" s="2">
        <f t="shared" si="482"/>
        <v>29400</v>
      </c>
      <c r="DA186" s="2"/>
      <c r="DB186" s="2">
        <f t="shared" si="482"/>
        <v>29400</v>
      </c>
      <c r="DC186" s="2"/>
      <c r="DD186" s="2">
        <f t="shared" si="482"/>
        <v>29400</v>
      </c>
      <c r="DE186" s="2"/>
      <c r="DF186" s="2">
        <f t="shared" si="483"/>
        <v>29400</v>
      </c>
      <c r="DG186" s="2"/>
      <c r="DH186" s="2">
        <f t="shared" si="484"/>
        <v>29400</v>
      </c>
      <c r="DI186" s="2"/>
      <c r="DJ186" s="2">
        <f t="shared" si="485"/>
        <v>29400</v>
      </c>
      <c r="DK186" s="2"/>
      <c r="DL186" s="2">
        <f t="shared" si="486"/>
        <v>29400</v>
      </c>
      <c r="DM186" s="2"/>
      <c r="DN186" s="2">
        <f t="shared" si="487"/>
        <v>29400</v>
      </c>
      <c r="DO186" s="2"/>
      <c r="DP186" s="2">
        <f t="shared" si="488"/>
        <v>29400</v>
      </c>
      <c r="DQ186" s="2"/>
      <c r="DR186" s="2">
        <f t="shared" si="489"/>
        <v>29400</v>
      </c>
      <c r="DS186" s="2"/>
      <c r="DT186" s="2">
        <f t="shared" si="451"/>
        <v>29400</v>
      </c>
      <c r="DU186" s="2"/>
      <c r="DV186" s="2">
        <f t="shared" si="451"/>
        <v>29400</v>
      </c>
      <c r="DW186" s="266">
        <f t="shared" si="452"/>
        <v>29400</v>
      </c>
      <c r="DX186" s="441">
        <f t="shared" si="453"/>
        <v>0</v>
      </c>
    </row>
    <row r="187" spans="1:128">
      <c r="A187" s="413">
        <v>28</v>
      </c>
      <c r="B187" s="413" t="s">
        <v>539</v>
      </c>
      <c r="C187" s="433" t="s">
        <v>518</v>
      </c>
      <c r="D187" s="468">
        <v>0.1391</v>
      </c>
      <c r="E187" s="442">
        <v>36225</v>
      </c>
      <c r="F187" s="437" t="s">
        <v>1001</v>
      </c>
      <c r="G187" s="438">
        <v>41370</v>
      </c>
      <c r="H187" s="438"/>
      <c r="I187" s="438"/>
      <c r="J187" s="438"/>
      <c r="K187" s="438"/>
      <c r="L187" s="438"/>
      <c r="M187" s="433"/>
      <c r="N187" s="436"/>
      <c r="O187" s="436"/>
      <c r="P187" s="433"/>
      <c r="Q187" s="436"/>
      <c r="R187" s="436"/>
      <c r="S187" s="433"/>
      <c r="T187" s="436"/>
      <c r="U187" s="436"/>
      <c r="V187" s="433"/>
      <c r="W187" s="436"/>
      <c r="X187" s="436"/>
      <c r="Y187" s="433"/>
      <c r="Z187" s="436"/>
      <c r="AA187" s="436"/>
      <c r="AB187" s="433">
        <f>IF(($AB$6-G187+1)&gt;365,365,($AB$6-G187+1))-1</f>
        <v>359</v>
      </c>
      <c r="AC187" s="436">
        <f t="shared" si="424"/>
        <v>4956</v>
      </c>
      <c r="AD187" s="436">
        <f t="shared" si="425"/>
        <v>31269</v>
      </c>
      <c r="AE187" s="436">
        <f t="shared" si="426"/>
        <v>4956</v>
      </c>
      <c r="AF187" s="436">
        <f t="shared" si="496"/>
        <v>31269</v>
      </c>
      <c r="AG187" s="436">
        <f t="shared" si="427"/>
        <v>0</v>
      </c>
      <c r="AH187" s="436">
        <f t="shared" si="428"/>
        <v>0.98630136986301364</v>
      </c>
      <c r="AI187" s="439">
        <v>15</v>
      </c>
      <c r="AJ187" s="436">
        <f t="shared" si="429"/>
        <v>14.013698630136986</v>
      </c>
      <c r="AK187" s="440">
        <f t="shared" si="430"/>
        <v>0.18394477099098805</v>
      </c>
      <c r="AL187" s="2">
        <f t="shared" si="431"/>
        <v>0</v>
      </c>
      <c r="AM187" s="433">
        <f t="shared" si="432"/>
        <v>365</v>
      </c>
      <c r="AN187" s="436">
        <f t="shared" si="433"/>
        <v>4350</v>
      </c>
      <c r="AO187" s="436">
        <f t="shared" si="434"/>
        <v>5752</v>
      </c>
      <c r="AP187" s="436">
        <f t="shared" si="435"/>
        <v>25517</v>
      </c>
      <c r="AQ187" s="436">
        <f t="shared" si="491"/>
        <v>25517</v>
      </c>
      <c r="AR187" s="436">
        <f t="shared" si="492"/>
        <v>0</v>
      </c>
      <c r="AS187" s="436">
        <f t="shared" si="493"/>
        <v>1402</v>
      </c>
      <c r="AT187" s="2">
        <f t="shared" si="436"/>
        <v>26919</v>
      </c>
      <c r="AU187" s="2">
        <f t="shared" si="437"/>
        <v>25517</v>
      </c>
      <c r="AV187" s="2">
        <f t="shared" si="438"/>
        <v>0</v>
      </c>
      <c r="AW187" s="2">
        <f t="shared" si="439"/>
        <v>365</v>
      </c>
      <c r="AX187" s="2">
        <f t="shared" si="458"/>
        <v>4693.7187213770421</v>
      </c>
      <c r="AY187" s="2">
        <f t="shared" si="459"/>
        <v>20823.281278622959</v>
      </c>
      <c r="AZ187" s="433">
        <f t="shared" si="440"/>
        <v>365</v>
      </c>
      <c r="BA187" s="2">
        <f t="shared" si="460"/>
        <v>3830.3337060772292</v>
      </c>
      <c r="BB187" s="2">
        <f t="shared" si="461"/>
        <v>16992.947572545731</v>
      </c>
      <c r="BC187" s="2">
        <f t="shared" si="462"/>
        <v>5475</v>
      </c>
      <c r="BD187" s="433">
        <f t="shared" si="441"/>
        <v>1455</v>
      </c>
      <c r="BE187" s="439">
        <f t="shared" si="442"/>
        <v>4020</v>
      </c>
      <c r="BF187" s="433">
        <f t="shared" si="443"/>
        <v>365</v>
      </c>
      <c r="BG187" s="2">
        <f t="shared" si="463"/>
        <v>3125.7638496937907</v>
      </c>
      <c r="BH187" s="2">
        <f t="shared" si="444"/>
        <v>13867.18372285194</v>
      </c>
      <c r="BI187" s="2">
        <f t="shared" si="445"/>
        <v>2550.7959341899573</v>
      </c>
      <c r="BJ187" s="2">
        <f t="shared" si="464"/>
        <v>11316.387788661983</v>
      </c>
      <c r="BK187" s="2">
        <f t="shared" si="465"/>
        <v>2081.5903602306421</v>
      </c>
      <c r="BL187" s="2">
        <f t="shared" si="446"/>
        <v>9234.7974284313404</v>
      </c>
      <c r="BM187" s="2"/>
      <c r="BN187" s="2">
        <f t="shared" si="447"/>
        <v>9234.7974284313404</v>
      </c>
      <c r="BO187" s="2">
        <f t="shared" si="448"/>
        <v>1698.6926981209683</v>
      </c>
      <c r="BP187" s="2">
        <f t="shared" si="466"/>
        <v>7536.1047303103724</v>
      </c>
      <c r="BQ187" s="2"/>
      <c r="BR187" s="2">
        <f t="shared" si="449"/>
        <v>7536.1047303103724</v>
      </c>
      <c r="BS187" s="2">
        <f t="shared" si="450"/>
        <v>1386.2270587810433</v>
      </c>
      <c r="BT187" s="2">
        <f t="shared" si="467"/>
        <v>6149.8776715293288</v>
      </c>
      <c r="BU187" s="2">
        <f t="shared" si="468"/>
        <v>1131.2378399120532</v>
      </c>
      <c r="BV187" s="2">
        <f t="shared" si="469"/>
        <v>5018.6398316172754</v>
      </c>
      <c r="BW187" s="2">
        <f t="shared" si="495"/>
        <v>923.15255451309054</v>
      </c>
      <c r="BX187" s="2">
        <f t="shared" si="471"/>
        <v>4095.4872771041846</v>
      </c>
      <c r="BY187" s="2">
        <f t="shared" si="497"/>
        <v>753.3434692834345</v>
      </c>
      <c r="BZ187" s="2">
        <f t="shared" si="472"/>
        <v>3342.1438078207502</v>
      </c>
      <c r="CA187" s="2">
        <f t="shared" si="498"/>
        <v>614.76987734853662</v>
      </c>
      <c r="CB187" s="2">
        <f t="shared" si="473"/>
        <v>2727.3739304722135</v>
      </c>
      <c r="CC187" s="2">
        <f t="shared" ref="CC187:CC201" si="499">+CB187*AK187</f>
        <v>501.68617304750228</v>
      </c>
      <c r="CD187" s="2">
        <f t="shared" si="474"/>
        <v>2225.687757424711</v>
      </c>
      <c r="CE187" s="2">
        <f>+CD187-E187*5%</f>
        <v>414.43775742471098</v>
      </c>
      <c r="CF187" s="2">
        <f t="shared" si="475"/>
        <v>1811.25</v>
      </c>
      <c r="CG187" s="2">
        <v>0</v>
      </c>
      <c r="CH187" s="2">
        <f t="shared" si="476"/>
        <v>1811.25</v>
      </c>
      <c r="CI187" s="2">
        <v>0</v>
      </c>
      <c r="CJ187" s="2">
        <f t="shared" si="477"/>
        <v>1811.25</v>
      </c>
      <c r="CK187" s="2">
        <v>0</v>
      </c>
      <c r="CL187" s="2">
        <f t="shared" si="478"/>
        <v>1811.25</v>
      </c>
      <c r="CM187" s="2">
        <v>0</v>
      </c>
      <c r="CN187" s="2">
        <f t="shared" si="479"/>
        <v>1811.25</v>
      </c>
      <c r="CO187" s="2">
        <v>0</v>
      </c>
      <c r="CP187" s="2">
        <f t="shared" si="480"/>
        <v>1811.25</v>
      </c>
      <c r="CQ187" s="2">
        <v>0</v>
      </c>
      <c r="CR187" s="2">
        <f t="shared" si="481"/>
        <v>1811.25</v>
      </c>
      <c r="CS187" s="2"/>
      <c r="CT187" s="2">
        <f t="shared" si="482"/>
        <v>1811.25</v>
      </c>
      <c r="CU187" s="2"/>
      <c r="CV187" s="2">
        <f t="shared" si="482"/>
        <v>1811.25</v>
      </c>
      <c r="CW187" s="2"/>
      <c r="CX187" s="2">
        <f t="shared" si="482"/>
        <v>1811.25</v>
      </c>
      <c r="CY187" s="2"/>
      <c r="CZ187" s="2">
        <f t="shared" si="482"/>
        <v>1811.25</v>
      </c>
      <c r="DA187" s="2"/>
      <c r="DB187" s="2">
        <f t="shared" si="482"/>
        <v>1811.25</v>
      </c>
      <c r="DC187" s="2"/>
      <c r="DD187" s="2">
        <f t="shared" si="482"/>
        <v>1811.25</v>
      </c>
      <c r="DE187" s="2"/>
      <c r="DF187" s="2">
        <f t="shared" si="483"/>
        <v>1811.25</v>
      </c>
      <c r="DG187" s="2"/>
      <c r="DH187" s="2">
        <f t="shared" si="484"/>
        <v>1811.25</v>
      </c>
      <c r="DI187" s="2"/>
      <c r="DJ187" s="2">
        <f t="shared" si="485"/>
        <v>1811.25</v>
      </c>
      <c r="DK187" s="2"/>
      <c r="DL187" s="2">
        <f t="shared" si="486"/>
        <v>1811.25</v>
      </c>
      <c r="DM187" s="2"/>
      <c r="DN187" s="2">
        <f t="shared" si="487"/>
        <v>1811.25</v>
      </c>
      <c r="DO187" s="2"/>
      <c r="DP187" s="2">
        <f t="shared" si="488"/>
        <v>1811.25</v>
      </c>
      <c r="DQ187" s="2"/>
      <c r="DR187" s="2">
        <f t="shared" si="489"/>
        <v>1811.25</v>
      </c>
      <c r="DS187" s="2"/>
      <c r="DT187" s="2">
        <f t="shared" si="451"/>
        <v>1811.25</v>
      </c>
      <c r="DU187" s="2"/>
      <c r="DV187" s="2">
        <f t="shared" si="451"/>
        <v>1811.25</v>
      </c>
      <c r="DW187" s="266">
        <f t="shared" si="452"/>
        <v>1811.25</v>
      </c>
      <c r="DX187" s="441">
        <f t="shared" si="453"/>
        <v>0</v>
      </c>
    </row>
    <row r="188" spans="1:128">
      <c r="A188" s="413">
        <v>29</v>
      </c>
      <c r="B188" s="413" t="s">
        <v>540</v>
      </c>
      <c r="C188" s="433" t="s">
        <v>518</v>
      </c>
      <c r="D188" s="468">
        <v>0.1391</v>
      </c>
      <c r="E188" s="442">
        <v>84592</v>
      </c>
      <c r="F188" s="437" t="s">
        <v>1001</v>
      </c>
      <c r="G188" s="438">
        <v>41516</v>
      </c>
      <c r="H188" s="438"/>
      <c r="I188" s="438"/>
      <c r="J188" s="438"/>
      <c r="K188" s="438"/>
      <c r="L188" s="438"/>
      <c r="M188" s="433"/>
      <c r="N188" s="436"/>
      <c r="O188" s="436"/>
      <c r="P188" s="433"/>
      <c r="Q188" s="436"/>
      <c r="R188" s="436"/>
      <c r="S188" s="433"/>
      <c r="T188" s="436"/>
      <c r="U188" s="436"/>
      <c r="V188" s="433"/>
      <c r="W188" s="436"/>
      <c r="X188" s="436"/>
      <c r="Y188" s="433"/>
      <c r="Z188" s="436"/>
      <c r="AA188" s="436"/>
      <c r="AB188" s="433">
        <f>IF(($AB$6-G188+1)&gt;365,365,($AB$6-G188+1))-1</f>
        <v>213</v>
      </c>
      <c r="AC188" s="436">
        <f t="shared" si="424"/>
        <v>6867</v>
      </c>
      <c r="AD188" s="436">
        <f t="shared" si="425"/>
        <v>77725</v>
      </c>
      <c r="AE188" s="436">
        <f t="shared" si="426"/>
        <v>6867</v>
      </c>
      <c r="AF188" s="436">
        <f t="shared" si="496"/>
        <v>77725</v>
      </c>
      <c r="AG188" s="436">
        <f t="shared" si="427"/>
        <v>0</v>
      </c>
      <c r="AH188" s="436">
        <f t="shared" si="428"/>
        <v>0.58630136986301373</v>
      </c>
      <c r="AI188" s="439">
        <v>15</v>
      </c>
      <c r="AJ188" s="436">
        <f t="shared" si="429"/>
        <v>14.413698630136986</v>
      </c>
      <c r="AK188" s="440">
        <f t="shared" si="430"/>
        <v>0.18287686361693056</v>
      </c>
      <c r="AL188" s="2">
        <f t="shared" si="431"/>
        <v>0</v>
      </c>
      <c r="AM188" s="433">
        <f t="shared" si="432"/>
        <v>365</v>
      </c>
      <c r="AN188" s="436">
        <f t="shared" si="433"/>
        <v>10812</v>
      </c>
      <c r="AO188" s="436">
        <f t="shared" si="434"/>
        <v>14214</v>
      </c>
      <c r="AP188" s="436">
        <f t="shared" si="435"/>
        <v>63511</v>
      </c>
      <c r="AQ188" s="436">
        <f t="shared" si="491"/>
        <v>63511</v>
      </c>
      <c r="AR188" s="436">
        <f t="shared" si="492"/>
        <v>0</v>
      </c>
      <c r="AS188" s="436">
        <f t="shared" si="493"/>
        <v>3402</v>
      </c>
      <c r="AT188" s="2">
        <f t="shared" si="436"/>
        <v>66913</v>
      </c>
      <c r="AU188" s="2">
        <f t="shared" si="437"/>
        <v>63511</v>
      </c>
      <c r="AV188" s="2">
        <f t="shared" si="438"/>
        <v>0</v>
      </c>
      <c r="AW188" s="2">
        <f t="shared" si="439"/>
        <v>365</v>
      </c>
      <c r="AX188" s="2">
        <f t="shared" si="458"/>
        <v>11614.692485174877</v>
      </c>
      <c r="AY188" s="2">
        <f t="shared" si="459"/>
        <v>51896.307514825123</v>
      </c>
      <c r="AZ188" s="433">
        <f t="shared" si="440"/>
        <v>365</v>
      </c>
      <c r="BA188" s="2">
        <f t="shared" si="460"/>
        <v>9490.633951610962</v>
      </c>
      <c r="BB188" s="2">
        <f t="shared" si="461"/>
        <v>42405.673563214164</v>
      </c>
      <c r="BC188" s="2">
        <f t="shared" si="462"/>
        <v>5475</v>
      </c>
      <c r="BD188" s="433">
        <f t="shared" si="441"/>
        <v>1309</v>
      </c>
      <c r="BE188" s="439">
        <f t="shared" si="442"/>
        <v>4166</v>
      </c>
      <c r="BF188" s="433">
        <f t="shared" si="443"/>
        <v>365</v>
      </c>
      <c r="BG188" s="2">
        <f t="shared" si="463"/>
        <v>7755.0165808039947</v>
      </c>
      <c r="BH188" s="2">
        <f t="shared" si="444"/>
        <v>34650.656982410168</v>
      </c>
      <c r="BI188" s="2">
        <f t="shared" si="445"/>
        <v>6336.8034712092667</v>
      </c>
      <c r="BJ188" s="2">
        <f t="shared" si="464"/>
        <v>28313.853511200901</v>
      </c>
      <c r="BK188" s="2">
        <f t="shared" si="465"/>
        <v>5177.9487270376376</v>
      </c>
      <c r="BL188" s="2">
        <f t="shared" si="446"/>
        <v>23135.904784163264</v>
      </c>
      <c r="BM188" s="2"/>
      <c r="BN188" s="2">
        <f t="shared" si="447"/>
        <v>23135.904784163264</v>
      </c>
      <c r="BO188" s="2">
        <f t="shared" si="448"/>
        <v>4231.0217038677165</v>
      </c>
      <c r="BP188" s="2">
        <f t="shared" si="466"/>
        <v>18904.883080295549</v>
      </c>
      <c r="BQ188" s="2"/>
      <c r="BR188" s="2">
        <f t="shared" si="449"/>
        <v>18904.883080295549</v>
      </c>
      <c r="BS188" s="2">
        <f t="shared" si="450"/>
        <v>3457.2657247692273</v>
      </c>
      <c r="BT188" s="2">
        <f t="shared" si="467"/>
        <v>15447.617355526321</v>
      </c>
      <c r="BU188" s="2">
        <f t="shared" si="468"/>
        <v>2825.0118123331167</v>
      </c>
      <c r="BV188" s="2">
        <f t="shared" si="469"/>
        <v>12622.605543193204</v>
      </c>
      <c r="BW188" s="2">
        <f t="shared" si="495"/>
        <v>2308.3825124128552</v>
      </c>
      <c r="BX188" s="2">
        <f t="shared" si="471"/>
        <v>10314.223030780347</v>
      </c>
      <c r="BY188" s="2">
        <f t="shared" si="497"/>
        <v>1886.2327585146218</v>
      </c>
      <c r="BZ188" s="2">
        <f t="shared" si="472"/>
        <v>8427.9902722657262</v>
      </c>
      <c r="CA188" s="2">
        <f t="shared" si="498"/>
        <v>1541.2844275859568</v>
      </c>
      <c r="CB188" s="2">
        <f t="shared" si="473"/>
        <v>6886.7058446797691</v>
      </c>
      <c r="CC188" s="2">
        <f t="shared" si="499"/>
        <v>1259.4191655274208</v>
      </c>
      <c r="CD188" s="2">
        <f t="shared" si="474"/>
        <v>5627.2866791523484</v>
      </c>
      <c r="CE188" s="2">
        <f>+CD188-E188*5%</f>
        <v>1397.686679152348</v>
      </c>
      <c r="CF188" s="2">
        <f t="shared" si="475"/>
        <v>4229.6000000000004</v>
      </c>
      <c r="CG188" s="2">
        <v>0</v>
      </c>
      <c r="CH188" s="2">
        <f t="shared" si="476"/>
        <v>4229.6000000000004</v>
      </c>
      <c r="CI188" s="2">
        <v>0</v>
      </c>
      <c r="CJ188" s="2">
        <f t="shared" si="477"/>
        <v>4229.6000000000004</v>
      </c>
      <c r="CK188" s="2">
        <v>0</v>
      </c>
      <c r="CL188" s="2">
        <f t="shared" si="478"/>
        <v>4229.6000000000004</v>
      </c>
      <c r="CM188" s="2">
        <v>0</v>
      </c>
      <c r="CN188" s="2">
        <f t="shared" si="479"/>
        <v>4229.6000000000004</v>
      </c>
      <c r="CO188" s="2">
        <v>0</v>
      </c>
      <c r="CP188" s="2">
        <f t="shared" si="480"/>
        <v>4229.6000000000004</v>
      </c>
      <c r="CQ188" s="2">
        <v>0</v>
      </c>
      <c r="CR188" s="2">
        <f t="shared" si="481"/>
        <v>4229.6000000000004</v>
      </c>
      <c r="CS188" s="2"/>
      <c r="CT188" s="2">
        <f t="shared" si="482"/>
        <v>4229.6000000000004</v>
      </c>
      <c r="CU188" s="2"/>
      <c r="CV188" s="2">
        <f t="shared" si="482"/>
        <v>4229.6000000000004</v>
      </c>
      <c r="CW188" s="2"/>
      <c r="CX188" s="2">
        <f t="shared" si="482"/>
        <v>4229.6000000000004</v>
      </c>
      <c r="CY188" s="2"/>
      <c r="CZ188" s="2">
        <f t="shared" si="482"/>
        <v>4229.6000000000004</v>
      </c>
      <c r="DA188" s="2"/>
      <c r="DB188" s="2">
        <f t="shared" si="482"/>
        <v>4229.6000000000004</v>
      </c>
      <c r="DC188" s="2"/>
      <c r="DD188" s="2">
        <f t="shared" si="482"/>
        <v>4229.6000000000004</v>
      </c>
      <c r="DE188" s="2"/>
      <c r="DF188" s="2">
        <f t="shared" si="483"/>
        <v>4229.6000000000004</v>
      </c>
      <c r="DG188" s="2"/>
      <c r="DH188" s="2">
        <f t="shared" si="484"/>
        <v>4229.6000000000004</v>
      </c>
      <c r="DI188" s="2"/>
      <c r="DJ188" s="2">
        <f t="shared" si="485"/>
        <v>4229.6000000000004</v>
      </c>
      <c r="DK188" s="2"/>
      <c r="DL188" s="2">
        <f t="shared" si="486"/>
        <v>4229.6000000000004</v>
      </c>
      <c r="DM188" s="2"/>
      <c r="DN188" s="2">
        <f t="shared" si="487"/>
        <v>4229.6000000000004</v>
      </c>
      <c r="DO188" s="2"/>
      <c r="DP188" s="2">
        <f t="shared" si="488"/>
        <v>4229.6000000000004</v>
      </c>
      <c r="DQ188" s="2"/>
      <c r="DR188" s="2">
        <f t="shared" si="489"/>
        <v>4229.6000000000004</v>
      </c>
      <c r="DS188" s="2"/>
      <c r="DT188" s="2">
        <f t="shared" si="451"/>
        <v>4229.6000000000004</v>
      </c>
      <c r="DU188" s="2"/>
      <c r="DV188" s="2">
        <f t="shared" si="451"/>
        <v>4229.6000000000004</v>
      </c>
      <c r="DW188" s="266">
        <f t="shared" si="452"/>
        <v>4229.6000000000004</v>
      </c>
      <c r="DX188" s="441">
        <f t="shared" si="453"/>
        <v>0</v>
      </c>
    </row>
    <row r="189" spans="1:128">
      <c r="A189" s="413">
        <v>30</v>
      </c>
      <c r="B189" s="413" t="s">
        <v>541</v>
      </c>
      <c r="C189" s="433" t="s">
        <v>518</v>
      </c>
      <c r="D189" s="468">
        <v>0.1391</v>
      </c>
      <c r="E189" s="442">
        <v>61470</v>
      </c>
      <c r="F189" s="437" t="s">
        <v>1001</v>
      </c>
      <c r="G189" s="438">
        <v>41680</v>
      </c>
      <c r="H189" s="438"/>
      <c r="I189" s="438"/>
      <c r="J189" s="438"/>
      <c r="K189" s="438"/>
      <c r="L189" s="438"/>
      <c r="M189" s="433"/>
      <c r="N189" s="436"/>
      <c r="O189" s="436"/>
      <c r="P189" s="433"/>
      <c r="Q189" s="436"/>
      <c r="R189" s="436"/>
      <c r="S189" s="433"/>
      <c r="T189" s="436"/>
      <c r="U189" s="436"/>
      <c r="V189" s="433"/>
      <c r="W189" s="436"/>
      <c r="X189" s="436"/>
      <c r="Y189" s="433"/>
      <c r="Z189" s="436"/>
      <c r="AA189" s="436"/>
      <c r="AB189" s="433">
        <f>IF(($AB$6-G189+1)&gt;365,365,($AB$6-G189+1))-1</f>
        <v>49</v>
      </c>
      <c r="AC189" s="436">
        <f t="shared" si="424"/>
        <v>1148</v>
      </c>
      <c r="AD189" s="436">
        <f t="shared" si="425"/>
        <v>60322</v>
      </c>
      <c r="AE189" s="436">
        <f t="shared" si="426"/>
        <v>1148</v>
      </c>
      <c r="AF189" s="436">
        <f t="shared" si="496"/>
        <v>60322</v>
      </c>
      <c r="AG189" s="436">
        <f t="shared" si="427"/>
        <v>0</v>
      </c>
      <c r="AH189" s="436">
        <f t="shared" si="428"/>
        <v>0.13698630136986301</v>
      </c>
      <c r="AI189" s="439">
        <v>15</v>
      </c>
      <c r="AJ189" s="436">
        <f t="shared" si="429"/>
        <v>14.863013698630137</v>
      </c>
      <c r="AK189" s="440">
        <f t="shared" si="430"/>
        <v>0.18150482099699872</v>
      </c>
      <c r="AL189" s="2">
        <f t="shared" si="431"/>
        <v>0</v>
      </c>
      <c r="AM189" s="433">
        <f t="shared" si="432"/>
        <v>365</v>
      </c>
      <c r="AN189" s="436">
        <f t="shared" si="433"/>
        <v>8391</v>
      </c>
      <c r="AO189" s="436">
        <f t="shared" si="434"/>
        <v>10949</v>
      </c>
      <c r="AP189" s="436">
        <f t="shared" si="435"/>
        <v>49373</v>
      </c>
      <c r="AQ189" s="436">
        <f t="shared" si="491"/>
        <v>49373</v>
      </c>
      <c r="AR189" s="436">
        <f t="shared" si="492"/>
        <v>0</v>
      </c>
      <c r="AS189" s="436">
        <f t="shared" si="493"/>
        <v>2558</v>
      </c>
      <c r="AT189" s="2">
        <f t="shared" si="436"/>
        <v>51931</v>
      </c>
      <c r="AU189" s="2">
        <f t="shared" si="437"/>
        <v>49373</v>
      </c>
      <c r="AV189" s="2">
        <f t="shared" si="438"/>
        <v>0</v>
      </c>
      <c r="AW189" s="2">
        <f t="shared" si="439"/>
        <v>365</v>
      </c>
      <c r="AX189" s="2">
        <f t="shared" si="458"/>
        <v>8961.4375270848177</v>
      </c>
      <c r="AY189" s="2">
        <f t="shared" si="459"/>
        <v>40411.562472915182</v>
      </c>
      <c r="AZ189" s="433">
        <f t="shared" si="440"/>
        <v>365</v>
      </c>
      <c r="BA189" s="2">
        <f t="shared" si="460"/>
        <v>7334.8934128555011</v>
      </c>
      <c r="BB189" s="2">
        <f t="shared" si="461"/>
        <v>33076.669060059678</v>
      </c>
      <c r="BC189" s="2">
        <f t="shared" si="462"/>
        <v>5475</v>
      </c>
      <c r="BD189" s="433">
        <f t="shared" si="441"/>
        <v>1145</v>
      </c>
      <c r="BE189" s="439">
        <f t="shared" si="442"/>
        <v>4330</v>
      </c>
      <c r="BF189" s="433">
        <f t="shared" si="443"/>
        <v>365</v>
      </c>
      <c r="BG189" s="2">
        <f t="shared" si="463"/>
        <v>6003.5748969230972</v>
      </c>
      <c r="BH189" s="2">
        <f t="shared" si="444"/>
        <v>27073.094163136579</v>
      </c>
      <c r="BI189" s="2">
        <f t="shared" si="445"/>
        <v>4913.8971099149958</v>
      </c>
      <c r="BJ189" s="2">
        <f t="shared" si="464"/>
        <v>22159.197053221582</v>
      </c>
      <c r="BK189" s="2">
        <f t="shared" si="465"/>
        <v>4022.0010945822046</v>
      </c>
      <c r="BL189" s="2">
        <f t="shared" si="446"/>
        <v>18137.195958639379</v>
      </c>
      <c r="BM189" s="2"/>
      <c r="BN189" s="2">
        <f t="shared" si="447"/>
        <v>18137.195958639379</v>
      </c>
      <c r="BO189" s="2">
        <f t="shared" si="448"/>
        <v>3291.988505860329</v>
      </c>
      <c r="BP189" s="2">
        <f t="shared" si="466"/>
        <v>14845.20745277905</v>
      </c>
      <c r="BQ189" s="2"/>
      <c r="BR189" s="2">
        <f t="shared" si="449"/>
        <v>14845.20745277905</v>
      </c>
      <c r="BS189" s="2">
        <f t="shared" si="450"/>
        <v>2694.4767213799728</v>
      </c>
      <c r="BT189" s="2">
        <f t="shared" si="467"/>
        <v>12150.730731399077</v>
      </c>
      <c r="BU189" s="2">
        <f t="shared" si="468"/>
        <v>2205.4162063853209</v>
      </c>
      <c r="BV189" s="2">
        <f t="shared" si="469"/>
        <v>9945.3145250137568</v>
      </c>
      <c r="BW189" s="2">
        <f t="shared" si="495"/>
        <v>1805.1225326214733</v>
      </c>
      <c r="BX189" s="2">
        <f t="shared" si="471"/>
        <v>8140.1919923922833</v>
      </c>
      <c r="BY189" s="2">
        <f t="shared" si="497"/>
        <v>1477.4840904603636</v>
      </c>
      <c r="BZ189" s="2">
        <f t="shared" si="472"/>
        <v>6662.7079019319199</v>
      </c>
      <c r="CA189" s="2">
        <f t="shared" si="498"/>
        <v>1209.313605095442</v>
      </c>
      <c r="CB189" s="2">
        <f t="shared" si="473"/>
        <v>5453.3942968364781</v>
      </c>
      <c r="CC189" s="2">
        <f t="shared" si="499"/>
        <v>989.81735567335863</v>
      </c>
      <c r="CD189" s="2">
        <f t="shared" si="474"/>
        <v>4463.576941163119</v>
      </c>
      <c r="CE189" s="2">
        <f>+CD189-E189*5%</f>
        <v>1390.076941163119</v>
      </c>
      <c r="CF189" s="2">
        <f t="shared" si="475"/>
        <v>3073.5</v>
      </c>
      <c r="CG189" s="2">
        <v>0</v>
      </c>
      <c r="CH189" s="2">
        <f t="shared" si="476"/>
        <v>3073.5</v>
      </c>
      <c r="CI189" s="2">
        <v>0</v>
      </c>
      <c r="CJ189" s="2">
        <f t="shared" si="477"/>
        <v>3073.5</v>
      </c>
      <c r="CK189" s="2">
        <v>0</v>
      </c>
      <c r="CL189" s="2">
        <f t="shared" si="478"/>
        <v>3073.5</v>
      </c>
      <c r="CM189" s="2">
        <v>0</v>
      </c>
      <c r="CN189" s="2">
        <f t="shared" si="479"/>
        <v>3073.5</v>
      </c>
      <c r="CO189" s="2">
        <v>0</v>
      </c>
      <c r="CP189" s="2">
        <f t="shared" si="480"/>
        <v>3073.5</v>
      </c>
      <c r="CQ189" s="2">
        <v>0</v>
      </c>
      <c r="CR189" s="2">
        <f t="shared" si="481"/>
        <v>3073.5</v>
      </c>
      <c r="CS189" s="2"/>
      <c r="CT189" s="2">
        <f t="shared" si="482"/>
        <v>3073.5</v>
      </c>
      <c r="CU189" s="2"/>
      <c r="CV189" s="2">
        <f t="shared" si="482"/>
        <v>3073.5</v>
      </c>
      <c r="CW189" s="2"/>
      <c r="CX189" s="2">
        <f t="shared" si="482"/>
        <v>3073.5</v>
      </c>
      <c r="CY189" s="2"/>
      <c r="CZ189" s="2">
        <f t="shared" si="482"/>
        <v>3073.5</v>
      </c>
      <c r="DA189" s="2"/>
      <c r="DB189" s="2">
        <f t="shared" si="482"/>
        <v>3073.5</v>
      </c>
      <c r="DC189" s="2"/>
      <c r="DD189" s="2">
        <f t="shared" si="482"/>
        <v>3073.5</v>
      </c>
      <c r="DE189" s="2"/>
      <c r="DF189" s="2">
        <f t="shared" si="483"/>
        <v>3073.5</v>
      </c>
      <c r="DG189" s="2"/>
      <c r="DH189" s="2">
        <f t="shared" si="484"/>
        <v>3073.5</v>
      </c>
      <c r="DI189" s="2"/>
      <c r="DJ189" s="2">
        <f t="shared" si="485"/>
        <v>3073.5</v>
      </c>
      <c r="DK189" s="2"/>
      <c r="DL189" s="2">
        <f t="shared" si="486"/>
        <v>3073.5</v>
      </c>
      <c r="DM189" s="2"/>
      <c r="DN189" s="2">
        <f t="shared" si="487"/>
        <v>3073.5</v>
      </c>
      <c r="DO189" s="2"/>
      <c r="DP189" s="2">
        <f t="shared" si="488"/>
        <v>3073.5</v>
      </c>
      <c r="DQ189" s="2"/>
      <c r="DR189" s="2">
        <f t="shared" si="489"/>
        <v>3073.5</v>
      </c>
      <c r="DS189" s="2"/>
      <c r="DT189" s="2">
        <f t="shared" si="451"/>
        <v>3073.5</v>
      </c>
      <c r="DU189" s="2"/>
      <c r="DV189" s="2">
        <f t="shared" si="451"/>
        <v>3073.5</v>
      </c>
      <c r="DW189" s="266">
        <f t="shared" si="452"/>
        <v>3073.5</v>
      </c>
      <c r="DX189" s="441">
        <f t="shared" si="453"/>
        <v>0</v>
      </c>
    </row>
    <row r="190" spans="1:128">
      <c r="A190" s="413">
        <v>31</v>
      </c>
      <c r="B190" s="413" t="s">
        <v>542</v>
      </c>
      <c r="C190" s="433" t="s">
        <v>518</v>
      </c>
      <c r="D190" s="468">
        <v>0.1391</v>
      </c>
      <c r="E190" s="442">
        <v>10420</v>
      </c>
      <c r="F190" s="437" t="s">
        <v>1001</v>
      </c>
      <c r="G190" s="438">
        <v>41522</v>
      </c>
      <c r="H190" s="438"/>
      <c r="I190" s="438"/>
      <c r="J190" s="438"/>
      <c r="K190" s="438"/>
      <c r="L190" s="438"/>
      <c r="M190" s="433"/>
      <c r="N190" s="436"/>
      <c r="O190" s="436"/>
      <c r="P190" s="433"/>
      <c r="Q190" s="436"/>
      <c r="R190" s="436"/>
      <c r="S190" s="433"/>
      <c r="T190" s="436"/>
      <c r="U190" s="436"/>
      <c r="V190" s="433"/>
      <c r="W190" s="436"/>
      <c r="X190" s="436"/>
      <c r="Y190" s="433"/>
      <c r="Z190" s="436"/>
      <c r="AA190" s="436"/>
      <c r="AB190" s="433">
        <f>IF(($AB$6-G190+1)&gt;365,365,($AB$6-G190+1))-1</f>
        <v>207</v>
      </c>
      <c r="AC190" s="436">
        <f t="shared" si="424"/>
        <v>822</v>
      </c>
      <c r="AD190" s="436">
        <f t="shared" si="425"/>
        <v>9598</v>
      </c>
      <c r="AE190" s="436">
        <f t="shared" si="426"/>
        <v>822</v>
      </c>
      <c r="AF190" s="436">
        <f t="shared" si="496"/>
        <v>9598</v>
      </c>
      <c r="AG190" s="436">
        <f t="shared" si="427"/>
        <v>0</v>
      </c>
      <c r="AH190" s="436">
        <f t="shared" si="428"/>
        <v>0.56986301369863013</v>
      </c>
      <c r="AI190" s="439">
        <v>15</v>
      </c>
      <c r="AJ190" s="436">
        <f t="shared" si="429"/>
        <v>14.43013698630137</v>
      </c>
      <c r="AK190" s="440">
        <f t="shared" si="430"/>
        <v>0.18282988918603504</v>
      </c>
      <c r="AL190" s="2">
        <f t="shared" si="431"/>
        <v>0</v>
      </c>
      <c r="AM190" s="433">
        <f t="shared" si="432"/>
        <v>365</v>
      </c>
      <c r="AN190" s="436">
        <f t="shared" si="433"/>
        <v>1335</v>
      </c>
      <c r="AO190" s="436">
        <f t="shared" si="434"/>
        <v>1755</v>
      </c>
      <c r="AP190" s="436">
        <f t="shared" si="435"/>
        <v>7843</v>
      </c>
      <c r="AQ190" s="436">
        <f t="shared" si="491"/>
        <v>7843</v>
      </c>
      <c r="AR190" s="436">
        <f t="shared" si="492"/>
        <v>0</v>
      </c>
      <c r="AS190" s="436">
        <f t="shared" si="493"/>
        <v>420</v>
      </c>
      <c r="AT190" s="2">
        <f t="shared" si="436"/>
        <v>8263</v>
      </c>
      <c r="AU190" s="2">
        <f t="shared" si="437"/>
        <v>7843</v>
      </c>
      <c r="AV190" s="2">
        <f t="shared" si="438"/>
        <v>0</v>
      </c>
      <c r="AW190" s="2">
        <f t="shared" si="439"/>
        <v>365</v>
      </c>
      <c r="AX190" s="2">
        <f t="shared" si="458"/>
        <v>1433.9348208860729</v>
      </c>
      <c r="AY190" s="2">
        <f t="shared" si="459"/>
        <v>6409.0651791139271</v>
      </c>
      <c r="AZ190" s="433">
        <f t="shared" si="440"/>
        <v>365</v>
      </c>
      <c r="BA190" s="2">
        <f t="shared" si="460"/>
        <v>1171.7686764834752</v>
      </c>
      <c r="BB190" s="2">
        <f t="shared" si="461"/>
        <v>5237.2965026304519</v>
      </c>
      <c r="BC190" s="2">
        <f t="shared" si="462"/>
        <v>5475</v>
      </c>
      <c r="BD190" s="433">
        <f t="shared" si="441"/>
        <v>1303</v>
      </c>
      <c r="BE190" s="439">
        <f t="shared" si="442"/>
        <v>4172</v>
      </c>
      <c r="BF190" s="433">
        <f t="shared" si="443"/>
        <v>365</v>
      </c>
      <c r="BG190" s="2">
        <f t="shared" si="463"/>
        <v>957.53433921033445</v>
      </c>
      <c r="BH190" s="2">
        <f t="shared" si="444"/>
        <v>4279.7621634201178</v>
      </c>
      <c r="BI190" s="2">
        <f t="shared" si="445"/>
        <v>782.46844208068569</v>
      </c>
      <c r="BJ190" s="2">
        <f t="shared" si="464"/>
        <v>3497.2937213394321</v>
      </c>
      <c r="BK190" s="2">
        <f t="shared" si="465"/>
        <v>639.40982352350454</v>
      </c>
      <c r="BL190" s="2">
        <f t="shared" si="446"/>
        <v>2857.8838978159274</v>
      </c>
      <c r="BM190" s="2"/>
      <c r="BN190" s="2">
        <f t="shared" si="447"/>
        <v>2857.8838978159274</v>
      </c>
      <c r="BO190" s="2">
        <f t="shared" si="448"/>
        <v>522.50659634423994</v>
      </c>
      <c r="BP190" s="2">
        <f t="shared" si="466"/>
        <v>2335.3773014716876</v>
      </c>
      <c r="BQ190" s="2"/>
      <c r="BR190" s="2">
        <f t="shared" si="449"/>
        <v>2335.3773014716876</v>
      </c>
      <c r="BS190" s="2">
        <f t="shared" si="450"/>
        <v>426.97677323565017</v>
      </c>
      <c r="BT190" s="2">
        <f t="shared" si="467"/>
        <v>1908.4005282360374</v>
      </c>
      <c r="BU190" s="2">
        <f t="shared" si="468"/>
        <v>348.91265709996549</v>
      </c>
      <c r="BV190" s="2">
        <f t="shared" si="469"/>
        <v>1559.487871136072</v>
      </c>
      <c r="BW190" s="2">
        <f t="shared" si="495"/>
        <v>285.12099466677375</v>
      </c>
      <c r="BX190" s="2">
        <f t="shared" si="471"/>
        <v>1274.3668764692984</v>
      </c>
      <c r="BY190" s="2">
        <f t="shared" si="497"/>
        <v>232.99235480723544</v>
      </c>
      <c r="BZ190" s="2">
        <f t="shared" si="472"/>
        <v>1041.374521662063</v>
      </c>
      <c r="CA190" s="2">
        <f t="shared" si="498"/>
        <v>190.39438839663524</v>
      </c>
      <c r="CB190" s="2">
        <f t="shared" si="473"/>
        <v>850.98013326542775</v>
      </c>
      <c r="CC190" s="2">
        <f t="shared" si="499"/>
        <v>155.5846034644355</v>
      </c>
      <c r="CD190" s="2">
        <f t="shared" si="474"/>
        <v>695.39552980099222</v>
      </c>
      <c r="CE190" s="2">
        <f>+CD190-E190*5%</f>
        <v>174.39552980099222</v>
      </c>
      <c r="CF190" s="2">
        <f t="shared" si="475"/>
        <v>521</v>
      </c>
      <c r="CG190" s="2">
        <f>+CF190-E190*5%</f>
        <v>0</v>
      </c>
      <c r="CH190" s="2">
        <f t="shared" si="476"/>
        <v>521</v>
      </c>
      <c r="CI190" s="2">
        <v>0</v>
      </c>
      <c r="CJ190" s="2">
        <f t="shared" si="477"/>
        <v>521</v>
      </c>
      <c r="CK190" s="2">
        <v>0</v>
      </c>
      <c r="CL190" s="2">
        <f t="shared" si="478"/>
        <v>521</v>
      </c>
      <c r="CM190" s="2">
        <v>0</v>
      </c>
      <c r="CN190" s="2">
        <f t="shared" si="479"/>
        <v>521</v>
      </c>
      <c r="CO190" s="2">
        <v>0</v>
      </c>
      <c r="CP190" s="2">
        <f t="shared" si="480"/>
        <v>521</v>
      </c>
      <c r="CQ190" s="2">
        <v>0</v>
      </c>
      <c r="CR190" s="2">
        <f t="shared" si="481"/>
        <v>521</v>
      </c>
      <c r="CS190" s="2"/>
      <c r="CT190" s="2">
        <f t="shared" si="482"/>
        <v>521</v>
      </c>
      <c r="CU190" s="2"/>
      <c r="CV190" s="2">
        <f t="shared" si="482"/>
        <v>521</v>
      </c>
      <c r="CW190" s="2"/>
      <c r="CX190" s="2">
        <f t="shared" si="482"/>
        <v>521</v>
      </c>
      <c r="CY190" s="2"/>
      <c r="CZ190" s="2">
        <f t="shared" si="482"/>
        <v>521</v>
      </c>
      <c r="DA190" s="2"/>
      <c r="DB190" s="2">
        <f t="shared" si="482"/>
        <v>521</v>
      </c>
      <c r="DC190" s="2"/>
      <c r="DD190" s="2">
        <f t="shared" si="482"/>
        <v>521</v>
      </c>
      <c r="DE190" s="2"/>
      <c r="DF190" s="2">
        <f t="shared" si="483"/>
        <v>521</v>
      </c>
      <c r="DG190" s="2"/>
      <c r="DH190" s="2">
        <f t="shared" si="484"/>
        <v>521</v>
      </c>
      <c r="DI190" s="2"/>
      <c r="DJ190" s="2">
        <f t="shared" si="485"/>
        <v>521</v>
      </c>
      <c r="DK190" s="2"/>
      <c r="DL190" s="2">
        <f t="shared" si="486"/>
        <v>521</v>
      </c>
      <c r="DM190" s="2"/>
      <c r="DN190" s="2">
        <f t="shared" si="487"/>
        <v>521</v>
      </c>
      <c r="DO190" s="2"/>
      <c r="DP190" s="2">
        <f t="shared" si="488"/>
        <v>521</v>
      </c>
      <c r="DQ190" s="2"/>
      <c r="DR190" s="2">
        <f t="shared" si="489"/>
        <v>521</v>
      </c>
      <c r="DS190" s="2"/>
      <c r="DT190" s="2">
        <f t="shared" si="451"/>
        <v>521</v>
      </c>
      <c r="DU190" s="2"/>
      <c r="DV190" s="2">
        <f t="shared" si="451"/>
        <v>521</v>
      </c>
      <c r="DW190" s="266">
        <f t="shared" si="452"/>
        <v>521</v>
      </c>
      <c r="DX190" s="441">
        <f t="shared" si="453"/>
        <v>0</v>
      </c>
    </row>
    <row r="191" spans="1:128">
      <c r="A191" s="413">
        <v>32</v>
      </c>
      <c r="B191" s="413" t="s">
        <v>543</v>
      </c>
      <c r="C191" s="433" t="s">
        <v>518</v>
      </c>
      <c r="D191" s="468">
        <v>0.1391</v>
      </c>
      <c r="E191" s="442">
        <v>73861</v>
      </c>
      <c r="F191" s="437" t="s">
        <v>1001</v>
      </c>
      <c r="G191" s="438">
        <v>41744</v>
      </c>
      <c r="H191" s="438"/>
      <c r="I191" s="438"/>
      <c r="J191" s="438"/>
      <c r="K191" s="438"/>
      <c r="L191" s="438"/>
      <c r="M191" s="433"/>
      <c r="N191" s="436"/>
      <c r="O191" s="436"/>
      <c r="P191" s="433"/>
      <c r="Q191" s="436"/>
      <c r="R191" s="436"/>
      <c r="S191" s="433"/>
      <c r="T191" s="436"/>
      <c r="U191" s="436"/>
      <c r="V191" s="433"/>
      <c r="W191" s="436"/>
      <c r="X191" s="436"/>
      <c r="Y191" s="433"/>
      <c r="Z191" s="436"/>
      <c r="AA191" s="436"/>
      <c r="AB191" s="433"/>
      <c r="AC191" s="436"/>
      <c r="AD191" s="436"/>
      <c r="AE191" s="436"/>
      <c r="AF191" s="436"/>
      <c r="AG191" s="436">
        <f t="shared" si="427"/>
        <v>0</v>
      </c>
      <c r="AH191" s="436"/>
      <c r="AI191" s="439">
        <v>15</v>
      </c>
      <c r="AJ191" s="436">
        <f t="shared" si="429"/>
        <v>15</v>
      </c>
      <c r="AK191" s="440">
        <f t="shared" ref="AK191:AK199" si="500">IF(AJ191&gt;0,1-(((E191*$AJ$4)/E191)^(1/AJ191)),0)</f>
        <v>0.18103627252208465</v>
      </c>
      <c r="AL191" s="2">
        <f t="shared" si="431"/>
        <v>0</v>
      </c>
      <c r="AM191" s="433">
        <f t="shared" si="432"/>
        <v>351</v>
      </c>
      <c r="AN191" s="436">
        <f t="shared" si="433"/>
        <v>9880</v>
      </c>
      <c r="AO191" s="436">
        <f>ROUND(IF(AL191&gt;0,0,(E191*AK191)*AM191/365),0)</f>
        <v>12859</v>
      </c>
      <c r="AP191" s="436">
        <f t="shared" si="435"/>
        <v>61002</v>
      </c>
      <c r="AQ191" s="436">
        <f>E191-AO191</f>
        <v>61002</v>
      </c>
      <c r="AR191" s="436">
        <f>$E191-($AL191+$AO191+$AP191)</f>
        <v>0</v>
      </c>
      <c r="AS191" s="436">
        <f t="shared" si="493"/>
        <v>2979</v>
      </c>
      <c r="AT191" s="2">
        <f>E191-AN191</f>
        <v>63981</v>
      </c>
      <c r="AU191" s="2">
        <f t="shared" si="437"/>
        <v>61002</v>
      </c>
      <c r="AV191" s="2">
        <f t="shared" si="438"/>
        <v>0</v>
      </c>
      <c r="AW191" s="2">
        <f t="shared" si="439"/>
        <v>365</v>
      </c>
      <c r="AX191" s="2">
        <f t="shared" si="458"/>
        <v>11043.574696392208</v>
      </c>
      <c r="AY191" s="2">
        <f t="shared" si="459"/>
        <v>49958.425303607793</v>
      </c>
      <c r="AZ191" s="433">
        <f t="shared" si="440"/>
        <v>365</v>
      </c>
      <c r="BA191" s="2">
        <f t="shared" si="460"/>
        <v>9044.2870980381504</v>
      </c>
      <c r="BB191" s="2">
        <f t="shared" si="461"/>
        <v>40914.138205569645</v>
      </c>
      <c r="BC191" s="2">
        <f t="shared" si="462"/>
        <v>5475</v>
      </c>
      <c r="BD191" s="433">
        <f t="shared" si="441"/>
        <v>1081</v>
      </c>
      <c r="BE191" s="439">
        <f t="shared" si="442"/>
        <v>4394</v>
      </c>
      <c r="BF191" s="433">
        <f t="shared" si="443"/>
        <v>365</v>
      </c>
      <c r="BG191" s="2">
        <f t="shared" si="463"/>
        <v>7406.9430741897413</v>
      </c>
      <c r="BH191" s="2">
        <f t="shared" si="444"/>
        <v>33507.195131379907</v>
      </c>
      <c r="BI191" s="2">
        <f t="shared" si="445"/>
        <v>6066.0177092551612</v>
      </c>
      <c r="BJ191" s="2">
        <f t="shared" si="464"/>
        <v>27441.177422124747</v>
      </c>
      <c r="BK191" s="2">
        <f t="shared" si="465"/>
        <v>4967.8484741186521</v>
      </c>
      <c r="BL191" s="2">
        <f t="shared" si="446"/>
        <v>22473.328948006096</v>
      </c>
      <c r="BM191" s="2"/>
      <c r="BN191" s="2">
        <f t="shared" si="447"/>
        <v>22473.328948006096</v>
      </c>
      <c r="BO191" s="2">
        <f t="shared" si="448"/>
        <v>4068.4877039096855</v>
      </c>
      <c r="BP191" s="2">
        <f t="shared" si="466"/>
        <v>18404.841244096409</v>
      </c>
      <c r="BQ191" s="2"/>
      <c r="BR191" s="2">
        <f t="shared" si="449"/>
        <v>18404.841244096409</v>
      </c>
      <c r="BS191" s="2">
        <f t="shared" si="450"/>
        <v>3331.9438551919411</v>
      </c>
      <c r="BT191" s="2">
        <f t="shared" si="467"/>
        <v>15072.897388904468</v>
      </c>
      <c r="BU191" s="2">
        <f t="shared" si="468"/>
        <v>2728.7411593951274</v>
      </c>
      <c r="BV191" s="2">
        <f t="shared" si="469"/>
        <v>12344.156229509341</v>
      </c>
      <c r="BW191" s="2">
        <f t="shared" si="495"/>
        <v>2234.7400312206419</v>
      </c>
      <c r="BX191" s="2">
        <f t="shared" si="471"/>
        <v>10109.416198288698</v>
      </c>
      <c r="BY191" s="2">
        <f t="shared" si="497"/>
        <v>1830.1710259125698</v>
      </c>
      <c r="BZ191" s="2">
        <f t="shared" si="472"/>
        <v>8279.2451723761278</v>
      </c>
      <c r="CA191" s="2">
        <f t="shared" si="498"/>
        <v>1498.8436853034384</v>
      </c>
      <c r="CB191" s="2">
        <f t="shared" si="473"/>
        <v>6780.4014870726896</v>
      </c>
      <c r="CC191" s="2">
        <f t="shared" si="499"/>
        <v>1227.4986114228395</v>
      </c>
      <c r="CD191" s="2">
        <f t="shared" si="474"/>
        <v>5552.9028756498501</v>
      </c>
      <c r="CE191" s="2">
        <f t="shared" ref="CE191:CE201" si="501">+CD191*AK191</f>
        <v>1005.2768382848138</v>
      </c>
      <c r="CF191" s="2">
        <f t="shared" si="475"/>
        <v>4547.6260373650366</v>
      </c>
      <c r="CG191" s="2">
        <f>+CF191-E191*5%</f>
        <v>854.57603736503643</v>
      </c>
      <c r="CH191" s="2">
        <f t="shared" si="476"/>
        <v>3693.05</v>
      </c>
      <c r="CI191" s="2">
        <v>0</v>
      </c>
      <c r="CJ191" s="2">
        <f t="shared" si="477"/>
        <v>3693.05</v>
      </c>
      <c r="CK191" s="2">
        <v>0</v>
      </c>
      <c r="CL191" s="2">
        <f t="shared" si="478"/>
        <v>3693.05</v>
      </c>
      <c r="CM191" s="2">
        <v>0</v>
      </c>
      <c r="CN191" s="2">
        <f t="shared" si="479"/>
        <v>3693.05</v>
      </c>
      <c r="CO191" s="2">
        <v>0</v>
      </c>
      <c r="CP191" s="2">
        <f t="shared" si="480"/>
        <v>3693.05</v>
      </c>
      <c r="CQ191" s="2">
        <v>0</v>
      </c>
      <c r="CR191" s="2">
        <f t="shared" si="481"/>
        <v>3693.05</v>
      </c>
      <c r="CS191" s="2"/>
      <c r="CT191" s="2">
        <f t="shared" si="482"/>
        <v>3693.05</v>
      </c>
      <c r="CU191" s="2"/>
      <c r="CV191" s="2">
        <f t="shared" si="482"/>
        <v>3693.05</v>
      </c>
      <c r="CW191" s="2"/>
      <c r="CX191" s="2">
        <f t="shared" si="482"/>
        <v>3693.05</v>
      </c>
      <c r="CY191" s="2"/>
      <c r="CZ191" s="2">
        <f t="shared" si="482"/>
        <v>3693.05</v>
      </c>
      <c r="DA191" s="2"/>
      <c r="DB191" s="2">
        <f t="shared" si="482"/>
        <v>3693.05</v>
      </c>
      <c r="DC191" s="2"/>
      <c r="DD191" s="2">
        <f t="shared" si="482"/>
        <v>3693.05</v>
      </c>
      <c r="DE191" s="2"/>
      <c r="DF191" s="2">
        <f t="shared" si="483"/>
        <v>3693.05</v>
      </c>
      <c r="DG191" s="2"/>
      <c r="DH191" s="2">
        <f t="shared" si="484"/>
        <v>3693.05</v>
      </c>
      <c r="DI191" s="2"/>
      <c r="DJ191" s="2">
        <f t="shared" si="485"/>
        <v>3693.05</v>
      </c>
      <c r="DK191" s="2"/>
      <c r="DL191" s="2">
        <f t="shared" si="486"/>
        <v>3693.05</v>
      </c>
      <c r="DM191" s="2"/>
      <c r="DN191" s="2">
        <f t="shared" si="487"/>
        <v>3693.05</v>
      </c>
      <c r="DO191" s="2"/>
      <c r="DP191" s="2">
        <f t="shared" si="488"/>
        <v>3693.05</v>
      </c>
      <c r="DQ191" s="2"/>
      <c r="DR191" s="2">
        <f t="shared" si="489"/>
        <v>3693.05</v>
      </c>
      <c r="DS191" s="2"/>
      <c r="DT191" s="2">
        <f t="shared" si="451"/>
        <v>3693.05</v>
      </c>
      <c r="DU191" s="2"/>
      <c r="DV191" s="2">
        <f t="shared" si="451"/>
        <v>3693.05</v>
      </c>
      <c r="DW191" s="266">
        <f t="shared" si="452"/>
        <v>3693.05</v>
      </c>
      <c r="DX191" s="441">
        <f t="shared" si="453"/>
        <v>0</v>
      </c>
    </row>
    <row r="192" spans="1:128">
      <c r="A192" s="413">
        <v>33</v>
      </c>
      <c r="B192" s="413" t="s">
        <v>544</v>
      </c>
      <c r="C192" s="433" t="s">
        <v>518</v>
      </c>
      <c r="D192" s="468">
        <v>0.1391</v>
      </c>
      <c r="E192" s="442">
        <v>775200</v>
      </c>
      <c r="F192" s="437" t="s">
        <v>1001</v>
      </c>
      <c r="G192" s="438">
        <v>41738</v>
      </c>
      <c r="H192" s="438"/>
      <c r="I192" s="438"/>
      <c r="J192" s="438"/>
      <c r="K192" s="438"/>
      <c r="L192" s="438"/>
      <c r="M192" s="433"/>
      <c r="N192" s="436"/>
      <c r="O192" s="436"/>
      <c r="P192" s="433"/>
      <c r="Q192" s="436"/>
      <c r="R192" s="436"/>
      <c r="S192" s="433"/>
      <c r="T192" s="436"/>
      <c r="U192" s="436"/>
      <c r="V192" s="433"/>
      <c r="W192" s="436"/>
      <c r="X192" s="436"/>
      <c r="Y192" s="433"/>
      <c r="Z192" s="436"/>
      <c r="AA192" s="436"/>
      <c r="AB192" s="433"/>
      <c r="AC192" s="436"/>
      <c r="AD192" s="436"/>
      <c r="AE192" s="436"/>
      <c r="AF192" s="436"/>
      <c r="AG192" s="436">
        <f t="shared" si="427"/>
        <v>0</v>
      </c>
      <c r="AH192" s="436"/>
      <c r="AI192" s="439">
        <v>15</v>
      </c>
      <c r="AJ192" s="436">
        <f t="shared" si="429"/>
        <v>15</v>
      </c>
      <c r="AK192" s="440">
        <f t="shared" si="500"/>
        <v>0.18103627252208465</v>
      </c>
      <c r="AL192" s="2">
        <f t="shared" si="431"/>
        <v>0</v>
      </c>
      <c r="AM192" s="433">
        <f t="shared" si="432"/>
        <v>357</v>
      </c>
      <c r="AN192" s="436">
        <f t="shared" si="433"/>
        <v>105467</v>
      </c>
      <c r="AO192" s="436">
        <f>ROUND(IF(AL192&gt;0,0,(E192*AK192)*AM192/365),0)</f>
        <v>137263</v>
      </c>
      <c r="AP192" s="436">
        <f t="shared" si="435"/>
        <v>637937</v>
      </c>
      <c r="AQ192" s="436">
        <f>E192-AO192</f>
        <v>637937</v>
      </c>
      <c r="AR192" s="436">
        <f>$E192-($AL192+$AO192+$AP192)</f>
        <v>0</v>
      </c>
      <c r="AS192" s="436">
        <f t="shared" si="493"/>
        <v>31796</v>
      </c>
      <c r="AT192" s="2">
        <f>E192-AN192</f>
        <v>669733</v>
      </c>
      <c r="AU192" s="2">
        <f t="shared" si="437"/>
        <v>637937</v>
      </c>
      <c r="AV192" s="2">
        <f t="shared" si="438"/>
        <v>0</v>
      </c>
      <c r="AW192" s="2">
        <f t="shared" si="439"/>
        <v>365</v>
      </c>
      <c r="AX192" s="2">
        <f t="shared" si="458"/>
        <v>115489.73658392111</v>
      </c>
      <c r="AY192" s="2">
        <f t="shared" si="459"/>
        <v>522447.26341607887</v>
      </c>
      <c r="AZ192" s="433">
        <f t="shared" si="440"/>
        <v>365</v>
      </c>
      <c r="BA192" s="2">
        <f t="shared" si="460"/>
        <v>94581.905158210604</v>
      </c>
      <c r="BB192" s="2">
        <f t="shared" si="461"/>
        <v>427865.35825786827</v>
      </c>
      <c r="BC192" s="2">
        <f t="shared" si="462"/>
        <v>5475</v>
      </c>
      <c r="BD192" s="433">
        <f t="shared" si="441"/>
        <v>1087</v>
      </c>
      <c r="BE192" s="439">
        <f t="shared" si="442"/>
        <v>4388</v>
      </c>
      <c r="BF192" s="433">
        <f t="shared" si="443"/>
        <v>365</v>
      </c>
      <c r="BG192" s="2">
        <f t="shared" si="463"/>
        <v>77459.149600330828</v>
      </c>
      <c r="BH192" s="2">
        <f t="shared" si="444"/>
        <v>350406.20865753747</v>
      </c>
      <c r="BI192" s="2">
        <f t="shared" si="445"/>
        <v>63436.233883956411</v>
      </c>
      <c r="BJ192" s="2">
        <f t="shared" si="464"/>
        <v>286969.97477358108</v>
      </c>
      <c r="BK192" s="2">
        <f t="shared" si="465"/>
        <v>51951.974558765782</v>
      </c>
      <c r="BL192" s="2">
        <f t="shared" si="446"/>
        <v>235018.00021481531</v>
      </c>
      <c r="BM192" s="2"/>
      <c r="BN192" s="2">
        <f t="shared" si="447"/>
        <v>235018.00021481531</v>
      </c>
      <c r="BO192" s="2">
        <f t="shared" si="448"/>
        <v>42546.782734484652</v>
      </c>
      <c r="BP192" s="2">
        <f t="shared" si="466"/>
        <v>192471.21748033067</v>
      </c>
      <c r="BQ192" s="2"/>
      <c r="BR192" s="2">
        <f t="shared" si="449"/>
        <v>192471.21748033067</v>
      </c>
      <c r="BS192" s="2">
        <f t="shared" si="450"/>
        <v>34844.271780426563</v>
      </c>
      <c r="BT192" s="2">
        <f t="shared" si="467"/>
        <v>157626.94569990411</v>
      </c>
      <c r="BU192" s="2">
        <f t="shared" si="468"/>
        <v>28536.194698551681</v>
      </c>
      <c r="BV192" s="2">
        <f t="shared" si="469"/>
        <v>129090.75100135243</v>
      </c>
      <c r="BW192" s="2">
        <f t="shared" si="495"/>
        <v>23370.108378361412</v>
      </c>
      <c r="BX192" s="2">
        <f t="shared" si="471"/>
        <v>105720.64262299101</v>
      </c>
      <c r="BY192" s="2">
        <f t="shared" si="497"/>
        <v>19139.271069105718</v>
      </c>
      <c r="BZ192" s="2">
        <f t="shared" si="472"/>
        <v>86581.371553885299</v>
      </c>
      <c r="CA192" s="2">
        <f t="shared" si="498"/>
        <v>15674.368775965047</v>
      </c>
      <c r="CB192" s="2">
        <f t="shared" si="473"/>
        <v>70907.00277792025</v>
      </c>
      <c r="CC192" s="2">
        <f t="shared" si="499"/>
        <v>12836.739478627784</v>
      </c>
      <c r="CD192" s="2">
        <f t="shared" si="474"/>
        <v>58070.263299292463</v>
      </c>
      <c r="CE192" s="2">
        <f t="shared" si="501"/>
        <v>10512.82401207992</v>
      </c>
      <c r="CF192" s="2">
        <f t="shared" si="475"/>
        <v>47557.439287212546</v>
      </c>
      <c r="CG192" s="2">
        <f>+CF192-E192*5%</f>
        <v>8797.4392872125463</v>
      </c>
      <c r="CH192" s="2">
        <f t="shared" si="476"/>
        <v>38760</v>
      </c>
      <c r="CI192" s="2">
        <v>0</v>
      </c>
      <c r="CJ192" s="2">
        <f t="shared" si="477"/>
        <v>38760</v>
      </c>
      <c r="CK192" s="2">
        <v>0</v>
      </c>
      <c r="CL192" s="2">
        <f t="shared" si="478"/>
        <v>38760</v>
      </c>
      <c r="CM192" s="2">
        <v>0</v>
      </c>
      <c r="CN192" s="2">
        <f t="shared" si="479"/>
        <v>38760</v>
      </c>
      <c r="CO192" s="2">
        <v>0</v>
      </c>
      <c r="CP192" s="2">
        <f t="shared" si="480"/>
        <v>38760</v>
      </c>
      <c r="CQ192" s="2">
        <v>0</v>
      </c>
      <c r="CR192" s="2">
        <f t="shared" si="481"/>
        <v>38760</v>
      </c>
      <c r="CS192" s="2"/>
      <c r="CT192" s="2">
        <f t="shared" si="482"/>
        <v>38760</v>
      </c>
      <c r="CU192" s="2"/>
      <c r="CV192" s="2">
        <f t="shared" si="482"/>
        <v>38760</v>
      </c>
      <c r="CW192" s="2"/>
      <c r="CX192" s="2">
        <f t="shared" si="482"/>
        <v>38760</v>
      </c>
      <c r="CY192" s="2"/>
      <c r="CZ192" s="2">
        <f t="shared" si="482"/>
        <v>38760</v>
      </c>
      <c r="DA192" s="2"/>
      <c r="DB192" s="2">
        <f t="shared" si="482"/>
        <v>38760</v>
      </c>
      <c r="DC192" s="2"/>
      <c r="DD192" s="2">
        <f t="shared" si="482"/>
        <v>38760</v>
      </c>
      <c r="DE192" s="2"/>
      <c r="DF192" s="2">
        <f t="shared" si="483"/>
        <v>38760</v>
      </c>
      <c r="DG192" s="2"/>
      <c r="DH192" s="2">
        <f t="shared" si="484"/>
        <v>38760</v>
      </c>
      <c r="DI192" s="2"/>
      <c r="DJ192" s="2">
        <f t="shared" si="485"/>
        <v>38760</v>
      </c>
      <c r="DK192" s="2"/>
      <c r="DL192" s="2">
        <f t="shared" si="486"/>
        <v>38760</v>
      </c>
      <c r="DM192" s="2"/>
      <c r="DN192" s="2">
        <f t="shared" si="487"/>
        <v>38760</v>
      </c>
      <c r="DO192" s="2"/>
      <c r="DP192" s="2">
        <f t="shared" si="488"/>
        <v>38760</v>
      </c>
      <c r="DQ192" s="2"/>
      <c r="DR192" s="2">
        <f t="shared" si="489"/>
        <v>38760</v>
      </c>
      <c r="DS192" s="2"/>
      <c r="DT192" s="2">
        <f t="shared" si="451"/>
        <v>38760</v>
      </c>
      <c r="DU192" s="2"/>
      <c r="DV192" s="2">
        <f t="shared" si="451"/>
        <v>38760</v>
      </c>
      <c r="DW192" s="266">
        <f t="shared" si="452"/>
        <v>38760</v>
      </c>
      <c r="DX192" s="441">
        <f t="shared" si="453"/>
        <v>0</v>
      </c>
    </row>
    <row r="193" spans="1:128">
      <c r="A193" s="413">
        <v>34</v>
      </c>
      <c r="B193" s="413" t="s">
        <v>545</v>
      </c>
      <c r="C193" s="433" t="s">
        <v>518</v>
      </c>
      <c r="D193" s="468">
        <v>0.1391</v>
      </c>
      <c r="E193" s="442">
        <v>39878</v>
      </c>
      <c r="F193" s="437" t="s">
        <v>1001</v>
      </c>
      <c r="G193" s="438">
        <v>41745</v>
      </c>
      <c r="H193" s="438"/>
      <c r="I193" s="438"/>
      <c r="J193" s="438"/>
      <c r="K193" s="438"/>
      <c r="L193" s="438"/>
      <c r="M193" s="433"/>
      <c r="N193" s="436"/>
      <c r="O193" s="436"/>
      <c r="P193" s="433"/>
      <c r="Q193" s="436"/>
      <c r="R193" s="436"/>
      <c r="S193" s="433"/>
      <c r="T193" s="436"/>
      <c r="U193" s="436"/>
      <c r="V193" s="433"/>
      <c r="W193" s="436"/>
      <c r="X193" s="436"/>
      <c r="Y193" s="433"/>
      <c r="Z193" s="436"/>
      <c r="AA193" s="436"/>
      <c r="AB193" s="433"/>
      <c r="AC193" s="436"/>
      <c r="AD193" s="436"/>
      <c r="AE193" s="436"/>
      <c r="AF193" s="436"/>
      <c r="AG193" s="436">
        <f t="shared" si="427"/>
        <v>0</v>
      </c>
      <c r="AH193" s="436"/>
      <c r="AI193" s="439">
        <v>15</v>
      </c>
      <c r="AJ193" s="436">
        <f t="shared" si="429"/>
        <v>15</v>
      </c>
      <c r="AK193" s="440">
        <f t="shared" si="500"/>
        <v>0.18103627252208465</v>
      </c>
      <c r="AL193" s="2">
        <f t="shared" si="431"/>
        <v>0</v>
      </c>
      <c r="AM193" s="433">
        <f t="shared" si="432"/>
        <v>350</v>
      </c>
      <c r="AN193" s="436">
        <f t="shared" si="433"/>
        <v>5319</v>
      </c>
      <c r="AO193" s="436">
        <f>ROUND(IF(AL193&gt;0,0,(E193*AK193)*AM193/365),0)</f>
        <v>6923</v>
      </c>
      <c r="AP193" s="436">
        <f t="shared" si="435"/>
        <v>32955</v>
      </c>
      <c r="AQ193" s="436">
        <f>E193-AO193</f>
        <v>32955</v>
      </c>
      <c r="AR193" s="436">
        <f>$E193-($AL193+$AO193+$AP193)</f>
        <v>0</v>
      </c>
      <c r="AS193" s="436">
        <f t="shared" si="493"/>
        <v>1604</v>
      </c>
      <c r="AT193" s="2">
        <f>E193-AN193</f>
        <v>34559</v>
      </c>
      <c r="AU193" s="2">
        <f t="shared" si="437"/>
        <v>32955</v>
      </c>
      <c r="AV193" s="2">
        <f t="shared" si="438"/>
        <v>0</v>
      </c>
      <c r="AW193" s="2">
        <f t="shared" si="439"/>
        <v>365</v>
      </c>
      <c r="AX193" s="2">
        <f t="shared" si="458"/>
        <v>5966.0503609652997</v>
      </c>
      <c r="AY193" s="2">
        <f t="shared" si="459"/>
        <v>26988.949639034701</v>
      </c>
      <c r="AZ193" s="433">
        <f t="shared" si="440"/>
        <v>365</v>
      </c>
      <c r="BA193" s="2">
        <f t="shared" si="460"/>
        <v>4885.9788419371043</v>
      </c>
      <c r="BB193" s="2">
        <f t="shared" si="461"/>
        <v>22102.970797097598</v>
      </c>
      <c r="BC193" s="2">
        <f t="shared" si="462"/>
        <v>5475</v>
      </c>
      <c r="BD193" s="433">
        <f t="shared" si="441"/>
        <v>1080</v>
      </c>
      <c r="BE193" s="439">
        <f t="shared" si="442"/>
        <v>4395</v>
      </c>
      <c r="BF193" s="433">
        <f t="shared" si="443"/>
        <v>365</v>
      </c>
      <c r="BG193" s="2">
        <f t="shared" si="463"/>
        <v>4001.4394447710392</v>
      </c>
      <c r="BH193" s="2">
        <f t="shared" si="444"/>
        <v>18101.531352326558</v>
      </c>
      <c r="BI193" s="2">
        <f t="shared" si="445"/>
        <v>3277.0337629668502</v>
      </c>
      <c r="BJ193" s="2">
        <f t="shared" si="464"/>
        <v>14824.497589359707</v>
      </c>
      <c r="BK193" s="2">
        <f t="shared" si="465"/>
        <v>2683.7717855903111</v>
      </c>
      <c r="BL193" s="2">
        <f t="shared" si="446"/>
        <v>12140.725803769397</v>
      </c>
      <c r="BM193" s="2"/>
      <c r="BN193" s="2">
        <f t="shared" si="447"/>
        <v>12140.725803769397</v>
      </c>
      <c r="BO193" s="2">
        <f t="shared" si="448"/>
        <v>2197.9117452271016</v>
      </c>
      <c r="BP193" s="2">
        <f t="shared" si="466"/>
        <v>9942.8140585422952</v>
      </c>
      <c r="BQ193" s="2"/>
      <c r="BR193" s="2">
        <f t="shared" si="449"/>
        <v>9942.8140585422952</v>
      </c>
      <c r="BS193" s="2">
        <f t="shared" si="450"/>
        <v>1800.0099955386775</v>
      </c>
      <c r="BT193" s="2">
        <f t="shared" si="467"/>
        <v>8142.8040630036176</v>
      </c>
      <c r="BU193" s="2">
        <f t="shared" si="468"/>
        <v>1474.1428954438611</v>
      </c>
      <c r="BV193" s="2">
        <f t="shared" si="469"/>
        <v>6668.661167559756</v>
      </c>
      <c r="BW193" s="2">
        <f t="shared" si="495"/>
        <v>1207.2695604877913</v>
      </c>
      <c r="BX193" s="2">
        <f t="shared" si="471"/>
        <v>5461.3916070719642</v>
      </c>
      <c r="BY193" s="2">
        <f t="shared" si="497"/>
        <v>988.70997932770592</v>
      </c>
      <c r="BZ193" s="2">
        <f t="shared" si="472"/>
        <v>4472.6816277442585</v>
      </c>
      <c r="CA193" s="2">
        <f t="shared" si="498"/>
        <v>809.71761006483075</v>
      </c>
      <c r="CB193" s="2">
        <f t="shared" si="473"/>
        <v>3662.9640176794278</v>
      </c>
      <c r="CC193" s="2">
        <f t="shared" si="499"/>
        <v>663.12935214320294</v>
      </c>
      <c r="CD193" s="2">
        <f t="shared" si="474"/>
        <v>2999.8346655362247</v>
      </c>
      <c r="CE193" s="2">
        <f t="shared" si="501"/>
        <v>543.07888603121262</v>
      </c>
      <c r="CF193" s="2">
        <f t="shared" si="475"/>
        <v>2456.755779505012</v>
      </c>
      <c r="CG193" s="2">
        <f>+CF193-E193*5%</f>
        <v>462.85577950501192</v>
      </c>
      <c r="CH193" s="2">
        <f t="shared" si="476"/>
        <v>1993.9</v>
      </c>
      <c r="CI193" s="2">
        <v>0</v>
      </c>
      <c r="CJ193" s="2">
        <f t="shared" si="477"/>
        <v>1993.9</v>
      </c>
      <c r="CK193" s="2">
        <v>0</v>
      </c>
      <c r="CL193" s="2">
        <f t="shared" si="478"/>
        <v>1993.9</v>
      </c>
      <c r="CM193" s="2">
        <v>0</v>
      </c>
      <c r="CN193" s="2">
        <f t="shared" si="479"/>
        <v>1993.9</v>
      </c>
      <c r="CO193" s="2">
        <v>0</v>
      </c>
      <c r="CP193" s="2">
        <f t="shared" si="480"/>
        <v>1993.9</v>
      </c>
      <c r="CQ193" s="2">
        <v>0</v>
      </c>
      <c r="CR193" s="2">
        <f t="shared" si="481"/>
        <v>1993.9</v>
      </c>
      <c r="CS193" s="2"/>
      <c r="CT193" s="2">
        <f t="shared" si="482"/>
        <v>1993.9</v>
      </c>
      <c r="CU193" s="2"/>
      <c r="CV193" s="2">
        <f t="shared" si="482"/>
        <v>1993.9</v>
      </c>
      <c r="CW193" s="2"/>
      <c r="CX193" s="2">
        <f t="shared" si="482"/>
        <v>1993.9</v>
      </c>
      <c r="CY193" s="2"/>
      <c r="CZ193" s="2">
        <f t="shared" si="482"/>
        <v>1993.9</v>
      </c>
      <c r="DA193" s="2"/>
      <c r="DB193" s="2">
        <f t="shared" si="482"/>
        <v>1993.9</v>
      </c>
      <c r="DC193" s="2"/>
      <c r="DD193" s="2">
        <f t="shared" si="482"/>
        <v>1993.9</v>
      </c>
      <c r="DE193" s="2"/>
      <c r="DF193" s="2">
        <f t="shared" si="483"/>
        <v>1993.9</v>
      </c>
      <c r="DG193" s="2"/>
      <c r="DH193" s="2">
        <f t="shared" si="484"/>
        <v>1993.9</v>
      </c>
      <c r="DI193" s="2"/>
      <c r="DJ193" s="2">
        <f t="shared" si="485"/>
        <v>1993.9</v>
      </c>
      <c r="DK193" s="2"/>
      <c r="DL193" s="2">
        <f t="shared" si="486"/>
        <v>1993.9</v>
      </c>
      <c r="DM193" s="2"/>
      <c r="DN193" s="2">
        <f t="shared" si="487"/>
        <v>1993.9</v>
      </c>
      <c r="DO193" s="2"/>
      <c r="DP193" s="2">
        <f t="shared" si="488"/>
        <v>1993.9</v>
      </c>
      <c r="DQ193" s="2"/>
      <c r="DR193" s="2">
        <f t="shared" si="489"/>
        <v>1993.9</v>
      </c>
      <c r="DS193" s="2"/>
      <c r="DT193" s="2">
        <f t="shared" si="451"/>
        <v>1993.9</v>
      </c>
      <c r="DU193" s="2"/>
      <c r="DV193" s="2">
        <f t="shared" si="451"/>
        <v>1993.9</v>
      </c>
      <c r="DW193" s="266">
        <f t="shared" si="452"/>
        <v>1993.9</v>
      </c>
      <c r="DX193" s="441">
        <f t="shared" si="453"/>
        <v>0</v>
      </c>
    </row>
    <row r="194" spans="1:128">
      <c r="A194" s="413">
        <v>35</v>
      </c>
      <c r="B194" s="413" t="s">
        <v>545</v>
      </c>
      <c r="C194" s="433" t="s">
        <v>518</v>
      </c>
      <c r="D194" s="468">
        <v>0.1391</v>
      </c>
      <c r="E194" s="442">
        <v>36348</v>
      </c>
      <c r="F194" s="437" t="s">
        <v>1001</v>
      </c>
      <c r="G194" s="438">
        <v>41751</v>
      </c>
      <c r="H194" s="438"/>
      <c r="I194" s="438"/>
      <c r="J194" s="438"/>
      <c r="K194" s="438"/>
      <c r="L194" s="438"/>
      <c r="M194" s="433"/>
      <c r="N194" s="436"/>
      <c r="O194" s="436"/>
      <c r="P194" s="433"/>
      <c r="Q194" s="436"/>
      <c r="R194" s="436"/>
      <c r="S194" s="433"/>
      <c r="T194" s="436"/>
      <c r="U194" s="436"/>
      <c r="V194" s="433"/>
      <c r="W194" s="436"/>
      <c r="X194" s="436"/>
      <c r="Y194" s="433"/>
      <c r="Z194" s="436"/>
      <c r="AA194" s="436"/>
      <c r="AB194" s="433"/>
      <c r="AC194" s="436"/>
      <c r="AD194" s="436"/>
      <c r="AE194" s="436"/>
      <c r="AF194" s="436"/>
      <c r="AG194" s="436">
        <f t="shared" si="427"/>
        <v>0</v>
      </c>
      <c r="AH194" s="436"/>
      <c r="AI194" s="439">
        <v>15</v>
      </c>
      <c r="AJ194" s="436">
        <f t="shared" si="429"/>
        <v>15</v>
      </c>
      <c r="AK194" s="440">
        <f t="shared" si="500"/>
        <v>0.18103627252208465</v>
      </c>
      <c r="AL194" s="2">
        <f t="shared" si="431"/>
        <v>0</v>
      </c>
      <c r="AM194" s="433">
        <f t="shared" si="432"/>
        <v>344</v>
      </c>
      <c r="AN194" s="436">
        <f t="shared" si="433"/>
        <v>4765</v>
      </c>
      <c r="AO194" s="436">
        <f>ROUND(IF(AL194&gt;0,0,(E194*AK194)*AM194/365),0)</f>
        <v>6202</v>
      </c>
      <c r="AP194" s="436">
        <f t="shared" si="435"/>
        <v>30146</v>
      </c>
      <c r="AQ194" s="436">
        <f>E194-AO194</f>
        <v>30146</v>
      </c>
      <c r="AR194" s="436">
        <f>$E194-($AL194+$AO194+$AP194)</f>
        <v>0</v>
      </c>
      <c r="AS194" s="436">
        <f t="shared" si="493"/>
        <v>1437</v>
      </c>
      <c r="AT194" s="2">
        <f>E194-AN194</f>
        <v>31583</v>
      </c>
      <c r="AU194" s="2">
        <f t="shared" si="437"/>
        <v>30146</v>
      </c>
      <c r="AV194" s="2">
        <f>AU194-AQ194</f>
        <v>0</v>
      </c>
      <c r="AW194" s="2">
        <f t="shared" si="439"/>
        <v>365</v>
      </c>
      <c r="AX194" s="2">
        <f t="shared" si="458"/>
        <v>5457.5194714507643</v>
      </c>
      <c r="AY194" s="2">
        <f t="shared" si="459"/>
        <v>24688.480528549237</v>
      </c>
      <c r="AZ194" s="433">
        <f t="shared" si="440"/>
        <v>365</v>
      </c>
      <c r="BA194" s="2">
        <f t="shared" si="460"/>
        <v>4469.5104891226201</v>
      </c>
      <c r="BB194" s="2">
        <f t="shared" si="461"/>
        <v>20218.970039426618</v>
      </c>
      <c r="BC194" s="2">
        <f t="shared" si="462"/>
        <v>5475</v>
      </c>
      <c r="BD194" s="433">
        <f t="shared" si="441"/>
        <v>1074</v>
      </c>
      <c r="BE194" s="439">
        <f t="shared" si="442"/>
        <v>4401</v>
      </c>
      <c r="BF194" s="433">
        <f t="shared" si="443"/>
        <v>365</v>
      </c>
      <c r="BG194" s="2">
        <f t="shared" si="463"/>
        <v>3660.3669701735021</v>
      </c>
      <c r="BH194" s="2">
        <f t="shared" si="444"/>
        <v>16558.603069253117</v>
      </c>
      <c r="BI194" s="2">
        <f t="shared" si="445"/>
        <v>2997.7077778303346</v>
      </c>
      <c r="BJ194" s="2">
        <f t="shared" si="464"/>
        <v>13560.895291422781</v>
      </c>
      <c r="BK194" s="2">
        <f t="shared" si="465"/>
        <v>2455.013935621469</v>
      </c>
      <c r="BL194" s="2">
        <f t="shared" si="446"/>
        <v>11105.881355801312</v>
      </c>
      <c r="BM194" s="2"/>
      <c r="BN194" s="2">
        <f t="shared" si="447"/>
        <v>11105.881355801312</v>
      </c>
      <c r="BO194" s="2">
        <f t="shared" si="448"/>
        <v>2010.5673637267853</v>
      </c>
      <c r="BP194" s="2">
        <f t="shared" si="466"/>
        <v>9095.3139920745271</v>
      </c>
      <c r="BQ194" s="2"/>
      <c r="BR194" s="2">
        <f t="shared" si="449"/>
        <v>9095.3139920745271</v>
      </c>
      <c r="BS194" s="2">
        <f t="shared" si="450"/>
        <v>1646.5817425431337</v>
      </c>
      <c r="BT194" s="2">
        <f t="shared" si="467"/>
        <v>7448.7322495313929</v>
      </c>
      <c r="BU194" s="2">
        <f t="shared" si="468"/>
        <v>1348.4907214702059</v>
      </c>
      <c r="BV194" s="2">
        <f t="shared" si="469"/>
        <v>6100.2415280611867</v>
      </c>
      <c r="BW194" s="2">
        <f t="shared" si="495"/>
        <v>1104.364987724623</v>
      </c>
      <c r="BX194" s="2">
        <f t="shared" si="471"/>
        <v>4995.8765403365633</v>
      </c>
      <c r="BY194" s="2">
        <f t="shared" si="497"/>
        <v>904.43486684305947</v>
      </c>
      <c r="BZ194" s="2">
        <f t="shared" si="472"/>
        <v>4091.4416734935039</v>
      </c>
      <c r="CA194" s="2">
        <f t="shared" si="498"/>
        <v>740.69934981078404</v>
      </c>
      <c r="CB194" s="2">
        <f t="shared" si="473"/>
        <v>3350.7423236827199</v>
      </c>
      <c r="CC194" s="2">
        <f t="shared" si="499"/>
        <v>606.6059004615081</v>
      </c>
      <c r="CD194" s="2">
        <f t="shared" si="474"/>
        <v>2744.1364232212118</v>
      </c>
      <c r="CE194" s="2">
        <f t="shared" si="501"/>
        <v>496.78822935205392</v>
      </c>
      <c r="CF194" s="2">
        <f t="shared" si="475"/>
        <v>2247.348193869158</v>
      </c>
      <c r="CG194" s="2">
        <f>+CF194-E194*5%</f>
        <v>429.94819386915788</v>
      </c>
      <c r="CH194" s="2">
        <f t="shared" si="476"/>
        <v>1817.4</v>
      </c>
      <c r="CI194" s="2">
        <v>0</v>
      </c>
      <c r="CJ194" s="2">
        <f t="shared" si="477"/>
        <v>1817.4</v>
      </c>
      <c r="CK194" s="2">
        <v>0</v>
      </c>
      <c r="CL194" s="2">
        <f t="shared" si="478"/>
        <v>1817.4</v>
      </c>
      <c r="CM194" s="2">
        <v>0</v>
      </c>
      <c r="CN194" s="2">
        <f t="shared" si="479"/>
        <v>1817.4</v>
      </c>
      <c r="CO194" s="2">
        <v>0</v>
      </c>
      <c r="CP194" s="2">
        <f t="shared" si="480"/>
        <v>1817.4</v>
      </c>
      <c r="CQ194" s="2">
        <v>0</v>
      </c>
      <c r="CR194" s="2">
        <f t="shared" si="481"/>
        <v>1817.4</v>
      </c>
      <c r="CS194" s="2"/>
      <c r="CT194" s="2">
        <f t="shared" si="482"/>
        <v>1817.4</v>
      </c>
      <c r="CU194" s="2"/>
      <c r="CV194" s="2">
        <f t="shared" si="482"/>
        <v>1817.4</v>
      </c>
      <c r="CW194" s="2"/>
      <c r="CX194" s="2">
        <f t="shared" si="482"/>
        <v>1817.4</v>
      </c>
      <c r="CY194" s="2"/>
      <c r="CZ194" s="2">
        <f t="shared" si="482"/>
        <v>1817.4</v>
      </c>
      <c r="DA194" s="2"/>
      <c r="DB194" s="2">
        <f t="shared" si="482"/>
        <v>1817.4</v>
      </c>
      <c r="DC194" s="2"/>
      <c r="DD194" s="2">
        <f t="shared" si="482"/>
        <v>1817.4</v>
      </c>
      <c r="DE194" s="2"/>
      <c r="DF194" s="2">
        <f t="shared" si="483"/>
        <v>1817.4</v>
      </c>
      <c r="DG194" s="2"/>
      <c r="DH194" s="2">
        <f t="shared" si="484"/>
        <v>1817.4</v>
      </c>
      <c r="DI194" s="2"/>
      <c r="DJ194" s="2">
        <f t="shared" si="485"/>
        <v>1817.4</v>
      </c>
      <c r="DK194" s="2"/>
      <c r="DL194" s="2">
        <f t="shared" si="486"/>
        <v>1817.4</v>
      </c>
      <c r="DM194" s="2"/>
      <c r="DN194" s="2">
        <f t="shared" si="487"/>
        <v>1817.4</v>
      </c>
      <c r="DO194" s="2"/>
      <c r="DP194" s="2">
        <f t="shared" si="488"/>
        <v>1817.4</v>
      </c>
      <c r="DQ194" s="2"/>
      <c r="DR194" s="2">
        <f t="shared" si="489"/>
        <v>1817.4</v>
      </c>
      <c r="DS194" s="2"/>
      <c r="DT194" s="2">
        <f t="shared" si="451"/>
        <v>1817.4</v>
      </c>
      <c r="DU194" s="2"/>
      <c r="DV194" s="2">
        <f t="shared" si="451"/>
        <v>1817.4</v>
      </c>
      <c r="DW194" s="266">
        <f t="shared" si="452"/>
        <v>1817.4</v>
      </c>
      <c r="DX194" s="441">
        <f t="shared" si="453"/>
        <v>0</v>
      </c>
    </row>
    <row r="195" spans="1:128">
      <c r="A195" s="413">
        <v>36</v>
      </c>
      <c r="B195" s="413" t="s">
        <v>401</v>
      </c>
      <c r="C195" s="433" t="s">
        <v>518</v>
      </c>
      <c r="D195" s="468">
        <v>0.1391</v>
      </c>
      <c r="E195" s="442">
        <v>26000</v>
      </c>
      <c r="F195" s="437" t="s">
        <v>1001</v>
      </c>
      <c r="G195" s="438">
        <v>42356</v>
      </c>
      <c r="H195" s="438"/>
      <c r="I195" s="438"/>
      <c r="J195" s="438"/>
      <c r="K195" s="438"/>
      <c r="L195" s="438"/>
      <c r="M195" s="433"/>
      <c r="N195" s="436"/>
      <c r="O195" s="436"/>
      <c r="P195" s="433"/>
      <c r="Q195" s="436"/>
      <c r="R195" s="436"/>
      <c r="S195" s="433"/>
      <c r="T195" s="436"/>
      <c r="U195" s="436"/>
      <c r="V195" s="433"/>
      <c r="W195" s="436"/>
      <c r="X195" s="436"/>
      <c r="Y195" s="433"/>
      <c r="Z195" s="436"/>
      <c r="AA195" s="436"/>
      <c r="AB195" s="433"/>
      <c r="AC195" s="436"/>
      <c r="AD195" s="436"/>
      <c r="AE195" s="436"/>
      <c r="AF195" s="436"/>
      <c r="AG195" s="436"/>
      <c r="AH195" s="436"/>
      <c r="AI195" s="439">
        <v>15</v>
      </c>
      <c r="AJ195" s="436">
        <f t="shared" si="429"/>
        <v>15</v>
      </c>
      <c r="AK195" s="440">
        <f t="shared" si="500"/>
        <v>0.18103627252208465</v>
      </c>
      <c r="AL195" s="2">
        <f t="shared" si="431"/>
        <v>0</v>
      </c>
      <c r="AM195" s="433"/>
      <c r="AN195" s="436"/>
      <c r="AO195" s="436"/>
      <c r="AP195" s="436"/>
      <c r="AQ195" s="436"/>
      <c r="AR195" s="436"/>
      <c r="AS195" s="436"/>
      <c r="AT195" s="2"/>
      <c r="AU195" s="2"/>
      <c r="AV195" s="2"/>
      <c r="AW195" s="2">
        <f t="shared" si="439"/>
        <v>105</v>
      </c>
      <c r="AX195" s="2">
        <f>E195*AW195/365*AK195</f>
        <v>1354.0521205076468</v>
      </c>
      <c r="AY195" s="2">
        <f>E195-AX195</f>
        <v>24645.947879492353</v>
      </c>
      <c r="AZ195" s="433">
        <f t="shared" si="440"/>
        <v>365</v>
      </c>
      <c r="BA195" s="2">
        <f t="shared" si="460"/>
        <v>4461.810536876872</v>
      </c>
      <c r="BB195" s="2">
        <f t="shared" si="461"/>
        <v>20184.137342615482</v>
      </c>
      <c r="BC195" s="2">
        <f t="shared" si="462"/>
        <v>5475</v>
      </c>
      <c r="BD195" s="433">
        <f t="shared" si="441"/>
        <v>469</v>
      </c>
      <c r="BE195" s="439">
        <f t="shared" si="442"/>
        <v>5006</v>
      </c>
      <c r="BF195" s="433">
        <f t="shared" si="443"/>
        <v>365</v>
      </c>
      <c r="BG195" s="2">
        <f t="shared" si="463"/>
        <v>3654.0609885809222</v>
      </c>
      <c r="BH195" s="2">
        <f t="shared" si="444"/>
        <v>16530.076354034562</v>
      </c>
      <c r="BI195" s="2">
        <f t="shared" si="445"/>
        <v>2992.5434076398683</v>
      </c>
      <c r="BJ195" s="2">
        <f t="shared" si="464"/>
        <v>13537.532946394693</v>
      </c>
      <c r="BK195" s="2">
        <f t="shared" si="465"/>
        <v>2450.7845037602092</v>
      </c>
      <c r="BL195" s="2">
        <f t="shared" si="446"/>
        <v>11086.748442634484</v>
      </c>
      <c r="BM195" s="2"/>
      <c r="BN195" s="2">
        <f t="shared" si="447"/>
        <v>11086.748442634484</v>
      </c>
      <c r="BO195" s="2">
        <f t="shared" si="448"/>
        <v>2007.1036124445739</v>
      </c>
      <c r="BP195" s="2">
        <f t="shared" si="466"/>
        <v>9079.644830189909</v>
      </c>
      <c r="BQ195" s="2"/>
      <c r="BR195" s="2">
        <f t="shared" si="449"/>
        <v>9079.644830189909</v>
      </c>
      <c r="BS195" s="2">
        <f t="shared" si="450"/>
        <v>1643.7450558819974</v>
      </c>
      <c r="BT195" s="2">
        <f t="shared" si="467"/>
        <v>7435.8997743079117</v>
      </c>
      <c r="BU195" s="2">
        <f t="shared" si="468"/>
        <v>1346.1675779885149</v>
      </c>
      <c r="BV195" s="2">
        <f t="shared" si="469"/>
        <v>6089.7321963193972</v>
      </c>
      <c r="BW195" s="2">
        <f t="shared" si="495"/>
        <v>1102.4624174793914</v>
      </c>
      <c r="BX195" s="2">
        <f t="shared" si="471"/>
        <v>4987.2697788400055</v>
      </c>
      <c r="BY195" s="2">
        <f t="shared" si="497"/>
        <v>902.87673082323613</v>
      </c>
      <c r="BZ195" s="2">
        <f t="shared" si="472"/>
        <v>4084.3930480167692</v>
      </c>
      <c r="CA195" s="2">
        <f t="shared" si="498"/>
        <v>739.42329292807176</v>
      </c>
      <c r="CB195" s="2">
        <f t="shared" si="473"/>
        <v>3344.9697550886976</v>
      </c>
      <c r="CC195" s="2">
        <f t="shared" si="499"/>
        <v>605.56085616036819</v>
      </c>
      <c r="CD195" s="2">
        <f t="shared" si="474"/>
        <v>2739.4088989283296</v>
      </c>
      <c r="CE195" s="2">
        <f t="shared" si="501"/>
        <v>495.93237597581293</v>
      </c>
      <c r="CF195" s="2">
        <f t="shared" si="475"/>
        <v>2243.4765229525165</v>
      </c>
      <c r="CG195" s="2">
        <f t="shared" ref="CG195:CG201" si="502">+CF195*AK195</f>
        <v>406.15062720613065</v>
      </c>
      <c r="CH195" s="2">
        <f t="shared" si="476"/>
        <v>1837.3258957463859</v>
      </c>
      <c r="CI195" s="2">
        <f>+CH195-E195*5%</f>
        <v>537.32589574638587</v>
      </c>
      <c r="CJ195" s="2">
        <f t="shared" si="477"/>
        <v>1300</v>
      </c>
      <c r="CK195" s="2">
        <v>0</v>
      </c>
      <c r="CL195" s="2">
        <f t="shared" si="478"/>
        <v>1300</v>
      </c>
      <c r="CM195" s="2">
        <v>0</v>
      </c>
      <c r="CN195" s="2">
        <f t="shared" si="479"/>
        <v>1300</v>
      </c>
      <c r="CO195" s="2">
        <v>0</v>
      </c>
      <c r="CP195" s="2">
        <f t="shared" si="480"/>
        <v>1300</v>
      </c>
      <c r="CQ195" s="2">
        <v>0</v>
      </c>
      <c r="CR195" s="2">
        <f t="shared" si="481"/>
        <v>1300</v>
      </c>
      <c r="CS195" s="2"/>
      <c r="CT195" s="2">
        <f t="shared" si="482"/>
        <v>1300</v>
      </c>
      <c r="CU195" s="2"/>
      <c r="CV195" s="2">
        <f t="shared" si="482"/>
        <v>1300</v>
      </c>
      <c r="CW195" s="2"/>
      <c r="CX195" s="2">
        <f t="shared" si="482"/>
        <v>1300</v>
      </c>
      <c r="CY195" s="2"/>
      <c r="CZ195" s="2">
        <f t="shared" si="482"/>
        <v>1300</v>
      </c>
      <c r="DA195" s="2"/>
      <c r="DB195" s="2">
        <f t="shared" si="482"/>
        <v>1300</v>
      </c>
      <c r="DC195" s="2"/>
      <c r="DD195" s="2">
        <f t="shared" si="482"/>
        <v>1300</v>
      </c>
      <c r="DE195" s="2"/>
      <c r="DF195" s="2">
        <f t="shared" si="483"/>
        <v>1300</v>
      </c>
      <c r="DG195" s="2"/>
      <c r="DH195" s="2">
        <f t="shared" si="484"/>
        <v>1300</v>
      </c>
      <c r="DI195" s="2"/>
      <c r="DJ195" s="2">
        <f t="shared" si="485"/>
        <v>1300</v>
      </c>
      <c r="DK195" s="2"/>
      <c r="DL195" s="2">
        <f t="shared" si="486"/>
        <v>1300</v>
      </c>
      <c r="DM195" s="2"/>
      <c r="DN195" s="2">
        <f t="shared" si="487"/>
        <v>1300</v>
      </c>
      <c r="DO195" s="2"/>
      <c r="DP195" s="2">
        <f t="shared" si="488"/>
        <v>1300</v>
      </c>
      <c r="DQ195" s="2"/>
      <c r="DR195" s="2">
        <f t="shared" si="489"/>
        <v>1300</v>
      </c>
      <c r="DS195" s="2"/>
      <c r="DT195" s="2">
        <f t="shared" si="451"/>
        <v>1300</v>
      </c>
      <c r="DU195" s="2"/>
      <c r="DV195" s="2">
        <f t="shared" si="451"/>
        <v>1300</v>
      </c>
      <c r="DW195" s="266">
        <f t="shared" si="452"/>
        <v>1300</v>
      </c>
      <c r="DX195" s="441">
        <f t="shared" si="453"/>
        <v>0</v>
      </c>
    </row>
    <row r="196" spans="1:128">
      <c r="A196" s="413">
        <v>37</v>
      </c>
      <c r="B196" s="413" t="s">
        <v>546</v>
      </c>
      <c r="C196" s="433" t="s">
        <v>518</v>
      </c>
      <c r="D196" s="468">
        <v>0.1391</v>
      </c>
      <c r="E196" s="442">
        <v>135400</v>
      </c>
      <c r="F196" s="437" t="s">
        <v>1001</v>
      </c>
      <c r="G196" s="438">
        <v>42433</v>
      </c>
      <c r="H196" s="438"/>
      <c r="I196" s="438"/>
      <c r="J196" s="438"/>
      <c r="K196" s="438"/>
      <c r="L196" s="479"/>
      <c r="M196" s="433"/>
      <c r="N196" s="436"/>
      <c r="O196" s="436"/>
      <c r="P196" s="433"/>
      <c r="Q196" s="436"/>
      <c r="R196" s="436"/>
      <c r="S196" s="433"/>
      <c r="T196" s="436"/>
      <c r="U196" s="436"/>
      <c r="V196" s="433"/>
      <c r="W196" s="436"/>
      <c r="X196" s="436"/>
      <c r="Y196" s="433"/>
      <c r="Z196" s="436"/>
      <c r="AA196" s="436"/>
      <c r="AB196" s="433"/>
      <c r="AC196" s="436"/>
      <c r="AD196" s="436"/>
      <c r="AE196" s="436"/>
      <c r="AF196" s="436"/>
      <c r="AG196" s="436"/>
      <c r="AH196" s="436"/>
      <c r="AI196" s="439">
        <v>15</v>
      </c>
      <c r="AJ196" s="436">
        <f t="shared" si="429"/>
        <v>15</v>
      </c>
      <c r="AK196" s="440">
        <f t="shared" si="500"/>
        <v>0.18103627252208465</v>
      </c>
      <c r="AL196" s="2">
        <f t="shared" si="431"/>
        <v>0</v>
      </c>
      <c r="AM196" s="433"/>
      <c r="AN196" s="436"/>
      <c r="AO196" s="436"/>
      <c r="AP196" s="436"/>
      <c r="AQ196" s="436"/>
      <c r="AR196" s="436"/>
      <c r="AS196" s="436"/>
      <c r="AT196" s="2"/>
      <c r="AU196" s="2"/>
      <c r="AV196" s="2"/>
      <c r="AW196" s="2">
        <f t="shared" si="439"/>
        <v>28</v>
      </c>
      <c r="AX196" s="2">
        <f>E196*AW196/365*AK196</f>
        <v>1880.3964832485681</v>
      </c>
      <c r="AY196" s="2">
        <f>E196-AX196</f>
        <v>133519.60351675143</v>
      </c>
      <c r="AZ196" s="433">
        <f t="shared" si="440"/>
        <v>365</v>
      </c>
      <c r="BA196" s="2">
        <f t="shared" si="460"/>
        <v>24171.891329299306</v>
      </c>
      <c r="BB196" s="2">
        <f t="shared" si="461"/>
        <v>109347.71218745213</v>
      </c>
      <c r="BC196" s="2">
        <f t="shared" si="462"/>
        <v>5475</v>
      </c>
      <c r="BD196" s="433">
        <f t="shared" si="441"/>
        <v>392</v>
      </c>
      <c r="BE196" s="439">
        <f t="shared" si="442"/>
        <v>5083</v>
      </c>
      <c r="BF196" s="433">
        <f t="shared" si="443"/>
        <v>365</v>
      </c>
      <c r="BG196" s="2">
        <f t="shared" si="463"/>
        <v>19795.902223234061</v>
      </c>
      <c r="BH196" s="2">
        <f t="shared" si="444"/>
        <v>89551.80996421806</v>
      </c>
      <c r="BI196" s="2">
        <f t="shared" si="445"/>
        <v>16212.125873528117</v>
      </c>
      <c r="BJ196" s="2">
        <f t="shared" si="464"/>
        <v>73339.684090689945</v>
      </c>
      <c r="BK196" s="2">
        <f t="shared" si="465"/>
        <v>13277.143035725741</v>
      </c>
      <c r="BL196" s="2">
        <f t="shared" si="446"/>
        <v>60062.541054964204</v>
      </c>
      <c r="BM196" s="2"/>
      <c r="BN196" s="2">
        <f t="shared" si="447"/>
        <v>60062.541054964204</v>
      </c>
      <c r="BO196" s="2">
        <f t="shared" si="448"/>
        <v>10873.498550795397</v>
      </c>
      <c r="BP196" s="2">
        <f t="shared" si="466"/>
        <v>49189.042504168807</v>
      </c>
      <c r="BQ196" s="2"/>
      <c r="BR196" s="2">
        <f t="shared" si="449"/>
        <v>49189.042504168807</v>
      </c>
      <c r="BS196" s="2">
        <f t="shared" si="450"/>
        <v>8905.0009038851094</v>
      </c>
      <c r="BT196" s="2">
        <f t="shared" si="467"/>
        <v>40284.041600283701</v>
      </c>
      <c r="BU196" s="2">
        <f t="shared" si="468"/>
        <v>7292.8727334399555</v>
      </c>
      <c r="BV196" s="2">
        <f t="shared" si="469"/>
        <v>32991.168866843742</v>
      </c>
      <c r="BW196" s="2">
        <f t="shared" si="495"/>
        <v>5972.5982378000381</v>
      </c>
      <c r="BX196" s="2">
        <f t="shared" si="471"/>
        <v>27018.570629043705</v>
      </c>
      <c r="BY196" s="2">
        <f t="shared" si="497"/>
        <v>4891.3413155567487</v>
      </c>
      <c r="BZ196" s="2">
        <f t="shared" si="472"/>
        <v>22127.229313486954</v>
      </c>
      <c r="CA196" s="2">
        <f t="shared" si="498"/>
        <v>4005.8311161550841</v>
      </c>
      <c r="CB196" s="2">
        <f t="shared" si="473"/>
        <v>18121.39819733187</v>
      </c>
      <c r="CC196" s="2">
        <f t="shared" si="499"/>
        <v>3280.6303825333857</v>
      </c>
      <c r="CD196" s="2">
        <f t="shared" si="474"/>
        <v>14840.767814798484</v>
      </c>
      <c r="CE196" s="2">
        <f t="shared" si="501"/>
        <v>2686.7172865568409</v>
      </c>
      <c r="CF196" s="2">
        <f t="shared" si="475"/>
        <v>12154.050528241643</v>
      </c>
      <c r="CG196" s="2">
        <f t="shared" si="502"/>
        <v>2200.3240036779412</v>
      </c>
      <c r="CH196" s="2">
        <f t="shared" si="476"/>
        <v>9953.7265245637027</v>
      </c>
      <c r="CI196" s="2">
        <f>+CH196-E196*5%</f>
        <v>3183.7265245637027</v>
      </c>
      <c r="CJ196" s="2">
        <f t="shared" si="477"/>
        <v>6770</v>
      </c>
      <c r="CK196" s="2">
        <v>0</v>
      </c>
      <c r="CL196" s="2">
        <f t="shared" si="478"/>
        <v>6770</v>
      </c>
      <c r="CM196" s="2">
        <v>0</v>
      </c>
      <c r="CN196" s="2">
        <f t="shared" si="479"/>
        <v>6770</v>
      </c>
      <c r="CO196" s="2">
        <v>0</v>
      </c>
      <c r="CP196" s="2">
        <f t="shared" si="480"/>
        <v>6770</v>
      </c>
      <c r="CQ196" s="2">
        <v>0</v>
      </c>
      <c r="CR196" s="2">
        <f t="shared" si="481"/>
        <v>6770</v>
      </c>
      <c r="CS196" s="2"/>
      <c r="CT196" s="2">
        <f t="shared" si="482"/>
        <v>6770</v>
      </c>
      <c r="CU196" s="2"/>
      <c r="CV196" s="2">
        <f t="shared" si="482"/>
        <v>6770</v>
      </c>
      <c r="CW196" s="2"/>
      <c r="CX196" s="2">
        <f t="shared" si="482"/>
        <v>6770</v>
      </c>
      <c r="CY196" s="2"/>
      <c r="CZ196" s="2">
        <f t="shared" si="482"/>
        <v>6770</v>
      </c>
      <c r="DA196" s="2"/>
      <c r="DB196" s="2">
        <f t="shared" si="482"/>
        <v>6770</v>
      </c>
      <c r="DC196" s="2"/>
      <c r="DD196" s="2">
        <f t="shared" si="482"/>
        <v>6770</v>
      </c>
      <c r="DE196" s="2"/>
      <c r="DF196" s="2">
        <f t="shared" si="483"/>
        <v>6770</v>
      </c>
      <c r="DG196" s="2"/>
      <c r="DH196" s="2">
        <f t="shared" si="484"/>
        <v>6770</v>
      </c>
      <c r="DI196" s="2"/>
      <c r="DJ196" s="2">
        <f t="shared" si="485"/>
        <v>6770</v>
      </c>
      <c r="DK196" s="2"/>
      <c r="DL196" s="2">
        <f t="shared" si="486"/>
        <v>6770</v>
      </c>
      <c r="DM196" s="2"/>
      <c r="DN196" s="2">
        <f t="shared" si="487"/>
        <v>6770</v>
      </c>
      <c r="DO196" s="2"/>
      <c r="DP196" s="2">
        <f t="shared" si="488"/>
        <v>6770</v>
      </c>
      <c r="DQ196" s="2"/>
      <c r="DR196" s="2">
        <f t="shared" si="489"/>
        <v>6770</v>
      </c>
      <c r="DS196" s="2"/>
      <c r="DT196" s="2">
        <f t="shared" si="451"/>
        <v>6770</v>
      </c>
      <c r="DU196" s="2"/>
      <c r="DV196" s="2">
        <f t="shared" si="451"/>
        <v>6770</v>
      </c>
      <c r="DW196" s="266">
        <f t="shared" si="452"/>
        <v>6770</v>
      </c>
      <c r="DX196" s="441">
        <f t="shared" si="453"/>
        <v>0</v>
      </c>
    </row>
    <row r="197" spans="1:128">
      <c r="A197" s="413">
        <v>38</v>
      </c>
      <c r="B197" s="413" t="s">
        <v>402</v>
      </c>
      <c r="C197" s="433" t="s">
        <v>518</v>
      </c>
      <c r="D197" s="468">
        <v>0.1391</v>
      </c>
      <c r="E197" s="442">
        <v>371125</v>
      </c>
      <c r="F197" s="437" t="s">
        <v>1001</v>
      </c>
      <c r="G197" s="438">
        <v>42306</v>
      </c>
      <c r="H197" s="438"/>
      <c r="I197" s="438"/>
      <c r="J197" s="438"/>
      <c r="K197" s="438"/>
      <c r="L197" s="479"/>
      <c r="M197" s="433"/>
      <c r="N197" s="436"/>
      <c r="O197" s="436"/>
      <c r="P197" s="433"/>
      <c r="Q197" s="436"/>
      <c r="R197" s="436"/>
      <c r="S197" s="433"/>
      <c r="T197" s="436"/>
      <c r="U197" s="436"/>
      <c r="V197" s="433"/>
      <c r="W197" s="436"/>
      <c r="X197" s="436"/>
      <c r="Y197" s="433"/>
      <c r="Z197" s="436"/>
      <c r="AA197" s="436"/>
      <c r="AB197" s="433"/>
      <c r="AC197" s="436"/>
      <c r="AD197" s="436"/>
      <c r="AE197" s="436"/>
      <c r="AF197" s="436"/>
      <c r="AG197" s="436"/>
      <c r="AH197" s="436"/>
      <c r="AI197" s="439">
        <v>15</v>
      </c>
      <c r="AJ197" s="436">
        <f t="shared" si="429"/>
        <v>15</v>
      </c>
      <c r="AK197" s="440">
        <f t="shared" si="500"/>
        <v>0.18103627252208465</v>
      </c>
      <c r="AL197" s="2">
        <f t="shared" si="431"/>
        <v>0</v>
      </c>
      <c r="AM197" s="433"/>
      <c r="AN197" s="436"/>
      <c r="AO197" s="436"/>
      <c r="AP197" s="436"/>
      <c r="AQ197" s="436"/>
      <c r="AR197" s="436"/>
      <c r="AS197" s="436"/>
      <c r="AT197" s="2"/>
      <c r="AU197" s="2"/>
      <c r="AV197" s="2"/>
      <c r="AW197" s="2">
        <f t="shared" si="439"/>
        <v>155</v>
      </c>
      <c r="AX197" s="2">
        <f>E197*AW197/365*AK197</f>
        <v>28531.502545650939</v>
      </c>
      <c r="AY197" s="2">
        <f>E197-AX197</f>
        <v>342593.49745434907</v>
      </c>
      <c r="AZ197" s="433">
        <f t="shared" si="440"/>
        <v>365</v>
      </c>
      <c r="BA197" s="2">
        <f t="shared" si="460"/>
        <v>62021.84976943965</v>
      </c>
      <c r="BB197" s="2">
        <f t="shared" si="461"/>
        <v>280571.6476849094</v>
      </c>
      <c r="BC197" s="2">
        <f t="shared" si="462"/>
        <v>5475</v>
      </c>
      <c r="BD197" s="433">
        <f t="shared" si="441"/>
        <v>519</v>
      </c>
      <c r="BE197" s="439">
        <f t="shared" si="442"/>
        <v>4956</v>
      </c>
      <c r="BF197" s="433">
        <f t="shared" si="443"/>
        <v>365</v>
      </c>
      <c r="BG197" s="2">
        <f t="shared" si="463"/>
        <v>50793.645272255577</v>
      </c>
      <c r="BH197" s="2">
        <f t="shared" si="444"/>
        <v>229778.00241265382</v>
      </c>
      <c r="BI197" s="2">
        <f t="shared" si="445"/>
        <v>41598.153064357422</v>
      </c>
      <c r="BJ197" s="2">
        <f t="shared" si="464"/>
        <v>188179.84934829641</v>
      </c>
      <c r="BK197" s="2">
        <f t="shared" si="465"/>
        <v>34067.378489783026</v>
      </c>
      <c r="BL197" s="2">
        <f t="shared" si="446"/>
        <v>154112.47085851338</v>
      </c>
      <c r="BM197" s="2"/>
      <c r="BN197" s="2">
        <f t="shared" si="447"/>
        <v>154112.47085851338</v>
      </c>
      <c r="BO197" s="2">
        <f t="shared" si="448"/>
        <v>27899.947273393656</v>
      </c>
      <c r="BP197" s="2">
        <f t="shared" si="466"/>
        <v>126212.52358511972</v>
      </c>
      <c r="BQ197" s="2"/>
      <c r="BR197" s="2">
        <f t="shared" si="449"/>
        <v>126212.52358511972</v>
      </c>
      <c r="BS197" s="2">
        <f t="shared" si="450"/>
        <v>22849.044815455771</v>
      </c>
      <c r="BT197" s="2">
        <f t="shared" si="467"/>
        <v>103363.47876966395</v>
      </c>
      <c r="BU197" s="2">
        <f t="shared" si="468"/>
        <v>18712.538911375595</v>
      </c>
      <c r="BV197" s="2">
        <f t="shared" si="469"/>
        <v>84650.939858288359</v>
      </c>
      <c r="BW197" s="2">
        <f t="shared" si="495"/>
        <v>15324.890617435689</v>
      </c>
      <c r="BX197" s="2">
        <f t="shared" si="471"/>
        <v>69326.049240852677</v>
      </c>
      <c r="BY197" s="2">
        <f t="shared" si="497"/>
        <v>12550.529543246465</v>
      </c>
      <c r="BZ197" s="2">
        <f t="shared" si="472"/>
        <v>56775.519697606214</v>
      </c>
      <c r="CA197" s="2">
        <f t="shared" si="498"/>
        <v>10278.428456558824</v>
      </c>
      <c r="CB197" s="2">
        <f t="shared" si="473"/>
        <v>46497.09124104739</v>
      </c>
      <c r="CC197" s="2">
        <f t="shared" si="499"/>
        <v>8417.6600813984915</v>
      </c>
      <c r="CD197" s="2">
        <f t="shared" si="474"/>
        <v>38079.431159648899</v>
      </c>
      <c r="CE197" s="2">
        <f t="shared" si="501"/>
        <v>6893.7582769041601</v>
      </c>
      <c r="CF197" s="2">
        <f t="shared" si="475"/>
        <v>31185.672882744737</v>
      </c>
      <c r="CG197" s="2">
        <f t="shared" si="502"/>
        <v>5645.7379747851619</v>
      </c>
      <c r="CH197" s="2">
        <f t="shared" si="476"/>
        <v>25539.934907959574</v>
      </c>
      <c r="CI197" s="2">
        <f>+CH197-E197*5%</f>
        <v>6983.684907959574</v>
      </c>
      <c r="CJ197" s="2">
        <f t="shared" si="477"/>
        <v>18556.25</v>
      </c>
      <c r="CK197" s="2">
        <v>0</v>
      </c>
      <c r="CL197" s="2">
        <f t="shared" si="478"/>
        <v>18556.25</v>
      </c>
      <c r="CM197" s="2">
        <v>0</v>
      </c>
      <c r="CN197" s="2">
        <f t="shared" si="479"/>
        <v>18556.25</v>
      </c>
      <c r="CO197" s="2">
        <v>0</v>
      </c>
      <c r="CP197" s="2">
        <f t="shared" si="480"/>
        <v>18556.25</v>
      </c>
      <c r="CQ197" s="2">
        <v>0</v>
      </c>
      <c r="CR197" s="2">
        <f t="shared" si="481"/>
        <v>18556.25</v>
      </c>
      <c r="CS197" s="2"/>
      <c r="CT197" s="2">
        <f t="shared" si="482"/>
        <v>18556.25</v>
      </c>
      <c r="CU197" s="2"/>
      <c r="CV197" s="2">
        <f t="shared" si="482"/>
        <v>18556.25</v>
      </c>
      <c r="CW197" s="2"/>
      <c r="CX197" s="2">
        <f t="shared" si="482"/>
        <v>18556.25</v>
      </c>
      <c r="CY197" s="2"/>
      <c r="CZ197" s="2">
        <f t="shared" si="482"/>
        <v>18556.25</v>
      </c>
      <c r="DA197" s="2"/>
      <c r="DB197" s="2">
        <f t="shared" si="482"/>
        <v>18556.25</v>
      </c>
      <c r="DC197" s="2"/>
      <c r="DD197" s="2">
        <f t="shared" si="482"/>
        <v>18556.25</v>
      </c>
      <c r="DE197" s="2"/>
      <c r="DF197" s="2">
        <f t="shared" si="483"/>
        <v>18556.25</v>
      </c>
      <c r="DG197" s="2"/>
      <c r="DH197" s="2">
        <f t="shared" si="484"/>
        <v>18556.25</v>
      </c>
      <c r="DI197" s="2"/>
      <c r="DJ197" s="2">
        <f t="shared" si="485"/>
        <v>18556.25</v>
      </c>
      <c r="DK197" s="2"/>
      <c r="DL197" s="2">
        <f t="shared" si="486"/>
        <v>18556.25</v>
      </c>
      <c r="DM197" s="2"/>
      <c r="DN197" s="2">
        <f t="shared" si="487"/>
        <v>18556.25</v>
      </c>
      <c r="DO197" s="2"/>
      <c r="DP197" s="2">
        <f t="shared" si="488"/>
        <v>18556.25</v>
      </c>
      <c r="DQ197" s="2"/>
      <c r="DR197" s="2">
        <f t="shared" si="489"/>
        <v>18556.25</v>
      </c>
      <c r="DS197" s="2"/>
      <c r="DT197" s="2">
        <f t="shared" si="451"/>
        <v>18556.25</v>
      </c>
      <c r="DU197" s="2"/>
      <c r="DV197" s="2">
        <f t="shared" si="451"/>
        <v>18556.25</v>
      </c>
      <c r="DW197" s="266">
        <f t="shared" si="452"/>
        <v>18556.25</v>
      </c>
      <c r="DX197" s="441">
        <f t="shared" si="453"/>
        <v>0</v>
      </c>
    </row>
    <row r="198" spans="1:128">
      <c r="A198" s="413">
        <v>39</v>
      </c>
      <c r="B198" s="413" t="s">
        <v>547</v>
      </c>
      <c r="C198" s="433" t="s">
        <v>518</v>
      </c>
      <c r="D198" s="468">
        <v>0.1391</v>
      </c>
      <c r="E198" s="442">
        <v>262000</v>
      </c>
      <c r="F198" s="437" t="s">
        <v>1001</v>
      </c>
      <c r="G198" s="438">
        <v>42438</v>
      </c>
      <c r="H198" s="438"/>
      <c r="I198" s="438"/>
      <c r="J198" s="438"/>
      <c r="K198" s="438"/>
      <c r="L198" s="479"/>
      <c r="M198" s="433"/>
      <c r="N198" s="436"/>
      <c r="O198" s="436"/>
      <c r="P198" s="433"/>
      <c r="Q198" s="436"/>
      <c r="R198" s="436"/>
      <c r="S198" s="433"/>
      <c r="T198" s="436"/>
      <c r="U198" s="436"/>
      <c r="V198" s="433"/>
      <c r="W198" s="436"/>
      <c r="X198" s="436"/>
      <c r="Y198" s="433"/>
      <c r="Z198" s="436"/>
      <c r="AA198" s="436"/>
      <c r="AB198" s="433"/>
      <c r="AC198" s="436"/>
      <c r="AD198" s="436"/>
      <c r="AE198" s="436"/>
      <c r="AF198" s="436"/>
      <c r="AG198" s="436"/>
      <c r="AH198" s="436"/>
      <c r="AI198" s="439">
        <v>15</v>
      </c>
      <c r="AJ198" s="436">
        <f t="shared" si="429"/>
        <v>15</v>
      </c>
      <c r="AK198" s="440">
        <f t="shared" si="500"/>
        <v>0.18103627252208465</v>
      </c>
      <c r="AL198" s="2">
        <f t="shared" si="431"/>
        <v>0</v>
      </c>
      <c r="AM198" s="433"/>
      <c r="AN198" s="436"/>
      <c r="AO198" s="436"/>
      <c r="AP198" s="436"/>
      <c r="AQ198" s="436"/>
      <c r="AR198" s="436"/>
      <c r="AS198" s="436"/>
      <c r="AT198" s="2"/>
      <c r="AU198" s="2"/>
      <c r="AV198" s="2"/>
      <c r="AW198" s="2">
        <f t="shared" si="439"/>
        <v>23</v>
      </c>
      <c r="AX198" s="2">
        <f>E198*AW198/365*AK198</f>
        <v>2988.8344608714574</v>
      </c>
      <c r="AY198" s="2">
        <f>E198-AX198</f>
        <v>259011.16553912853</v>
      </c>
      <c r="AZ198" s="433">
        <f t="shared" si="440"/>
        <v>365</v>
      </c>
      <c r="BA198" s="2">
        <f t="shared" si="460"/>
        <v>46890.415950804454</v>
      </c>
      <c r="BB198" s="2">
        <f t="shared" si="461"/>
        <v>212120.74958832408</v>
      </c>
      <c r="BC198" s="2">
        <f t="shared" si="462"/>
        <v>5475</v>
      </c>
      <c r="BD198" s="433">
        <f t="shared" si="441"/>
        <v>387</v>
      </c>
      <c r="BE198" s="439">
        <f t="shared" si="442"/>
        <v>5088</v>
      </c>
      <c r="BF198" s="433">
        <f t="shared" si="443"/>
        <v>365</v>
      </c>
      <c r="BG198" s="2">
        <f t="shared" si="463"/>
        <v>38401.549830060714</v>
      </c>
      <c r="BH198" s="2">
        <f t="shared" si="444"/>
        <v>173719.19975826336</v>
      </c>
      <c r="BI198" s="2">
        <f t="shared" si="445"/>
        <v>31449.476389755429</v>
      </c>
      <c r="BJ198" s="2">
        <f t="shared" si="464"/>
        <v>142269.72336850793</v>
      </c>
      <c r="BK198" s="2">
        <f t="shared" si="465"/>
        <v>25755.980411382796</v>
      </c>
      <c r="BL198" s="2">
        <f t="shared" si="446"/>
        <v>116513.74295712513</v>
      </c>
      <c r="BM198" s="2"/>
      <c r="BN198" s="2">
        <f t="shared" si="447"/>
        <v>116513.74295712513</v>
      </c>
      <c r="BO198" s="2">
        <f t="shared" si="448"/>
        <v>21093.213722554225</v>
      </c>
      <c r="BP198" s="2">
        <f t="shared" si="466"/>
        <v>95420.529234570902</v>
      </c>
      <c r="BQ198" s="2"/>
      <c r="BR198" s="2">
        <f t="shared" si="449"/>
        <v>95420.529234570902</v>
      </c>
      <c r="BS198" s="2">
        <f t="shared" si="450"/>
        <v>17274.576934711324</v>
      </c>
      <c r="BT198" s="2">
        <f t="shared" si="467"/>
        <v>78145.952299859578</v>
      </c>
      <c r="BU198" s="2">
        <f t="shared" si="468"/>
        <v>14147.251917055206</v>
      </c>
      <c r="BV198" s="2">
        <f t="shared" si="469"/>
        <v>63998.700382804374</v>
      </c>
      <c r="BW198" s="2">
        <f t="shared" si="495"/>
        <v>11586.086163560616</v>
      </c>
      <c r="BX198" s="2">
        <f t="shared" si="471"/>
        <v>52412.614219243755</v>
      </c>
      <c r="BY198" s="2">
        <f t="shared" si="497"/>
        <v>9488.5843113899009</v>
      </c>
      <c r="BZ198" s="2">
        <f t="shared" si="472"/>
        <v>42924.029907853852</v>
      </c>
      <c r="CA198" s="2">
        <f t="shared" si="498"/>
        <v>7770.8063761443418</v>
      </c>
      <c r="CB198" s="2">
        <f t="shared" si="473"/>
        <v>35153.223531709511</v>
      </c>
      <c r="CC198" s="2">
        <f t="shared" si="499"/>
        <v>6364.0085553163217</v>
      </c>
      <c r="CD198" s="2">
        <f t="shared" si="474"/>
        <v>28789.214976393188</v>
      </c>
      <c r="CE198" s="2">
        <f t="shared" si="501"/>
        <v>5211.8921681631982</v>
      </c>
      <c r="CF198" s="2">
        <f t="shared" si="475"/>
        <v>23577.32280822999</v>
      </c>
      <c r="CG198" s="2">
        <f t="shared" si="502"/>
        <v>4268.3506372518868</v>
      </c>
      <c r="CH198" s="2">
        <f t="shared" si="476"/>
        <v>19308.972170978104</v>
      </c>
      <c r="CI198" s="2">
        <f>+CH198-E198*5%</f>
        <v>6208.9721709781043</v>
      </c>
      <c r="CJ198" s="2">
        <f t="shared" si="477"/>
        <v>13100</v>
      </c>
      <c r="CK198" s="2">
        <v>0</v>
      </c>
      <c r="CL198" s="2">
        <f t="shared" si="478"/>
        <v>13100</v>
      </c>
      <c r="CM198" s="2">
        <v>0</v>
      </c>
      <c r="CN198" s="2">
        <f t="shared" si="479"/>
        <v>13100</v>
      </c>
      <c r="CO198" s="2">
        <v>0</v>
      </c>
      <c r="CP198" s="2">
        <f t="shared" si="480"/>
        <v>13100</v>
      </c>
      <c r="CQ198" s="2">
        <v>0</v>
      </c>
      <c r="CR198" s="2">
        <f t="shared" si="481"/>
        <v>13100</v>
      </c>
      <c r="CS198" s="2"/>
      <c r="CT198" s="2">
        <f t="shared" si="482"/>
        <v>13100</v>
      </c>
      <c r="CU198" s="2"/>
      <c r="CV198" s="2">
        <f t="shared" si="482"/>
        <v>13100</v>
      </c>
      <c r="CW198" s="2"/>
      <c r="CX198" s="2">
        <f t="shared" si="482"/>
        <v>13100</v>
      </c>
      <c r="CY198" s="2"/>
      <c r="CZ198" s="2">
        <f t="shared" si="482"/>
        <v>13100</v>
      </c>
      <c r="DA198" s="2"/>
      <c r="DB198" s="2">
        <f t="shared" si="482"/>
        <v>13100</v>
      </c>
      <c r="DC198" s="2"/>
      <c r="DD198" s="2">
        <f t="shared" si="482"/>
        <v>13100</v>
      </c>
      <c r="DE198" s="2"/>
      <c r="DF198" s="2">
        <f t="shared" si="483"/>
        <v>13100</v>
      </c>
      <c r="DG198" s="2"/>
      <c r="DH198" s="2">
        <f t="shared" si="484"/>
        <v>13100</v>
      </c>
      <c r="DI198" s="2"/>
      <c r="DJ198" s="2">
        <f t="shared" si="485"/>
        <v>13100</v>
      </c>
      <c r="DK198" s="2"/>
      <c r="DL198" s="2">
        <f t="shared" si="486"/>
        <v>13100</v>
      </c>
      <c r="DM198" s="2"/>
      <c r="DN198" s="2">
        <f t="shared" si="487"/>
        <v>13100</v>
      </c>
      <c r="DO198" s="2"/>
      <c r="DP198" s="2">
        <f t="shared" si="488"/>
        <v>13100</v>
      </c>
      <c r="DQ198" s="2"/>
      <c r="DR198" s="2">
        <f t="shared" si="489"/>
        <v>13100</v>
      </c>
      <c r="DS198" s="2"/>
      <c r="DT198" s="2">
        <f t="shared" si="451"/>
        <v>13100</v>
      </c>
      <c r="DU198" s="2"/>
      <c r="DV198" s="2">
        <f t="shared" si="451"/>
        <v>13100</v>
      </c>
      <c r="DW198" s="266">
        <f t="shared" si="452"/>
        <v>13100</v>
      </c>
      <c r="DX198" s="441">
        <f t="shared" si="453"/>
        <v>0</v>
      </c>
    </row>
    <row r="199" spans="1:128">
      <c r="A199" s="413">
        <v>40</v>
      </c>
      <c r="B199" s="413" t="s">
        <v>666</v>
      </c>
      <c r="C199" s="433" t="s">
        <v>518</v>
      </c>
      <c r="D199" s="468">
        <v>0.1391</v>
      </c>
      <c r="E199" s="442">
        <v>106400</v>
      </c>
      <c r="F199" s="437" t="s">
        <v>1001</v>
      </c>
      <c r="G199" s="438">
        <v>42467</v>
      </c>
      <c r="H199" s="438"/>
      <c r="I199" s="438"/>
      <c r="J199" s="438"/>
      <c r="K199" s="438"/>
      <c r="L199" s="479"/>
      <c r="M199" s="433"/>
      <c r="N199" s="436"/>
      <c r="O199" s="436"/>
      <c r="P199" s="433"/>
      <c r="Q199" s="436"/>
      <c r="R199" s="436"/>
      <c r="S199" s="433"/>
      <c r="T199" s="436"/>
      <c r="U199" s="436"/>
      <c r="V199" s="433"/>
      <c r="W199" s="436"/>
      <c r="X199" s="436"/>
      <c r="Y199" s="433"/>
      <c r="Z199" s="436"/>
      <c r="AA199" s="436"/>
      <c r="AB199" s="433"/>
      <c r="AC199" s="436"/>
      <c r="AD199" s="436"/>
      <c r="AE199" s="436"/>
      <c r="AF199" s="436"/>
      <c r="AG199" s="436"/>
      <c r="AH199" s="436"/>
      <c r="AI199" s="439">
        <v>15</v>
      </c>
      <c r="AJ199" s="436">
        <f t="shared" si="429"/>
        <v>15</v>
      </c>
      <c r="AK199" s="440">
        <f t="shared" si="500"/>
        <v>0.18103627252208465</v>
      </c>
      <c r="AL199" s="2">
        <f t="shared" si="431"/>
        <v>0</v>
      </c>
      <c r="AM199" s="433"/>
      <c r="AN199" s="436"/>
      <c r="AO199" s="436"/>
      <c r="AP199" s="436"/>
      <c r="AQ199" s="436"/>
      <c r="AR199" s="436"/>
      <c r="AS199" s="436"/>
      <c r="AT199" s="2"/>
      <c r="AU199" s="2"/>
      <c r="AV199" s="2"/>
      <c r="AW199" s="2">
        <f t="shared" si="439"/>
        <v>-6</v>
      </c>
      <c r="AX199" s="2">
        <v>0</v>
      </c>
      <c r="AY199" s="2">
        <f>E199-AX199</f>
        <v>106400</v>
      </c>
      <c r="AZ199" s="433">
        <f t="shared" si="440"/>
        <v>359</v>
      </c>
      <c r="BA199" s="2">
        <f t="shared" si="460"/>
        <v>19262.259396349808</v>
      </c>
      <c r="BB199" s="2">
        <f t="shared" si="461"/>
        <v>87137.740603650192</v>
      </c>
      <c r="BC199" s="2">
        <f t="shared" si="462"/>
        <v>5475</v>
      </c>
      <c r="BD199" s="433">
        <f t="shared" si="441"/>
        <v>358</v>
      </c>
      <c r="BE199" s="439"/>
      <c r="BF199" s="433">
        <f t="shared" si="443"/>
        <v>365</v>
      </c>
      <c r="BG199" s="2">
        <f t="shared" si="463"/>
        <v>15775.091754881138</v>
      </c>
      <c r="BH199" s="2">
        <f t="shared" si="444"/>
        <v>71362.648848769051</v>
      </c>
      <c r="BI199" s="2">
        <f t="shared" si="445"/>
        <v>12919.227944883585</v>
      </c>
      <c r="BJ199" s="2">
        <f t="shared" si="464"/>
        <v>58443.420903885468</v>
      </c>
      <c r="BK199" s="2">
        <f t="shared" si="465"/>
        <v>10580.379073878708</v>
      </c>
      <c r="BL199" s="2">
        <f t="shared" si="446"/>
        <v>47863.041830006761</v>
      </c>
      <c r="BM199" s="2"/>
      <c r="BN199" s="2">
        <f t="shared" si="447"/>
        <v>47863.041830006761</v>
      </c>
      <c r="BO199" s="2">
        <f t="shared" si="448"/>
        <v>8664.9466844730414</v>
      </c>
      <c r="BP199" s="2">
        <f t="shared" si="466"/>
        <v>39198.09514553372</v>
      </c>
      <c r="BQ199" s="2"/>
      <c r="BR199" s="2">
        <f t="shared" si="449"/>
        <v>39198.09514553372</v>
      </c>
      <c r="BS199" s="2">
        <f t="shared" si="450"/>
        <v>7096.2770351134459</v>
      </c>
      <c r="BT199" s="2">
        <f t="shared" si="467"/>
        <v>32101.818110420274</v>
      </c>
      <c r="BU199" s="2">
        <f t="shared" si="468"/>
        <v>5811.5934918924377</v>
      </c>
      <c r="BV199" s="2">
        <f t="shared" si="469"/>
        <v>26290.224618527835</v>
      </c>
      <c r="BW199" s="2">
        <f t="shared" si="495"/>
        <v>4759.4842687066239</v>
      </c>
      <c r="BX199" s="2">
        <f t="shared" si="471"/>
        <v>21530.740349821212</v>
      </c>
      <c r="BY199" s="2">
        <f t="shared" si="497"/>
        <v>3897.8449775724771</v>
      </c>
      <c r="BZ199" s="2">
        <f t="shared" si="472"/>
        <v>17632.895372248735</v>
      </c>
      <c r="CA199" s="2">
        <f t="shared" si="498"/>
        <v>3192.1936519638271</v>
      </c>
      <c r="CB199" s="2">
        <f t="shared" si="473"/>
        <v>14440.701720284907</v>
      </c>
      <c r="CC199" s="2">
        <f t="shared" si="499"/>
        <v>2614.290812043635</v>
      </c>
      <c r="CD199" s="2">
        <f t="shared" si="474"/>
        <v>11826.410908241272</v>
      </c>
      <c r="CE199" s="2">
        <f t="shared" si="501"/>
        <v>2141.0093481425215</v>
      </c>
      <c r="CF199" s="2">
        <f t="shared" si="475"/>
        <v>9685.4015600987514</v>
      </c>
      <c r="CG199" s="2">
        <f t="shared" si="502"/>
        <v>1753.4089963198614</v>
      </c>
      <c r="CH199" s="2">
        <f t="shared" si="476"/>
        <v>7931.9925637788901</v>
      </c>
      <c r="CI199" s="2">
        <f>+CH199-E199*5%</f>
        <v>2611.9925637788901</v>
      </c>
      <c r="CJ199" s="2">
        <f t="shared" si="477"/>
        <v>5320</v>
      </c>
      <c r="CK199" s="2">
        <v>0</v>
      </c>
      <c r="CL199" s="2">
        <f t="shared" si="478"/>
        <v>5320</v>
      </c>
      <c r="CM199" s="2">
        <v>0</v>
      </c>
      <c r="CN199" s="2">
        <f t="shared" si="479"/>
        <v>5320</v>
      </c>
      <c r="CO199" s="2">
        <v>0</v>
      </c>
      <c r="CP199" s="2">
        <f t="shared" si="480"/>
        <v>5320</v>
      </c>
      <c r="CQ199" s="2">
        <v>0</v>
      </c>
      <c r="CR199" s="2">
        <f t="shared" si="481"/>
        <v>5320</v>
      </c>
      <c r="CS199" s="2"/>
      <c r="CT199" s="2">
        <f t="shared" si="482"/>
        <v>5320</v>
      </c>
      <c r="CU199" s="2"/>
      <c r="CV199" s="2">
        <f t="shared" si="482"/>
        <v>5320</v>
      </c>
      <c r="CW199" s="2"/>
      <c r="CX199" s="2">
        <f t="shared" si="482"/>
        <v>5320</v>
      </c>
      <c r="CY199" s="2"/>
      <c r="CZ199" s="2">
        <f t="shared" si="482"/>
        <v>5320</v>
      </c>
      <c r="DA199" s="2"/>
      <c r="DB199" s="2">
        <f t="shared" si="482"/>
        <v>5320</v>
      </c>
      <c r="DC199" s="2"/>
      <c r="DD199" s="2">
        <f t="shared" si="482"/>
        <v>5320</v>
      </c>
      <c r="DE199" s="2"/>
      <c r="DF199" s="2">
        <f t="shared" si="483"/>
        <v>5320</v>
      </c>
      <c r="DG199" s="2"/>
      <c r="DH199" s="2">
        <f t="shared" si="484"/>
        <v>5320</v>
      </c>
      <c r="DI199" s="2"/>
      <c r="DJ199" s="2">
        <f t="shared" si="485"/>
        <v>5320</v>
      </c>
      <c r="DK199" s="2"/>
      <c r="DL199" s="2">
        <f t="shared" si="486"/>
        <v>5320</v>
      </c>
      <c r="DM199" s="2"/>
      <c r="DN199" s="2">
        <f t="shared" si="487"/>
        <v>5320</v>
      </c>
      <c r="DO199" s="2"/>
      <c r="DP199" s="2">
        <f t="shared" si="488"/>
        <v>5320</v>
      </c>
      <c r="DQ199" s="2"/>
      <c r="DR199" s="2">
        <f t="shared" si="489"/>
        <v>5320</v>
      </c>
      <c r="DS199" s="2"/>
      <c r="DT199" s="2">
        <f t="shared" si="451"/>
        <v>5320</v>
      </c>
      <c r="DU199" s="2"/>
      <c r="DV199" s="2">
        <f t="shared" si="451"/>
        <v>5320</v>
      </c>
      <c r="DW199" s="266">
        <f t="shared" si="452"/>
        <v>5320</v>
      </c>
      <c r="DX199" s="441">
        <f t="shared" si="453"/>
        <v>0</v>
      </c>
    </row>
    <row r="200" spans="1:128">
      <c r="A200" s="413">
        <v>41</v>
      </c>
      <c r="C200" s="433" t="s">
        <v>518</v>
      </c>
      <c r="D200" s="468">
        <v>0.18099999999999999</v>
      </c>
      <c r="E200" s="442">
        <v>105669</v>
      </c>
      <c r="F200" s="437" t="s">
        <v>1001</v>
      </c>
      <c r="G200" s="438">
        <v>42999</v>
      </c>
      <c r="H200" s="438"/>
      <c r="I200" s="438"/>
      <c r="J200" s="438"/>
      <c r="K200" s="438"/>
      <c r="L200" s="433">
        <f>365-BF200</f>
        <v>173</v>
      </c>
      <c r="M200" s="433"/>
      <c r="N200" s="436"/>
      <c r="O200" s="436"/>
      <c r="P200" s="433"/>
      <c r="Q200" s="436"/>
      <c r="R200" s="436"/>
      <c r="S200" s="433"/>
      <c r="T200" s="436"/>
      <c r="U200" s="436"/>
      <c r="V200" s="433"/>
      <c r="W200" s="436"/>
      <c r="X200" s="436"/>
      <c r="Y200" s="433"/>
      <c r="Z200" s="436"/>
      <c r="AA200" s="436"/>
      <c r="AB200" s="433"/>
      <c r="AC200" s="436"/>
      <c r="AD200" s="436"/>
      <c r="AE200" s="436"/>
      <c r="AF200" s="436"/>
      <c r="AG200" s="436"/>
      <c r="AH200" s="436"/>
      <c r="AI200" s="439">
        <v>15</v>
      </c>
      <c r="AJ200" s="436">
        <f>AI200-AH200</f>
        <v>15</v>
      </c>
      <c r="AK200" s="440">
        <v>0.18099999999999999</v>
      </c>
      <c r="AL200" s="2"/>
      <c r="AM200" s="433"/>
      <c r="AN200" s="436"/>
      <c r="AO200" s="436"/>
      <c r="AP200" s="436"/>
      <c r="AQ200" s="436"/>
      <c r="AR200" s="436"/>
      <c r="AS200" s="436"/>
      <c r="AT200" s="2"/>
      <c r="AU200" s="2"/>
      <c r="AV200" s="2"/>
      <c r="AW200" s="2"/>
      <c r="AX200" s="2"/>
      <c r="AY200" s="2"/>
      <c r="AZ200" s="433"/>
      <c r="BA200" s="2"/>
      <c r="BB200" s="2"/>
      <c r="BC200" s="2">
        <f t="shared" si="462"/>
        <v>5475</v>
      </c>
      <c r="BD200" s="2"/>
      <c r="BE200" s="2"/>
      <c r="BF200" s="433">
        <f>IF(($BF$6-$G200+1)&gt;365,365,($BF$6-$G200+1))</f>
        <v>192</v>
      </c>
      <c r="BG200" s="2">
        <f>+E200*AK200*BF200/365</f>
        <v>10060.846816438356</v>
      </c>
      <c r="BH200" s="2">
        <f>+E200-BG200</f>
        <v>95608.153183561648</v>
      </c>
      <c r="BI200" s="2">
        <f>+BH200*AK200</f>
        <v>17305.075726224659</v>
      </c>
      <c r="BJ200" s="2">
        <f>+BH200-BI200</f>
        <v>78303.077457336985</v>
      </c>
      <c r="BK200" s="2">
        <f>+BJ200*AK200</f>
        <v>14172.857019777994</v>
      </c>
      <c r="BL200" s="2">
        <f t="shared" si="446"/>
        <v>64130.220437558994</v>
      </c>
      <c r="BM200" s="2"/>
      <c r="BN200" s="2">
        <f t="shared" si="447"/>
        <v>64130.220437558994</v>
      </c>
      <c r="BO200" s="2">
        <f>+BL200*AK200</f>
        <v>11607.569899198177</v>
      </c>
      <c r="BP200" s="2">
        <f>+BL200-BO200</f>
        <v>52522.650538360816</v>
      </c>
      <c r="BQ200" s="2"/>
      <c r="BR200" s="2">
        <f t="shared" si="449"/>
        <v>52522.650538360816</v>
      </c>
      <c r="BS200" s="2">
        <f>+BP200*AK200</f>
        <v>9506.5997474433079</v>
      </c>
      <c r="BT200" s="2">
        <f>+BP200-BS200</f>
        <v>43016.050790917507</v>
      </c>
      <c r="BU200" s="2">
        <f>+BT200*AK200</f>
        <v>7785.9051931560689</v>
      </c>
      <c r="BV200" s="2">
        <f>+BT200-BU200</f>
        <v>35230.145597761439</v>
      </c>
      <c r="BW200" s="2">
        <f>+BV200*AK200</f>
        <v>6376.6563531948204</v>
      </c>
      <c r="BX200" s="2">
        <f>+BV200-BW200</f>
        <v>28853.489244566619</v>
      </c>
      <c r="BY200" s="2">
        <f>+BX200*AK200</f>
        <v>5222.481553266558</v>
      </c>
      <c r="BZ200" s="2">
        <f>+BX200-BY200</f>
        <v>23631.007691300059</v>
      </c>
      <c r="CA200" s="2">
        <f>+BZ200*AK200</f>
        <v>4277.2123921253105</v>
      </c>
      <c r="CB200" s="2">
        <f>+BZ200-CA200</f>
        <v>19353.795299174748</v>
      </c>
      <c r="CC200" s="2">
        <f>+CB200*AK200</f>
        <v>3503.0369491506294</v>
      </c>
      <c r="CD200" s="2">
        <f>+CB200-CC200</f>
        <v>15850.758350024118</v>
      </c>
      <c r="CE200" s="2">
        <f>+CD200*AK200</f>
        <v>2868.9872613543653</v>
      </c>
      <c r="CF200" s="2">
        <f>+CD200-CE200</f>
        <v>12981.771088669753</v>
      </c>
      <c r="CG200" s="2">
        <f>+CF200*AK200</f>
        <v>2349.7005670492254</v>
      </c>
      <c r="CH200" s="2">
        <f>+CF200-CG200</f>
        <v>10632.070521620528</v>
      </c>
      <c r="CI200" s="2">
        <f>+CH200*$AK200</f>
        <v>1924.4047644133154</v>
      </c>
      <c r="CJ200" s="2">
        <f>+CH200-CI200</f>
        <v>8707.6657572072127</v>
      </c>
      <c r="CK200" s="2">
        <f>+CJ200*$AK200</f>
        <v>1576.0875020545054</v>
      </c>
      <c r="CL200" s="2">
        <f>+CJ200-CK200</f>
        <v>7131.5782551527072</v>
      </c>
      <c r="CM200" s="2">
        <f>+CL200*$AK200</f>
        <v>1290.8156641826399</v>
      </c>
      <c r="CN200" s="2">
        <f>+CL200-CM200</f>
        <v>5840.7625909700673</v>
      </c>
      <c r="CO200" s="2">
        <f>+CN200-E200*5%</f>
        <v>557.31259097006659</v>
      </c>
      <c r="CP200" s="2">
        <f>+CN200-CO200</f>
        <v>5283.4500000000007</v>
      </c>
      <c r="CQ200" s="2">
        <v>0</v>
      </c>
      <c r="CR200" s="2">
        <f>+CP200-CQ200</f>
        <v>5283.4500000000007</v>
      </c>
      <c r="CS200" s="2"/>
      <c r="CT200" s="2">
        <f>+CR200-CS200</f>
        <v>5283.4500000000007</v>
      </c>
      <c r="CU200" s="2"/>
      <c r="CV200" s="2">
        <f>+CT200-CU200</f>
        <v>5283.4500000000007</v>
      </c>
      <c r="CW200" s="2"/>
      <c r="CX200" s="2">
        <f>+CV200-CW200</f>
        <v>5283.4500000000007</v>
      </c>
      <c r="CY200" s="2"/>
      <c r="CZ200" s="2">
        <f>+CX200-CY200</f>
        <v>5283.4500000000007</v>
      </c>
      <c r="DA200" s="2"/>
      <c r="DB200" s="2">
        <f>+CZ200-DA200</f>
        <v>5283.4500000000007</v>
      </c>
      <c r="DC200" s="2"/>
      <c r="DD200" s="2">
        <f>+DB200-DC200</f>
        <v>5283.4500000000007</v>
      </c>
      <c r="DE200" s="2"/>
      <c r="DF200" s="2">
        <f>+DD200-DE200</f>
        <v>5283.4500000000007</v>
      </c>
      <c r="DG200" s="2"/>
      <c r="DH200" s="2">
        <f>+DF200-DG200</f>
        <v>5283.4500000000007</v>
      </c>
      <c r="DI200" s="2"/>
      <c r="DJ200" s="2">
        <f>+DH200-DI200</f>
        <v>5283.4500000000007</v>
      </c>
      <c r="DK200" s="2"/>
      <c r="DL200" s="2">
        <f>+DJ200-DK200</f>
        <v>5283.4500000000007</v>
      </c>
      <c r="DM200" s="2"/>
      <c r="DN200" s="2">
        <f>+DL200-DM200</f>
        <v>5283.4500000000007</v>
      </c>
      <c r="DO200" s="2"/>
      <c r="DP200" s="2">
        <f>+DN200-DO200</f>
        <v>5283.4500000000007</v>
      </c>
      <c r="DQ200" s="2"/>
      <c r="DR200" s="2">
        <f>+DP200-DQ200</f>
        <v>5283.4500000000007</v>
      </c>
      <c r="DS200" s="2"/>
      <c r="DT200" s="2">
        <f>+DR200-DS200</f>
        <v>5283.4500000000007</v>
      </c>
      <c r="DU200" s="2"/>
      <c r="DV200" s="2">
        <f>+DT200-DU200</f>
        <v>5283.4500000000007</v>
      </c>
      <c r="DW200" s="266">
        <f>+E200*5%</f>
        <v>5283.4500000000007</v>
      </c>
      <c r="DX200" s="441">
        <f>+DW200-DR200</f>
        <v>0</v>
      </c>
    </row>
    <row r="201" spans="1:128">
      <c r="A201" s="413">
        <v>42</v>
      </c>
      <c r="C201" s="433" t="s">
        <v>518</v>
      </c>
      <c r="D201" s="468">
        <v>0.18099999999999999</v>
      </c>
      <c r="E201" s="442">
        <v>38550.020000000004</v>
      </c>
      <c r="F201" s="437" t="s">
        <v>1001</v>
      </c>
      <c r="G201" s="438">
        <v>43178</v>
      </c>
      <c r="H201" s="438"/>
      <c r="I201" s="438"/>
      <c r="J201" s="438"/>
      <c r="K201" s="438"/>
      <c r="L201" s="433">
        <f>365-BF201</f>
        <v>352</v>
      </c>
      <c r="M201" s="433"/>
      <c r="N201" s="436"/>
      <c r="O201" s="436"/>
      <c r="P201" s="433"/>
      <c r="Q201" s="436"/>
      <c r="R201" s="436"/>
      <c r="S201" s="433"/>
      <c r="T201" s="436"/>
      <c r="U201" s="436"/>
      <c r="V201" s="433"/>
      <c r="W201" s="436"/>
      <c r="X201" s="436"/>
      <c r="Y201" s="433"/>
      <c r="Z201" s="436"/>
      <c r="AA201" s="436"/>
      <c r="AB201" s="433"/>
      <c r="AC201" s="436"/>
      <c r="AD201" s="436"/>
      <c r="AE201" s="436"/>
      <c r="AF201" s="436"/>
      <c r="AG201" s="436"/>
      <c r="AH201" s="436"/>
      <c r="AI201" s="439">
        <v>15</v>
      </c>
      <c r="AJ201" s="436">
        <f t="shared" ref="AJ201:AJ263" si="503">AI201-AH201</f>
        <v>15</v>
      </c>
      <c r="AK201" s="440">
        <v>0.18099999999999999</v>
      </c>
      <c r="AL201" s="2"/>
      <c r="AM201" s="433"/>
      <c r="AN201" s="436"/>
      <c r="AO201" s="436"/>
      <c r="AP201" s="436"/>
      <c r="AQ201" s="436"/>
      <c r="AR201" s="436"/>
      <c r="AS201" s="436"/>
      <c r="AT201" s="2"/>
      <c r="AU201" s="2"/>
      <c r="AV201" s="2"/>
      <c r="AW201" s="2"/>
      <c r="AX201" s="2"/>
      <c r="AY201" s="2"/>
      <c r="AZ201" s="433"/>
      <c r="BA201" s="2"/>
      <c r="BB201" s="2"/>
      <c r="BC201" s="2">
        <f t="shared" si="462"/>
        <v>5475</v>
      </c>
      <c r="BD201" s="2"/>
      <c r="BE201" s="2"/>
      <c r="BF201" s="433">
        <f t="shared" si="443"/>
        <v>13</v>
      </c>
      <c r="BG201" s="2">
        <f>+E201*AK201*BF201/365</f>
        <v>248.51560838356167</v>
      </c>
      <c r="BH201" s="2">
        <f>+E201-BG201</f>
        <v>38301.504391616443</v>
      </c>
      <c r="BI201" s="2">
        <f t="shared" si="445"/>
        <v>6932.572294882576</v>
      </c>
      <c r="BJ201" s="2">
        <f t="shared" si="464"/>
        <v>31368.932096733868</v>
      </c>
      <c r="BK201" s="2">
        <f t="shared" si="465"/>
        <v>5677.7767095088302</v>
      </c>
      <c r="BL201" s="2">
        <f t="shared" si="446"/>
        <v>25691.155387225037</v>
      </c>
      <c r="BM201" s="2"/>
      <c r="BN201" s="2">
        <f t="shared" si="447"/>
        <v>25691.155387225037</v>
      </c>
      <c r="BO201" s="2">
        <f t="shared" si="448"/>
        <v>4650.0991250877314</v>
      </c>
      <c r="BP201" s="2">
        <f>+BL201-BO201</f>
        <v>21041.056262137306</v>
      </c>
      <c r="BQ201" s="2"/>
      <c r="BR201" s="2">
        <f t="shared" si="449"/>
        <v>21041.056262137306</v>
      </c>
      <c r="BS201" s="2">
        <f t="shared" si="450"/>
        <v>3808.4311834468522</v>
      </c>
      <c r="BT201" s="2">
        <f>+BP201-BS201</f>
        <v>17232.625078690453</v>
      </c>
      <c r="BU201" s="2">
        <f t="shared" si="468"/>
        <v>3119.1051392429717</v>
      </c>
      <c r="BV201" s="2">
        <f>+BT201-BU201</f>
        <v>14113.51993944748</v>
      </c>
      <c r="BW201" s="2">
        <f t="shared" si="495"/>
        <v>2554.5471090399938</v>
      </c>
      <c r="BX201" s="2">
        <f>+BV201-BW201</f>
        <v>11558.972830407487</v>
      </c>
      <c r="BY201" s="2">
        <f t="shared" si="497"/>
        <v>2092.1740823037549</v>
      </c>
      <c r="BZ201" s="2">
        <f>+BX201-BY201</f>
        <v>9466.7987481037326</v>
      </c>
      <c r="CA201" s="2">
        <f t="shared" si="498"/>
        <v>1713.4905734067756</v>
      </c>
      <c r="CB201" s="2">
        <f>+BZ201-CA201</f>
        <v>7753.3081746969565</v>
      </c>
      <c r="CC201" s="2">
        <f t="shared" si="499"/>
        <v>1403.3487796201491</v>
      </c>
      <c r="CD201" s="2">
        <f>+CB201-CC201</f>
        <v>6349.9593950768076</v>
      </c>
      <c r="CE201" s="2">
        <f t="shared" si="501"/>
        <v>1149.3426505089021</v>
      </c>
      <c r="CF201" s="2">
        <f>+CD201-CE201</f>
        <v>5200.6167445679057</v>
      </c>
      <c r="CG201" s="2">
        <f t="shared" si="502"/>
        <v>941.31163076679093</v>
      </c>
      <c r="CH201" s="2">
        <f>+CF201-CG201</f>
        <v>4259.3051138011151</v>
      </c>
      <c r="CI201" s="2">
        <f>+CH201*$AK201</f>
        <v>770.93422559800183</v>
      </c>
      <c r="CJ201" s="2">
        <f>+CH201-CI201</f>
        <v>3488.3708882031133</v>
      </c>
      <c r="CK201" s="2">
        <f>+CJ201*$AK201</f>
        <v>631.39513076476351</v>
      </c>
      <c r="CL201" s="2">
        <f>+CJ201-CK201</f>
        <v>2856.9757574383498</v>
      </c>
      <c r="CM201" s="2">
        <f>+CL201*$AK201</f>
        <v>517.11261209634131</v>
      </c>
      <c r="CN201" s="2">
        <f>+CL201-CM201</f>
        <v>2339.8631453420085</v>
      </c>
      <c r="CO201" s="2">
        <f>+CN201-E201*5%</f>
        <v>412.36214534200826</v>
      </c>
      <c r="CP201" s="2">
        <f>+CN201-CO201</f>
        <v>1927.5010000000002</v>
      </c>
      <c r="CQ201" s="2">
        <v>0</v>
      </c>
      <c r="CR201" s="2">
        <f>+CP201-CQ201</f>
        <v>1927.5010000000002</v>
      </c>
      <c r="CS201" s="2"/>
      <c r="CT201" s="2">
        <f t="shared" si="482"/>
        <v>1927.5010000000002</v>
      </c>
      <c r="CU201" s="2"/>
      <c r="CV201" s="2">
        <f t="shared" si="482"/>
        <v>1927.5010000000002</v>
      </c>
      <c r="CW201" s="2"/>
      <c r="CX201" s="2">
        <f t="shared" si="482"/>
        <v>1927.5010000000002</v>
      </c>
      <c r="CY201" s="2"/>
      <c r="CZ201" s="2">
        <f t="shared" si="482"/>
        <v>1927.5010000000002</v>
      </c>
      <c r="DA201" s="2"/>
      <c r="DB201" s="2">
        <f t="shared" si="482"/>
        <v>1927.5010000000002</v>
      </c>
      <c r="DC201" s="2"/>
      <c r="DD201" s="2">
        <f t="shared" si="482"/>
        <v>1927.5010000000002</v>
      </c>
      <c r="DE201" s="2"/>
      <c r="DF201" s="2">
        <f t="shared" si="483"/>
        <v>1927.5010000000002</v>
      </c>
      <c r="DG201" s="2"/>
      <c r="DH201" s="2">
        <f t="shared" si="484"/>
        <v>1927.5010000000002</v>
      </c>
      <c r="DI201" s="2"/>
      <c r="DJ201" s="2">
        <f t="shared" si="485"/>
        <v>1927.5010000000002</v>
      </c>
      <c r="DK201" s="2"/>
      <c r="DL201" s="2">
        <f t="shared" si="486"/>
        <v>1927.5010000000002</v>
      </c>
      <c r="DM201" s="2"/>
      <c r="DN201" s="2">
        <f t="shared" si="487"/>
        <v>1927.5010000000002</v>
      </c>
      <c r="DO201" s="2"/>
      <c r="DP201" s="2">
        <f t="shared" si="488"/>
        <v>1927.5010000000002</v>
      </c>
      <c r="DQ201" s="2"/>
      <c r="DR201" s="2">
        <f t="shared" si="489"/>
        <v>1927.5010000000002</v>
      </c>
      <c r="DS201" s="2"/>
      <c r="DT201" s="2">
        <f t="shared" si="451"/>
        <v>1927.5010000000002</v>
      </c>
      <c r="DU201" s="2"/>
      <c r="DV201" s="2">
        <f t="shared" si="451"/>
        <v>1927.5010000000002</v>
      </c>
      <c r="DW201" s="266">
        <f t="shared" si="452"/>
        <v>1927.5010000000002</v>
      </c>
      <c r="DX201" s="441">
        <f t="shared" si="453"/>
        <v>0</v>
      </c>
    </row>
    <row r="202" spans="1:128">
      <c r="A202" s="413">
        <v>43</v>
      </c>
      <c r="B202" s="537" t="s">
        <v>870</v>
      </c>
      <c r="C202" s="433" t="s">
        <v>518</v>
      </c>
      <c r="D202" s="468">
        <v>0.18099999999999999</v>
      </c>
      <c r="E202" s="469">
        <v>377600</v>
      </c>
      <c r="F202" s="470" t="s">
        <v>921</v>
      </c>
      <c r="G202" s="481">
        <v>43221</v>
      </c>
      <c r="H202" s="443">
        <f t="shared" ref="H202:H265" si="504">DATE(YEAR(G202)+I202,MONTH(G202),DAY(G202))-1</f>
        <v>48699</v>
      </c>
      <c r="I202" s="267">
        <v>15</v>
      </c>
      <c r="J202" s="267">
        <f t="shared" ref="J202:J264" si="505">IF(($BI$6-$G202+1)&gt;365,365,($BI$6-$G202+1))</f>
        <v>335</v>
      </c>
      <c r="K202" s="267">
        <f>365-J202</f>
        <v>30</v>
      </c>
      <c r="L202" s="433"/>
      <c r="M202" s="433"/>
      <c r="N202" s="436"/>
      <c r="O202" s="436"/>
      <c r="P202" s="433"/>
      <c r="Q202" s="436"/>
      <c r="R202" s="436"/>
      <c r="S202" s="433"/>
      <c r="T202" s="436"/>
      <c r="U202" s="436"/>
      <c r="V202" s="433"/>
      <c r="W202" s="436"/>
      <c r="X202" s="436"/>
      <c r="Y202" s="433"/>
      <c r="Z202" s="436"/>
      <c r="AA202" s="436"/>
      <c r="AB202" s="433"/>
      <c r="AC202" s="436"/>
      <c r="AD202" s="436"/>
      <c r="AE202" s="436"/>
      <c r="AF202" s="436"/>
      <c r="AG202" s="436"/>
      <c r="AH202" s="436"/>
      <c r="AI202" s="439">
        <v>15</v>
      </c>
      <c r="AJ202" s="436">
        <f t="shared" si="503"/>
        <v>15</v>
      </c>
      <c r="AK202" s="440">
        <f>1-((E202*5%)/E202)^(1/I202)</f>
        <v>0.18103627252208465</v>
      </c>
      <c r="AL202" s="2"/>
      <c r="AM202" s="433"/>
      <c r="AN202" s="436"/>
      <c r="AO202" s="436"/>
      <c r="AP202" s="436"/>
      <c r="AQ202" s="436"/>
      <c r="AR202" s="436"/>
      <c r="AS202" s="436"/>
      <c r="AT202" s="2"/>
      <c r="AU202" s="2"/>
      <c r="AV202" s="2"/>
      <c r="AW202" s="2"/>
      <c r="AX202" s="2"/>
      <c r="AY202" s="2"/>
      <c r="AZ202" s="433"/>
      <c r="BA202" s="2"/>
      <c r="BB202" s="2"/>
      <c r="BC202" s="2"/>
      <c r="BD202" s="2"/>
      <c r="BE202" s="2"/>
      <c r="BF202" s="433"/>
      <c r="BG202" s="2"/>
      <c r="BH202" s="2"/>
      <c r="BI202" s="2">
        <f t="shared" ref="BI202:BI264" si="506">ROUND(+E202*AK202*J202/365,0)</f>
        <v>62741</v>
      </c>
      <c r="BJ202" s="2">
        <f t="shared" ref="BJ202:BJ264" si="507">+E202-BI202</f>
        <v>314859</v>
      </c>
      <c r="BK202" s="2">
        <f t="shared" ref="BK202:BK259" si="508">ROUND(+BJ202*$AK202,0)</f>
        <v>57001</v>
      </c>
      <c r="BL202" s="2">
        <f t="shared" si="446"/>
        <v>257858</v>
      </c>
      <c r="BM202" s="2"/>
      <c r="BN202" s="2">
        <f t="shared" si="447"/>
        <v>257858</v>
      </c>
      <c r="BO202" s="2">
        <f t="shared" ref="BO202:BO217" si="509">ROUND(+BL202*$AK202,0)</f>
        <v>46682</v>
      </c>
      <c r="BP202" s="2">
        <f>+BL202-BO202</f>
        <v>211176</v>
      </c>
      <c r="BQ202" s="2"/>
      <c r="BR202" s="2">
        <f t="shared" si="449"/>
        <v>211176</v>
      </c>
      <c r="BS202" s="2">
        <f t="shared" ref="BS202:BS217" si="510">ROUND(+BP202*$AK202,0)</f>
        <v>38231</v>
      </c>
      <c r="BT202" s="2">
        <f>+BP202-BS202</f>
        <v>172945</v>
      </c>
      <c r="BU202" s="2">
        <f t="shared" ref="BU202:CO217" si="511">ROUND(+BT202*$AK202,0)</f>
        <v>31309</v>
      </c>
      <c r="BV202" s="2">
        <f>+BT202-BU202</f>
        <v>141636</v>
      </c>
      <c r="BW202" s="2">
        <f t="shared" si="511"/>
        <v>25641</v>
      </c>
      <c r="BX202" s="2">
        <f>+BV202-BW202</f>
        <v>115995</v>
      </c>
      <c r="BY202" s="2">
        <f t="shared" si="511"/>
        <v>20999</v>
      </c>
      <c r="BZ202" s="2">
        <f>+BX202-BY202</f>
        <v>94996</v>
      </c>
      <c r="CA202" s="2">
        <f t="shared" si="511"/>
        <v>17198</v>
      </c>
      <c r="CB202" s="2">
        <f>+BZ202-CA202</f>
        <v>77798</v>
      </c>
      <c r="CC202" s="2">
        <f t="shared" si="511"/>
        <v>14084</v>
      </c>
      <c r="CD202" s="2">
        <f>+CB202-CC202</f>
        <v>63714</v>
      </c>
      <c r="CE202" s="2">
        <f t="shared" si="511"/>
        <v>11535</v>
      </c>
      <c r="CF202" s="2">
        <f>+CD202-CE202</f>
        <v>52179</v>
      </c>
      <c r="CG202" s="2">
        <f t="shared" si="511"/>
        <v>9446</v>
      </c>
      <c r="CH202" s="2">
        <f>+CF202-CG202</f>
        <v>42733</v>
      </c>
      <c r="CI202" s="2">
        <f t="shared" si="511"/>
        <v>7736</v>
      </c>
      <c r="CJ202" s="2">
        <f>+CH202-CI202</f>
        <v>34997</v>
      </c>
      <c r="CK202" s="2">
        <f t="shared" si="511"/>
        <v>6336</v>
      </c>
      <c r="CL202" s="2">
        <f>+CJ202-CK202</f>
        <v>28661</v>
      </c>
      <c r="CM202" s="2">
        <f t="shared" si="511"/>
        <v>5189</v>
      </c>
      <c r="CN202" s="2">
        <f>+CL202-CM202</f>
        <v>23472</v>
      </c>
      <c r="CO202" s="2">
        <f t="shared" si="511"/>
        <v>4249</v>
      </c>
      <c r="CP202" s="2">
        <f>+CN202-CO202</f>
        <v>19223</v>
      </c>
      <c r="CQ202" s="317">
        <f t="shared" ref="CQ202:CQ259" si="512">+(1-($E202*5%)/CP202)*CP202</f>
        <v>343.00000000000074</v>
      </c>
      <c r="CR202" s="2">
        <f>+CP202-CQ202</f>
        <v>18880</v>
      </c>
      <c r="CS202" s="2">
        <v>0</v>
      </c>
      <c r="CT202" s="2">
        <f t="shared" si="482"/>
        <v>18880</v>
      </c>
      <c r="CU202" s="2">
        <v>0</v>
      </c>
      <c r="CV202" s="2">
        <f>+CT202-CU202</f>
        <v>18880</v>
      </c>
      <c r="CW202" s="2">
        <v>0</v>
      </c>
      <c r="CX202" s="2">
        <f>+CV202-CW202</f>
        <v>18880</v>
      </c>
      <c r="CY202" s="2">
        <v>0</v>
      </c>
      <c r="CZ202" s="2">
        <f>+CX202-CY202</f>
        <v>18880</v>
      </c>
      <c r="DA202" s="2">
        <v>0</v>
      </c>
      <c r="DB202" s="2">
        <f>+CZ202-DA202</f>
        <v>18880</v>
      </c>
      <c r="DC202" s="2">
        <v>0</v>
      </c>
      <c r="DD202" s="2">
        <f t="shared" si="482"/>
        <v>18880</v>
      </c>
      <c r="DE202" s="2">
        <v>0</v>
      </c>
      <c r="DF202" s="2">
        <f t="shared" si="483"/>
        <v>18880</v>
      </c>
      <c r="DG202" s="2">
        <v>0</v>
      </c>
      <c r="DH202" s="2">
        <f t="shared" si="484"/>
        <v>18880</v>
      </c>
      <c r="DI202" s="2">
        <v>0</v>
      </c>
      <c r="DJ202" s="2">
        <f t="shared" si="485"/>
        <v>18880</v>
      </c>
      <c r="DK202" s="2">
        <v>0</v>
      </c>
      <c r="DL202" s="2">
        <f t="shared" si="486"/>
        <v>18880</v>
      </c>
      <c r="DM202" s="2">
        <v>0</v>
      </c>
      <c r="DN202" s="2">
        <f t="shared" si="487"/>
        <v>18880</v>
      </c>
      <c r="DO202" s="2">
        <v>0</v>
      </c>
      <c r="DP202" s="2">
        <f t="shared" si="488"/>
        <v>18880</v>
      </c>
      <c r="DQ202" s="2">
        <v>0</v>
      </c>
      <c r="DR202" s="2">
        <f t="shared" si="489"/>
        <v>18880</v>
      </c>
      <c r="DS202" s="2">
        <v>0</v>
      </c>
      <c r="DT202" s="2">
        <f t="shared" si="451"/>
        <v>18880</v>
      </c>
      <c r="DU202" s="2">
        <v>0</v>
      </c>
      <c r="DV202" s="2">
        <f>+DT202-DU202</f>
        <v>18880</v>
      </c>
      <c r="DW202" s="266">
        <f t="shared" si="452"/>
        <v>18880</v>
      </c>
      <c r="DX202" s="441">
        <f t="shared" si="453"/>
        <v>0</v>
      </c>
    </row>
    <row r="203" spans="1:128">
      <c r="A203" s="413">
        <v>44</v>
      </c>
      <c r="B203" s="537" t="s">
        <v>874</v>
      </c>
      <c r="C203" s="433" t="s">
        <v>518</v>
      </c>
      <c r="D203" s="468">
        <v>0.18099999999999999</v>
      </c>
      <c r="E203" s="469">
        <v>2832000</v>
      </c>
      <c r="F203" s="470" t="s">
        <v>921</v>
      </c>
      <c r="G203" s="481">
        <v>43374</v>
      </c>
      <c r="H203" s="443">
        <f t="shared" si="504"/>
        <v>48852</v>
      </c>
      <c r="I203" s="267">
        <v>15</v>
      </c>
      <c r="J203" s="267">
        <f t="shared" si="505"/>
        <v>182</v>
      </c>
      <c r="K203" s="267">
        <f t="shared" ref="K203:K266" si="513">365-J203</f>
        <v>183</v>
      </c>
      <c r="L203" s="433"/>
      <c r="M203" s="433"/>
      <c r="N203" s="436"/>
      <c r="O203" s="436"/>
      <c r="P203" s="433"/>
      <c r="Q203" s="436"/>
      <c r="R203" s="436"/>
      <c r="S203" s="433"/>
      <c r="T203" s="436"/>
      <c r="U203" s="436"/>
      <c r="V203" s="433"/>
      <c r="W203" s="436"/>
      <c r="X203" s="436"/>
      <c r="Y203" s="433"/>
      <c r="Z203" s="436"/>
      <c r="AA203" s="436"/>
      <c r="AB203" s="433"/>
      <c r="AC203" s="436"/>
      <c r="AD203" s="436"/>
      <c r="AE203" s="436"/>
      <c r="AF203" s="436"/>
      <c r="AG203" s="436"/>
      <c r="AH203" s="436"/>
      <c r="AI203" s="439">
        <v>15</v>
      </c>
      <c r="AJ203" s="436">
        <f t="shared" si="503"/>
        <v>15</v>
      </c>
      <c r="AK203" s="440">
        <f t="shared" ref="AK203:AK266" si="514">1-((E203*5%)/E203)^(1/I203)</f>
        <v>0.18103627252208465</v>
      </c>
      <c r="AL203" s="2"/>
      <c r="AM203" s="433"/>
      <c r="AN203" s="436"/>
      <c r="AO203" s="436"/>
      <c r="AP203" s="436"/>
      <c r="AQ203" s="436"/>
      <c r="AR203" s="436"/>
      <c r="AS203" s="436"/>
      <c r="AT203" s="2"/>
      <c r="AU203" s="2"/>
      <c r="AV203" s="2"/>
      <c r="AW203" s="2"/>
      <c r="AX203" s="2"/>
      <c r="AY203" s="2"/>
      <c r="AZ203" s="433"/>
      <c r="BA203" s="2"/>
      <c r="BB203" s="2"/>
      <c r="BC203" s="2"/>
      <c r="BD203" s="2"/>
      <c r="BE203" s="2"/>
      <c r="BF203" s="433"/>
      <c r="BG203" s="2"/>
      <c r="BH203" s="2"/>
      <c r="BI203" s="2">
        <f t="shared" si="506"/>
        <v>255645</v>
      </c>
      <c r="BJ203" s="2">
        <f t="shared" si="507"/>
        <v>2576355</v>
      </c>
      <c r="BK203" s="2">
        <f t="shared" si="508"/>
        <v>466414</v>
      </c>
      <c r="BL203" s="2">
        <f t="shared" si="446"/>
        <v>2109941</v>
      </c>
      <c r="BM203" s="2"/>
      <c r="BN203" s="2">
        <f t="shared" si="447"/>
        <v>2109941</v>
      </c>
      <c r="BO203" s="2">
        <f t="shared" si="509"/>
        <v>381976</v>
      </c>
      <c r="BP203" s="2">
        <f t="shared" ref="BP203:BP266" si="515">+BL203-BO203</f>
        <v>1727965</v>
      </c>
      <c r="BQ203" s="2"/>
      <c r="BR203" s="2">
        <f t="shared" si="449"/>
        <v>1727965</v>
      </c>
      <c r="BS203" s="2">
        <f t="shared" si="510"/>
        <v>312824</v>
      </c>
      <c r="BT203" s="2">
        <f t="shared" ref="BT203:BT266" si="516">+BP203-BS203</f>
        <v>1415141</v>
      </c>
      <c r="BU203" s="2">
        <f t="shared" si="511"/>
        <v>256192</v>
      </c>
      <c r="BV203" s="2">
        <f t="shared" ref="BV203:BV266" si="517">+BT203-BU203</f>
        <v>1158949</v>
      </c>
      <c r="BW203" s="2">
        <f t="shared" si="511"/>
        <v>209812</v>
      </c>
      <c r="BX203" s="2">
        <f t="shared" ref="BX203:BX266" si="518">+BV203-BW203</f>
        <v>949137</v>
      </c>
      <c r="BY203" s="2">
        <f t="shared" si="511"/>
        <v>171828</v>
      </c>
      <c r="BZ203" s="2">
        <f t="shared" ref="BZ203:BZ266" si="519">+BX203-BY203</f>
        <v>777309</v>
      </c>
      <c r="CA203" s="2">
        <f t="shared" si="511"/>
        <v>140721</v>
      </c>
      <c r="CB203" s="2">
        <f t="shared" ref="CB203:CB266" si="520">+BZ203-CA203</f>
        <v>636588</v>
      </c>
      <c r="CC203" s="2">
        <f t="shared" si="511"/>
        <v>115246</v>
      </c>
      <c r="CD203" s="2">
        <f t="shared" ref="CD203:CD266" si="521">+CB203-CC203</f>
        <v>521342</v>
      </c>
      <c r="CE203" s="2">
        <f t="shared" si="511"/>
        <v>94382</v>
      </c>
      <c r="CF203" s="2">
        <f t="shared" ref="CF203:CF266" si="522">+CD203-CE203</f>
        <v>426960</v>
      </c>
      <c r="CG203" s="2">
        <f t="shared" si="511"/>
        <v>77295</v>
      </c>
      <c r="CH203" s="2">
        <f t="shared" ref="CH203:CH266" si="523">+CF203-CG203</f>
        <v>349665</v>
      </c>
      <c r="CI203" s="2">
        <f t="shared" si="511"/>
        <v>63302</v>
      </c>
      <c r="CJ203" s="2">
        <f t="shared" ref="CJ203:CJ266" si="524">+CH203-CI203</f>
        <v>286363</v>
      </c>
      <c r="CK203" s="2">
        <f t="shared" si="511"/>
        <v>51842</v>
      </c>
      <c r="CL203" s="2">
        <f t="shared" ref="CL203:CL266" si="525">+CJ203-CK203</f>
        <v>234521</v>
      </c>
      <c r="CM203" s="2">
        <f t="shared" si="511"/>
        <v>42457</v>
      </c>
      <c r="CN203" s="2">
        <f t="shared" ref="CN203:CN266" si="526">+CL203-CM203</f>
        <v>192064</v>
      </c>
      <c r="CO203" s="2">
        <f t="shared" si="511"/>
        <v>34771</v>
      </c>
      <c r="CP203" s="2">
        <f t="shared" ref="CP203:CP266" si="527">+CN203-CO203</f>
        <v>157293</v>
      </c>
      <c r="CQ203" s="317">
        <f t="shared" si="512"/>
        <v>15692.999999999998</v>
      </c>
      <c r="CR203" s="2">
        <f t="shared" ref="CR203:CR266" si="528">+CP203-CQ203</f>
        <v>141600</v>
      </c>
      <c r="CS203" s="2">
        <v>0</v>
      </c>
      <c r="CT203" s="2">
        <f t="shared" ref="CT203:CT259" si="529">+CR203-CS203</f>
        <v>141600</v>
      </c>
      <c r="CU203" s="2">
        <v>0</v>
      </c>
      <c r="CV203" s="2">
        <f t="shared" ref="CV203:CV266" si="530">+CT203-CU203</f>
        <v>141600</v>
      </c>
      <c r="CW203" s="2">
        <v>0</v>
      </c>
      <c r="CX203" s="2">
        <f t="shared" ref="CX203:CX266" si="531">+CV203-CW203</f>
        <v>141600</v>
      </c>
      <c r="CY203" s="2">
        <v>0</v>
      </c>
      <c r="CZ203" s="2">
        <f t="shared" ref="CZ203:CZ266" si="532">+CX203-CY203</f>
        <v>141600</v>
      </c>
      <c r="DA203" s="2">
        <v>0</v>
      </c>
      <c r="DB203" s="2">
        <f t="shared" ref="DB203:DB266" si="533">+CZ203-DA203</f>
        <v>141600</v>
      </c>
      <c r="DC203" s="2">
        <v>0</v>
      </c>
      <c r="DD203" s="2">
        <f t="shared" ref="DD203:DD266" si="534">+DB203-DC203</f>
        <v>141600</v>
      </c>
      <c r="DE203" s="2">
        <v>0</v>
      </c>
      <c r="DF203" s="2">
        <f t="shared" si="483"/>
        <v>141600</v>
      </c>
      <c r="DG203" s="2">
        <v>0</v>
      </c>
      <c r="DH203" s="2">
        <f t="shared" si="484"/>
        <v>141600</v>
      </c>
      <c r="DI203" s="2">
        <v>0</v>
      </c>
      <c r="DJ203" s="2">
        <f t="shared" si="485"/>
        <v>141600</v>
      </c>
      <c r="DK203" s="2">
        <v>0</v>
      </c>
      <c r="DL203" s="2">
        <f t="shared" si="486"/>
        <v>141600</v>
      </c>
      <c r="DM203" s="2">
        <v>0</v>
      </c>
      <c r="DN203" s="2">
        <f t="shared" si="487"/>
        <v>141600</v>
      </c>
      <c r="DO203" s="2">
        <v>0</v>
      </c>
      <c r="DP203" s="2">
        <f t="shared" si="488"/>
        <v>141600</v>
      </c>
      <c r="DQ203" s="2">
        <v>0</v>
      </c>
      <c r="DR203" s="2">
        <f t="shared" si="489"/>
        <v>141600</v>
      </c>
      <c r="DS203" s="2">
        <v>0</v>
      </c>
      <c r="DT203" s="2">
        <f t="shared" ref="DT203:DT266" si="535">+DR203-DS203</f>
        <v>141600</v>
      </c>
      <c r="DU203" s="2">
        <v>0</v>
      </c>
      <c r="DV203" s="2">
        <f t="shared" ref="DV203:DV266" si="536">+DT203-DU203</f>
        <v>141600</v>
      </c>
      <c r="DW203" s="266">
        <f t="shared" si="452"/>
        <v>141600</v>
      </c>
      <c r="DX203" s="441">
        <f t="shared" si="453"/>
        <v>0</v>
      </c>
    </row>
    <row r="204" spans="1:128">
      <c r="A204" s="413">
        <v>45</v>
      </c>
      <c r="B204" s="537" t="s">
        <v>871</v>
      </c>
      <c r="C204" s="433" t="s">
        <v>518</v>
      </c>
      <c r="D204" s="468">
        <v>0.18099999999999999</v>
      </c>
      <c r="E204" s="469">
        <v>15993000</v>
      </c>
      <c r="F204" s="470" t="s">
        <v>921</v>
      </c>
      <c r="G204" s="482">
        <v>43344</v>
      </c>
      <c r="H204" s="443">
        <f t="shared" si="504"/>
        <v>48822</v>
      </c>
      <c r="I204" s="267">
        <v>15</v>
      </c>
      <c r="J204" s="267">
        <f t="shared" si="505"/>
        <v>212</v>
      </c>
      <c r="K204" s="267">
        <f t="shared" si="513"/>
        <v>153</v>
      </c>
      <c r="L204" s="433"/>
      <c r="M204" s="433"/>
      <c r="N204" s="436"/>
      <c r="O204" s="436"/>
      <c r="P204" s="433"/>
      <c r="Q204" s="436"/>
      <c r="R204" s="436"/>
      <c r="S204" s="433"/>
      <c r="T204" s="436"/>
      <c r="U204" s="436"/>
      <c r="V204" s="433"/>
      <c r="W204" s="436"/>
      <c r="X204" s="436"/>
      <c r="Y204" s="433"/>
      <c r="Z204" s="436"/>
      <c r="AA204" s="436"/>
      <c r="AB204" s="433"/>
      <c r="AC204" s="436"/>
      <c r="AD204" s="436"/>
      <c r="AE204" s="436"/>
      <c r="AF204" s="436"/>
      <c r="AG204" s="436"/>
      <c r="AH204" s="436"/>
      <c r="AI204" s="439">
        <v>15</v>
      </c>
      <c r="AJ204" s="436">
        <f t="shared" si="503"/>
        <v>15</v>
      </c>
      <c r="AK204" s="440">
        <f t="shared" si="514"/>
        <v>0.18103627252208465</v>
      </c>
      <c r="AL204" s="2"/>
      <c r="AM204" s="433"/>
      <c r="AN204" s="436"/>
      <c r="AO204" s="436"/>
      <c r="AP204" s="436"/>
      <c r="AQ204" s="436"/>
      <c r="AR204" s="436"/>
      <c r="AS204" s="436"/>
      <c r="AT204" s="2"/>
      <c r="AU204" s="2"/>
      <c r="AV204" s="2"/>
      <c r="AW204" s="2"/>
      <c r="AX204" s="2"/>
      <c r="AY204" s="2"/>
      <c r="AZ204" s="433"/>
      <c r="BA204" s="2"/>
      <c r="BB204" s="2"/>
      <c r="BC204" s="2"/>
      <c r="BD204" s="2"/>
      <c r="BE204" s="2"/>
      <c r="BF204" s="433"/>
      <c r="BG204" s="2"/>
      <c r="BH204" s="2"/>
      <c r="BI204" s="2">
        <f t="shared" si="506"/>
        <v>1681661</v>
      </c>
      <c r="BJ204" s="2">
        <f t="shared" si="507"/>
        <v>14311339</v>
      </c>
      <c r="BK204" s="2">
        <f t="shared" si="508"/>
        <v>2590871</v>
      </c>
      <c r="BL204" s="2">
        <f t="shared" si="446"/>
        <v>11720468</v>
      </c>
      <c r="BM204" s="2"/>
      <c r="BN204" s="2">
        <f t="shared" si="447"/>
        <v>11720468</v>
      </c>
      <c r="BO204" s="2">
        <f t="shared" si="509"/>
        <v>2121830</v>
      </c>
      <c r="BP204" s="2">
        <f t="shared" si="515"/>
        <v>9598638</v>
      </c>
      <c r="BQ204" s="2"/>
      <c r="BR204" s="2">
        <f t="shared" si="449"/>
        <v>9598638</v>
      </c>
      <c r="BS204" s="2">
        <f t="shared" si="510"/>
        <v>1737702</v>
      </c>
      <c r="BT204" s="2">
        <f t="shared" si="516"/>
        <v>7860936</v>
      </c>
      <c r="BU204" s="2">
        <f t="shared" si="511"/>
        <v>1423115</v>
      </c>
      <c r="BV204" s="2">
        <f t="shared" si="517"/>
        <v>6437821</v>
      </c>
      <c r="BW204" s="2">
        <f t="shared" si="511"/>
        <v>1165479</v>
      </c>
      <c r="BX204" s="2">
        <f t="shared" si="518"/>
        <v>5272342</v>
      </c>
      <c r="BY204" s="2">
        <f t="shared" si="511"/>
        <v>954485</v>
      </c>
      <c r="BZ204" s="2">
        <f t="shared" si="519"/>
        <v>4317857</v>
      </c>
      <c r="CA204" s="2">
        <f t="shared" si="511"/>
        <v>781689</v>
      </c>
      <c r="CB204" s="2">
        <f t="shared" si="520"/>
        <v>3536168</v>
      </c>
      <c r="CC204" s="2">
        <f t="shared" si="511"/>
        <v>640175</v>
      </c>
      <c r="CD204" s="2">
        <f t="shared" si="521"/>
        <v>2895993</v>
      </c>
      <c r="CE204" s="2">
        <f t="shared" si="511"/>
        <v>524280</v>
      </c>
      <c r="CF204" s="2">
        <f t="shared" si="522"/>
        <v>2371713</v>
      </c>
      <c r="CG204" s="2">
        <f t="shared" si="511"/>
        <v>429366</v>
      </c>
      <c r="CH204" s="2">
        <f t="shared" si="523"/>
        <v>1942347</v>
      </c>
      <c r="CI204" s="2">
        <f t="shared" si="511"/>
        <v>351635</v>
      </c>
      <c r="CJ204" s="2">
        <f t="shared" si="524"/>
        <v>1590712</v>
      </c>
      <c r="CK204" s="2">
        <f t="shared" si="511"/>
        <v>287977</v>
      </c>
      <c r="CL204" s="2">
        <f t="shared" si="525"/>
        <v>1302735</v>
      </c>
      <c r="CM204" s="2">
        <f t="shared" si="511"/>
        <v>235842</v>
      </c>
      <c r="CN204" s="2">
        <f t="shared" si="526"/>
        <v>1066893</v>
      </c>
      <c r="CO204" s="2">
        <f t="shared" si="511"/>
        <v>193146</v>
      </c>
      <c r="CP204" s="2">
        <f t="shared" si="527"/>
        <v>873747</v>
      </c>
      <c r="CQ204" s="317">
        <f t="shared" si="512"/>
        <v>74096.999999999956</v>
      </c>
      <c r="CR204" s="2">
        <f t="shared" si="528"/>
        <v>799650</v>
      </c>
      <c r="CS204" s="2">
        <v>0</v>
      </c>
      <c r="CT204" s="2">
        <f t="shared" si="529"/>
        <v>799650</v>
      </c>
      <c r="CU204" s="2">
        <v>0</v>
      </c>
      <c r="CV204" s="2">
        <f t="shared" si="530"/>
        <v>799650</v>
      </c>
      <c r="CW204" s="2">
        <v>0</v>
      </c>
      <c r="CX204" s="2">
        <f t="shared" si="531"/>
        <v>799650</v>
      </c>
      <c r="CY204" s="2">
        <v>0</v>
      </c>
      <c r="CZ204" s="2">
        <f t="shared" si="532"/>
        <v>799650</v>
      </c>
      <c r="DA204" s="2">
        <v>0</v>
      </c>
      <c r="DB204" s="2">
        <f t="shared" si="533"/>
        <v>799650</v>
      </c>
      <c r="DC204" s="2">
        <v>0</v>
      </c>
      <c r="DD204" s="2">
        <f t="shared" si="534"/>
        <v>799650</v>
      </c>
      <c r="DE204" s="2">
        <v>0</v>
      </c>
      <c r="DF204" s="2">
        <f t="shared" si="483"/>
        <v>799650</v>
      </c>
      <c r="DG204" s="2">
        <v>0</v>
      </c>
      <c r="DH204" s="2">
        <f t="shared" si="484"/>
        <v>799650</v>
      </c>
      <c r="DI204" s="2">
        <v>0</v>
      </c>
      <c r="DJ204" s="2">
        <f t="shared" si="485"/>
        <v>799650</v>
      </c>
      <c r="DK204" s="2">
        <v>0</v>
      </c>
      <c r="DL204" s="2">
        <f t="shared" si="486"/>
        <v>799650</v>
      </c>
      <c r="DM204" s="2">
        <v>0</v>
      </c>
      <c r="DN204" s="2">
        <f t="shared" si="487"/>
        <v>799650</v>
      </c>
      <c r="DO204" s="2">
        <v>0</v>
      </c>
      <c r="DP204" s="2">
        <f t="shared" si="488"/>
        <v>799650</v>
      </c>
      <c r="DQ204" s="2">
        <v>0</v>
      </c>
      <c r="DR204" s="2">
        <f t="shared" si="489"/>
        <v>799650</v>
      </c>
      <c r="DS204" s="2">
        <v>0</v>
      </c>
      <c r="DT204" s="2">
        <f t="shared" si="535"/>
        <v>799650</v>
      </c>
      <c r="DU204" s="2">
        <v>0</v>
      </c>
      <c r="DV204" s="2">
        <f t="shared" si="536"/>
        <v>799650</v>
      </c>
      <c r="DW204" s="266">
        <f t="shared" si="452"/>
        <v>799650</v>
      </c>
      <c r="DX204" s="441">
        <f t="shared" si="453"/>
        <v>0</v>
      </c>
    </row>
    <row r="205" spans="1:128">
      <c r="A205" s="413">
        <v>46</v>
      </c>
      <c r="B205" s="537" t="s">
        <v>872</v>
      </c>
      <c r="C205" s="433" t="s">
        <v>518</v>
      </c>
      <c r="D205" s="468">
        <v>0.18099999999999999</v>
      </c>
      <c r="E205" s="469">
        <v>33630</v>
      </c>
      <c r="F205" s="470" t="s">
        <v>921</v>
      </c>
      <c r="G205" s="482">
        <v>43344</v>
      </c>
      <c r="H205" s="443">
        <f t="shared" si="504"/>
        <v>48822</v>
      </c>
      <c r="I205" s="267">
        <v>15</v>
      </c>
      <c r="J205" s="267">
        <f t="shared" si="505"/>
        <v>212</v>
      </c>
      <c r="K205" s="267">
        <f t="shared" si="513"/>
        <v>153</v>
      </c>
      <c r="L205" s="433"/>
      <c r="M205" s="433"/>
      <c r="N205" s="436"/>
      <c r="O205" s="436"/>
      <c r="P205" s="433"/>
      <c r="Q205" s="436"/>
      <c r="R205" s="436"/>
      <c r="S205" s="433"/>
      <c r="T205" s="436"/>
      <c r="U205" s="436"/>
      <c r="V205" s="433"/>
      <c r="W205" s="436"/>
      <c r="X205" s="436"/>
      <c r="Y205" s="433"/>
      <c r="Z205" s="436"/>
      <c r="AA205" s="436"/>
      <c r="AB205" s="433"/>
      <c r="AC205" s="436"/>
      <c r="AD205" s="436"/>
      <c r="AE205" s="436"/>
      <c r="AF205" s="436"/>
      <c r="AG205" s="436"/>
      <c r="AH205" s="436"/>
      <c r="AI205" s="439">
        <v>15</v>
      </c>
      <c r="AJ205" s="436">
        <f t="shared" si="503"/>
        <v>15</v>
      </c>
      <c r="AK205" s="440">
        <f t="shared" si="514"/>
        <v>0.18103627252208465</v>
      </c>
      <c r="AL205" s="2"/>
      <c r="AM205" s="433"/>
      <c r="AN205" s="436"/>
      <c r="AO205" s="436"/>
      <c r="AP205" s="436"/>
      <c r="AQ205" s="436"/>
      <c r="AR205" s="436"/>
      <c r="AS205" s="436"/>
      <c r="AT205" s="2"/>
      <c r="AU205" s="2"/>
      <c r="AV205" s="2"/>
      <c r="AW205" s="2"/>
      <c r="AX205" s="2"/>
      <c r="AY205" s="2"/>
      <c r="AZ205" s="433"/>
      <c r="BA205" s="2"/>
      <c r="BB205" s="2"/>
      <c r="BC205" s="2"/>
      <c r="BD205" s="2"/>
      <c r="BE205" s="2"/>
      <c r="BF205" s="433"/>
      <c r="BG205" s="2"/>
      <c r="BH205" s="2"/>
      <c r="BI205" s="2">
        <f t="shared" si="506"/>
        <v>3536</v>
      </c>
      <c r="BJ205" s="2">
        <f t="shared" si="507"/>
        <v>30094</v>
      </c>
      <c r="BK205" s="2">
        <f t="shared" si="508"/>
        <v>5448</v>
      </c>
      <c r="BL205" s="2">
        <f t="shared" si="446"/>
        <v>24646</v>
      </c>
      <c r="BM205" s="2"/>
      <c r="BN205" s="2">
        <f t="shared" si="447"/>
        <v>24646</v>
      </c>
      <c r="BO205" s="2">
        <f t="shared" si="509"/>
        <v>4462</v>
      </c>
      <c r="BP205" s="2">
        <f t="shared" si="515"/>
        <v>20184</v>
      </c>
      <c r="BQ205" s="2"/>
      <c r="BR205" s="2">
        <f t="shared" si="449"/>
        <v>20184</v>
      </c>
      <c r="BS205" s="2">
        <f t="shared" si="510"/>
        <v>3654</v>
      </c>
      <c r="BT205" s="2">
        <f t="shared" si="516"/>
        <v>16530</v>
      </c>
      <c r="BU205" s="2">
        <f t="shared" si="511"/>
        <v>2993</v>
      </c>
      <c r="BV205" s="2">
        <f t="shared" si="517"/>
        <v>13537</v>
      </c>
      <c r="BW205" s="2">
        <f t="shared" si="511"/>
        <v>2451</v>
      </c>
      <c r="BX205" s="2">
        <f t="shared" si="518"/>
        <v>11086</v>
      </c>
      <c r="BY205" s="2">
        <f t="shared" si="511"/>
        <v>2007</v>
      </c>
      <c r="BZ205" s="2">
        <f t="shared" si="519"/>
        <v>9079</v>
      </c>
      <c r="CA205" s="2">
        <f t="shared" si="511"/>
        <v>1644</v>
      </c>
      <c r="CB205" s="2">
        <f t="shared" si="520"/>
        <v>7435</v>
      </c>
      <c r="CC205" s="2">
        <f t="shared" si="511"/>
        <v>1346</v>
      </c>
      <c r="CD205" s="2">
        <f t="shared" si="521"/>
        <v>6089</v>
      </c>
      <c r="CE205" s="2">
        <f t="shared" si="511"/>
        <v>1102</v>
      </c>
      <c r="CF205" s="2">
        <f t="shared" si="522"/>
        <v>4987</v>
      </c>
      <c r="CG205" s="2">
        <f t="shared" si="511"/>
        <v>903</v>
      </c>
      <c r="CH205" s="2">
        <f t="shared" si="523"/>
        <v>4084</v>
      </c>
      <c r="CI205" s="2">
        <f t="shared" si="511"/>
        <v>739</v>
      </c>
      <c r="CJ205" s="2">
        <f t="shared" si="524"/>
        <v>3345</v>
      </c>
      <c r="CK205" s="2">
        <f t="shared" si="511"/>
        <v>606</v>
      </c>
      <c r="CL205" s="2">
        <f t="shared" si="525"/>
        <v>2739</v>
      </c>
      <c r="CM205" s="2">
        <f t="shared" si="511"/>
        <v>496</v>
      </c>
      <c r="CN205" s="2">
        <f t="shared" si="526"/>
        <v>2243</v>
      </c>
      <c r="CO205" s="2">
        <f t="shared" si="511"/>
        <v>406</v>
      </c>
      <c r="CP205" s="2">
        <f t="shared" si="527"/>
        <v>1837</v>
      </c>
      <c r="CQ205" s="317">
        <f t="shared" si="512"/>
        <v>155.49999999999997</v>
      </c>
      <c r="CR205" s="2">
        <f t="shared" si="528"/>
        <v>1681.5</v>
      </c>
      <c r="CS205" s="2">
        <v>0</v>
      </c>
      <c r="CT205" s="2">
        <f t="shared" si="529"/>
        <v>1681.5</v>
      </c>
      <c r="CU205" s="2">
        <v>0</v>
      </c>
      <c r="CV205" s="2">
        <f t="shared" si="530"/>
        <v>1681.5</v>
      </c>
      <c r="CW205" s="2">
        <v>0</v>
      </c>
      <c r="CX205" s="2">
        <f t="shared" si="531"/>
        <v>1681.5</v>
      </c>
      <c r="CY205" s="2">
        <v>0</v>
      </c>
      <c r="CZ205" s="2">
        <f t="shared" si="532"/>
        <v>1681.5</v>
      </c>
      <c r="DA205" s="2">
        <v>0</v>
      </c>
      <c r="DB205" s="2">
        <f t="shared" si="533"/>
        <v>1681.5</v>
      </c>
      <c r="DC205" s="2">
        <v>0</v>
      </c>
      <c r="DD205" s="2">
        <f t="shared" si="534"/>
        <v>1681.5</v>
      </c>
      <c r="DE205" s="2">
        <v>0</v>
      </c>
      <c r="DF205" s="2">
        <f t="shared" si="483"/>
        <v>1681.5</v>
      </c>
      <c r="DG205" s="2">
        <v>0</v>
      </c>
      <c r="DH205" s="2">
        <f t="shared" si="484"/>
        <v>1681.5</v>
      </c>
      <c r="DI205" s="2">
        <v>0</v>
      </c>
      <c r="DJ205" s="2">
        <f t="shared" si="485"/>
        <v>1681.5</v>
      </c>
      <c r="DK205" s="2">
        <v>0</v>
      </c>
      <c r="DL205" s="2">
        <f t="shared" si="486"/>
        <v>1681.5</v>
      </c>
      <c r="DM205" s="2">
        <v>0</v>
      </c>
      <c r="DN205" s="2">
        <f t="shared" si="487"/>
        <v>1681.5</v>
      </c>
      <c r="DO205" s="2">
        <v>0</v>
      </c>
      <c r="DP205" s="2">
        <f t="shared" si="488"/>
        <v>1681.5</v>
      </c>
      <c r="DQ205" s="2">
        <v>0</v>
      </c>
      <c r="DR205" s="2">
        <f t="shared" si="489"/>
        <v>1681.5</v>
      </c>
      <c r="DS205" s="2">
        <v>0</v>
      </c>
      <c r="DT205" s="2">
        <f t="shared" si="535"/>
        <v>1681.5</v>
      </c>
      <c r="DU205" s="2">
        <v>0</v>
      </c>
      <c r="DV205" s="2">
        <f t="shared" si="536"/>
        <v>1681.5</v>
      </c>
      <c r="DW205" s="266">
        <f t="shared" si="452"/>
        <v>1681.5</v>
      </c>
      <c r="DX205" s="441">
        <f t="shared" si="453"/>
        <v>0</v>
      </c>
    </row>
    <row r="206" spans="1:128">
      <c r="A206" s="413">
        <v>47</v>
      </c>
      <c r="B206" s="537" t="s">
        <v>872</v>
      </c>
      <c r="C206" s="433" t="s">
        <v>518</v>
      </c>
      <c r="D206" s="468">
        <v>0.18099999999999999</v>
      </c>
      <c r="E206" s="469">
        <v>15686</v>
      </c>
      <c r="F206" s="470" t="s">
        <v>921</v>
      </c>
      <c r="G206" s="482">
        <v>43344</v>
      </c>
      <c r="H206" s="443">
        <f t="shared" si="504"/>
        <v>48822</v>
      </c>
      <c r="I206" s="267">
        <v>15</v>
      </c>
      <c r="J206" s="267">
        <f t="shared" si="505"/>
        <v>212</v>
      </c>
      <c r="K206" s="267">
        <f t="shared" si="513"/>
        <v>153</v>
      </c>
      <c r="L206" s="433"/>
      <c r="M206" s="433"/>
      <c r="N206" s="436"/>
      <c r="O206" s="436"/>
      <c r="P206" s="433"/>
      <c r="Q206" s="436"/>
      <c r="R206" s="436"/>
      <c r="S206" s="433"/>
      <c r="T206" s="436"/>
      <c r="U206" s="436"/>
      <c r="V206" s="433"/>
      <c r="W206" s="436"/>
      <c r="X206" s="436"/>
      <c r="Y206" s="433"/>
      <c r="Z206" s="436"/>
      <c r="AA206" s="436"/>
      <c r="AB206" s="433"/>
      <c r="AC206" s="436"/>
      <c r="AD206" s="436"/>
      <c r="AE206" s="436"/>
      <c r="AF206" s="436"/>
      <c r="AG206" s="436"/>
      <c r="AH206" s="436"/>
      <c r="AI206" s="439">
        <v>15</v>
      </c>
      <c r="AJ206" s="436">
        <f t="shared" si="503"/>
        <v>15</v>
      </c>
      <c r="AK206" s="440">
        <f t="shared" si="514"/>
        <v>0.18103627252208465</v>
      </c>
      <c r="AL206" s="2"/>
      <c r="AM206" s="433"/>
      <c r="AN206" s="436"/>
      <c r="AO206" s="436"/>
      <c r="AP206" s="436"/>
      <c r="AQ206" s="436"/>
      <c r="AR206" s="436"/>
      <c r="AS206" s="436"/>
      <c r="AT206" s="2"/>
      <c r="AU206" s="2"/>
      <c r="AV206" s="2"/>
      <c r="AW206" s="2"/>
      <c r="AX206" s="2"/>
      <c r="AY206" s="2"/>
      <c r="AZ206" s="433"/>
      <c r="BA206" s="2"/>
      <c r="BB206" s="2"/>
      <c r="BC206" s="2"/>
      <c r="BD206" s="2"/>
      <c r="BE206" s="2"/>
      <c r="BF206" s="433"/>
      <c r="BG206" s="2"/>
      <c r="BH206" s="2"/>
      <c r="BI206" s="2">
        <f t="shared" si="506"/>
        <v>1649</v>
      </c>
      <c r="BJ206" s="2">
        <f t="shared" si="507"/>
        <v>14037</v>
      </c>
      <c r="BK206" s="2">
        <f t="shared" si="508"/>
        <v>2541</v>
      </c>
      <c r="BL206" s="2">
        <f t="shared" si="446"/>
        <v>11496</v>
      </c>
      <c r="BM206" s="2"/>
      <c r="BN206" s="2">
        <f t="shared" si="447"/>
        <v>11496</v>
      </c>
      <c r="BO206" s="2">
        <f t="shared" si="509"/>
        <v>2081</v>
      </c>
      <c r="BP206" s="2">
        <f t="shared" si="515"/>
        <v>9415</v>
      </c>
      <c r="BQ206" s="2"/>
      <c r="BR206" s="2">
        <f t="shared" si="449"/>
        <v>9415</v>
      </c>
      <c r="BS206" s="2">
        <f t="shared" si="510"/>
        <v>1704</v>
      </c>
      <c r="BT206" s="2">
        <f t="shared" si="516"/>
        <v>7711</v>
      </c>
      <c r="BU206" s="2">
        <f t="shared" si="511"/>
        <v>1396</v>
      </c>
      <c r="BV206" s="2">
        <f t="shared" si="517"/>
        <v>6315</v>
      </c>
      <c r="BW206" s="2">
        <f t="shared" si="511"/>
        <v>1143</v>
      </c>
      <c r="BX206" s="2">
        <f t="shared" si="518"/>
        <v>5172</v>
      </c>
      <c r="BY206" s="2">
        <f t="shared" si="511"/>
        <v>936</v>
      </c>
      <c r="BZ206" s="2">
        <f t="shared" si="519"/>
        <v>4236</v>
      </c>
      <c r="CA206" s="2">
        <f t="shared" si="511"/>
        <v>767</v>
      </c>
      <c r="CB206" s="2">
        <f t="shared" si="520"/>
        <v>3469</v>
      </c>
      <c r="CC206" s="2">
        <f t="shared" si="511"/>
        <v>628</v>
      </c>
      <c r="CD206" s="2">
        <f t="shared" si="521"/>
        <v>2841</v>
      </c>
      <c r="CE206" s="2">
        <f t="shared" si="511"/>
        <v>514</v>
      </c>
      <c r="CF206" s="2">
        <f t="shared" si="522"/>
        <v>2327</v>
      </c>
      <c r="CG206" s="2">
        <f t="shared" si="511"/>
        <v>421</v>
      </c>
      <c r="CH206" s="2">
        <f t="shared" si="523"/>
        <v>1906</v>
      </c>
      <c r="CI206" s="2">
        <f t="shared" si="511"/>
        <v>345</v>
      </c>
      <c r="CJ206" s="2">
        <f t="shared" si="524"/>
        <v>1561</v>
      </c>
      <c r="CK206" s="2">
        <f t="shared" si="511"/>
        <v>283</v>
      </c>
      <c r="CL206" s="2">
        <f t="shared" si="525"/>
        <v>1278</v>
      </c>
      <c r="CM206" s="2">
        <f t="shared" si="511"/>
        <v>231</v>
      </c>
      <c r="CN206" s="2">
        <f t="shared" si="526"/>
        <v>1047</v>
      </c>
      <c r="CO206" s="2">
        <f t="shared" si="511"/>
        <v>190</v>
      </c>
      <c r="CP206" s="2">
        <f t="shared" si="527"/>
        <v>857</v>
      </c>
      <c r="CQ206" s="317">
        <f t="shared" si="512"/>
        <v>72.699999999999932</v>
      </c>
      <c r="CR206" s="2">
        <f t="shared" si="528"/>
        <v>784.30000000000007</v>
      </c>
      <c r="CS206" s="2">
        <v>0</v>
      </c>
      <c r="CT206" s="2">
        <f t="shared" si="529"/>
        <v>784.30000000000007</v>
      </c>
      <c r="CU206" s="2">
        <v>0</v>
      </c>
      <c r="CV206" s="2">
        <f t="shared" si="530"/>
        <v>784.30000000000007</v>
      </c>
      <c r="CW206" s="2">
        <v>0</v>
      </c>
      <c r="CX206" s="2">
        <f t="shared" si="531"/>
        <v>784.30000000000007</v>
      </c>
      <c r="CY206" s="2">
        <v>0</v>
      </c>
      <c r="CZ206" s="2">
        <f t="shared" si="532"/>
        <v>784.30000000000007</v>
      </c>
      <c r="DA206" s="2">
        <v>0</v>
      </c>
      <c r="DB206" s="2">
        <f t="shared" si="533"/>
        <v>784.30000000000007</v>
      </c>
      <c r="DC206" s="2">
        <v>0</v>
      </c>
      <c r="DD206" s="2">
        <f t="shared" si="534"/>
        <v>784.30000000000007</v>
      </c>
      <c r="DE206" s="2">
        <v>0</v>
      </c>
      <c r="DF206" s="2">
        <f t="shared" si="483"/>
        <v>784.30000000000007</v>
      </c>
      <c r="DG206" s="2">
        <v>0</v>
      </c>
      <c r="DH206" s="2">
        <f t="shared" si="484"/>
        <v>784.30000000000007</v>
      </c>
      <c r="DI206" s="2">
        <v>0</v>
      </c>
      <c r="DJ206" s="2">
        <f t="shared" si="485"/>
        <v>784.30000000000007</v>
      </c>
      <c r="DK206" s="2">
        <v>0</v>
      </c>
      <c r="DL206" s="2">
        <f t="shared" si="486"/>
        <v>784.30000000000007</v>
      </c>
      <c r="DM206" s="2">
        <v>0</v>
      </c>
      <c r="DN206" s="2">
        <f t="shared" si="487"/>
        <v>784.30000000000007</v>
      </c>
      <c r="DO206" s="2">
        <v>0</v>
      </c>
      <c r="DP206" s="2">
        <f t="shared" si="488"/>
        <v>784.30000000000007</v>
      </c>
      <c r="DQ206" s="2">
        <v>0</v>
      </c>
      <c r="DR206" s="2">
        <f t="shared" si="489"/>
        <v>784.30000000000007</v>
      </c>
      <c r="DS206" s="2">
        <v>0</v>
      </c>
      <c r="DT206" s="2">
        <f t="shared" si="535"/>
        <v>784.30000000000007</v>
      </c>
      <c r="DU206" s="2">
        <v>0</v>
      </c>
      <c r="DV206" s="2">
        <f t="shared" si="536"/>
        <v>784.30000000000007</v>
      </c>
      <c r="DW206" s="266">
        <f t="shared" si="452"/>
        <v>784.30000000000007</v>
      </c>
      <c r="DX206" s="441">
        <f t="shared" si="453"/>
        <v>0</v>
      </c>
    </row>
    <row r="207" spans="1:128">
      <c r="A207" s="413">
        <v>48</v>
      </c>
      <c r="B207" s="537" t="s">
        <v>873</v>
      </c>
      <c r="C207" s="433" t="s">
        <v>518</v>
      </c>
      <c r="D207" s="468">
        <v>0.18099999999999999</v>
      </c>
      <c r="E207" s="469">
        <v>4595690</v>
      </c>
      <c r="F207" s="470" t="s">
        <v>921</v>
      </c>
      <c r="G207" s="482">
        <v>43344</v>
      </c>
      <c r="H207" s="443">
        <f t="shared" si="504"/>
        <v>48822</v>
      </c>
      <c r="I207" s="267">
        <v>15</v>
      </c>
      <c r="J207" s="267">
        <f t="shared" si="505"/>
        <v>212</v>
      </c>
      <c r="K207" s="267">
        <f t="shared" si="513"/>
        <v>153</v>
      </c>
      <c r="L207" s="433"/>
      <c r="M207" s="433"/>
      <c r="N207" s="436"/>
      <c r="O207" s="436"/>
      <c r="P207" s="433"/>
      <c r="Q207" s="436"/>
      <c r="R207" s="436"/>
      <c r="S207" s="433"/>
      <c r="T207" s="436"/>
      <c r="U207" s="436"/>
      <c r="V207" s="433"/>
      <c r="W207" s="436"/>
      <c r="X207" s="436"/>
      <c r="Y207" s="433"/>
      <c r="Z207" s="436"/>
      <c r="AA207" s="436"/>
      <c r="AB207" s="433"/>
      <c r="AC207" s="436"/>
      <c r="AD207" s="436"/>
      <c r="AE207" s="436"/>
      <c r="AF207" s="436"/>
      <c r="AG207" s="436"/>
      <c r="AH207" s="436"/>
      <c r="AI207" s="439">
        <v>15</v>
      </c>
      <c r="AJ207" s="436">
        <f t="shared" si="503"/>
        <v>15</v>
      </c>
      <c r="AK207" s="440">
        <f t="shared" si="514"/>
        <v>0.18103627252208465</v>
      </c>
      <c r="AL207" s="2"/>
      <c r="AM207" s="433"/>
      <c r="AN207" s="436"/>
      <c r="AO207" s="436"/>
      <c r="AP207" s="436"/>
      <c r="AQ207" s="436"/>
      <c r="AR207" s="436"/>
      <c r="AS207" s="436"/>
      <c r="AT207" s="2"/>
      <c r="AU207" s="2"/>
      <c r="AV207" s="2"/>
      <c r="AW207" s="2"/>
      <c r="AX207" s="2"/>
      <c r="AY207" s="2"/>
      <c r="AZ207" s="433"/>
      <c r="BA207" s="2"/>
      <c r="BB207" s="2"/>
      <c r="BC207" s="2"/>
      <c r="BD207" s="2"/>
      <c r="BE207" s="2"/>
      <c r="BF207" s="433"/>
      <c r="BG207" s="2"/>
      <c r="BH207" s="2"/>
      <c r="BI207" s="2">
        <f t="shared" si="506"/>
        <v>483236</v>
      </c>
      <c r="BJ207" s="2">
        <f t="shared" si="507"/>
        <v>4112454</v>
      </c>
      <c r="BK207" s="2">
        <f t="shared" si="508"/>
        <v>744503</v>
      </c>
      <c r="BL207" s="2">
        <f t="shared" si="446"/>
        <v>3367951</v>
      </c>
      <c r="BM207" s="2"/>
      <c r="BN207" s="2">
        <f t="shared" si="447"/>
        <v>3367951</v>
      </c>
      <c r="BO207" s="2">
        <f t="shared" si="509"/>
        <v>609721</v>
      </c>
      <c r="BP207" s="2">
        <f t="shared" si="515"/>
        <v>2758230</v>
      </c>
      <c r="BQ207" s="2"/>
      <c r="BR207" s="2">
        <f t="shared" si="449"/>
        <v>2758230</v>
      </c>
      <c r="BS207" s="2">
        <f t="shared" si="510"/>
        <v>499340</v>
      </c>
      <c r="BT207" s="2">
        <f t="shared" si="516"/>
        <v>2258890</v>
      </c>
      <c r="BU207" s="2">
        <f t="shared" si="511"/>
        <v>408941</v>
      </c>
      <c r="BV207" s="2">
        <f t="shared" si="517"/>
        <v>1849949</v>
      </c>
      <c r="BW207" s="2">
        <f t="shared" si="511"/>
        <v>334908</v>
      </c>
      <c r="BX207" s="2">
        <f t="shared" si="518"/>
        <v>1515041</v>
      </c>
      <c r="BY207" s="2">
        <f t="shared" si="511"/>
        <v>274277</v>
      </c>
      <c r="BZ207" s="2">
        <f t="shared" si="519"/>
        <v>1240764</v>
      </c>
      <c r="CA207" s="2">
        <f t="shared" si="511"/>
        <v>224623</v>
      </c>
      <c r="CB207" s="2">
        <f t="shared" si="520"/>
        <v>1016141</v>
      </c>
      <c r="CC207" s="2">
        <f t="shared" si="511"/>
        <v>183958</v>
      </c>
      <c r="CD207" s="2">
        <f t="shared" si="521"/>
        <v>832183</v>
      </c>
      <c r="CE207" s="2">
        <f t="shared" si="511"/>
        <v>150655</v>
      </c>
      <c r="CF207" s="2">
        <f t="shared" si="522"/>
        <v>681528</v>
      </c>
      <c r="CG207" s="2">
        <f t="shared" si="511"/>
        <v>123381</v>
      </c>
      <c r="CH207" s="2">
        <f t="shared" si="523"/>
        <v>558147</v>
      </c>
      <c r="CI207" s="2">
        <f t="shared" si="511"/>
        <v>101045</v>
      </c>
      <c r="CJ207" s="2">
        <f t="shared" si="524"/>
        <v>457102</v>
      </c>
      <c r="CK207" s="2">
        <f t="shared" si="511"/>
        <v>82752</v>
      </c>
      <c r="CL207" s="2">
        <f t="shared" si="525"/>
        <v>374350</v>
      </c>
      <c r="CM207" s="2">
        <f t="shared" si="511"/>
        <v>67771</v>
      </c>
      <c r="CN207" s="2">
        <f t="shared" si="526"/>
        <v>306579</v>
      </c>
      <c r="CO207" s="2">
        <f t="shared" si="511"/>
        <v>55502</v>
      </c>
      <c r="CP207" s="2">
        <f t="shared" si="527"/>
        <v>251077</v>
      </c>
      <c r="CQ207" s="317">
        <f t="shared" si="512"/>
        <v>21292.499999999996</v>
      </c>
      <c r="CR207" s="2">
        <f t="shared" si="528"/>
        <v>229784.5</v>
      </c>
      <c r="CS207" s="2">
        <v>0</v>
      </c>
      <c r="CT207" s="2">
        <f t="shared" si="529"/>
        <v>229784.5</v>
      </c>
      <c r="CU207" s="2">
        <v>0</v>
      </c>
      <c r="CV207" s="2">
        <f t="shared" si="530"/>
        <v>229784.5</v>
      </c>
      <c r="CW207" s="2">
        <v>0</v>
      </c>
      <c r="CX207" s="2">
        <f t="shared" si="531"/>
        <v>229784.5</v>
      </c>
      <c r="CY207" s="2">
        <v>0</v>
      </c>
      <c r="CZ207" s="2">
        <f t="shared" si="532"/>
        <v>229784.5</v>
      </c>
      <c r="DA207" s="2">
        <v>0</v>
      </c>
      <c r="DB207" s="2">
        <f t="shared" si="533"/>
        <v>229784.5</v>
      </c>
      <c r="DC207" s="2">
        <v>0</v>
      </c>
      <c r="DD207" s="2">
        <f t="shared" si="534"/>
        <v>229784.5</v>
      </c>
      <c r="DE207" s="2">
        <v>0</v>
      </c>
      <c r="DF207" s="2">
        <f t="shared" si="483"/>
        <v>229784.5</v>
      </c>
      <c r="DG207" s="2">
        <v>0</v>
      </c>
      <c r="DH207" s="2">
        <f t="shared" si="484"/>
        <v>229784.5</v>
      </c>
      <c r="DI207" s="2">
        <v>0</v>
      </c>
      <c r="DJ207" s="2">
        <f t="shared" si="485"/>
        <v>229784.5</v>
      </c>
      <c r="DK207" s="2">
        <v>0</v>
      </c>
      <c r="DL207" s="2">
        <f t="shared" si="486"/>
        <v>229784.5</v>
      </c>
      <c r="DM207" s="2">
        <v>0</v>
      </c>
      <c r="DN207" s="2">
        <f t="shared" si="487"/>
        <v>229784.5</v>
      </c>
      <c r="DO207" s="2">
        <v>0</v>
      </c>
      <c r="DP207" s="2">
        <f t="shared" si="488"/>
        <v>229784.5</v>
      </c>
      <c r="DQ207" s="2">
        <v>0</v>
      </c>
      <c r="DR207" s="2">
        <f t="shared" si="489"/>
        <v>229784.5</v>
      </c>
      <c r="DS207" s="2">
        <v>0</v>
      </c>
      <c r="DT207" s="2">
        <f t="shared" si="535"/>
        <v>229784.5</v>
      </c>
      <c r="DU207" s="2">
        <v>0</v>
      </c>
      <c r="DV207" s="2">
        <f t="shared" si="536"/>
        <v>229784.5</v>
      </c>
      <c r="DW207" s="266">
        <f t="shared" si="452"/>
        <v>229784.5</v>
      </c>
      <c r="DX207" s="441">
        <f t="shared" si="453"/>
        <v>0</v>
      </c>
    </row>
    <row r="208" spans="1:128">
      <c r="A208" s="413">
        <v>49</v>
      </c>
      <c r="B208" s="537" t="s">
        <v>875</v>
      </c>
      <c r="C208" s="433" t="s">
        <v>518</v>
      </c>
      <c r="D208" s="468">
        <v>0.18099999999999999</v>
      </c>
      <c r="E208" s="469">
        <v>6018000</v>
      </c>
      <c r="F208" s="470" t="s">
        <v>921</v>
      </c>
      <c r="G208" s="481">
        <v>43383</v>
      </c>
      <c r="H208" s="443">
        <f t="shared" si="504"/>
        <v>48861</v>
      </c>
      <c r="I208" s="267">
        <v>15</v>
      </c>
      <c r="J208" s="267">
        <f t="shared" si="505"/>
        <v>173</v>
      </c>
      <c r="K208" s="267">
        <f t="shared" si="513"/>
        <v>192</v>
      </c>
      <c r="L208" s="433"/>
      <c r="M208" s="433"/>
      <c r="N208" s="436"/>
      <c r="O208" s="436"/>
      <c r="P208" s="433"/>
      <c r="Q208" s="436"/>
      <c r="R208" s="436"/>
      <c r="S208" s="433"/>
      <c r="T208" s="436"/>
      <c r="U208" s="436"/>
      <c r="V208" s="433"/>
      <c r="W208" s="436"/>
      <c r="X208" s="436"/>
      <c r="Y208" s="433"/>
      <c r="Z208" s="436"/>
      <c r="AA208" s="436"/>
      <c r="AB208" s="433"/>
      <c r="AC208" s="436"/>
      <c r="AD208" s="436"/>
      <c r="AE208" s="436"/>
      <c r="AF208" s="436"/>
      <c r="AG208" s="436"/>
      <c r="AH208" s="436"/>
      <c r="AI208" s="439">
        <v>15</v>
      </c>
      <c r="AJ208" s="436">
        <f t="shared" si="503"/>
        <v>15</v>
      </c>
      <c r="AK208" s="440">
        <f t="shared" si="514"/>
        <v>0.18103627252208465</v>
      </c>
      <c r="AL208" s="2"/>
      <c r="AM208" s="433"/>
      <c r="AN208" s="436"/>
      <c r="AO208" s="436"/>
      <c r="AP208" s="436"/>
      <c r="AQ208" s="436"/>
      <c r="AR208" s="436"/>
      <c r="AS208" s="436"/>
      <c r="AT208" s="2"/>
      <c r="AU208" s="2"/>
      <c r="AV208" s="2"/>
      <c r="AW208" s="2"/>
      <c r="AX208" s="2"/>
      <c r="AY208" s="2"/>
      <c r="AZ208" s="433"/>
      <c r="BA208" s="2"/>
      <c r="BB208" s="2"/>
      <c r="BC208" s="2"/>
      <c r="BD208" s="2"/>
      <c r="BE208" s="2"/>
      <c r="BF208" s="433"/>
      <c r="BG208" s="2"/>
      <c r="BH208" s="2"/>
      <c r="BI208" s="2">
        <f t="shared" si="506"/>
        <v>516382</v>
      </c>
      <c r="BJ208" s="2">
        <f t="shared" si="507"/>
        <v>5501618</v>
      </c>
      <c r="BK208" s="2">
        <f t="shared" si="508"/>
        <v>995992</v>
      </c>
      <c r="BL208" s="2">
        <f t="shared" si="446"/>
        <v>4505626</v>
      </c>
      <c r="BM208" s="2"/>
      <c r="BN208" s="2">
        <f t="shared" si="447"/>
        <v>4505626</v>
      </c>
      <c r="BO208" s="2">
        <f t="shared" si="509"/>
        <v>815682</v>
      </c>
      <c r="BP208" s="2">
        <f t="shared" si="515"/>
        <v>3689944</v>
      </c>
      <c r="BQ208" s="2"/>
      <c r="BR208" s="2">
        <f t="shared" si="449"/>
        <v>3689944</v>
      </c>
      <c r="BS208" s="2">
        <f t="shared" si="510"/>
        <v>668014</v>
      </c>
      <c r="BT208" s="2">
        <f t="shared" si="516"/>
        <v>3021930</v>
      </c>
      <c r="BU208" s="2">
        <f t="shared" si="511"/>
        <v>547079</v>
      </c>
      <c r="BV208" s="2">
        <f t="shared" si="517"/>
        <v>2474851</v>
      </c>
      <c r="BW208" s="2">
        <f t="shared" si="511"/>
        <v>448038</v>
      </c>
      <c r="BX208" s="2">
        <f t="shared" si="518"/>
        <v>2026813</v>
      </c>
      <c r="BY208" s="2">
        <f t="shared" si="511"/>
        <v>366927</v>
      </c>
      <c r="BZ208" s="2">
        <f t="shared" si="519"/>
        <v>1659886</v>
      </c>
      <c r="CA208" s="2">
        <f t="shared" si="511"/>
        <v>300500</v>
      </c>
      <c r="CB208" s="2">
        <f t="shared" si="520"/>
        <v>1359386</v>
      </c>
      <c r="CC208" s="2">
        <f t="shared" si="511"/>
        <v>246098</v>
      </c>
      <c r="CD208" s="2">
        <f t="shared" si="521"/>
        <v>1113288</v>
      </c>
      <c r="CE208" s="2">
        <f t="shared" si="511"/>
        <v>201546</v>
      </c>
      <c r="CF208" s="2">
        <f t="shared" si="522"/>
        <v>911742</v>
      </c>
      <c r="CG208" s="2">
        <f t="shared" si="511"/>
        <v>165058</v>
      </c>
      <c r="CH208" s="2">
        <f t="shared" si="523"/>
        <v>746684</v>
      </c>
      <c r="CI208" s="2">
        <f t="shared" si="511"/>
        <v>135177</v>
      </c>
      <c r="CJ208" s="2">
        <f t="shared" si="524"/>
        <v>611507</v>
      </c>
      <c r="CK208" s="2">
        <f t="shared" si="511"/>
        <v>110705</v>
      </c>
      <c r="CL208" s="2">
        <f t="shared" si="525"/>
        <v>500802</v>
      </c>
      <c r="CM208" s="2">
        <f t="shared" si="511"/>
        <v>90663</v>
      </c>
      <c r="CN208" s="2">
        <f t="shared" si="526"/>
        <v>410139</v>
      </c>
      <c r="CO208" s="2">
        <f t="shared" si="511"/>
        <v>74250</v>
      </c>
      <c r="CP208" s="2">
        <f t="shared" si="527"/>
        <v>335889</v>
      </c>
      <c r="CQ208" s="317">
        <f t="shared" si="512"/>
        <v>34989.000000000007</v>
      </c>
      <c r="CR208" s="2">
        <f t="shared" si="528"/>
        <v>300900</v>
      </c>
      <c r="CS208" s="2">
        <v>0</v>
      </c>
      <c r="CT208" s="2">
        <f t="shared" si="529"/>
        <v>300900</v>
      </c>
      <c r="CU208" s="2">
        <v>0</v>
      </c>
      <c r="CV208" s="2">
        <f t="shared" si="530"/>
        <v>300900</v>
      </c>
      <c r="CW208" s="2">
        <v>0</v>
      </c>
      <c r="CX208" s="2">
        <f t="shared" si="531"/>
        <v>300900</v>
      </c>
      <c r="CY208" s="2">
        <v>0</v>
      </c>
      <c r="CZ208" s="2">
        <f t="shared" si="532"/>
        <v>300900</v>
      </c>
      <c r="DA208" s="2">
        <v>0</v>
      </c>
      <c r="DB208" s="2">
        <f t="shared" si="533"/>
        <v>300900</v>
      </c>
      <c r="DC208" s="2">
        <v>0</v>
      </c>
      <c r="DD208" s="2">
        <f t="shared" si="534"/>
        <v>300900</v>
      </c>
      <c r="DE208" s="2">
        <v>0</v>
      </c>
      <c r="DF208" s="2">
        <f t="shared" si="483"/>
        <v>300900</v>
      </c>
      <c r="DG208" s="2">
        <v>0</v>
      </c>
      <c r="DH208" s="2">
        <f t="shared" si="484"/>
        <v>300900</v>
      </c>
      <c r="DI208" s="2">
        <v>0</v>
      </c>
      <c r="DJ208" s="2">
        <f t="shared" si="485"/>
        <v>300900</v>
      </c>
      <c r="DK208" s="2">
        <v>0</v>
      </c>
      <c r="DL208" s="2">
        <f t="shared" si="486"/>
        <v>300900</v>
      </c>
      <c r="DM208" s="2">
        <v>0</v>
      </c>
      <c r="DN208" s="2">
        <f t="shared" si="487"/>
        <v>300900</v>
      </c>
      <c r="DO208" s="2">
        <v>0</v>
      </c>
      <c r="DP208" s="2">
        <f t="shared" si="488"/>
        <v>300900</v>
      </c>
      <c r="DQ208" s="2">
        <v>0</v>
      </c>
      <c r="DR208" s="2">
        <f t="shared" si="489"/>
        <v>300900</v>
      </c>
      <c r="DS208" s="2">
        <v>0</v>
      </c>
      <c r="DT208" s="2">
        <f t="shared" si="535"/>
        <v>300900</v>
      </c>
      <c r="DU208" s="2">
        <v>0</v>
      </c>
      <c r="DV208" s="2">
        <f t="shared" si="536"/>
        <v>300900</v>
      </c>
      <c r="DW208" s="266">
        <f t="shared" si="452"/>
        <v>300900</v>
      </c>
      <c r="DX208" s="441">
        <f t="shared" si="453"/>
        <v>0</v>
      </c>
    </row>
    <row r="209" spans="1:128">
      <c r="A209" s="413">
        <v>50</v>
      </c>
      <c r="B209" s="537" t="s">
        <v>876</v>
      </c>
      <c r="C209" s="433" t="s">
        <v>518</v>
      </c>
      <c r="D209" s="468">
        <v>0.18099999999999999</v>
      </c>
      <c r="E209" s="469">
        <v>41890</v>
      </c>
      <c r="F209" s="470" t="s">
        <v>921</v>
      </c>
      <c r="G209" s="481">
        <v>43383</v>
      </c>
      <c r="H209" s="443">
        <f t="shared" si="504"/>
        <v>48861</v>
      </c>
      <c r="I209" s="267">
        <v>15</v>
      </c>
      <c r="J209" s="267">
        <f t="shared" si="505"/>
        <v>173</v>
      </c>
      <c r="K209" s="267">
        <f t="shared" si="513"/>
        <v>192</v>
      </c>
      <c r="L209" s="433"/>
      <c r="M209" s="433"/>
      <c r="N209" s="436"/>
      <c r="O209" s="436"/>
      <c r="P209" s="433"/>
      <c r="Q209" s="436"/>
      <c r="R209" s="436"/>
      <c r="S209" s="433"/>
      <c r="T209" s="436"/>
      <c r="U209" s="436"/>
      <c r="V209" s="433"/>
      <c r="W209" s="436"/>
      <c r="X209" s="436"/>
      <c r="Y209" s="433"/>
      <c r="Z209" s="436"/>
      <c r="AA209" s="436"/>
      <c r="AB209" s="433"/>
      <c r="AC209" s="436"/>
      <c r="AD209" s="436"/>
      <c r="AE209" s="436"/>
      <c r="AF209" s="436"/>
      <c r="AG209" s="436"/>
      <c r="AH209" s="436"/>
      <c r="AI209" s="439">
        <v>15</v>
      </c>
      <c r="AJ209" s="436">
        <f t="shared" si="503"/>
        <v>15</v>
      </c>
      <c r="AK209" s="440">
        <f t="shared" si="514"/>
        <v>0.18103627252208465</v>
      </c>
      <c r="AL209" s="2"/>
      <c r="AM209" s="433"/>
      <c r="AN209" s="436"/>
      <c r="AO209" s="436"/>
      <c r="AP209" s="436"/>
      <c r="AQ209" s="436"/>
      <c r="AR209" s="436"/>
      <c r="AS209" s="436"/>
      <c r="AT209" s="2"/>
      <c r="AU209" s="2"/>
      <c r="AV209" s="2"/>
      <c r="AW209" s="2"/>
      <c r="AX209" s="2"/>
      <c r="AY209" s="2"/>
      <c r="AZ209" s="433"/>
      <c r="BA209" s="2"/>
      <c r="BB209" s="2"/>
      <c r="BC209" s="2"/>
      <c r="BD209" s="2"/>
      <c r="BE209" s="2"/>
      <c r="BF209" s="433"/>
      <c r="BG209" s="2"/>
      <c r="BH209" s="2"/>
      <c r="BI209" s="2">
        <f t="shared" si="506"/>
        <v>3594</v>
      </c>
      <c r="BJ209" s="2">
        <f t="shared" si="507"/>
        <v>38296</v>
      </c>
      <c r="BK209" s="2">
        <f t="shared" si="508"/>
        <v>6933</v>
      </c>
      <c r="BL209" s="2">
        <f t="shared" si="446"/>
        <v>31363</v>
      </c>
      <c r="BM209" s="2"/>
      <c r="BN209" s="2">
        <f t="shared" si="447"/>
        <v>31363</v>
      </c>
      <c r="BO209" s="2">
        <f t="shared" si="509"/>
        <v>5678</v>
      </c>
      <c r="BP209" s="2">
        <f t="shared" si="515"/>
        <v>25685</v>
      </c>
      <c r="BQ209" s="2"/>
      <c r="BR209" s="2">
        <f t="shared" si="449"/>
        <v>25685</v>
      </c>
      <c r="BS209" s="2">
        <f t="shared" si="510"/>
        <v>4650</v>
      </c>
      <c r="BT209" s="2">
        <f t="shared" si="516"/>
        <v>21035</v>
      </c>
      <c r="BU209" s="2">
        <f t="shared" si="511"/>
        <v>3808</v>
      </c>
      <c r="BV209" s="2">
        <f t="shared" si="517"/>
        <v>17227</v>
      </c>
      <c r="BW209" s="2">
        <f t="shared" si="511"/>
        <v>3119</v>
      </c>
      <c r="BX209" s="2">
        <f t="shared" si="518"/>
        <v>14108</v>
      </c>
      <c r="BY209" s="2">
        <f t="shared" si="511"/>
        <v>2554</v>
      </c>
      <c r="BZ209" s="2">
        <f t="shared" si="519"/>
        <v>11554</v>
      </c>
      <c r="CA209" s="2">
        <f t="shared" si="511"/>
        <v>2092</v>
      </c>
      <c r="CB209" s="2">
        <f t="shared" si="520"/>
        <v>9462</v>
      </c>
      <c r="CC209" s="2">
        <f t="shared" si="511"/>
        <v>1713</v>
      </c>
      <c r="CD209" s="2">
        <f t="shared" si="521"/>
        <v>7749</v>
      </c>
      <c r="CE209" s="2">
        <f t="shared" si="511"/>
        <v>1403</v>
      </c>
      <c r="CF209" s="2">
        <f t="shared" si="522"/>
        <v>6346</v>
      </c>
      <c r="CG209" s="2">
        <f t="shared" si="511"/>
        <v>1149</v>
      </c>
      <c r="CH209" s="2">
        <f t="shared" si="523"/>
        <v>5197</v>
      </c>
      <c r="CI209" s="2">
        <f t="shared" si="511"/>
        <v>941</v>
      </c>
      <c r="CJ209" s="2">
        <f t="shared" si="524"/>
        <v>4256</v>
      </c>
      <c r="CK209" s="2">
        <f t="shared" si="511"/>
        <v>770</v>
      </c>
      <c r="CL209" s="2">
        <f t="shared" si="525"/>
        <v>3486</v>
      </c>
      <c r="CM209" s="2">
        <f t="shared" si="511"/>
        <v>631</v>
      </c>
      <c r="CN209" s="2">
        <f t="shared" si="526"/>
        <v>2855</v>
      </c>
      <c r="CO209" s="2">
        <f t="shared" si="511"/>
        <v>517</v>
      </c>
      <c r="CP209" s="2">
        <f t="shared" si="527"/>
        <v>2338</v>
      </c>
      <c r="CQ209" s="317">
        <f t="shared" si="512"/>
        <v>243.49999999999997</v>
      </c>
      <c r="CR209" s="2">
        <f t="shared" si="528"/>
        <v>2094.5</v>
      </c>
      <c r="CS209" s="2">
        <v>0</v>
      </c>
      <c r="CT209" s="2">
        <f t="shared" si="529"/>
        <v>2094.5</v>
      </c>
      <c r="CU209" s="2">
        <v>0</v>
      </c>
      <c r="CV209" s="2">
        <f t="shared" si="530"/>
        <v>2094.5</v>
      </c>
      <c r="CW209" s="2">
        <v>0</v>
      </c>
      <c r="CX209" s="2">
        <f t="shared" si="531"/>
        <v>2094.5</v>
      </c>
      <c r="CY209" s="2">
        <v>0</v>
      </c>
      <c r="CZ209" s="2">
        <f t="shared" si="532"/>
        <v>2094.5</v>
      </c>
      <c r="DA209" s="2">
        <v>0</v>
      </c>
      <c r="DB209" s="2">
        <f t="shared" si="533"/>
        <v>2094.5</v>
      </c>
      <c r="DC209" s="2">
        <v>0</v>
      </c>
      <c r="DD209" s="2">
        <f t="shared" si="534"/>
        <v>2094.5</v>
      </c>
      <c r="DE209" s="2">
        <v>0</v>
      </c>
      <c r="DF209" s="2">
        <f t="shared" si="483"/>
        <v>2094.5</v>
      </c>
      <c r="DG209" s="2">
        <v>0</v>
      </c>
      <c r="DH209" s="2">
        <f t="shared" si="484"/>
        <v>2094.5</v>
      </c>
      <c r="DI209" s="2">
        <v>0</v>
      </c>
      <c r="DJ209" s="2">
        <f t="shared" si="485"/>
        <v>2094.5</v>
      </c>
      <c r="DK209" s="2">
        <v>0</v>
      </c>
      <c r="DL209" s="2">
        <f t="shared" si="486"/>
        <v>2094.5</v>
      </c>
      <c r="DM209" s="2">
        <v>0</v>
      </c>
      <c r="DN209" s="2">
        <f t="shared" si="487"/>
        <v>2094.5</v>
      </c>
      <c r="DO209" s="2">
        <v>0</v>
      </c>
      <c r="DP209" s="2">
        <f t="shared" si="488"/>
        <v>2094.5</v>
      </c>
      <c r="DQ209" s="2">
        <v>0</v>
      </c>
      <c r="DR209" s="2">
        <f t="shared" si="489"/>
        <v>2094.5</v>
      </c>
      <c r="DS209" s="2">
        <v>0</v>
      </c>
      <c r="DT209" s="2">
        <f t="shared" si="535"/>
        <v>2094.5</v>
      </c>
      <c r="DU209" s="2">
        <v>0</v>
      </c>
      <c r="DV209" s="2">
        <f t="shared" si="536"/>
        <v>2094.5</v>
      </c>
      <c r="DW209" s="266">
        <f t="shared" si="452"/>
        <v>2094.5</v>
      </c>
      <c r="DX209" s="441">
        <f t="shared" si="453"/>
        <v>0</v>
      </c>
    </row>
    <row r="210" spans="1:128">
      <c r="A210" s="413">
        <v>51</v>
      </c>
      <c r="B210" s="537" t="s">
        <v>877</v>
      </c>
      <c r="C210" s="433" t="s">
        <v>518</v>
      </c>
      <c r="D210" s="468">
        <v>0.18099999999999999</v>
      </c>
      <c r="E210" s="469">
        <v>138886</v>
      </c>
      <c r="F210" s="470" t="s">
        <v>921</v>
      </c>
      <c r="G210" s="481">
        <v>43252</v>
      </c>
      <c r="H210" s="443">
        <f t="shared" si="504"/>
        <v>48730</v>
      </c>
      <c r="I210" s="267">
        <v>15</v>
      </c>
      <c r="J210" s="267">
        <f t="shared" si="505"/>
        <v>304</v>
      </c>
      <c r="K210" s="267">
        <f t="shared" si="513"/>
        <v>61</v>
      </c>
      <c r="L210" s="433"/>
      <c r="M210" s="433"/>
      <c r="N210" s="436"/>
      <c r="O210" s="436"/>
      <c r="P210" s="433"/>
      <c r="Q210" s="436"/>
      <c r="R210" s="436"/>
      <c r="S210" s="433"/>
      <c r="T210" s="436"/>
      <c r="U210" s="436"/>
      <c r="V210" s="433"/>
      <c r="W210" s="436"/>
      <c r="X210" s="436"/>
      <c r="Y210" s="433"/>
      <c r="Z210" s="436"/>
      <c r="AA210" s="436"/>
      <c r="AB210" s="433"/>
      <c r="AC210" s="436"/>
      <c r="AD210" s="436"/>
      <c r="AE210" s="436"/>
      <c r="AF210" s="436"/>
      <c r="AG210" s="436"/>
      <c r="AH210" s="436"/>
      <c r="AI210" s="439">
        <v>15</v>
      </c>
      <c r="AJ210" s="436">
        <f t="shared" si="503"/>
        <v>15</v>
      </c>
      <c r="AK210" s="440">
        <f t="shared" si="514"/>
        <v>0.18103627252208465</v>
      </c>
      <c r="AL210" s="2"/>
      <c r="AM210" s="433"/>
      <c r="AN210" s="436"/>
      <c r="AO210" s="436"/>
      <c r="AP210" s="436"/>
      <c r="AQ210" s="436"/>
      <c r="AR210" s="436"/>
      <c r="AS210" s="436"/>
      <c r="AT210" s="2"/>
      <c r="AU210" s="2"/>
      <c r="AV210" s="2"/>
      <c r="AW210" s="2"/>
      <c r="AX210" s="2"/>
      <c r="AY210" s="2"/>
      <c r="AZ210" s="433"/>
      <c r="BA210" s="2"/>
      <c r="BB210" s="2"/>
      <c r="BC210" s="2"/>
      <c r="BD210" s="2"/>
      <c r="BE210" s="2"/>
      <c r="BF210" s="433"/>
      <c r="BG210" s="2"/>
      <c r="BH210" s="2"/>
      <c r="BI210" s="2">
        <f t="shared" si="506"/>
        <v>20941</v>
      </c>
      <c r="BJ210" s="2">
        <f t="shared" si="507"/>
        <v>117945</v>
      </c>
      <c r="BK210" s="2">
        <f t="shared" si="508"/>
        <v>21352</v>
      </c>
      <c r="BL210" s="2">
        <f t="shared" si="446"/>
        <v>96593</v>
      </c>
      <c r="BM210" s="2"/>
      <c r="BN210" s="2">
        <f t="shared" si="447"/>
        <v>96593</v>
      </c>
      <c r="BO210" s="2">
        <f t="shared" si="509"/>
        <v>17487</v>
      </c>
      <c r="BP210" s="2">
        <f t="shared" si="515"/>
        <v>79106</v>
      </c>
      <c r="BQ210" s="2"/>
      <c r="BR210" s="2">
        <f t="shared" si="449"/>
        <v>79106</v>
      </c>
      <c r="BS210" s="2">
        <f t="shared" si="510"/>
        <v>14321</v>
      </c>
      <c r="BT210" s="2">
        <f t="shared" si="516"/>
        <v>64785</v>
      </c>
      <c r="BU210" s="2">
        <f t="shared" si="511"/>
        <v>11728</v>
      </c>
      <c r="BV210" s="2">
        <f t="shared" si="517"/>
        <v>53057</v>
      </c>
      <c r="BW210" s="2">
        <f t="shared" si="511"/>
        <v>9605</v>
      </c>
      <c r="BX210" s="2">
        <f t="shared" si="518"/>
        <v>43452</v>
      </c>
      <c r="BY210" s="2">
        <f t="shared" si="511"/>
        <v>7866</v>
      </c>
      <c r="BZ210" s="2">
        <f t="shared" si="519"/>
        <v>35586</v>
      </c>
      <c r="CA210" s="2">
        <f t="shared" si="511"/>
        <v>6442</v>
      </c>
      <c r="CB210" s="2">
        <f t="shared" si="520"/>
        <v>29144</v>
      </c>
      <c r="CC210" s="2">
        <f t="shared" si="511"/>
        <v>5276</v>
      </c>
      <c r="CD210" s="2">
        <f t="shared" si="521"/>
        <v>23868</v>
      </c>
      <c r="CE210" s="2">
        <f t="shared" si="511"/>
        <v>4321</v>
      </c>
      <c r="CF210" s="2">
        <f t="shared" si="522"/>
        <v>19547</v>
      </c>
      <c r="CG210" s="2">
        <f t="shared" si="511"/>
        <v>3539</v>
      </c>
      <c r="CH210" s="2">
        <f t="shared" si="523"/>
        <v>16008</v>
      </c>
      <c r="CI210" s="2">
        <f t="shared" si="511"/>
        <v>2898</v>
      </c>
      <c r="CJ210" s="2">
        <f t="shared" si="524"/>
        <v>13110</v>
      </c>
      <c r="CK210" s="2">
        <f t="shared" si="511"/>
        <v>2373</v>
      </c>
      <c r="CL210" s="2">
        <f t="shared" si="525"/>
        <v>10737</v>
      </c>
      <c r="CM210" s="2">
        <f t="shared" si="511"/>
        <v>1944</v>
      </c>
      <c r="CN210" s="2">
        <f t="shared" si="526"/>
        <v>8793</v>
      </c>
      <c r="CO210" s="2">
        <f t="shared" si="511"/>
        <v>1592</v>
      </c>
      <c r="CP210" s="2">
        <f t="shared" si="527"/>
        <v>7201</v>
      </c>
      <c r="CQ210" s="317">
        <f t="shared" si="512"/>
        <v>256.70000000000005</v>
      </c>
      <c r="CR210" s="2">
        <f t="shared" si="528"/>
        <v>6944.3</v>
      </c>
      <c r="CS210" s="2">
        <v>0</v>
      </c>
      <c r="CT210" s="2">
        <f t="shared" si="529"/>
        <v>6944.3</v>
      </c>
      <c r="CU210" s="2">
        <v>0</v>
      </c>
      <c r="CV210" s="2">
        <f t="shared" si="530"/>
        <v>6944.3</v>
      </c>
      <c r="CW210" s="2">
        <v>0</v>
      </c>
      <c r="CX210" s="2">
        <f t="shared" si="531"/>
        <v>6944.3</v>
      </c>
      <c r="CY210" s="2">
        <v>0</v>
      </c>
      <c r="CZ210" s="2">
        <f t="shared" si="532"/>
        <v>6944.3</v>
      </c>
      <c r="DA210" s="2">
        <v>0</v>
      </c>
      <c r="DB210" s="2">
        <f t="shared" si="533"/>
        <v>6944.3</v>
      </c>
      <c r="DC210" s="2">
        <v>0</v>
      </c>
      <c r="DD210" s="2">
        <f t="shared" si="534"/>
        <v>6944.3</v>
      </c>
      <c r="DE210" s="2">
        <v>0</v>
      </c>
      <c r="DF210" s="2">
        <f t="shared" si="483"/>
        <v>6944.3</v>
      </c>
      <c r="DG210" s="2">
        <v>0</v>
      </c>
      <c r="DH210" s="2">
        <f t="shared" si="484"/>
        <v>6944.3</v>
      </c>
      <c r="DI210" s="2">
        <v>0</v>
      </c>
      <c r="DJ210" s="2">
        <f t="shared" si="485"/>
        <v>6944.3</v>
      </c>
      <c r="DK210" s="2">
        <v>0</v>
      </c>
      <c r="DL210" s="2">
        <f t="shared" si="486"/>
        <v>6944.3</v>
      </c>
      <c r="DM210" s="2">
        <v>0</v>
      </c>
      <c r="DN210" s="2">
        <f t="shared" si="487"/>
        <v>6944.3</v>
      </c>
      <c r="DO210" s="2">
        <v>0</v>
      </c>
      <c r="DP210" s="2">
        <f t="shared" si="488"/>
        <v>6944.3</v>
      </c>
      <c r="DQ210" s="2">
        <v>0</v>
      </c>
      <c r="DR210" s="2">
        <f t="shared" si="489"/>
        <v>6944.3</v>
      </c>
      <c r="DS210" s="2">
        <v>0</v>
      </c>
      <c r="DT210" s="2">
        <f t="shared" si="535"/>
        <v>6944.3</v>
      </c>
      <c r="DU210" s="2">
        <v>0</v>
      </c>
      <c r="DV210" s="2">
        <f t="shared" si="536"/>
        <v>6944.3</v>
      </c>
      <c r="DW210" s="266">
        <f t="shared" si="452"/>
        <v>6944.3</v>
      </c>
      <c r="DX210" s="441">
        <f t="shared" si="453"/>
        <v>0</v>
      </c>
    </row>
    <row r="211" spans="1:128">
      <c r="A211" s="413">
        <v>52</v>
      </c>
      <c r="B211" s="537" t="s">
        <v>878</v>
      </c>
      <c r="C211" s="433" t="s">
        <v>518</v>
      </c>
      <c r="D211" s="468">
        <v>0.18099999999999999</v>
      </c>
      <c r="E211" s="469">
        <v>3320520</v>
      </c>
      <c r="F211" s="470" t="s">
        <v>921</v>
      </c>
      <c r="G211" s="481">
        <v>43282</v>
      </c>
      <c r="H211" s="443">
        <f t="shared" si="504"/>
        <v>48760</v>
      </c>
      <c r="I211" s="267">
        <v>15</v>
      </c>
      <c r="J211" s="267">
        <f t="shared" si="505"/>
        <v>274</v>
      </c>
      <c r="K211" s="267">
        <f t="shared" si="513"/>
        <v>91</v>
      </c>
      <c r="L211" s="433"/>
      <c r="M211" s="433"/>
      <c r="N211" s="436"/>
      <c r="O211" s="436"/>
      <c r="P211" s="433"/>
      <c r="Q211" s="436"/>
      <c r="R211" s="436"/>
      <c r="S211" s="433"/>
      <c r="T211" s="436"/>
      <c r="U211" s="436"/>
      <c r="V211" s="433"/>
      <c r="W211" s="436"/>
      <c r="X211" s="436"/>
      <c r="Y211" s="433"/>
      <c r="Z211" s="436"/>
      <c r="AA211" s="436"/>
      <c r="AB211" s="433"/>
      <c r="AC211" s="436"/>
      <c r="AD211" s="436"/>
      <c r="AE211" s="436"/>
      <c r="AF211" s="436"/>
      <c r="AG211" s="436"/>
      <c r="AH211" s="436"/>
      <c r="AI211" s="439">
        <v>15</v>
      </c>
      <c r="AJ211" s="436">
        <f t="shared" si="503"/>
        <v>15</v>
      </c>
      <c r="AK211" s="440">
        <f t="shared" si="514"/>
        <v>0.18103627252208465</v>
      </c>
      <c r="AL211" s="2"/>
      <c r="AM211" s="433"/>
      <c r="AN211" s="436"/>
      <c r="AO211" s="436"/>
      <c r="AP211" s="436"/>
      <c r="AQ211" s="436"/>
      <c r="AR211" s="436"/>
      <c r="AS211" s="436"/>
      <c r="AT211" s="2"/>
      <c r="AU211" s="2"/>
      <c r="AV211" s="2"/>
      <c r="AW211" s="2"/>
      <c r="AX211" s="2"/>
      <c r="AY211" s="2"/>
      <c r="AZ211" s="433"/>
      <c r="BA211" s="2"/>
      <c r="BB211" s="2"/>
      <c r="BC211" s="2"/>
      <c r="BD211" s="2"/>
      <c r="BE211" s="2"/>
      <c r="BF211" s="433"/>
      <c r="BG211" s="2"/>
      <c r="BH211" s="2"/>
      <c r="BI211" s="2">
        <f t="shared" si="506"/>
        <v>451263</v>
      </c>
      <c r="BJ211" s="2">
        <f t="shared" si="507"/>
        <v>2869257</v>
      </c>
      <c r="BK211" s="2">
        <f t="shared" si="508"/>
        <v>519440</v>
      </c>
      <c r="BL211" s="2">
        <f t="shared" si="446"/>
        <v>2349817</v>
      </c>
      <c r="BM211" s="2"/>
      <c r="BN211" s="2">
        <f t="shared" si="447"/>
        <v>2349817</v>
      </c>
      <c r="BO211" s="2">
        <f t="shared" si="509"/>
        <v>425402</v>
      </c>
      <c r="BP211" s="2">
        <f t="shared" si="515"/>
        <v>1924415</v>
      </c>
      <c r="BQ211" s="2"/>
      <c r="BR211" s="2">
        <f t="shared" si="449"/>
        <v>1924415</v>
      </c>
      <c r="BS211" s="2">
        <f t="shared" si="510"/>
        <v>348389</v>
      </c>
      <c r="BT211" s="2">
        <f t="shared" si="516"/>
        <v>1576026</v>
      </c>
      <c r="BU211" s="2">
        <f t="shared" si="511"/>
        <v>285318</v>
      </c>
      <c r="BV211" s="2">
        <f t="shared" si="517"/>
        <v>1290708</v>
      </c>
      <c r="BW211" s="2">
        <f t="shared" si="511"/>
        <v>233665</v>
      </c>
      <c r="BX211" s="2">
        <f t="shared" si="518"/>
        <v>1057043</v>
      </c>
      <c r="BY211" s="2">
        <f t="shared" si="511"/>
        <v>191363</v>
      </c>
      <c r="BZ211" s="2">
        <f t="shared" si="519"/>
        <v>865680</v>
      </c>
      <c r="CA211" s="2">
        <f t="shared" si="511"/>
        <v>156719</v>
      </c>
      <c r="CB211" s="2">
        <f t="shared" si="520"/>
        <v>708961</v>
      </c>
      <c r="CC211" s="2">
        <f t="shared" si="511"/>
        <v>128348</v>
      </c>
      <c r="CD211" s="2">
        <f t="shared" si="521"/>
        <v>580613</v>
      </c>
      <c r="CE211" s="2">
        <f t="shared" si="511"/>
        <v>105112</v>
      </c>
      <c r="CF211" s="2">
        <f t="shared" si="522"/>
        <v>475501</v>
      </c>
      <c r="CG211" s="2">
        <f t="shared" si="511"/>
        <v>86083</v>
      </c>
      <c r="CH211" s="2">
        <f t="shared" si="523"/>
        <v>389418</v>
      </c>
      <c r="CI211" s="2">
        <f t="shared" si="511"/>
        <v>70499</v>
      </c>
      <c r="CJ211" s="2">
        <f t="shared" si="524"/>
        <v>318919</v>
      </c>
      <c r="CK211" s="2">
        <f t="shared" si="511"/>
        <v>57736</v>
      </c>
      <c r="CL211" s="2">
        <f t="shared" si="525"/>
        <v>261183</v>
      </c>
      <c r="CM211" s="2">
        <f t="shared" si="511"/>
        <v>47284</v>
      </c>
      <c r="CN211" s="2">
        <f t="shared" si="526"/>
        <v>213899</v>
      </c>
      <c r="CO211" s="2">
        <f t="shared" si="511"/>
        <v>38723</v>
      </c>
      <c r="CP211" s="2">
        <f t="shared" si="527"/>
        <v>175176</v>
      </c>
      <c r="CQ211" s="317">
        <f t="shared" si="512"/>
        <v>9150</v>
      </c>
      <c r="CR211" s="2">
        <f t="shared" si="528"/>
        <v>166026</v>
      </c>
      <c r="CS211" s="2">
        <v>0</v>
      </c>
      <c r="CT211" s="2">
        <f t="shared" si="529"/>
        <v>166026</v>
      </c>
      <c r="CU211" s="2">
        <v>0</v>
      </c>
      <c r="CV211" s="2">
        <f t="shared" si="530"/>
        <v>166026</v>
      </c>
      <c r="CW211" s="2">
        <v>0</v>
      </c>
      <c r="CX211" s="2">
        <f t="shared" si="531"/>
        <v>166026</v>
      </c>
      <c r="CY211" s="2">
        <v>0</v>
      </c>
      <c r="CZ211" s="2">
        <f t="shared" si="532"/>
        <v>166026</v>
      </c>
      <c r="DA211" s="2">
        <v>0</v>
      </c>
      <c r="DB211" s="2">
        <f t="shared" si="533"/>
        <v>166026</v>
      </c>
      <c r="DC211" s="2">
        <v>0</v>
      </c>
      <c r="DD211" s="2">
        <f t="shared" si="534"/>
        <v>166026</v>
      </c>
      <c r="DE211" s="2">
        <v>0</v>
      </c>
      <c r="DF211" s="2">
        <f t="shared" si="483"/>
        <v>166026</v>
      </c>
      <c r="DG211" s="2">
        <v>0</v>
      </c>
      <c r="DH211" s="2">
        <f t="shared" si="484"/>
        <v>166026</v>
      </c>
      <c r="DI211" s="2">
        <v>0</v>
      </c>
      <c r="DJ211" s="2">
        <f t="shared" si="485"/>
        <v>166026</v>
      </c>
      <c r="DK211" s="2">
        <v>0</v>
      </c>
      <c r="DL211" s="2">
        <f t="shared" si="486"/>
        <v>166026</v>
      </c>
      <c r="DM211" s="2">
        <v>0</v>
      </c>
      <c r="DN211" s="2">
        <f t="shared" si="487"/>
        <v>166026</v>
      </c>
      <c r="DO211" s="2">
        <v>0</v>
      </c>
      <c r="DP211" s="2">
        <f t="shared" si="488"/>
        <v>166026</v>
      </c>
      <c r="DQ211" s="2">
        <v>0</v>
      </c>
      <c r="DR211" s="2">
        <f t="shared" si="489"/>
        <v>166026</v>
      </c>
      <c r="DS211" s="2">
        <v>0</v>
      </c>
      <c r="DT211" s="2">
        <f t="shared" si="535"/>
        <v>166026</v>
      </c>
      <c r="DU211" s="2">
        <v>0</v>
      </c>
      <c r="DV211" s="2">
        <f t="shared" si="536"/>
        <v>166026</v>
      </c>
      <c r="DW211" s="266">
        <f t="shared" si="452"/>
        <v>166026</v>
      </c>
      <c r="DX211" s="441">
        <f t="shared" si="453"/>
        <v>0</v>
      </c>
    </row>
    <row r="212" spans="1:128">
      <c r="A212" s="413">
        <v>53</v>
      </c>
      <c r="B212" s="537" t="s">
        <v>879</v>
      </c>
      <c r="C212" s="433" t="s">
        <v>518</v>
      </c>
      <c r="D212" s="468">
        <v>0.18099999999999999</v>
      </c>
      <c r="E212" s="469">
        <v>2525879</v>
      </c>
      <c r="F212" s="470" t="s">
        <v>921</v>
      </c>
      <c r="G212" s="482">
        <v>43344</v>
      </c>
      <c r="H212" s="443">
        <f t="shared" si="504"/>
        <v>48822</v>
      </c>
      <c r="I212" s="267">
        <v>15</v>
      </c>
      <c r="J212" s="267">
        <f t="shared" si="505"/>
        <v>212</v>
      </c>
      <c r="K212" s="267">
        <f t="shared" si="513"/>
        <v>153</v>
      </c>
      <c r="L212" s="433"/>
      <c r="M212" s="433"/>
      <c r="N212" s="436"/>
      <c r="O212" s="436"/>
      <c r="P212" s="433"/>
      <c r="Q212" s="436"/>
      <c r="R212" s="436"/>
      <c r="S212" s="433"/>
      <c r="T212" s="436"/>
      <c r="U212" s="436"/>
      <c r="V212" s="433"/>
      <c r="W212" s="436"/>
      <c r="X212" s="436"/>
      <c r="Y212" s="433"/>
      <c r="Z212" s="436"/>
      <c r="AA212" s="436"/>
      <c r="AB212" s="433"/>
      <c r="AC212" s="436"/>
      <c r="AD212" s="436"/>
      <c r="AE212" s="436"/>
      <c r="AF212" s="436"/>
      <c r="AG212" s="436"/>
      <c r="AH212" s="436"/>
      <c r="AI212" s="439">
        <v>15</v>
      </c>
      <c r="AJ212" s="436">
        <f t="shared" si="503"/>
        <v>15</v>
      </c>
      <c r="AK212" s="440">
        <f t="shared" si="514"/>
        <v>0.18103627252208465</v>
      </c>
      <c r="AL212" s="2"/>
      <c r="AM212" s="433"/>
      <c r="AN212" s="436"/>
      <c r="AO212" s="436"/>
      <c r="AP212" s="436"/>
      <c r="AQ212" s="436"/>
      <c r="AR212" s="436"/>
      <c r="AS212" s="436"/>
      <c r="AT212" s="2"/>
      <c r="AU212" s="2"/>
      <c r="AV212" s="2"/>
      <c r="AW212" s="2"/>
      <c r="AX212" s="2"/>
      <c r="AY212" s="2"/>
      <c r="AZ212" s="433"/>
      <c r="BA212" s="2"/>
      <c r="BB212" s="2"/>
      <c r="BC212" s="2"/>
      <c r="BD212" s="2"/>
      <c r="BE212" s="2"/>
      <c r="BF212" s="433"/>
      <c r="BG212" s="2"/>
      <c r="BH212" s="2"/>
      <c r="BI212" s="2">
        <f t="shared" si="506"/>
        <v>265596</v>
      </c>
      <c r="BJ212" s="2">
        <f t="shared" si="507"/>
        <v>2260283</v>
      </c>
      <c r="BK212" s="2">
        <f t="shared" si="508"/>
        <v>409193</v>
      </c>
      <c r="BL212" s="2">
        <f t="shared" si="446"/>
        <v>1851090</v>
      </c>
      <c r="BM212" s="2"/>
      <c r="BN212" s="2">
        <f t="shared" si="447"/>
        <v>1851090</v>
      </c>
      <c r="BO212" s="2">
        <f t="shared" si="509"/>
        <v>335114</v>
      </c>
      <c r="BP212" s="2">
        <f t="shared" si="515"/>
        <v>1515976</v>
      </c>
      <c r="BQ212" s="2"/>
      <c r="BR212" s="2">
        <f t="shared" si="449"/>
        <v>1515976</v>
      </c>
      <c r="BS212" s="2">
        <f t="shared" si="510"/>
        <v>274447</v>
      </c>
      <c r="BT212" s="2">
        <f t="shared" si="516"/>
        <v>1241529</v>
      </c>
      <c r="BU212" s="2">
        <f t="shared" si="511"/>
        <v>224762</v>
      </c>
      <c r="BV212" s="2">
        <f t="shared" si="517"/>
        <v>1016767</v>
      </c>
      <c r="BW212" s="2">
        <f t="shared" si="511"/>
        <v>184072</v>
      </c>
      <c r="BX212" s="2">
        <f t="shared" si="518"/>
        <v>832695</v>
      </c>
      <c r="BY212" s="2">
        <f t="shared" si="511"/>
        <v>150748</v>
      </c>
      <c r="BZ212" s="2">
        <f t="shared" si="519"/>
        <v>681947</v>
      </c>
      <c r="CA212" s="2">
        <f t="shared" si="511"/>
        <v>123457</v>
      </c>
      <c r="CB212" s="2">
        <f t="shared" si="520"/>
        <v>558490</v>
      </c>
      <c r="CC212" s="2">
        <f t="shared" si="511"/>
        <v>101107</v>
      </c>
      <c r="CD212" s="2">
        <f t="shared" si="521"/>
        <v>457383</v>
      </c>
      <c r="CE212" s="2">
        <f t="shared" si="511"/>
        <v>82803</v>
      </c>
      <c r="CF212" s="2">
        <f t="shared" si="522"/>
        <v>374580</v>
      </c>
      <c r="CG212" s="2">
        <f t="shared" si="511"/>
        <v>67813</v>
      </c>
      <c r="CH212" s="2">
        <f t="shared" si="523"/>
        <v>306767</v>
      </c>
      <c r="CI212" s="2">
        <f t="shared" si="511"/>
        <v>55536</v>
      </c>
      <c r="CJ212" s="2">
        <f t="shared" si="524"/>
        <v>251231</v>
      </c>
      <c r="CK212" s="2">
        <f t="shared" si="511"/>
        <v>45482</v>
      </c>
      <c r="CL212" s="2">
        <f t="shared" si="525"/>
        <v>205749</v>
      </c>
      <c r="CM212" s="2">
        <f t="shared" si="511"/>
        <v>37248</v>
      </c>
      <c r="CN212" s="2">
        <f t="shared" si="526"/>
        <v>168501</v>
      </c>
      <c r="CO212" s="2">
        <f t="shared" si="511"/>
        <v>30505</v>
      </c>
      <c r="CP212" s="2">
        <f t="shared" si="527"/>
        <v>137996</v>
      </c>
      <c r="CQ212" s="317">
        <f t="shared" si="512"/>
        <v>11702.049999999996</v>
      </c>
      <c r="CR212" s="2">
        <f t="shared" si="528"/>
        <v>126293.95000000001</v>
      </c>
      <c r="CS212" s="2">
        <v>0</v>
      </c>
      <c r="CT212" s="2">
        <f t="shared" si="529"/>
        <v>126293.95000000001</v>
      </c>
      <c r="CU212" s="2">
        <v>0</v>
      </c>
      <c r="CV212" s="2">
        <f t="shared" si="530"/>
        <v>126293.95000000001</v>
      </c>
      <c r="CW212" s="2">
        <v>0</v>
      </c>
      <c r="CX212" s="2">
        <f t="shared" si="531"/>
        <v>126293.95000000001</v>
      </c>
      <c r="CY212" s="2">
        <v>0</v>
      </c>
      <c r="CZ212" s="2">
        <f t="shared" si="532"/>
        <v>126293.95000000001</v>
      </c>
      <c r="DA212" s="2">
        <v>0</v>
      </c>
      <c r="DB212" s="2">
        <f t="shared" si="533"/>
        <v>126293.95000000001</v>
      </c>
      <c r="DC212" s="2">
        <v>0</v>
      </c>
      <c r="DD212" s="2">
        <f t="shared" si="534"/>
        <v>126293.95000000001</v>
      </c>
      <c r="DE212" s="2">
        <v>0</v>
      </c>
      <c r="DF212" s="2">
        <f t="shared" si="483"/>
        <v>126293.95000000001</v>
      </c>
      <c r="DG212" s="2">
        <v>0</v>
      </c>
      <c r="DH212" s="2">
        <f t="shared" si="484"/>
        <v>126293.95000000001</v>
      </c>
      <c r="DI212" s="2">
        <v>0</v>
      </c>
      <c r="DJ212" s="2">
        <f t="shared" si="485"/>
        <v>126293.95000000001</v>
      </c>
      <c r="DK212" s="2">
        <v>0</v>
      </c>
      <c r="DL212" s="2">
        <f t="shared" si="486"/>
        <v>126293.95000000001</v>
      </c>
      <c r="DM212" s="2">
        <v>0</v>
      </c>
      <c r="DN212" s="2">
        <f t="shared" si="487"/>
        <v>126293.95000000001</v>
      </c>
      <c r="DO212" s="2">
        <v>0</v>
      </c>
      <c r="DP212" s="2">
        <f t="shared" si="488"/>
        <v>126293.95000000001</v>
      </c>
      <c r="DQ212" s="2">
        <v>0</v>
      </c>
      <c r="DR212" s="2">
        <f t="shared" si="489"/>
        <v>126293.95000000001</v>
      </c>
      <c r="DS212" s="2">
        <v>0</v>
      </c>
      <c r="DT212" s="2">
        <f t="shared" si="535"/>
        <v>126293.95000000001</v>
      </c>
      <c r="DU212" s="2">
        <v>0</v>
      </c>
      <c r="DV212" s="2">
        <f t="shared" si="536"/>
        <v>126293.95000000001</v>
      </c>
      <c r="DW212" s="266">
        <f t="shared" si="452"/>
        <v>126293.95000000001</v>
      </c>
      <c r="DX212" s="441">
        <f t="shared" si="453"/>
        <v>0</v>
      </c>
    </row>
    <row r="213" spans="1:128">
      <c r="A213" s="413">
        <v>54</v>
      </c>
      <c r="B213" s="537" t="s">
        <v>880</v>
      </c>
      <c r="C213" s="433" t="s">
        <v>518</v>
      </c>
      <c r="D213" s="468">
        <v>0.18099999999999999</v>
      </c>
      <c r="E213" s="469">
        <v>15930</v>
      </c>
      <c r="F213" s="470" t="s">
        <v>921</v>
      </c>
      <c r="G213" s="482">
        <v>43344</v>
      </c>
      <c r="H213" s="443">
        <f t="shared" si="504"/>
        <v>48822</v>
      </c>
      <c r="I213" s="267">
        <v>15</v>
      </c>
      <c r="J213" s="267">
        <f t="shared" si="505"/>
        <v>212</v>
      </c>
      <c r="K213" s="267">
        <f t="shared" si="513"/>
        <v>153</v>
      </c>
      <c r="L213" s="433"/>
      <c r="M213" s="433"/>
      <c r="N213" s="436"/>
      <c r="O213" s="436"/>
      <c r="P213" s="433"/>
      <c r="Q213" s="436"/>
      <c r="R213" s="436"/>
      <c r="S213" s="433"/>
      <c r="T213" s="436"/>
      <c r="U213" s="436"/>
      <c r="V213" s="433"/>
      <c r="W213" s="436"/>
      <c r="X213" s="436"/>
      <c r="Y213" s="433"/>
      <c r="Z213" s="436"/>
      <c r="AA213" s="436"/>
      <c r="AB213" s="433"/>
      <c r="AC213" s="436"/>
      <c r="AD213" s="436"/>
      <c r="AE213" s="436"/>
      <c r="AF213" s="436"/>
      <c r="AG213" s="436"/>
      <c r="AH213" s="436"/>
      <c r="AI213" s="439">
        <v>15</v>
      </c>
      <c r="AJ213" s="436">
        <f t="shared" si="503"/>
        <v>15</v>
      </c>
      <c r="AK213" s="440">
        <f t="shared" si="514"/>
        <v>0.18103627252208465</v>
      </c>
      <c r="AL213" s="2"/>
      <c r="AM213" s="433"/>
      <c r="AN213" s="436"/>
      <c r="AO213" s="436"/>
      <c r="AP213" s="436"/>
      <c r="AQ213" s="436"/>
      <c r="AR213" s="436"/>
      <c r="AS213" s="436"/>
      <c r="AT213" s="2"/>
      <c r="AU213" s="2"/>
      <c r="AV213" s="2"/>
      <c r="AW213" s="2"/>
      <c r="AX213" s="2"/>
      <c r="AY213" s="2"/>
      <c r="AZ213" s="433"/>
      <c r="BA213" s="2"/>
      <c r="BB213" s="2"/>
      <c r="BC213" s="2"/>
      <c r="BD213" s="2"/>
      <c r="BE213" s="2"/>
      <c r="BF213" s="433"/>
      <c r="BG213" s="2"/>
      <c r="BH213" s="2"/>
      <c r="BI213" s="2">
        <f t="shared" si="506"/>
        <v>1675</v>
      </c>
      <c r="BJ213" s="2">
        <f t="shared" si="507"/>
        <v>14255</v>
      </c>
      <c r="BK213" s="2">
        <f t="shared" si="508"/>
        <v>2581</v>
      </c>
      <c r="BL213" s="2">
        <f t="shared" si="446"/>
        <v>11674</v>
      </c>
      <c r="BM213" s="2"/>
      <c r="BN213" s="2">
        <f t="shared" si="447"/>
        <v>11674</v>
      </c>
      <c r="BO213" s="2">
        <f t="shared" si="509"/>
        <v>2113</v>
      </c>
      <c r="BP213" s="2">
        <f t="shared" si="515"/>
        <v>9561</v>
      </c>
      <c r="BQ213" s="2"/>
      <c r="BR213" s="2">
        <f t="shared" si="449"/>
        <v>9561</v>
      </c>
      <c r="BS213" s="2">
        <f t="shared" si="510"/>
        <v>1731</v>
      </c>
      <c r="BT213" s="2">
        <f t="shared" si="516"/>
        <v>7830</v>
      </c>
      <c r="BU213" s="2">
        <f t="shared" si="511"/>
        <v>1418</v>
      </c>
      <c r="BV213" s="2">
        <f t="shared" si="517"/>
        <v>6412</v>
      </c>
      <c r="BW213" s="2">
        <f t="shared" si="511"/>
        <v>1161</v>
      </c>
      <c r="BX213" s="2">
        <f t="shared" si="518"/>
        <v>5251</v>
      </c>
      <c r="BY213" s="2">
        <f t="shared" si="511"/>
        <v>951</v>
      </c>
      <c r="BZ213" s="2">
        <f t="shared" si="519"/>
        <v>4300</v>
      </c>
      <c r="CA213" s="2">
        <f t="shared" si="511"/>
        <v>778</v>
      </c>
      <c r="CB213" s="2">
        <f t="shared" si="520"/>
        <v>3522</v>
      </c>
      <c r="CC213" s="2">
        <f t="shared" si="511"/>
        <v>638</v>
      </c>
      <c r="CD213" s="2">
        <f t="shared" si="521"/>
        <v>2884</v>
      </c>
      <c r="CE213" s="2">
        <f t="shared" si="511"/>
        <v>522</v>
      </c>
      <c r="CF213" s="2">
        <f t="shared" si="522"/>
        <v>2362</v>
      </c>
      <c r="CG213" s="2">
        <f t="shared" si="511"/>
        <v>428</v>
      </c>
      <c r="CH213" s="2">
        <f t="shared" si="523"/>
        <v>1934</v>
      </c>
      <c r="CI213" s="2">
        <f t="shared" si="511"/>
        <v>350</v>
      </c>
      <c r="CJ213" s="2">
        <f t="shared" si="524"/>
        <v>1584</v>
      </c>
      <c r="CK213" s="2">
        <f t="shared" si="511"/>
        <v>287</v>
      </c>
      <c r="CL213" s="2">
        <f t="shared" si="525"/>
        <v>1297</v>
      </c>
      <c r="CM213" s="2">
        <f t="shared" si="511"/>
        <v>235</v>
      </c>
      <c r="CN213" s="2">
        <f t="shared" si="526"/>
        <v>1062</v>
      </c>
      <c r="CO213" s="2">
        <f t="shared" si="511"/>
        <v>192</v>
      </c>
      <c r="CP213" s="2">
        <f t="shared" si="527"/>
        <v>870</v>
      </c>
      <c r="CQ213" s="317">
        <f t="shared" si="512"/>
        <v>73.5</v>
      </c>
      <c r="CR213" s="2">
        <f t="shared" si="528"/>
        <v>796.5</v>
      </c>
      <c r="CS213" s="2">
        <v>0</v>
      </c>
      <c r="CT213" s="2">
        <f t="shared" si="529"/>
        <v>796.5</v>
      </c>
      <c r="CU213" s="2">
        <v>0</v>
      </c>
      <c r="CV213" s="2">
        <f t="shared" si="530"/>
        <v>796.5</v>
      </c>
      <c r="CW213" s="2">
        <v>0</v>
      </c>
      <c r="CX213" s="2">
        <f t="shared" si="531"/>
        <v>796.5</v>
      </c>
      <c r="CY213" s="2">
        <v>0</v>
      </c>
      <c r="CZ213" s="2">
        <f t="shared" si="532"/>
        <v>796.5</v>
      </c>
      <c r="DA213" s="2">
        <v>0</v>
      </c>
      <c r="DB213" s="2">
        <f t="shared" si="533"/>
        <v>796.5</v>
      </c>
      <c r="DC213" s="2">
        <v>0</v>
      </c>
      <c r="DD213" s="2">
        <f t="shared" si="534"/>
        <v>796.5</v>
      </c>
      <c r="DE213" s="2">
        <v>0</v>
      </c>
      <c r="DF213" s="2">
        <f t="shared" si="483"/>
        <v>796.5</v>
      </c>
      <c r="DG213" s="2">
        <v>0</v>
      </c>
      <c r="DH213" s="2">
        <f t="shared" si="484"/>
        <v>796.5</v>
      </c>
      <c r="DI213" s="2">
        <v>0</v>
      </c>
      <c r="DJ213" s="2">
        <f t="shared" si="485"/>
        <v>796.5</v>
      </c>
      <c r="DK213" s="2">
        <v>0</v>
      </c>
      <c r="DL213" s="2">
        <f t="shared" si="486"/>
        <v>796.5</v>
      </c>
      <c r="DM213" s="2">
        <v>0</v>
      </c>
      <c r="DN213" s="2">
        <f t="shared" si="487"/>
        <v>796.5</v>
      </c>
      <c r="DO213" s="2">
        <v>0</v>
      </c>
      <c r="DP213" s="2">
        <f t="shared" si="488"/>
        <v>796.5</v>
      </c>
      <c r="DQ213" s="2">
        <v>0</v>
      </c>
      <c r="DR213" s="2">
        <f t="shared" si="489"/>
        <v>796.5</v>
      </c>
      <c r="DS213" s="2">
        <v>0</v>
      </c>
      <c r="DT213" s="2">
        <f t="shared" si="535"/>
        <v>796.5</v>
      </c>
      <c r="DU213" s="2">
        <v>0</v>
      </c>
      <c r="DV213" s="2">
        <f t="shared" si="536"/>
        <v>796.5</v>
      </c>
      <c r="DW213" s="266">
        <f t="shared" si="452"/>
        <v>796.5</v>
      </c>
      <c r="DX213" s="441">
        <f t="shared" si="453"/>
        <v>0</v>
      </c>
    </row>
    <row r="214" spans="1:128">
      <c r="A214" s="413">
        <v>55</v>
      </c>
      <c r="B214" s="537" t="s">
        <v>880</v>
      </c>
      <c r="C214" s="433" t="s">
        <v>518</v>
      </c>
      <c r="D214" s="468">
        <v>0.18099999999999999</v>
      </c>
      <c r="E214" s="469">
        <v>18880</v>
      </c>
      <c r="F214" s="470" t="s">
        <v>921</v>
      </c>
      <c r="G214" s="482">
        <v>43344</v>
      </c>
      <c r="H214" s="443">
        <f t="shared" si="504"/>
        <v>48822</v>
      </c>
      <c r="I214" s="267">
        <v>15</v>
      </c>
      <c r="J214" s="267">
        <f t="shared" si="505"/>
        <v>212</v>
      </c>
      <c r="K214" s="267">
        <f t="shared" si="513"/>
        <v>153</v>
      </c>
      <c r="L214" s="433"/>
      <c r="M214" s="433"/>
      <c r="N214" s="436"/>
      <c r="O214" s="436"/>
      <c r="P214" s="433"/>
      <c r="Q214" s="436"/>
      <c r="R214" s="436"/>
      <c r="S214" s="433"/>
      <c r="T214" s="436"/>
      <c r="U214" s="436"/>
      <c r="V214" s="433"/>
      <c r="W214" s="436"/>
      <c r="X214" s="436"/>
      <c r="Y214" s="433"/>
      <c r="Z214" s="436"/>
      <c r="AA214" s="436"/>
      <c r="AB214" s="433"/>
      <c r="AC214" s="436"/>
      <c r="AD214" s="436"/>
      <c r="AE214" s="436"/>
      <c r="AF214" s="436"/>
      <c r="AG214" s="436"/>
      <c r="AH214" s="436"/>
      <c r="AI214" s="439">
        <v>15</v>
      </c>
      <c r="AJ214" s="436">
        <f t="shared" si="503"/>
        <v>15</v>
      </c>
      <c r="AK214" s="440">
        <f t="shared" si="514"/>
        <v>0.18103627252208465</v>
      </c>
      <c r="AL214" s="2"/>
      <c r="AM214" s="433"/>
      <c r="AN214" s="436"/>
      <c r="AO214" s="436"/>
      <c r="AP214" s="436"/>
      <c r="AQ214" s="436"/>
      <c r="AR214" s="436"/>
      <c r="AS214" s="436"/>
      <c r="AT214" s="2"/>
      <c r="AU214" s="2"/>
      <c r="AV214" s="2"/>
      <c r="AW214" s="2"/>
      <c r="AX214" s="2"/>
      <c r="AY214" s="2"/>
      <c r="AZ214" s="433"/>
      <c r="BA214" s="2"/>
      <c r="BB214" s="2"/>
      <c r="BC214" s="2"/>
      <c r="BD214" s="2"/>
      <c r="BE214" s="2"/>
      <c r="BF214" s="433"/>
      <c r="BG214" s="2"/>
      <c r="BH214" s="2"/>
      <c r="BI214" s="2">
        <f t="shared" si="506"/>
        <v>1985</v>
      </c>
      <c r="BJ214" s="2">
        <f t="shared" si="507"/>
        <v>16895</v>
      </c>
      <c r="BK214" s="2">
        <f t="shared" si="508"/>
        <v>3059</v>
      </c>
      <c r="BL214" s="2">
        <f t="shared" si="446"/>
        <v>13836</v>
      </c>
      <c r="BM214" s="2"/>
      <c r="BN214" s="2">
        <f t="shared" si="447"/>
        <v>13836</v>
      </c>
      <c r="BO214" s="2">
        <f t="shared" si="509"/>
        <v>2505</v>
      </c>
      <c r="BP214" s="2">
        <f t="shared" si="515"/>
        <v>11331</v>
      </c>
      <c r="BQ214" s="2"/>
      <c r="BR214" s="2">
        <f t="shared" si="449"/>
        <v>11331</v>
      </c>
      <c r="BS214" s="2">
        <f t="shared" si="510"/>
        <v>2051</v>
      </c>
      <c r="BT214" s="2">
        <f t="shared" si="516"/>
        <v>9280</v>
      </c>
      <c r="BU214" s="2">
        <f t="shared" si="511"/>
        <v>1680</v>
      </c>
      <c r="BV214" s="2">
        <f t="shared" si="517"/>
        <v>7600</v>
      </c>
      <c r="BW214" s="2">
        <f t="shared" si="511"/>
        <v>1376</v>
      </c>
      <c r="BX214" s="2">
        <f t="shared" si="518"/>
        <v>6224</v>
      </c>
      <c r="BY214" s="2">
        <f t="shared" si="511"/>
        <v>1127</v>
      </c>
      <c r="BZ214" s="2">
        <f t="shared" si="519"/>
        <v>5097</v>
      </c>
      <c r="CA214" s="2">
        <f t="shared" si="511"/>
        <v>923</v>
      </c>
      <c r="CB214" s="2">
        <f t="shared" si="520"/>
        <v>4174</v>
      </c>
      <c r="CC214" s="2">
        <f t="shared" si="511"/>
        <v>756</v>
      </c>
      <c r="CD214" s="2">
        <f t="shared" si="521"/>
        <v>3418</v>
      </c>
      <c r="CE214" s="2">
        <f t="shared" si="511"/>
        <v>619</v>
      </c>
      <c r="CF214" s="2">
        <f t="shared" si="522"/>
        <v>2799</v>
      </c>
      <c r="CG214" s="2">
        <f t="shared" si="511"/>
        <v>507</v>
      </c>
      <c r="CH214" s="2">
        <f t="shared" si="523"/>
        <v>2292</v>
      </c>
      <c r="CI214" s="2">
        <f t="shared" si="511"/>
        <v>415</v>
      </c>
      <c r="CJ214" s="2">
        <f t="shared" si="524"/>
        <v>1877</v>
      </c>
      <c r="CK214" s="2">
        <f t="shared" si="511"/>
        <v>340</v>
      </c>
      <c r="CL214" s="2">
        <f t="shared" si="525"/>
        <v>1537</v>
      </c>
      <c r="CM214" s="2">
        <f t="shared" si="511"/>
        <v>278</v>
      </c>
      <c r="CN214" s="2">
        <f t="shared" si="526"/>
        <v>1259</v>
      </c>
      <c r="CO214" s="2">
        <f t="shared" si="511"/>
        <v>228</v>
      </c>
      <c r="CP214" s="2">
        <f t="shared" si="527"/>
        <v>1031</v>
      </c>
      <c r="CQ214" s="317">
        <f t="shared" si="512"/>
        <v>87</v>
      </c>
      <c r="CR214" s="2">
        <f t="shared" si="528"/>
        <v>944</v>
      </c>
      <c r="CS214" s="2">
        <v>0</v>
      </c>
      <c r="CT214" s="2">
        <f t="shared" si="529"/>
        <v>944</v>
      </c>
      <c r="CU214" s="2">
        <v>0</v>
      </c>
      <c r="CV214" s="2">
        <f t="shared" si="530"/>
        <v>944</v>
      </c>
      <c r="CW214" s="2">
        <v>0</v>
      </c>
      <c r="CX214" s="2">
        <f t="shared" si="531"/>
        <v>944</v>
      </c>
      <c r="CY214" s="2">
        <v>0</v>
      </c>
      <c r="CZ214" s="2">
        <f t="shared" si="532"/>
        <v>944</v>
      </c>
      <c r="DA214" s="2">
        <v>0</v>
      </c>
      <c r="DB214" s="2">
        <f t="shared" si="533"/>
        <v>944</v>
      </c>
      <c r="DC214" s="2">
        <v>0</v>
      </c>
      <c r="DD214" s="2">
        <f t="shared" si="534"/>
        <v>944</v>
      </c>
      <c r="DE214" s="2">
        <v>0</v>
      </c>
      <c r="DF214" s="2">
        <f t="shared" si="483"/>
        <v>944</v>
      </c>
      <c r="DG214" s="2">
        <v>0</v>
      </c>
      <c r="DH214" s="2">
        <f t="shared" si="484"/>
        <v>944</v>
      </c>
      <c r="DI214" s="2">
        <v>0</v>
      </c>
      <c r="DJ214" s="2">
        <f t="shared" si="485"/>
        <v>944</v>
      </c>
      <c r="DK214" s="2">
        <v>0</v>
      </c>
      <c r="DL214" s="2">
        <f t="shared" si="486"/>
        <v>944</v>
      </c>
      <c r="DM214" s="2">
        <v>0</v>
      </c>
      <c r="DN214" s="2">
        <f t="shared" si="487"/>
        <v>944</v>
      </c>
      <c r="DO214" s="2">
        <v>0</v>
      </c>
      <c r="DP214" s="2">
        <f t="shared" si="488"/>
        <v>944</v>
      </c>
      <c r="DQ214" s="2">
        <v>0</v>
      </c>
      <c r="DR214" s="2">
        <f t="shared" si="489"/>
        <v>944</v>
      </c>
      <c r="DS214" s="2">
        <v>0</v>
      </c>
      <c r="DT214" s="2">
        <f t="shared" si="535"/>
        <v>944</v>
      </c>
      <c r="DU214" s="2">
        <v>0</v>
      </c>
      <c r="DV214" s="2">
        <f t="shared" si="536"/>
        <v>944</v>
      </c>
      <c r="DW214" s="266">
        <f t="shared" si="452"/>
        <v>944</v>
      </c>
      <c r="DX214" s="441">
        <f t="shared" si="453"/>
        <v>0</v>
      </c>
    </row>
    <row r="215" spans="1:128">
      <c r="A215" s="413">
        <v>56</v>
      </c>
      <c r="B215" s="537" t="s">
        <v>539</v>
      </c>
      <c r="C215" s="433" t="s">
        <v>518</v>
      </c>
      <c r="D215" s="468">
        <v>0.18099999999999999</v>
      </c>
      <c r="E215" s="469">
        <v>29500</v>
      </c>
      <c r="F215" s="470" t="s">
        <v>921</v>
      </c>
      <c r="G215" s="481">
        <v>43252</v>
      </c>
      <c r="H215" s="443">
        <f t="shared" si="504"/>
        <v>48730</v>
      </c>
      <c r="I215" s="267">
        <v>15</v>
      </c>
      <c r="J215" s="267">
        <f t="shared" si="505"/>
        <v>304</v>
      </c>
      <c r="K215" s="267">
        <f t="shared" si="513"/>
        <v>61</v>
      </c>
      <c r="L215" s="433"/>
      <c r="M215" s="433"/>
      <c r="N215" s="436"/>
      <c r="O215" s="436"/>
      <c r="P215" s="433"/>
      <c r="Q215" s="436"/>
      <c r="R215" s="436"/>
      <c r="S215" s="433"/>
      <c r="T215" s="436"/>
      <c r="U215" s="436"/>
      <c r="V215" s="433"/>
      <c r="W215" s="436"/>
      <c r="X215" s="436"/>
      <c r="Y215" s="433"/>
      <c r="Z215" s="436"/>
      <c r="AA215" s="436"/>
      <c r="AB215" s="433"/>
      <c r="AC215" s="436"/>
      <c r="AD215" s="436"/>
      <c r="AE215" s="436"/>
      <c r="AF215" s="436"/>
      <c r="AG215" s="436"/>
      <c r="AH215" s="436"/>
      <c r="AI215" s="439">
        <v>15</v>
      </c>
      <c r="AJ215" s="436">
        <f t="shared" si="503"/>
        <v>15</v>
      </c>
      <c r="AK215" s="440">
        <f t="shared" si="514"/>
        <v>0.18103627252208465</v>
      </c>
      <c r="AL215" s="2"/>
      <c r="AM215" s="433"/>
      <c r="AN215" s="436"/>
      <c r="AO215" s="436"/>
      <c r="AP215" s="436"/>
      <c r="AQ215" s="436"/>
      <c r="AR215" s="436"/>
      <c r="AS215" s="436"/>
      <c r="AT215" s="2"/>
      <c r="AU215" s="2"/>
      <c r="AV215" s="2"/>
      <c r="AW215" s="2"/>
      <c r="AX215" s="2"/>
      <c r="AY215" s="2"/>
      <c r="AZ215" s="433"/>
      <c r="BA215" s="2"/>
      <c r="BB215" s="2"/>
      <c r="BC215" s="2"/>
      <c r="BD215" s="2"/>
      <c r="BE215" s="2"/>
      <c r="BF215" s="433"/>
      <c r="BG215" s="2"/>
      <c r="BH215" s="2"/>
      <c r="BI215" s="2">
        <f t="shared" si="506"/>
        <v>4448</v>
      </c>
      <c r="BJ215" s="2">
        <f t="shared" si="507"/>
        <v>25052</v>
      </c>
      <c r="BK215" s="2">
        <f t="shared" si="508"/>
        <v>4535</v>
      </c>
      <c r="BL215" s="2">
        <f t="shared" si="446"/>
        <v>20517</v>
      </c>
      <c r="BM215" s="2"/>
      <c r="BN215" s="2">
        <f t="shared" si="447"/>
        <v>20517</v>
      </c>
      <c r="BO215" s="2">
        <f t="shared" si="509"/>
        <v>3714</v>
      </c>
      <c r="BP215" s="2">
        <f t="shared" si="515"/>
        <v>16803</v>
      </c>
      <c r="BQ215" s="2"/>
      <c r="BR215" s="2">
        <f t="shared" si="449"/>
        <v>16803</v>
      </c>
      <c r="BS215" s="2">
        <f t="shared" si="510"/>
        <v>3042</v>
      </c>
      <c r="BT215" s="2">
        <f t="shared" si="516"/>
        <v>13761</v>
      </c>
      <c r="BU215" s="2">
        <f t="shared" si="511"/>
        <v>2491</v>
      </c>
      <c r="BV215" s="2">
        <f t="shared" si="517"/>
        <v>11270</v>
      </c>
      <c r="BW215" s="2">
        <f t="shared" si="511"/>
        <v>2040</v>
      </c>
      <c r="BX215" s="2">
        <f t="shared" si="518"/>
        <v>9230</v>
      </c>
      <c r="BY215" s="2">
        <f t="shared" si="511"/>
        <v>1671</v>
      </c>
      <c r="BZ215" s="2">
        <f t="shared" si="519"/>
        <v>7559</v>
      </c>
      <c r="CA215" s="2">
        <f t="shared" si="511"/>
        <v>1368</v>
      </c>
      <c r="CB215" s="2">
        <f t="shared" si="520"/>
        <v>6191</v>
      </c>
      <c r="CC215" s="2">
        <f t="shared" si="511"/>
        <v>1121</v>
      </c>
      <c r="CD215" s="2">
        <f t="shared" si="521"/>
        <v>5070</v>
      </c>
      <c r="CE215" s="2">
        <f t="shared" si="511"/>
        <v>918</v>
      </c>
      <c r="CF215" s="2">
        <f t="shared" si="522"/>
        <v>4152</v>
      </c>
      <c r="CG215" s="2">
        <f t="shared" si="511"/>
        <v>752</v>
      </c>
      <c r="CH215" s="2">
        <f t="shared" si="523"/>
        <v>3400</v>
      </c>
      <c r="CI215" s="2">
        <f t="shared" si="511"/>
        <v>616</v>
      </c>
      <c r="CJ215" s="2">
        <f t="shared" si="524"/>
        <v>2784</v>
      </c>
      <c r="CK215" s="2">
        <f t="shared" si="511"/>
        <v>504</v>
      </c>
      <c r="CL215" s="2">
        <f t="shared" si="525"/>
        <v>2280</v>
      </c>
      <c r="CM215" s="2">
        <f t="shared" si="511"/>
        <v>413</v>
      </c>
      <c r="CN215" s="2">
        <f t="shared" si="526"/>
        <v>1867</v>
      </c>
      <c r="CO215" s="2">
        <f t="shared" si="511"/>
        <v>338</v>
      </c>
      <c r="CP215" s="2">
        <f t="shared" si="527"/>
        <v>1529</v>
      </c>
      <c r="CQ215" s="317">
        <f t="shared" si="512"/>
        <v>54.000000000000021</v>
      </c>
      <c r="CR215" s="2">
        <f t="shared" si="528"/>
        <v>1475</v>
      </c>
      <c r="CS215" s="2">
        <v>0</v>
      </c>
      <c r="CT215" s="2">
        <f t="shared" si="529"/>
        <v>1475</v>
      </c>
      <c r="CU215" s="2">
        <v>0</v>
      </c>
      <c r="CV215" s="2">
        <f t="shared" si="530"/>
        <v>1475</v>
      </c>
      <c r="CW215" s="2">
        <v>0</v>
      </c>
      <c r="CX215" s="2">
        <f t="shared" si="531"/>
        <v>1475</v>
      </c>
      <c r="CY215" s="2">
        <v>0</v>
      </c>
      <c r="CZ215" s="2">
        <f t="shared" si="532"/>
        <v>1475</v>
      </c>
      <c r="DA215" s="2">
        <v>0</v>
      </c>
      <c r="DB215" s="2">
        <f t="shared" si="533"/>
        <v>1475</v>
      </c>
      <c r="DC215" s="2">
        <v>0</v>
      </c>
      <c r="DD215" s="2">
        <f t="shared" si="534"/>
        <v>1475</v>
      </c>
      <c r="DE215" s="2">
        <v>0</v>
      </c>
      <c r="DF215" s="2">
        <f t="shared" si="483"/>
        <v>1475</v>
      </c>
      <c r="DG215" s="2">
        <v>0</v>
      </c>
      <c r="DH215" s="2">
        <f t="shared" si="484"/>
        <v>1475</v>
      </c>
      <c r="DI215" s="2">
        <v>0</v>
      </c>
      <c r="DJ215" s="2">
        <f t="shared" si="485"/>
        <v>1475</v>
      </c>
      <c r="DK215" s="2">
        <v>0</v>
      </c>
      <c r="DL215" s="2">
        <f t="shared" si="486"/>
        <v>1475</v>
      </c>
      <c r="DM215" s="2">
        <v>0</v>
      </c>
      <c r="DN215" s="2">
        <f t="shared" si="487"/>
        <v>1475</v>
      </c>
      <c r="DO215" s="2">
        <v>0</v>
      </c>
      <c r="DP215" s="2">
        <f t="shared" si="488"/>
        <v>1475</v>
      </c>
      <c r="DQ215" s="2">
        <v>0</v>
      </c>
      <c r="DR215" s="2">
        <f t="shared" si="489"/>
        <v>1475</v>
      </c>
      <c r="DS215" s="2">
        <v>0</v>
      </c>
      <c r="DT215" s="2">
        <f t="shared" si="535"/>
        <v>1475</v>
      </c>
      <c r="DU215" s="2">
        <v>0</v>
      </c>
      <c r="DV215" s="2">
        <f t="shared" si="536"/>
        <v>1475</v>
      </c>
      <c r="DW215" s="266">
        <f t="shared" si="452"/>
        <v>1475</v>
      </c>
      <c r="DX215" s="441">
        <f t="shared" si="453"/>
        <v>0</v>
      </c>
    </row>
    <row r="216" spans="1:128">
      <c r="A216" s="413">
        <v>57</v>
      </c>
      <c r="B216" s="537" t="s">
        <v>881</v>
      </c>
      <c r="C216" s="433" t="s">
        <v>518</v>
      </c>
      <c r="D216" s="468">
        <v>0.18099999999999999</v>
      </c>
      <c r="E216" s="469">
        <v>6878220</v>
      </c>
      <c r="F216" s="470" t="s">
        <v>921</v>
      </c>
      <c r="G216" s="481">
        <v>43282</v>
      </c>
      <c r="H216" s="443">
        <f t="shared" si="504"/>
        <v>48760</v>
      </c>
      <c r="I216" s="267">
        <v>15</v>
      </c>
      <c r="J216" s="267">
        <f t="shared" si="505"/>
        <v>274</v>
      </c>
      <c r="K216" s="267">
        <f t="shared" si="513"/>
        <v>91</v>
      </c>
      <c r="L216" s="433"/>
      <c r="M216" s="433"/>
      <c r="N216" s="436"/>
      <c r="O216" s="436"/>
      <c r="P216" s="433"/>
      <c r="Q216" s="436"/>
      <c r="R216" s="436"/>
      <c r="S216" s="433"/>
      <c r="T216" s="436"/>
      <c r="U216" s="436"/>
      <c r="V216" s="433"/>
      <c r="W216" s="436"/>
      <c r="X216" s="436"/>
      <c r="Y216" s="433"/>
      <c r="Z216" s="436"/>
      <c r="AA216" s="436"/>
      <c r="AB216" s="433"/>
      <c r="AC216" s="436"/>
      <c r="AD216" s="436"/>
      <c r="AE216" s="436"/>
      <c r="AF216" s="436"/>
      <c r="AG216" s="436"/>
      <c r="AH216" s="436"/>
      <c r="AI216" s="439">
        <v>15</v>
      </c>
      <c r="AJ216" s="436">
        <f t="shared" si="503"/>
        <v>15</v>
      </c>
      <c r="AK216" s="440">
        <f t="shared" si="514"/>
        <v>0.18103627252208465</v>
      </c>
      <c r="AL216" s="2"/>
      <c r="AM216" s="433"/>
      <c r="AN216" s="436"/>
      <c r="AO216" s="436"/>
      <c r="AP216" s="436"/>
      <c r="AQ216" s="436"/>
      <c r="AR216" s="436"/>
      <c r="AS216" s="436"/>
      <c r="AT216" s="2"/>
      <c r="AU216" s="2"/>
      <c r="AV216" s="2"/>
      <c r="AW216" s="2"/>
      <c r="AX216" s="2"/>
      <c r="AY216" s="2"/>
      <c r="AZ216" s="433"/>
      <c r="BA216" s="2"/>
      <c r="BB216" s="2"/>
      <c r="BC216" s="2"/>
      <c r="BD216" s="2"/>
      <c r="BE216" s="2"/>
      <c r="BF216" s="433"/>
      <c r="BG216" s="2"/>
      <c r="BH216" s="2"/>
      <c r="BI216" s="2">
        <f t="shared" si="506"/>
        <v>934758</v>
      </c>
      <c r="BJ216" s="2">
        <f t="shared" si="507"/>
        <v>5943462</v>
      </c>
      <c r="BK216" s="2">
        <f t="shared" si="508"/>
        <v>1075982</v>
      </c>
      <c r="BL216" s="2">
        <f t="shared" si="446"/>
        <v>4867480</v>
      </c>
      <c r="BM216" s="2"/>
      <c r="BN216" s="2">
        <f t="shared" si="447"/>
        <v>4867480</v>
      </c>
      <c r="BO216" s="2">
        <f t="shared" si="509"/>
        <v>881190</v>
      </c>
      <c r="BP216" s="2">
        <f t="shared" si="515"/>
        <v>3986290</v>
      </c>
      <c r="BQ216" s="2"/>
      <c r="BR216" s="2">
        <f t="shared" si="449"/>
        <v>3986290</v>
      </c>
      <c r="BS216" s="2">
        <f t="shared" si="510"/>
        <v>721663</v>
      </c>
      <c r="BT216" s="2">
        <f t="shared" si="516"/>
        <v>3264627</v>
      </c>
      <c r="BU216" s="2">
        <f t="shared" si="511"/>
        <v>591016</v>
      </c>
      <c r="BV216" s="2">
        <f t="shared" si="517"/>
        <v>2673611</v>
      </c>
      <c r="BW216" s="2">
        <f t="shared" si="511"/>
        <v>484021</v>
      </c>
      <c r="BX216" s="2">
        <f t="shared" si="518"/>
        <v>2189590</v>
      </c>
      <c r="BY216" s="2">
        <f t="shared" si="511"/>
        <v>396395</v>
      </c>
      <c r="BZ216" s="2">
        <f t="shared" si="519"/>
        <v>1793195</v>
      </c>
      <c r="CA216" s="2">
        <f t="shared" si="511"/>
        <v>324633</v>
      </c>
      <c r="CB216" s="2">
        <f t="shared" si="520"/>
        <v>1468562</v>
      </c>
      <c r="CC216" s="2">
        <f t="shared" si="511"/>
        <v>265863</v>
      </c>
      <c r="CD216" s="2">
        <f t="shared" si="521"/>
        <v>1202699</v>
      </c>
      <c r="CE216" s="2">
        <f t="shared" si="511"/>
        <v>217732</v>
      </c>
      <c r="CF216" s="2">
        <f t="shared" si="522"/>
        <v>984967</v>
      </c>
      <c r="CG216" s="2">
        <f t="shared" si="511"/>
        <v>178315</v>
      </c>
      <c r="CH216" s="2">
        <f t="shared" si="523"/>
        <v>806652</v>
      </c>
      <c r="CI216" s="2">
        <f t="shared" si="511"/>
        <v>146033</v>
      </c>
      <c r="CJ216" s="2">
        <f t="shared" si="524"/>
        <v>660619</v>
      </c>
      <c r="CK216" s="2">
        <f t="shared" si="511"/>
        <v>119596</v>
      </c>
      <c r="CL216" s="2">
        <f t="shared" si="525"/>
        <v>541023</v>
      </c>
      <c r="CM216" s="2">
        <f t="shared" si="511"/>
        <v>97945</v>
      </c>
      <c r="CN216" s="2">
        <f t="shared" si="526"/>
        <v>443078</v>
      </c>
      <c r="CO216" s="2">
        <f t="shared" si="511"/>
        <v>80213</v>
      </c>
      <c r="CP216" s="2">
        <f t="shared" si="527"/>
        <v>362865</v>
      </c>
      <c r="CQ216" s="317">
        <f t="shared" si="512"/>
        <v>18954</v>
      </c>
      <c r="CR216" s="2">
        <f t="shared" si="528"/>
        <v>343911</v>
      </c>
      <c r="CS216" s="2">
        <v>0</v>
      </c>
      <c r="CT216" s="2">
        <f t="shared" si="529"/>
        <v>343911</v>
      </c>
      <c r="CU216" s="2">
        <v>0</v>
      </c>
      <c r="CV216" s="2">
        <f t="shared" si="530"/>
        <v>343911</v>
      </c>
      <c r="CW216" s="2">
        <v>0</v>
      </c>
      <c r="CX216" s="2">
        <f t="shared" si="531"/>
        <v>343911</v>
      </c>
      <c r="CY216" s="2">
        <v>0</v>
      </c>
      <c r="CZ216" s="2">
        <f t="shared" si="532"/>
        <v>343911</v>
      </c>
      <c r="DA216" s="2">
        <v>0</v>
      </c>
      <c r="DB216" s="2">
        <f t="shared" si="533"/>
        <v>343911</v>
      </c>
      <c r="DC216" s="2">
        <v>0</v>
      </c>
      <c r="DD216" s="2">
        <f t="shared" si="534"/>
        <v>343911</v>
      </c>
      <c r="DE216" s="2">
        <v>0</v>
      </c>
      <c r="DF216" s="2">
        <f t="shared" si="483"/>
        <v>343911</v>
      </c>
      <c r="DG216" s="2">
        <v>0</v>
      </c>
      <c r="DH216" s="2">
        <f t="shared" si="484"/>
        <v>343911</v>
      </c>
      <c r="DI216" s="2">
        <v>0</v>
      </c>
      <c r="DJ216" s="2">
        <f t="shared" si="485"/>
        <v>343911</v>
      </c>
      <c r="DK216" s="2">
        <v>0</v>
      </c>
      <c r="DL216" s="2">
        <f t="shared" si="486"/>
        <v>343911</v>
      </c>
      <c r="DM216" s="2">
        <v>0</v>
      </c>
      <c r="DN216" s="2">
        <f t="shared" si="487"/>
        <v>343911</v>
      </c>
      <c r="DO216" s="2">
        <v>0</v>
      </c>
      <c r="DP216" s="2">
        <f t="shared" si="488"/>
        <v>343911</v>
      </c>
      <c r="DQ216" s="2">
        <v>0</v>
      </c>
      <c r="DR216" s="2">
        <f t="shared" si="489"/>
        <v>343911</v>
      </c>
      <c r="DS216" s="2">
        <v>0</v>
      </c>
      <c r="DT216" s="2">
        <f t="shared" si="535"/>
        <v>343911</v>
      </c>
      <c r="DU216" s="2">
        <v>0</v>
      </c>
      <c r="DV216" s="2">
        <f t="shared" si="536"/>
        <v>343911</v>
      </c>
      <c r="DW216" s="266">
        <f t="shared" si="452"/>
        <v>343911</v>
      </c>
      <c r="DX216" s="441">
        <f t="shared" si="453"/>
        <v>0</v>
      </c>
    </row>
    <row r="217" spans="1:128">
      <c r="A217" s="413">
        <v>58</v>
      </c>
      <c r="B217" s="537" t="s">
        <v>882</v>
      </c>
      <c r="C217" s="433" t="s">
        <v>518</v>
      </c>
      <c r="D217" s="468">
        <v>0.18099999999999999</v>
      </c>
      <c r="E217" s="469">
        <v>160200</v>
      </c>
      <c r="F217" s="470" t="s">
        <v>921</v>
      </c>
      <c r="G217" s="481">
        <v>43282</v>
      </c>
      <c r="H217" s="443">
        <f t="shared" si="504"/>
        <v>48760</v>
      </c>
      <c r="I217" s="267">
        <v>15</v>
      </c>
      <c r="J217" s="267">
        <f t="shared" si="505"/>
        <v>274</v>
      </c>
      <c r="K217" s="267">
        <f t="shared" si="513"/>
        <v>91</v>
      </c>
      <c r="L217" s="433"/>
      <c r="M217" s="433"/>
      <c r="N217" s="436"/>
      <c r="O217" s="436"/>
      <c r="P217" s="433"/>
      <c r="Q217" s="436"/>
      <c r="R217" s="436"/>
      <c r="S217" s="433"/>
      <c r="T217" s="436"/>
      <c r="U217" s="436"/>
      <c r="V217" s="433"/>
      <c r="W217" s="436"/>
      <c r="X217" s="436"/>
      <c r="Y217" s="433"/>
      <c r="Z217" s="436"/>
      <c r="AA217" s="436"/>
      <c r="AB217" s="433"/>
      <c r="AC217" s="436"/>
      <c r="AD217" s="436"/>
      <c r="AE217" s="436"/>
      <c r="AF217" s="436"/>
      <c r="AG217" s="436"/>
      <c r="AH217" s="436"/>
      <c r="AI217" s="439">
        <v>15</v>
      </c>
      <c r="AJ217" s="436">
        <f t="shared" si="503"/>
        <v>15</v>
      </c>
      <c r="AK217" s="440">
        <f t="shared" si="514"/>
        <v>0.18103627252208465</v>
      </c>
      <c r="AL217" s="2"/>
      <c r="AM217" s="433"/>
      <c r="AN217" s="436"/>
      <c r="AO217" s="436"/>
      <c r="AP217" s="436"/>
      <c r="AQ217" s="436"/>
      <c r="AR217" s="436"/>
      <c r="AS217" s="436"/>
      <c r="AT217" s="2"/>
      <c r="AU217" s="2"/>
      <c r="AV217" s="2"/>
      <c r="AW217" s="2"/>
      <c r="AX217" s="2"/>
      <c r="AY217" s="2"/>
      <c r="AZ217" s="433"/>
      <c r="BA217" s="2"/>
      <c r="BB217" s="2"/>
      <c r="BC217" s="2"/>
      <c r="BD217" s="2"/>
      <c r="BE217" s="2"/>
      <c r="BF217" s="433"/>
      <c r="BG217" s="2"/>
      <c r="BH217" s="2"/>
      <c r="BI217" s="2">
        <f t="shared" si="506"/>
        <v>21771</v>
      </c>
      <c r="BJ217" s="2">
        <f t="shared" si="507"/>
        <v>138429</v>
      </c>
      <c r="BK217" s="2">
        <f t="shared" si="508"/>
        <v>25061</v>
      </c>
      <c r="BL217" s="2">
        <f t="shared" si="446"/>
        <v>113368</v>
      </c>
      <c r="BM217" s="2"/>
      <c r="BN217" s="2">
        <f t="shared" si="447"/>
        <v>113368</v>
      </c>
      <c r="BO217" s="2">
        <f t="shared" si="509"/>
        <v>20524</v>
      </c>
      <c r="BP217" s="2">
        <f t="shared" si="515"/>
        <v>92844</v>
      </c>
      <c r="BQ217" s="2"/>
      <c r="BR217" s="2">
        <f t="shared" si="449"/>
        <v>92844</v>
      </c>
      <c r="BS217" s="2">
        <f t="shared" si="510"/>
        <v>16808</v>
      </c>
      <c r="BT217" s="2">
        <f t="shared" si="516"/>
        <v>76036</v>
      </c>
      <c r="BU217" s="2">
        <f t="shared" si="511"/>
        <v>13765</v>
      </c>
      <c r="BV217" s="2">
        <f t="shared" si="517"/>
        <v>62271</v>
      </c>
      <c r="BW217" s="2">
        <f t="shared" si="511"/>
        <v>11273</v>
      </c>
      <c r="BX217" s="2">
        <f t="shared" si="518"/>
        <v>50998</v>
      </c>
      <c r="BY217" s="2">
        <f t="shared" si="511"/>
        <v>9232</v>
      </c>
      <c r="BZ217" s="2">
        <f t="shared" si="519"/>
        <v>41766</v>
      </c>
      <c r="CA217" s="2">
        <f t="shared" si="511"/>
        <v>7561</v>
      </c>
      <c r="CB217" s="2">
        <f t="shared" si="520"/>
        <v>34205</v>
      </c>
      <c r="CC217" s="2">
        <f t="shared" si="511"/>
        <v>6192</v>
      </c>
      <c r="CD217" s="2">
        <f t="shared" si="521"/>
        <v>28013</v>
      </c>
      <c r="CE217" s="2">
        <f t="shared" si="511"/>
        <v>5071</v>
      </c>
      <c r="CF217" s="2">
        <f t="shared" si="522"/>
        <v>22942</v>
      </c>
      <c r="CG217" s="2">
        <f t="shared" si="511"/>
        <v>4153</v>
      </c>
      <c r="CH217" s="2">
        <f t="shared" si="523"/>
        <v>18789</v>
      </c>
      <c r="CI217" s="2">
        <f t="shared" si="511"/>
        <v>3401</v>
      </c>
      <c r="CJ217" s="2">
        <f t="shared" si="524"/>
        <v>15388</v>
      </c>
      <c r="CK217" s="2">
        <f t="shared" si="511"/>
        <v>2786</v>
      </c>
      <c r="CL217" s="2">
        <f t="shared" si="525"/>
        <v>12602</v>
      </c>
      <c r="CM217" s="2">
        <f t="shared" si="511"/>
        <v>2281</v>
      </c>
      <c r="CN217" s="2">
        <f t="shared" si="526"/>
        <v>10321</v>
      </c>
      <c r="CO217" s="2">
        <f t="shared" si="511"/>
        <v>1868</v>
      </c>
      <c r="CP217" s="2">
        <f t="shared" si="527"/>
        <v>8453</v>
      </c>
      <c r="CQ217" s="317">
        <f t="shared" si="512"/>
        <v>442.99999999999977</v>
      </c>
      <c r="CR217" s="2">
        <f t="shared" si="528"/>
        <v>8010</v>
      </c>
      <c r="CS217" s="2">
        <v>0</v>
      </c>
      <c r="CT217" s="2">
        <f t="shared" si="529"/>
        <v>8010</v>
      </c>
      <c r="CU217" s="2">
        <v>0</v>
      </c>
      <c r="CV217" s="2">
        <f t="shared" si="530"/>
        <v>8010</v>
      </c>
      <c r="CW217" s="2">
        <v>0</v>
      </c>
      <c r="CX217" s="2">
        <f t="shared" si="531"/>
        <v>8010</v>
      </c>
      <c r="CY217" s="2">
        <v>0</v>
      </c>
      <c r="CZ217" s="2">
        <f t="shared" si="532"/>
        <v>8010</v>
      </c>
      <c r="DA217" s="2">
        <v>0</v>
      </c>
      <c r="DB217" s="2">
        <f t="shared" si="533"/>
        <v>8010</v>
      </c>
      <c r="DC217" s="2">
        <v>0</v>
      </c>
      <c r="DD217" s="2">
        <f t="shared" si="534"/>
        <v>8010</v>
      </c>
      <c r="DE217" s="2">
        <v>0</v>
      </c>
      <c r="DF217" s="2">
        <f t="shared" si="483"/>
        <v>8010</v>
      </c>
      <c r="DG217" s="2">
        <v>0</v>
      </c>
      <c r="DH217" s="2">
        <f t="shared" si="484"/>
        <v>8010</v>
      </c>
      <c r="DI217" s="2">
        <v>0</v>
      </c>
      <c r="DJ217" s="2">
        <f t="shared" si="485"/>
        <v>8010</v>
      </c>
      <c r="DK217" s="2">
        <v>0</v>
      </c>
      <c r="DL217" s="2">
        <f t="shared" si="486"/>
        <v>8010</v>
      </c>
      <c r="DM217" s="2">
        <v>0</v>
      </c>
      <c r="DN217" s="2">
        <f t="shared" si="487"/>
        <v>8010</v>
      </c>
      <c r="DO217" s="2">
        <v>0</v>
      </c>
      <c r="DP217" s="2">
        <f t="shared" si="488"/>
        <v>8010</v>
      </c>
      <c r="DQ217" s="2">
        <v>0</v>
      </c>
      <c r="DR217" s="2">
        <f t="shared" si="489"/>
        <v>8010</v>
      </c>
      <c r="DS217" s="2">
        <v>0</v>
      </c>
      <c r="DT217" s="2">
        <f t="shared" si="535"/>
        <v>8010</v>
      </c>
      <c r="DU217" s="2">
        <v>0</v>
      </c>
      <c r="DV217" s="2">
        <f t="shared" si="536"/>
        <v>8010</v>
      </c>
      <c r="DW217" s="266">
        <f t="shared" si="452"/>
        <v>8010</v>
      </c>
      <c r="DX217" s="441">
        <f t="shared" si="453"/>
        <v>0</v>
      </c>
    </row>
    <row r="218" spans="1:128">
      <c r="A218" s="413">
        <v>59</v>
      </c>
      <c r="B218" s="537" t="s">
        <v>882</v>
      </c>
      <c r="C218" s="433" t="s">
        <v>518</v>
      </c>
      <c r="D218" s="468">
        <v>0.18099999999999999</v>
      </c>
      <c r="E218" s="469">
        <v>235000</v>
      </c>
      <c r="F218" s="470" t="s">
        <v>921</v>
      </c>
      <c r="G218" s="481">
        <v>43282</v>
      </c>
      <c r="H218" s="443">
        <f t="shared" si="504"/>
        <v>48760</v>
      </c>
      <c r="I218" s="267">
        <v>15</v>
      </c>
      <c r="J218" s="267">
        <f t="shared" si="505"/>
        <v>274</v>
      </c>
      <c r="K218" s="267">
        <f t="shared" si="513"/>
        <v>91</v>
      </c>
      <c r="L218" s="433"/>
      <c r="M218" s="433"/>
      <c r="N218" s="436"/>
      <c r="O218" s="436"/>
      <c r="P218" s="433"/>
      <c r="Q218" s="436"/>
      <c r="R218" s="436"/>
      <c r="S218" s="433"/>
      <c r="T218" s="436"/>
      <c r="U218" s="436"/>
      <c r="V218" s="433"/>
      <c r="W218" s="436"/>
      <c r="X218" s="436"/>
      <c r="Y218" s="433"/>
      <c r="Z218" s="436"/>
      <c r="AA218" s="436"/>
      <c r="AB218" s="433"/>
      <c r="AC218" s="436"/>
      <c r="AD218" s="436"/>
      <c r="AE218" s="436"/>
      <c r="AF218" s="436"/>
      <c r="AG218" s="436"/>
      <c r="AH218" s="436"/>
      <c r="AI218" s="439">
        <v>15</v>
      </c>
      <c r="AJ218" s="436">
        <f t="shared" si="503"/>
        <v>15</v>
      </c>
      <c r="AK218" s="440">
        <f t="shared" si="514"/>
        <v>0.18103627252208465</v>
      </c>
      <c r="AL218" s="2"/>
      <c r="AM218" s="433"/>
      <c r="AN218" s="436"/>
      <c r="AO218" s="436"/>
      <c r="AP218" s="436"/>
      <c r="AQ218" s="436"/>
      <c r="AR218" s="436"/>
      <c r="AS218" s="436"/>
      <c r="AT218" s="2"/>
      <c r="AU218" s="2"/>
      <c r="AV218" s="2"/>
      <c r="AW218" s="2"/>
      <c r="AX218" s="2"/>
      <c r="AY218" s="2"/>
      <c r="AZ218" s="433"/>
      <c r="BA218" s="2"/>
      <c r="BB218" s="2"/>
      <c r="BC218" s="2"/>
      <c r="BD218" s="2"/>
      <c r="BE218" s="2"/>
      <c r="BF218" s="433"/>
      <c r="BG218" s="2"/>
      <c r="BH218" s="2"/>
      <c r="BI218" s="2">
        <f t="shared" si="506"/>
        <v>31937</v>
      </c>
      <c r="BJ218" s="2">
        <f t="shared" si="507"/>
        <v>203063</v>
      </c>
      <c r="BK218" s="2">
        <f t="shared" si="508"/>
        <v>36762</v>
      </c>
      <c r="BL218" s="2">
        <f t="shared" si="446"/>
        <v>166301</v>
      </c>
      <c r="BM218" s="2"/>
      <c r="BN218" s="2">
        <f t="shared" si="447"/>
        <v>166301</v>
      </c>
      <c r="BO218" s="2">
        <f t="shared" ref="BO218:BO281" si="537">ROUND(+BL218*$AK218,0)</f>
        <v>30107</v>
      </c>
      <c r="BP218" s="2">
        <f t="shared" si="515"/>
        <v>136194</v>
      </c>
      <c r="BQ218" s="2"/>
      <c r="BR218" s="2">
        <f t="shared" si="449"/>
        <v>136194</v>
      </c>
      <c r="BS218" s="2">
        <f t="shared" ref="BS218:BS281" si="538">ROUND(+BP218*$AK218,0)</f>
        <v>24656</v>
      </c>
      <c r="BT218" s="2">
        <f t="shared" si="516"/>
        <v>111538</v>
      </c>
      <c r="BU218" s="2">
        <f t="shared" ref="BU218:BU281" si="539">ROUND(+BT218*$AK218,0)</f>
        <v>20192</v>
      </c>
      <c r="BV218" s="2">
        <f t="shared" si="517"/>
        <v>91346</v>
      </c>
      <c r="BW218" s="2">
        <f t="shared" ref="BW218:BW281" si="540">ROUND(+BV218*$AK218,0)</f>
        <v>16537</v>
      </c>
      <c r="BX218" s="2">
        <f t="shared" si="518"/>
        <v>74809</v>
      </c>
      <c r="BY218" s="2">
        <f t="shared" ref="BY218:BY281" si="541">ROUND(+BX218*$AK218,0)</f>
        <v>13543</v>
      </c>
      <c r="BZ218" s="2">
        <f t="shared" si="519"/>
        <v>61266</v>
      </c>
      <c r="CA218" s="2">
        <f t="shared" ref="CA218:CA281" si="542">ROUND(+BZ218*$AK218,0)</f>
        <v>11091</v>
      </c>
      <c r="CB218" s="2">
        <f t="shared" si="520"/>
        <v>50175</v>
      </c>
      <c r="CC218" s="2">
        <f t="shared" ref="CC218:CC281" si="543">ROUND(+CB218*$AK218,0)</f>
        <v>9083</v>
      </c>
      <c r="CD218" s="2">
        <f t="shared" si="521"/>
        <v>41092</v>
      </c>
      <c r="CE218" s="2">
        <f t="shared" ref="CE218:CE281" si="544">ROUND(+CD218*$AK218,0)</f>
        <v>7439</v>
      </c>
      <c r="CF218" s="2">
        <f t="shared" si="522"/>
        <v>33653</v>
      </c>
      <c r="CG218" s="2">
        <f t="shared" ref="CG218:CG281" si="545">ROUND(+CF218*$AK218,0)</f>
        <v>6092</v>
      </c>
      <c r="CH218" s="2">
        <f t="shared" si="523"/>
        <v>27561</v>
      </c>
      <c r="CI218" s="2">
        <f t="shared" ref="CI218:CI281" si="546">ROUND(+CH218*$AK218,0)</f>
        <v>4990</v>
      </c>
      <c r="CJ218" s="2">
        <f t="shared" si="524"/>
        <v>22571</v>
      </c>
      <c r="CK218" s="2">
        <f t="shared" ref="CK218:CK281" si="547">ROUND(+CJ218*$AK218,0)</f>
        <v>4086</v>
      </c>
      <c r="CL218" s="2">
        <f t="shared" si="525"/>
        <v>18485</v>
      </c>
      <c r="CM218" s="2">
        <f t="shared" ref="CM218:CM281" si="548">ROUND(+CL218*$AK218,0)</f>
        <v>3346</v>
      </c>
      <c r="CN218" s="2">
        <f t="shared" si="526"/>
        <v>15139</v>
      </c>
      <c r="CO218" s="2">
        <f t="shared" ref="CO218:CO281" si="549">ROUND(+CN218*$AK218,0)</f>
        <v>2741</v>
      </c>
      <c r="CP218" s="2">
        <f t="shared" si="527"/>
        <v>12398</v>
      </c>
      <c r="CQ218" s="317">
        <f t="shared" si="512"/>
        <v>648.00000000000045</v>
      </c>
      <c r="CR218" s="2">
        <f t="shared" si="528"/>
        <v>11750</v>
      </c>
      <c r="CS218" s="2">
        <v>0</v>
      </c>
      <c r="CT218" s="2">
        <f t="shared" si="529"/>
        <v>11750</v>
      </c>
      <c r="CU218" s="2">
        <v>0</v>
      </c>
      <c r="CV218" s="2">
        <f t="shared" si="530"/>
        <v>11750</v>
      </c>
      <c r="CW218" s="2">
        <v>0</v>
      </c>
      <c r="CX218" s="2">
        <f t="shared" si="531"/>
        <v>11750</v>
      </c>
      <c r="CY218" s="2">
        <v>0</v>
      </c>
      <c r="CZ218" s="2">
        <f t="shared" si="532"/>
        <v>11750</v>
      </c>
      <c r="DA218" s="2">
        <v>0</v>
      </c>
      <c r="DB218" s="2">
        <f t="shared" si="533"/>
        <v>11750</v>
      </c>
      <c r="DC218" s="2">
        <v>0</v>
      </c>
      <c r="DD218" s="2">
        <f t="shared" si="534"/>
        <v>11750</v>
      </c>
      <c r="DE218" s="2">
        <v>0</v>
      </c>
      <c r="DF218" s="2">
        <f t="shared" si="483"/>
        <v>11750</v>
      </c>
      <c r="DG218" s="2">
        <v>0</v>
      </c>
      <c r="DH218" s="2">
        <f t="shared" si="484"/>
        <v>11750</v>
      </c>
      <c r="DI218" s="2">
        <v>0</v>
      </c>
      <c r="DJ218" s="2">
        <f t="shared" si="485"/>
        <v>11750</v>
      </c>
      <c r="DK218" s="2">
        <v>0</v>
      </c>
      <c r="DL218" s="2">
        <f t="shared" si="486"/>
        <v>11750</v>
      </c>
      <c r="DM218" s="2">
        <v>0</v>
      </c>
      <c r="DN218" s="2">
        <f t="shared" si="487"/>
        <v>11750</v>
      </c>
      <c r="DO218" s="2">
        <v>0</v>
      </c>
      <c r="DP218" s="2">
        <f t="shared" si="488"/>
        <v>11750</v>
      </c>
      <c r="DQ218" s="2">
        <v>0</v>
      </c>
      <c r="DR218" s="2">
        <f t="shared" si="489"/>
        <v>11750</v>
      </c>
      <c r="DS218" s="2">
        <v>0</v>
      </c>
      <c r="DT218" s="2">
        <f t="shared" si="535"/>
        <v>11750</v>
      </c>
      <c r="DU218" s="2">
        <v>0</v>
      </c>
      <c r="DV218" s="2">
        <f t="shared" si="536"/>
        <v>11750</v>
      </c>
      <c r="DW218" s="266">
        <f t="shared" si="452"/>
        <v>11750</v>
      </c>
      <c r="DX218" s="441">
        <f t="shared" si="453"/>
        <v>0</v>
      </c>
    </row>
    <row r="219" spans="1:128">
      <c r="A219" s="413">
        <v>60</v>
      </c>
      <c r="B219" s="537" t="s">
        <v>883</v>
      </c>
      <c r="C219" s="433" t="s">
        <v>518</v>
      </c>
      <c r="D219" s="468">
        <v>0.18099999999999999</v>
      </c>
      <c r="E219" s="469">
        <v>24780</v>
      </c>
      <c r="F219" s="470" t="s">
        <v>921</v>
      </c>
      <c r="G219" s="481">
        <v>43252</v>
      </c>
      <c r="H219" s="443">
        <f t="shared" si="504"/>
        <v>48730</v>
      </c>
      <c r="I219" s="267">
        <v>15</v>
      </c>
      <c r="J219" s="267">
        <f t="shared" si="505"/>
        <v>304</v>
      </c>
      <c r="K219" s="267">
        <f t="shared" si="513"/>
        <v>61</v>
      </c>
      <c r="L219" s="433"/>
      <c r="M219" s="433"/>
      <c r="N219" s="436"/>
      <c r="O219" s="436"/>
      <c r="P219" s="433"/>
      <c r="Q219" s="436"/>
      <c r="R219" s="436"/>
      <c r="S219" s="433"/>
      <c r="T219" s="436"/>
      <c r="U219" s="436"/>
      <c r="V219" s="433"/>
      <c r="W219" s="436"/>
      <c r="X219" s="436"/>
      <c r="Y219" s="433"/>
      <c r="Z219" s="436"/>
      <c r="AA219" s="436"/>
      <c r="AB219" s="433"/>
      <c r="AC219" s="436"/>
      <c r="AD219" s="436"/>
      <c r="AE219" s="436"/>
      <c r="AF219" s="436"/>
      <c r="AG219" s="436"/>
      <c r="AH219" s="436"/>
      <c r="AI219" s="439">
        <v>15</v>
      </c>
      <c r="AJ219" s="436">
        <f t="shared" si="503"/>
        <v>15</v>
      </c>
      <c r="AK219" s="440">
        <f t="shared" si="514"/>
        <v>0.18103627252208465</v>
      </c>
      <c r="AL219" s="2"/>
      <c r="AM219" s="433"/>
      <c r="AN219" s="436"/>
      <c r="AO219" s="436"/>
      <c r="AP219" s="436"/>
      <c r="AQ219" s="436"/>
      <c r="AR219" s="436"/>
      <c r="AS219" s="436"/>
      <c r="AT219" s="2"/>
      <c r="AU219" s="2"/>
      <c r="AV219" s="2"/>
      <c r="AW219" s="2"/>
      <c r="AX219" s="2"/>
      <c r="AY219" s="2"/>
      <c r="AZ219" s="433"/>
      <c r="BA219" s="2"/>
      <c r="BB219" s="2"/>
      <c r="BC219" s="2"/>
      <c r="BD219" s="2"/>
      <c r="BE219" s="2"/>
      <c r="BF219" s="433"/>
      <c r="BG219" s="2"/>
      <c r="BH219" s="2"/>
      <c r="BI219" s="2">
        <f t="shared" si="506"/>
        <v>3736</v>
      </c>
      <c r="BJ219" s="2">
        <f t="shared" si="507"/>
        <v>21044</v>
      </c>
      <c r="BK219" s="2">
        <f t="shared" si="508"/>
        <v>3810</v>
      </c>
      <c r="BL219" s="2">
        <f t="shared" si="446"/>
        <v>17234</v>
      </c>
      <c r="BM219" s="2"/>
      <c r="BN219" s="2">
        <f t="shared" si="447"/>
        <v>17234</v>
      </c>
      <c r="BO219" s="2">
        <f t="shared" si="537"/>
        <v>3120</v>
      </c>
      <c r="BP219" s="2">
        <f t="shared" si="515"/>
        <v>14114</v>
      </c>
      <c r="BQ219" s="2"/>
      <c r="BR219" s="2">
        <f t="shared" si="449"/>
        <v>14114</v>
      </c>
      <c r="BS219" s="2">
        <f t="shared" si="538"/>
        <v>2555</v>
      </c>
      <c r="BT219" s="2">
        <f t="shared" si="516"/>
        <v>11559</v>
      </c>
      <c r="BU219" s="2">
        <f t="shared" si="539"/>
        <v>2093</v>
      </c>
      <c r="BV219" s="2">
        <f t="shared" si="517"/>
        <v>9466</v>
      </c>
      <c r="BW219" s="2">
        <f t="shared" si="540"/>
        <v>1714</v>
      </c>
      <c r="BX219" s="2">
        <f t="shared" si="518"/>
        <v>7752</v>
      </c>
      <c r="BY219" s="2">
        <f t="shared" si="541"/>
        <v>1403</v>
      </c>
      <c r="BZ219" s="2">
        <f t="shared" si="519"/>
        <v>6349</v>
      </c>
      <c r="CA219" s="2">
        <f t="shared" si="542"/>
        <v>1149</v>
      </c>
      <c r="CB219" s="2">
        <f t="shared" si="520"/>
        <v>5200</v>
      </c>
      <c r="CC219" s="2">
        <f t="shared" si="543"/>
        <v>941</v>
      </c>
      <c r="CD219" s="2">
        <f t="shared" si="521"/>
        <v>4259</v>
      </c>
      <c r="CE219" s="2">
        <f t="shared" si="544"/>
        <v>771</v>
      </c>
      <c r="CF219" s="2">
        <f t="shared" si="522"/>
        <v>3488</v>
      </c>
      <c r="CG219" s="2">
        <f t="shared" si="545"/>
        <v>631</v>
      </c>
      <c r="CH219" s="2">
        <f t="shared" si="523"/>
        <v>2857</v>
      </c>
      <c r="CI219" s="2">
        <f t="shared" si="546"/>
        <v>517</v>
      </c>
      <c r="CJ219" s="2">
        <f t="shared" si="524"/>
        <v>2340</v>
      </c>
      <c r="CK219" s="2">
        <f t="shared" si="547"/>
        <v>424</v>
      </c>
      <c r="CL219" s="2">
        <f t="shared" si="525"/>
        <v>1916</v>
      </c>
      <c r="CM219" s="2">
        <f t="shared" si="548"/>
        <v>347</v>
      </c>
      <c r="CN219" s="2">
        <f t="shared" si="526"/>
        <v>1569</v>
      </c>
      <c r="CO219" s="2">
        <f t="shared" si="549"/>
        <v>284</v>
      </c>
      <c r="CP219" s="2">
        <f t="shared" si="527"/>
        <v>1285</v>
      </c>
      <c r="CQ219" s="317">
        <f t="shared" si="512"/>
        <v>45.999999999999979</v>
      </c>
      <c r="CR219" s="2">
        <f t="shared" si="528"/>
        <v>1239</v>
      </c>
      <c r="CS219" s="2">
        <v>0</v>
      </c>
      <c r="CT219" s="2">
        <f t="shared" si="529"/>
        <v>1239</v>
      </c>
      <c r="CU219" s="2">
        <v>0</v>
      </c>
      <c r="CV219" s="2">
        <f t="shared" si="530"/>
        <v>1239</v>
      </c>
      <c r="CW219" s="2">
        <v>0</v>
      </c>
      <c r="CX219" s="2">
        <f t="shared" si="531"/>
        <v>1239</v>
      </c>
      <c r="CY219" s="2">
        <v>0</v>
      </c>
      <c r="CZ219" s="2">
        <f t="shared" si="532"/>
        <v>1239</v>
      </c>
      <c r="DA219" s="2">
        <v>0</v>
      </c>
      <c r="DB219" s="2">
        <f t="shared" si="533"/>
        <v>1239</v>
      </c>
      <c r="DC219" s="2">
        <v>0</v>
      </c>
      <c r="DD219" s="2">
        <f t="shared" si="534"/>
        <v>1239</v>
      </c>
      <c r="DE219" s="2">
        <v>0</v>
      </c>
      <c r="DF219" s="2">
        <f t="shared" si="483"/>
        <v>1239</v>
      </c>
      <c r="DG219" s="2">
        <v>0</v>
      </c>
      <c r="DH219" s="2">
        <f t="shared" si="484"/>
        <v>1239</v>
      </c>
      <c r="DI219" s="2">
        <v>0</v>
      </c>
      <c r="DJ219" s="2">
        <f t="shared" si="485"/>
        <v>1239</v>
      </c>
      <c r="DK219" s="2">
        <v>0</v>
      </c>
      <c r="DL219" s="2">
        <f t="shared" si="486"/>
        <v>1239</v>
      </c>
      <c r="DM219" s="2">
        <v>0</v>
      </c>
      <c r="DN219" s="2">
        <f t="shared" si="487"/>
        <v>1239</v>
      </c>
      <c r="DO219" s="2">
        <v>0</v>
      </c>
      <c r="DP219" s="2">
        <f t="shared" si="488"/>
        <v>1239</v>
      </c>
      <c r="DQ219" s="2">
        <v>0</v>
      </c>
      <c r="DR219" s="2">
        <f t="shared" si="489"/>
        <v>1239</v>
      </c>
      <c r="DS219" s="2">
        <v>0</v>
      </c>
      <c r="DT219" s="2">
        <f t="shared" si="535"/>
        <v>1239</v>
      </c>
      <c r="DU219" s="2">
        <v>0</v>
      </c>
      <c r="DV219" s="2">
        <f t="shared" si="536"/>
        <v>1239</v>
      </c>
      <c r="DW219" s="266">
        <f t="shared" si="452"/>
        <v>1239</v>
      </c>
      <c r="DX219" s="441">
        <f t="shared" si="453"/>
        <v>0</v>
      </c>
    </row>
    <row r="220" spans="1:128">
      <c r="A220" s="413">
        <v>61</v>
      </c>
      <c r="B220" s="537" t="s">
        <v>884</v>
      </c>
      <c r="C220" s="433" t="s">
        <v>518</v>
      </c>
      <c r="D220" s="468">
        <v>0.18099999999999999</v>
      </c>
      <c r="E220" s="469">
        <v>8850000</v>
      </c>
      <c r="F220" s="470" t="s">
        <v>921</v>
      </c>
      <c r="G220" s="481">
        <v>43374</v>
      </c>
      <c r="H220" s="443">
        <f t="shared" si="504"/>
        <v>48852</v>
      </c>
      <c r="I220" s="267">
        <v>15</v>
      </c>
      <c r="J220" s="267">
        <f t="shared" si="505"/>
        <v>182</v>
      </c>
      <c r="K220" s="267">
        <f t="shared" si="513"/>
        <v>183</v>
      </c>
      <c r="L220" s="433"/>
      <c r="M220" s="433"/>
      <c r="N220" s="436"/>
      <c r="O220" s="436"/>
      <c r="P220" s="433"/>
      <c r="Q220" s="436"/>
      <c r="R220" s="436"/>
      <c r="S220" s="433"/>
      <c r="T220" s="436"/>
      <c r="U220" s="436"/>
      <c r="V220" s="433"/>
      <c r="W220" s="436"/>
      <c r="X220" s="436"/>
      <c r="Y220" s="433"/>
      <c r="Z220" s="436"/>
      <c r="AA220" s="436"/>
      <c r="AB220" s="433"/>
      <c r="AC220" s="436"/>
      <c r="AD220" s="436"/>
      <c r="AE220" s="436"/>
      <c r="AF220" s="436"/>
      <c r="AG220" s="436"/>
      <c r="AH220" s="436"/>
      <c r="AI220" s="439">
        <v>15</v>
      </c>
      <c r="AJ220" s="436">
        <f t="shared" si="503"/>
        <v>15</v>
      </c>
      <c r="AK220" s="440">
        <f t="shared" si="514"/>
        <v>0.18103627252208465</v>
      </c>
      <c r="AL220" s="2"/>
      <c r="AM220" s="433"/>
      <c r="AN220" s="436"/>
      <c r="AO220" s="436"/>
      <c r="AP220" s="436"/>
      <c r="AQ220" s="436"/>
      <c r="AR220" s="436"/>
      <c r="AS220" s="436"/>
      <c r="AT220" s="2"/>
      <c r="AU220" s="2"/>
      <c r="AV220" s="2"/>
      <c r="AW220" s="2"/>
      <c r="AX220" s="2"/>
      <c r="AY220" s="2"/>
      <c r="AZ220" s="433"/>
      <c r="BA220" s="2"/>
      <c r="BB220" s="2"/>
      <c r="BC220" s="2"/>
      <c r="BD220" s="2"/>
      <c r="BE220" s="2"/>
      <c r="BF220" s="433"/>
      <c r="BG220" s="2"/>
      <c r="BH220" s="2"/>
      <c r="BI220" s="2">
        <f t="shared" si="506"/>
        <v>798891</v>
      </c>
      <c r="BJ220" s="2">
        <f t="shared" si="507"/>
        <v>8051109</v>
      </c>
      <c r="BK220" s="2">
        <f t="shared" si="508"/>
        <v>1457543</v>
      </c>
      <c r="BL220" s="2">
        <f t="shared" si="446"/>
        <v>6593566</v>
      </c>
      <c r="BM220" s="2"/>
      <c r="BN220" s="2">
        <f t="shared" si="447"/>
        <v>6593566</v>
      </c>
      <c r="BO220" s="2">
        <f t="shared" si="537"/>
        <v>1193675</v>
      </c>
      <c r="BP220" s="2">
        <f t="shared" si="515"/>
        <v>5399891</v>
      </c>
      <c r="BQ220" s="2"/>
      <c r="BR220" s="2">
        <f t="shared" si="449"/>
        <v>5399891</v>
      </c>
      <c r="BS220" s="2">
        <f t="shared" si="538"/>
        <v>977576</v>
      </c>
      <c r="BT220" s="2">
        <f t="shared" si="516"/>
        <v>4422315</v>
      </c>
      <c r="BU220" s="2">
        <f t="shared" si="539"/>
        <v>800599</v>
      </c>
      <c r="BV220" s="2">
        <f t="shared" si="517"/>
        <v>3621716</v>
      </c>
      <c r="BW220" s="2">
        <f t="shared" si="540"/>
        <v>655662</v>
      </c>
      <c r="BX220" s="2">
        <f t="shared" si="518"/>
        <v>2966054</v>
      </c>
      <c r="BY220" s="2">
        <f t="shared" si="541"/>
        <v>536963</v>
      </c>
      <c r="BZ220" s="2">
        <f t="shared" si="519"/>
        <v>2429091</v>
      </c>
      <c r="CA220" s="2">
        <f t="shared" si="542"/>
        <v>439754</v>
      </c>
      <c r="CB220" s="2">
        <f t="shared" si="520"/>
        <v>1989337</v>
      </c>
      <c r="CC220" s="2">
        <f t="shared" si="543"/>
        <v>360142</v>
      </c>
      <c r="CD220" s="2">
        <f t="shared" si="521"/>
        <v>1629195</v>
      </c>
      <c r="CE220" s="2">
        <f t="shared" si="544"/>
        <v>294943</v>
      </c>
      <c r="CF220" s="2">
        <f t="shared" si="522"/>
        <v>1334252</v>
      </c>
      <c r="CG220" s="2">
        <f t="shared" si="545"/>
        <v>241548</v>
      </c>
      <c r="CH220" s="2">
        <f t="shared" si="523"/>
        <v>1092704</v>
      </c>
      <c r="CI220" s="2">
        <f t="shared" si="546"/>
        <v>197819</v>
      </c>
      <c r="CJ220" s="2">
        <f t="shared" si="524"/>
        <v>894885</v>
      </c>
      <c r="CK220" s="2">
        <f t="shared" si="547"/>
        <v>162007</v>
      </c>
      <c r="CL220" s="2">
        <f t="shared" si="525"/>
        <v>732878</v>
      </c>
      <c r="CM220" s="2">
        <f t="shared" si="548"/>
        <v>132678</v>
      </c>
      <c r="CN220" s="2">
        <f t="shared" si="526"/>
        <v>600200</v>
      </c>
      <c r="CO220" s="2">
        <f t="shared" si="549"/>
        <v>108658</v>
      </c>
      <c r="CP220" s="2">
        <f t="shared" si="527"/>
        <v>491542</v>
      </c>
      <c r="CQ220" s="317">
        <f t="shared" si="512"/>
        <v>49041.999999999985</v>
      </c>
      <c r="CR220" s="2">
        <f t="shared" si="528"/>
        <v>442500</v>
      </c>
      <c r="CS220" s="2">
        <v>0</v>
      </c>
      <c r="CT220" s="2">
        <f t="shared" si="529"/>
        <v>442500</v>
      </c>
      <c r="CU220" s="2">
        <v>0</v>
      </c>
      <c r="CV220" s="2">
        <f t="shared" si="530"/>
        <v>442500</v>
      </c>
      <c r="CW220" s="2">
        <v>0</v>
      </c>
      <c r="CX220" s="2">
        <f t="shared" si="531"/>
        <v>442500</v>
      </c>
      <c r="CY220" s="2">
        <v>0</v>
      </c>
      <c r="CZ220" s="2">
        <f t="shared" si="532"/>
        <v>442500</v>
      </c>
      <c r="DA220" s="2">
        <v>0</v>
      </c>
      <c r="DB220" s="2">
        <f t="shared" si="533"/>
        <v>442500</v>
      </c>
      <c r="DC220" s="2">
        <v>0</v>
      </c>
      <c r="DD220" s="2">
        <f t="shared" si="534"/>
        <v>442500</v>
      </c>
      <c r="DE220" s="2">
        <v>0</v>
      </c>
      <c r="DF220" s="2">
        <f t="shared" si="483"/>
        <v>442500</v>
      </c>
      <c r="DG220" s="2">
        <v>0</v>
      </c>
      <c r="DH220" s="2">
        <f t="shared" si="484"/>
        <v>442500</v>
      </c>
      <c r="DI220" s="2">
        <v>0</v>
      </c>
      <c r="DJ220" s="2">
        <f t="shared" si="485"/>
        <v>442500</v>
      </c>
      <c r="DK220" s="2">
        <v>0</v>
      </c>
      <c r="DL220" s="2">
        <f t="shared" si="486"/>
        <v>442500</v>
      </c>
      <c r="DM220" s="2">
        <v>0</v>
      </c>
      <c r="DN220" s="2">
        <f t="shared" si="487"/>
        <v>442500</v>
      </c>
      <c r="DO220" s="2">
        <v>0</v>
      </c>
      <c r="DP220" s="2">
        <f t="shared" si="488"/>
        <v>442500</v>
      </c>
      <c r="DQ220" s="2">
        <v>0</v>
      </c>
      <c r="DR220" s="2">
        <f t="shared" si="489"/>
        <v>442500</v>
      </c>
      <c r="DS220" s="2">
        <v>0</v>
      </c>
      <c r="DT220" s="2">
        <f t="shared" si="535"/>
        <v>442500</v>
      </c>
      <c r="DU220" s="2">
        <v>0</v>
      </c>
      <c r="DV220" s="2">
        <f t="shared" si="536"/>
        <v>442500</v>
      </c>
      <c r="DW220" s="266">
        <f t="shared" si="452"/>
        <v>442500</v>
      </c>
      <c r="DX220" s="441">
        <f t="shared" si="453"/>
        <v>0</v>
      </c>
    </row>
    <row r="221" spans="1:128">
      <c r="A221" s="413">
        <v>62</v>
      </c>
      <c r="B221" s="537" t="s">
        <v>885</v>
      </c>
      <c r="C221" s="433" t="s">
        <v>518</v>
      </c>
      <c r="D221" s="468">
        <v>0.18099999999999999</v>
      </c>
      <c r="E221" s="469">
        <v>68381</v>
      </c>
      <c r="F221" s="470" t="s">
        <v>921</v>
      </c>
      <c r="G221" s="481">
        <v>43252</v>
      </c>
      <c r="H221" s="443">
        <f t="shared" si="504"/>
        <v>48730</v>
      </c>
      <c r="I221" s="267">
        <v>15</v>
      </c>
      <c r="J221" s="267">
        <f t="shared" si="505"/>
        <v>304</v>
      </c>
      <c r="K221" s="267">
        <f t="shared" si="513"/>
        <v>61</v>
      </c>
      <c r="L221" s="433"/>
      <c r="M221" s="433"/>
      <c r="N221" s="436"/>
      <c r="O221" s="436"/>
      <c r="P221" s="433"/>
      <c r="Q221" s="436"/>
      <c r="R221" s="436"/>
      <c r="S221" s="433"/>
      <c r="T221" s="436"/>
      <c r="U221" s="436"/>
      <c r="V221" s="433"/>
      <c r="W221" s="436"/>
      <c r="X221" s="436"/>
      <c r="Y221" s="433"/>
      <c r="Z221" s="436"/>
      <c r="AA221" s="436"/>
      <c r="AB221" s="433"/>
      <c r="AC221" s="436"/>
      <c r="AD221" s="436"/>
      <c r="AE221" s="436"/>
      <c r="AF221" s="436"/>
      <c r="AG221" s="436"/>
      <c r="AH221" s="436"/>
      <c r="AI221" s="439">
        <v>15</v>
      </c>
      <c r="AJ221" s="436">
        <f t="shared" si="503"/>
        <v>15</v>
      </c>
      <c r="AK221" s="440">
        <f t="shared" si="514"/>
        <v>0.18103627252208465</v>
      </c>
      <c r="AL221" s="2"/>
      <c r="AM221" s="433"/>
      <c r="AN221" s="436"/>
      <c r="AO221" s="436"/>
      <c r="AP221" s="436"/>
      <c r="AQ221" s="436"/>
      <c r="AR221" s="436"/>
      <c r="AS221" s="436"/>
      <c r="AT221" s="2"/>
      <c r="AU221" s="2"/>
      <c r="AV221" s="2"/>
      <c r="AW221" s="2"/>
      <c r="AX221" s="2"/>
      <c r="AY221" s="2"/>
      <c r="AZ221" s="433"/>
      <c r="BA221" s="2"/>
      <c r="BB221" s="2"/>
      <c r="BC221" s="2"/>
      <c r="BD221" s="2"/>
      <c r="BE221" s="2"/>
      <c r="BF221" s="433"/>
      <c r="BG221" s="2"/>
      <c r="BH221" s="2"/>
      <c r="BI221" s="2">
        <f t="shared" si="506"/>
        <v>10311</v>
      </c>
      <c r="BJ221" s="2">
        <f t="shared" si="507"/>
        <v>58070</v>
      </c>
      <c r="BK221" s="2">
        <f t="shared" si="508"/>
        <v>10513</v>
      </c>
      <c r="BL221" s="2">
        <f t="shared" si="446"/>
        <v>47557</v>
      </c>
      <c r="BM221" s="2"/>
      <c r="BN221" s="2">
        <f t="shared" si="447"/>
        <v>47557</v>
      </c>
      <c r="BO221" s="2">
        <f t="shared" si="537"/>
        <v>8610</v>
      </c>
      <c r="BP221" s="2">
        <f t="shared" si="515"/>
        <v>38947</v>
      </c>
      <c r="BQ221" s="2"/>
      <c r="BR221" s="2">
        <f t="shared" si="449"/>
        <v>38947</v>
      </c>
      <c r="BS221" s="2">
        <f t="shared" si="538"/>
        <v>7051</v>
      </c>
      <c r="BT221" s="2">
        <f t="shared" si="516"/>
        <v>31896</v>
      </c>
      <c r="BU221" s="2">
        <f t="shared" si="539"/>
        <v>5774</v>
      </c>
      <c r="BV221" s="2">
        <f t="shared" si="517"/>
        <v>26122</v>
      </c>
      <c r="BW221" s="2">
        <f t="shared" si="540"/>
        <v>4729</v>
      </c>
      <c r="BX221" s="2">
        <f t="shared" si="518"/>
        <v>21393</v>
      </c>
      <c r="BY221" s="2">
        <f t="shared" si="541"/>
        <v>3873</v>
      </c>
      <c r="BZ221" s="2">
        <f t="shared" si="519"/>
        <v>17520</v>
      </c>
      <c r="CA221" s="2">
        <f t="shared" si="542"/>
        <v>3172</v>
      </c>
      <c r="CB221" s="2">
        <f t="shared" si="520"/>
        <v>14348</v>
      </c>
      <c r="CC221" s="2">
        <f t="shared" si="543"/>
        <v>2598</v>
      </c>
      <c r="CD221" s="2">
        <f t="shared" si="521"/>
        <v>11750</v>
      </c>
      <c r="CE221" s="2">
        <f t="shared" si="544"/>
        <v>2127</v>
      </c>
      <c r="CF221" s="2">
        <f t="shared" si="522"/>
        <v>9623</v>
      </c>
      <c r="CG221" s="2">
        <f t="shared" si="545"/>
        <v>1742</v>
      </c>
      <c r="CH221" s="2">
        <f t="shared" si="523"/>
        <v>7881</v>
      </c>
      <c r="CI221" s="2">
        <f t="shared" si="546"/>
        <v>1427</v>
      </c>
      <c r="CJ221" s="2">
        <f t="shared" si="524"/>
        <v>6454</v>
      </c>
      <c r="CK221" s="2">
        <f t="shared" si="547"/>
        <v>1168</v>
      </c>
      <c r="CL221" s="2">
        <f t="shared" si="525"/>
        <v>5286</v>
      </c>
      <c r="CM221" s="2">
        <f t="shared" si="548"/>
        <v>957</v>
      </c>
      <c r="CN221" s="2">
        <f t="shared" si="526"/>
        <v>4329</v>
      </c>
      <c r="CO221" s="2">
        <f t="shared" si="549"/>
        <v>784</v>
      </c>
      <c r="CP221" s="2">
        <f t="shared" si="527"/>
        <v>3545</v>
      </c>
      <c r="CQ221" s="317">
        <f t="shared" si="512"/>
        <v>125.94999999999982</v>
      </c>
      <c r="CR221" s="2">
        <f t="shared" si="528"/>
        <v>3419.05</v>
      </c>
      <c r="CS221" s="2">
        <v>0</v>
      </c>
      <c r="CT221" s="2">
        <f t="shared" si="529"/>
        <v>3419.05</v>
      </c>
      <c r="CU221" s="2">
        <v>0</v>
      </c>
      <c r="CV221" s="2">
        <f t="shared" si="530"/>
        <v>3419.05</v>
      </c>
      <c r="CW221" s="2">
        <v>0</v>
      </c>
      <c r="CX221" s="2">
        <f t="shared" si="531"/>
        <v>3419.05</v>
      </c>
      <c r="CY221" s="2">
        <v>0</v>
      </c>
      <c r="CZ221" s="2">
        <f t="shared" si="532"/>
        <v>3419.05</v>
      </c>
      <c r="DA221" s="2">
        <v>0</v>
      </c>
      <c r="DB221" s="2">
        <f t="shared" si="533"/>
        <v>3419.05</v>
      </c>
      <c r="DC221" s="2">
        <v>0</v>
      </c>
      <c r="DD221" s="2">
        <f t="shared" si="534"/>
        <v>3419.05</v>
      </c>
      <c r="DE221" s="2">
        <v>0</v>
      </c>
      <c r="DF221" s="2">
        <f t="shared" si="483"/>
        <v>3419.05</v>
      </c>
      <c r="DG221" s="2">
        <v>0</v>
      </c>
      <c r="DH221" s="2">
        <f t="shared" si="484"/>
        <v>3419.05</v>
      </c>
      <c r="DI221" s="2">
        <v>0</v>
      </c>
      <c r="DJ221" s="2">
        <f t="shared" si="485"/>
        <v>3419.05</v>
      </c>
      <c r="DK221" s="2">
        <v>0</v>
      </c>
      <c r="DL221" s="2">
        <f t="shared" si="486"/>
        <v>3419.05</v>
      </c>
      <c r="DM221" s="2">
        <v>0</v>
      </c>
      <c r="DN221" s="2">
        <f t="shared" si="487"/>
        <v>3419.05</v>
      </c>
      <c r="DO221" s="2">
        <v>0</v>
      </c>
      <c r="DP221" s="2">
        <f t="shared" si="488"/>
        <v>3419.05</v>
      </c>
      <c r="DQ221" s="2">
        <v>0</v>
      </c>
      <c r="DR221" s="2">
        <f t="shared" si="489"/>
        <v>3419.05</v>
      </c>
      <c r="DS221" s="2">
        <v>0</v>
      </c>
      <c r="DT221" s="2">
        <f t="shared" si="535"/>
        <v>3419.05</v>
      </c>
      <c r="DU221" s="2">
        <v>0</v>
      </c>
      <c r="DV221" s="2">
        <f t="shared" si="536"/>
        <v>3419.05</v>
      </c>
      <c r="DW221" s="266">
        <f t="shared" si="452"/>
        <v>3419.05</v>
      </c>
      <c r="DX221" s="441">
        <f t="shared" si="453"/>
        <v>0</v>
      </c>
    </row>
    <row r="222" spans="1:128">
      <c r="A222" s="413">
        <v>63</v>
      </c>
      <c r="B222" s="537" t="s">
        <v>886</v>
      </c>
      <c r="C222" s="433" t="s">
        <v>518</v>
      </c>
      <c r="D222" s="468">
        <v>0.18099999999999999</v>
      </c>
      <c r="E222" s="469">
        <v>28025</v>
      </c>
      <c r="F222" s="470" t="s">
        <v>921</v>
      </c>
      <c r="G222" s="481">
        <v>43252</v>
      </c>
      <c r="H222" s="443">
        <f t="shared" si="504"/>
        <v>48730</v>
      </c>
      <c r="I222" s="267">
        <v>15</v>
      </c>
      <c r="J222" s="267">
        <f t="shared" si="505"/>
        <v>304</v>
      </c>
      <c r="K222" s="267">
        <f t="shared" si="513"/>
        <v>61</v>
      </c>
      <c r="L222" s="433"/>
      <c r="M222" s="433"/>
      <c r="N222" s="436"/>
      <c r="O222" s="436"/>
      <c r="P222" s="433"/>
      <c r="Q222" s="436"/>
      <c r="R222" s="436"/>
      <c r="S222" s="433"/>
      <c r="T222" s="436"/>
      <c r="U222" s="436"/>
      <c r="V222" s="433"/>
      <c r="W222" s="436"/>
      <c r="X222" s="436"/>
      <c r="Y222" s="433"/>
      <c r="Z222" s="436"/>
      <c r="AA222" s="436"/>
      <c r="AB222" s="433"/>
      <c r="AC222" s="436"/>
      <c r="AD222" s="436"/>
      <c r="AE222" s="436"/>
      <c r="AF222" s="436"/>
      <c r="AG222" s="436"/>
      <c r="AH222" s="436"/>
      <c r="AI222" s="439">
        <v>15</v>
      </c>
      <c r="AJ222" s="436">
        <f t="shared" si="503"/>
        <v>15</v>
      </c>
      <c r="AK222" s="440">
        <f t="shared" si="514"/>
        <v>0.18103627252208465</v>
      </c>
      <c r="AL222" s="2"/>
      <c r="AM222" s="433"/>
      <c r="AN222" s="436"/>
      <c r="AO222" s="436"/>
      <c r="AP222" s="436"/>
      <c r="AQ222" s="436"/>
      <c r="AR222" s="436"/>
      <c r="AS222" s="436"/>
      <c r="AT222" s="2"/>
      <c r="AU222" s="2"/>
      <c r="AV222" s="2"/>
      <c r="AW222" s="2"/>
      <c r="AX222" s="2"/>
      <c r="AY222" s="2"/>
      <c r="AZ222" s="433"/>
      <c r="BA222" s="2"/>
      <c r="BB222" s="2"/>
      <c r="BC222" s="2"/>
      <c r="BD222" s="2"/>
      <c r="BE222" s="2"/>
      <c r="BF222" s="433"/>
      <c r="BG222" s="2"/>
      <c r="BH222" s="2"/>
      <c r="BI222" s="2">
        <f t="shared" si="506"/>
        <v>4226</v>
      </c>
      <c r="BJ222" s="2">
        <f t="shared" si="507"/>
        <v>23799</v>
      </c>
      <c r="BK222" s="2">
        <f t="shared" si="508"/>
        <v>4308</v>
      </c>
      <c r="BL222" s="2">
        <f t="shared" si="446"/>
        <v>19491</v>
      </c>
      <c r="BM222" s="2"/>
      <c r="BN222" s="2">
        <f t="shared" si="447"/>
        <v>19491</v>
      </c>
      <c r="BO222" s="2">
        <f t="shared" si="537"/>
        <v>3529</v>
      </c>
      <c r="BP222" s="2">
        <f t="shared" si="515"/>
        <v>15962</v>
      </c>
      <c r="BQ222" s="2"/>
      <c r="BR222" s="2">
        <f t="shared" si="449"/>
        <v>15962</v>
      </c>
      <c r="BS222" s="2">
        <f t="shared" si="538"/>
        <v>2890</v>
      </c>
      <c r="BT222" s="2">
        <f t="shared" si="516"/>
        <v>13072</v>
      </c>
      <c r="BU222" s="2">
        <f t="shared" si="539"/>
        <v>2367</v>
      </c>
      <c r="BV222" s="2">
        <f t="shared" si="517"/>
        <v>10705</v>
      </c>
      <c r="BW222" s="2">
        <f t="shared" si="540"/>
        <v>1938</v>
      </c>
      <c r="BX222" s="2">
        <f t="shared" si="518"/>
        <v>8767</v>
      </c>
      <c r="BY222" s="2">
        <f t="shared" si="541"/>
        <v>1587</v>
      </c>
      <c r="BZ222" s="2">
        <f t="shared" si="519"/>
        <v>7180</v>
      </c>
      <c r="CA222" s="2">
        <f t="shared" si="542"/>
        <v>1300</v>
      </c>
      <c r="CB222" s="2">
        <f t="shared" si="520"/>
        <v>5880</v>
      </c>
      <c r="CC222" s="2">
        <f t="shared" si="543"/>
        <v>1064</v>
      </c>
      <c r="CD222" s="2">
        <f t="shared" si="521"/>
        <v>4816</v>
      </c>
      <c r="CE222" s="2">
        <f t="shared" si="544"/>
        <v>872</v>
      </c>
      <c r="CF222" s="2">
        <f t="shared" si="522"/>
        <v>3944</v>
      </c>
      <c r="CG222" s="2">
        <f t="shared" si="545"/>
        <v>714</v>
      </c>
      <c r="CH222" s="2">
        <f t="shared" si="523"/>
        <v>3230</v>
      </c>
      <c r="CI222" s="2">
        <f t="shared" si="546"/>
        <v>585</v>
      </c>
      <c r="CJ222" s="2">
        <f t="shared" si="524"/>
        <v>2645</v>
      </c>
      <c r="CK222" s="2">
        <f t="shared" si="547"/>
        <v>479</v>
      </c>
      <c r="CL222" s="2">
        <f t="shared" si="525"/>
        <v>2166</v>
      </c>
      <c r="CM222" s="2">
        <f t="shared" si="548"/>
        <v>392</v>
      </c>
      <c r="CN222" s="2">
        <f t="shared" si="526"/>
        <v>1774</v>
      </c>
      <c r="CO222" s="2">
        <f t="shared" si="549"/>
        <v>321</v>
      </c>
      <c r="CP222" s="2">
        <f t="shared" si="527"/>
        <v>1453</v>
      </c>
      <c r="CQ222" s="317">
        <f t="shared" si="512"/>
        <v>51.750000000000014</v>
      </c>
      <c r="CR222" s="2">
        <f t="shared" si="528"/>
        <v>1401.25</v>
      </c>
      <c r="CS222" s="2">
        <v>0</v>
      </c>
      <c r="CT222" s="2">
        <f t="shared" si="529"/>
        <v>1401.25</v>
      </c>
      <c r="CU222" s="2">
        <v>0</v>
      </c>
      <c r="CV222" s="2">
        <f t="shared" si="530"/>
        <v>1401.25</v>
      </c>
      <c r="CW222" s="2">
        <v>0</v>
      </c>
      <c r="CX222" s="2">
        <f t="shared" si="531"/>
        <v>1401.25</v>
      </c>
      <c r="CY222" s="2">
        <v>0</v>
      </c>
      <c r="CZ222" s="2">
        <f t="shared" si="532"/>
        <v>1401.25</v>
      </c>
      <c r="DA222" s="2">
        <v>0</v>
      </c>
      <c r="DB222" s="2">
        <f t="shared" si="533"/>
        <v>1401.25</v>
      </c>
      <c r="DC222" s="2">
        <v>0</v>
      </c>
      <c r="DD222" s="2">
        <f t="shared" si="534"/>
        <v>1401.25</v>
      </c>
      <c r="DE222" s="2">
        <v>0</v>
      </c>
      <c r="DF222" s="2">
        <f t="shared" si="483"/>
        <v>1401.25</v>
      </c>
      <c r="DG222" s="2">
        <v>0</v>
      </c>
      <c r="DH222" s="2">
        <f t="shared" si="484"/>
        <v>1401.25</v>
      </c>
      <c r="DI222" s="2">
        <v>0</v>
      </c>
      <c r="DJ222" s="2">
        <f t="shared" si="485"/>
        <v>1401.25</v>
      </c>
      <c r="DK222" s="2">
        <v>0</v>
      </c>
      <c r="DL222" s="2">
        <f t="shared" si="486"/>
        <v>1401.25</v>
      </c>
      <c r="DM222" s="2">
        <v>0</v>
      </c>
      <c r="DN222" s="2">
        <f t="shared" si="487"/>
        <v>1401.25</v>
      </c>
      <c r="DO222" s="2">
        <v>0</v>
      </c>
      <c r="DP222" s="2">
        <f t="shared" si="488"/>
        <v>1401.25</v>
      </c>
      <c r="DQ222" s="2">
        <v>0</v>
      </c>
      <c r="DR222" s="2">
        <f t="shared" si="489"/>
        <v>1401.25</v>
      </c>
      <c r="DS222" s="2">
        <v>0</v>
      </c>
      <c r="DT222" s="2">
        <f t="shared" si="535"/>
        <v>1401.25</v>
      </c>
      <c r="DU222" s="2">
        <v>0</v>
      </c>
      <c r="DV222" s="2">
        <f t="shared" si="536"/>
        <v>1401.25</v>
      </c>
      <c r="DW222" s="266">
        <f t="shared" si="452"/>
        <v>1401.25</v>
      </c>
      <c r="DX222" s="441">
        <f t="shared" si="453"/>
        <v>0</v>
      </c>
    </row>
    <row r="223" spans="1:128">
      <c r="A223" s="413">
        <v>64</v>
      </c>
      <c r="B223" s="537" t="s">
        <v>887</v>
      </c>
      <c r="C223" s="433" t="s">
        <v>518</v>
      </c>
      <c r="D223" s="468">
        <v>0.18099999999999999</v>
      </c>
      <c r="E223" s="469">
        <v>554600</v>
      </c>
      <c r="F223" s="470" t="s">
        <v>921</v>
      </c>
      <c r="G223" s="481">
        <v>43282</v>
      </c>
      <c r="H223" s="443">
        <f t="shared" si="504"/>
        <v>48760</v>
      </c>
      <c r="I223" s="267">
        <v>15</v>
      </c>
      <c r="J223" s="267">
        <f t="shared" si="505"/>
        <v>274</v>
      </c>
      <c r="K223" s="267">
        <f t="shared" si="513"/>
        <v>91</v>
      </c>
      <c r="L223" s="433"/>
      <c r="M223" s="433"/>
      <c r="N223" s="436"/>
      <c r="O223" s="436"/>
      <c r="P223" s="433"/>
      <c r="Q223" s="436"/>
      <c r="R223" s="436"/>
      <c r="S223" s="433"/>
      <c r="T223" s="436"/>
      <c r="U223" s="436"/>
      <c r="V223" s="433"/>
      <c r="W223" s="436"/>
      <c r="X223" s="436"/>
      <c r="Y223" s="433"/>
      <c r="Z223" s="436"/>
      <c r="AA223" s="436"/>
      <c r="AB223" s="433"/>
      <c r="AC223" s="436"/>
      <c r="AD223" s="436"/>
      <c r="AE223" s="436"/>
      <c r="AF223" s="436"/>
      <c r="AG223" s="436"/>
      <c r="AH223" s="436"/>
      <c r="AI223" s="439">
        <v>15</v>
      </c>
      <c r="AJ223" s="436">
        <f t="shared" si="503"/>
        <v>15</v>
      </c>
      <c r="AK223" s="440">
        <f t="shared" si="514"/>
        <v>0.18103627252208465</v>
      </c>
      <c r="AL223" s="2"/>
      <c r="AM223" s="433"/>
      <c r="AN223" s="436"/>
      <c r="AO223" s="436"/>
      <c r="AP223" s="436"/>
      <c r="AQ223" s="436"/>
      <c r="AR223" s="436"/>
      <c r="AS223" s="436"/>
      <c r="AT223" s="2"/>
      <c r="AU223" s="2"/>
      <c r="AV223" s="2"/>
      <c r="AW223" s="2"/>
      <c r="AX223" s="2"/>
      <c r="AY223" s="2"/>
      <c r="AZ223" s="433"/>
      <c r="BA223" s="2"/>
      <c r="BB223" s="2"/>
      <c r="BC223" s="2"/>
      <c r="BD223" s="2"/>
      <c r="BE223" s="2"/>
      <c r="BF223" s="433"/>
      <c r="BG223" s="2"/>
      <c r="BH223" s="2"/>
      <c r="BI223" s="2">
        <f t="shared" si="506"/>
        <v>75371</v>
      </c>
      <c r="BJ223" s="2">
        <f t="shared" si="507"/>
        <v>479229</v>
      </c>
      <c r="BK223" s="2">
        <f t="shared" si="508"/>
        <v>86758</v>
      </c>
      <c r="BL223" s="2">
        <f t="shared" si="446"/>
        <v>392471</v>
      </c>
      <c r="BM223" s="2"/>
      <c r="BN223" s="2">
        <f t="shared" si="447"/>
        <v>392471</v>
      </c>
      <c r="BO223" s="2">
        <f t="shared" si="537"/>
        <v>71051</v>
      </c>
      <c r="BP223" s="2">
        <f t="shared" si="515"/>
        <v>321420</v>
      </c>
      <c r="BQ223" s="2"/>
      <c r="BR223" s="2">
        <f t="shared" si="449"/>
        <v>321420</v>
      </c>
      <c r="BS223" s="2">
        <f t="shared" si="538"/>
        <v>58189</v>
      </c>
      <c r="BT223" s="2">
        <f t="shared" si="516"/>
        <v>263231</v>
      </c>
      <c r="BU223" s="2">
        <f t="shared" si="539"/>
        <v>47654</v>
      </c>
      <c r="BV223" s="2">
        <f t="shared" si="517"/>
        <v>215577</v>
      </c>
      <c r="BW223" s="2">
        <f t="shared" si="540"/>
        <v>39027</v>
      </c>
      <c r="BX223" s="2">
        <f t="shared" si="518"/>
        <v>176550</v>
      </c>
      <c r="BY223" s="2">
        <f t="shared" si="541"/>
        <v>31962</v>
      </c>
      <c r="BZ223" s="2">
        <f t="shared" si="519"/>
        <v>144588</v>
      </c>
      <c r="CA223" s="2">
        <f t="shared" si="542"/>
        <v>26176</v>
      </c>
      <c r="CB223" s="2">
        <f t="shared" si="520"/>
        <v>118412</v>
      </c>
      <c r="CC223" s="2">
        <f t="shared" si="543"/>
        <v>21437</v>
      </c>
      <c r="CD223" s="2">
        <f t="shared" si="521"/>
        <v>96975</v>
      </c>
      <c r="CE223" s="2">
        <f t="shared" si="544"/>
        <v>17556</v>
      </c>
      <c r="CF223" s="2">
        <f t="shared" si="522"/>
        <v>79419</v>
      </c>
      <c r="CG223" s="2">
        <f t="shared" si="545"/>
        <v>14378</v>
      </c>
      <c r="CH223" s="2">
        <f t="shared" si="523"/>
        <v>65041</v>
      </c>
      <c r="CI223" s="2">
        <f t="shared" si="546"/>
        <v>11775</v>
      </c>
      <c r="CJ223" s="2">
        <f t="shared" si="524"/>
        <v>53266</v>
      </c>
      <c r="CK223" s="2">
        <f t="shared" si="547"/>
        <v>9643</v>
      </c>
      <c r="CL223" s="2">
        <f t="shared" si="525"/>
        <v>43623</v>
      </c>
      <c r="CM223" s="2">
        <f t="shared" si="548"/>
        <v>7897</v>
      </c>
      <c r="CN223" s="2">
        <f t="shared" si="526"/>
        <v>35726</v>
      </c>
      <c r="CO223" s="2">
        <f t="shared" si="549"/>
        <v>6468</v>
      </c>
      <c r="CP223" s="2">
        <f t="shared" si="527"/>
        <v>29258</v>
      </c>
      <c r="CQ223" s="317">
        <f t="shared" si="512"/>
        <v>1527.9999999999998</v>
      </c>
      <c r="CR223" s="2">
        <f t="shared" si="528"/>
        <v>27730</v>
      </c>
      <c r="CS223" s="2">
        <v>0</v>
      </c>
      <c r="CT223" s="2">
        <f t="shared" si="529"/>
        <v>27730</v>
      </c>
      <c r="CU223" s="2">
        <v>0</v>
      </c>
      <c r="CV223" s="2">
        <f t="shared" si="530"/>
        <v>27730</v>
      </c>
      <c r="CW223" s="2">
        <v>0</v>
      </c>
      <c r="CX223" s="2">
        <f t="shared" si="531"/>
        <v>27730</v>
      </c>
      <c r="CY223" s="2">
        <v>0</v>
      </c>
      <c r="CZ223" s="2">
        <f t="shared" si="532"/>
        <v>27730</v>
      </c>
      <c r="DA223" s="2">
        <v>0</v>
      </c>
      <c r="DB223" s="2">
        <f t="shared" si="533"/>
        <v>27730</v>
      </c>
      <c r="DC223" s="2">
        <v>0</v>
      </c>
      <c r="DD223" s="2">
        <f t="shared" si="534"/>
        <v>27730</v>
      </c>
      <c r="DE223" s="2">
        <v>0</v>
      </c>
      <c r="DF223" s="2">
        <f t="shared" si="483"/>
        <v>27730</v>
      </c>
      <c r="DG223" s="2">
        <v>0</v>
      </c>
      <c r="DH223" s="2">
        <f t="shared" si="484"/>
        <v>27730</v>
      </c>
      <c r="DI223" s="2">
        <v>0</v>
      </c>
      <c r="DJ223" s="2">
        <f t="shared" si="485"/>
        <v>27730</v>
      </c>
      <c r="DK223" s="2">
        <v>0</v>
      </c>
      <c r="DL223" s="2">
        <f t="shared" si="486"/>
        <v>27730</v>
      </c>
      <c r="DM223" s="2">
        <v>0</v>
      </c>
      <c r="DN223" s="2">
        <f t="shared" si="487"/>
        <v>27730</v>
      </c>
      <c r="DO223" s="2">
        <v>0</v>
      </c>
      <c r="DP223" s="2">
        <f t="shared" si="488"/>
        <v>27730</v>
      </c>
      <c r="DQ223" s="2">
        <v>0</v>
      </c>
      <c r="DR223" s="2">
        <f t="shared" si="489"/>
        <v>27730</v>
      </c>
      <c r="DS223" s="2">
        <v>0</v>
      </c>
      <c r="DT223" s="2">
        <f t="shared" si="535"/>
        <v>27730</v>
      </c>
      <c r="DU223" s="2">
        <v>0</v>
      </c>
      <c r="DV223" s="2">
        <f t="shared" si="536"/>
        <v>27730</v>
      </c>
      <c r="DW223" s="266">
        <f t="shared" si="452"/>
        <v>27730</v>
      </c>
      <c r="DX223" s="441">
        <f t="shared" si="453"/>
        <v>0</v>
      </c>
    </row>
    <row r="224" spans="1:128">
      <c r="A224" s="413">
        <v>65</v>
      </c>
      <c r="B224" s="537" t="s">
        <v>888</v>
      </c>
      <c r="C224" s="433" t="s">
        <v>518</v>
      </c>
      <c r="D224" s="468">
        <v>0.18099999999999999</v>
      </c>
      <c r="E224" s="469">
        <v>7563800</v>
      </c>
      <c r="F224" s="470" t="s">
        <v>921</v>
      </c>
      <c r="G224" s="481">
        <v>43374</v>
      </c>
      <c r="H224" s="443">
        <f t="shared" si="504"/>
        <v>48852</v>
      </c>
      <c r="I224" s="267">
        <v>15</v>
      </c>
      <c r="J224" s="267">
        <f t="shared" si="505"/>
        <v>182</v>
      </c>
      <c r="K224" s="267">
        <f t="shared" si="513"/>
        <v>183</v>
      </c>
      <c r="L224" s="433"/>
      <c r="M224" s="433"/>
      <c r="N224" s="436"/>
      <c r="O224" s="436"/>
      <c r="P224" s="433"/>
      <c r="Q224" s="436"/>
      <c r="R224" s="436"/>
      <c r="S224" s="433"/>
      <c r="T224" s="436"/>
      <c r="U224" s="436"/>
      <c r="V224" s="433"/>
      <c r="W224" s="436"/>
      <c r="X224" s="436"/>
      <c r="Y224" s="433"/>
      <c r="Z224" s="436"/>
      <c r="AA224" s="436"/>
      <c r="AB224" s="433"/>
      <c r="AC224" s="436"/>
      <c r="AD224" s="436"/>
      <c r="AE224" s="436"/>
      <c r="AF224" s="436"/>
      <c r="AG224" s="436"/>
      <c r="AH224" s="436"/>
      <c r="AI224" s="439">
        <v>15</v>
      </c>
      <c r="AJ224" s="436">
        <f t="shared" si="503"/>
        <v>15</v>
      </c>
      <c r="AK224" s="440">
        <f t="shared" si="514"/>
        <v>0.18103627252208465</v>
      </c>
      <c r="AL224" s="2"/>
      <c r="AM224" s="433"/>
      <c r="AN224" s="436"/>
      <c r="AO224" s="436"/>
      <c r="AP224" s="436"/>
      <c r="AQ224" s="436"/>
      <c r="AR224" s="436"/>
      <c r="AS224" s="436"/>
      <c r="AT224" s="2"/>
      <c r="AU224" s="2"/>
      <c r="AV224" s="2"/>
      <c r="AW224" s="2"/>
      <c r="AX224" s="2"/>
      <c r="AY224" s="2"/>
      <c r="AZ224" s="433"/>
      <c r="BA224" s="2"/>
      <c r="BB224" s="2"/>
      <c r="BC224" s="2"/>
      <c r="BD224" s="2"/>
      <c r="BE224" s="2"/>
      <c r="BF224" s="433"/>
      <c r="BG224" s="2"/>
      <c r="BH224" s="2"/>
      <c r="BI224" s="2">
        <f t="shared" si="506"/>
        <v>682785</v>
      </c>
      <c r="BJ224" s="2">
        <f t="shared" si="507"/>
        <v>6881015</v>
      </c>
      <c r="BK224" s="2">
        <f t="shared" si="508"/>
        <v>1245713</v>
      </c>
      <c r="BL224" s="2">
        <f t="shared" ref="BL224:BL264" si="550">+BJ224-BK224</f>
        <v>5635302</v>
      </c>
      <c r="BM224" s="2"/>
      <c r="BN224" s="2">
        <f t="shared" ref="BN224:BN287" si="551">BL224-BM224</f>
        <v>5635302</v>
      </c>
      <c r="BO224" s="2">
        <f t="shared" si="537"/>
        <v>1020194</v>
      </c>
      <c r="BP224" s="2">
        <f t="shared" si="515"/>
        <v>4615108</v>
      </c>
      <c r="BQ224" s="2"/>
      <c r="BR224" s="2">
        <f t="shared" ref="BR224:BR274" si="552">BP224-BQ224</f>
        <v>4615108</v>
      </c>
      <c r="BS224" s="2">
        <f t="shared" si="538"/>
        <v>835502</v>
      </c>
      <c r="BT224" s="2">
        <f t="shared" si="516"/>
        <v>3779606</v>
      </c>
      <c r="BU224" s="2">
        <f t="shared" si="539"/>
        <v>684246</v>
      </c>
      <c r="BV224" s="2">
        <f t="shared" si="517"/>
        <v>3095360</v>
      </c>
      <c r="BW224" s="2">
        <f t="shared" si="540"/>
        <v>560372</v>
      </c>
      <c r="BX224" s="2">
        <f t="shared" si="518"/>
        <v>2534988</v>
      </c>
      <c r="BY224" s="2">
        <f t="shared" si="541"/>
        <v>458925</v>
      </c>
      <c r="BZ224" s="2">
        <f t="shared" si="519"/>
        <v>2076063</v>
      </c>
      <c r="CA224" s="2">
        <f t="shared" si="542"/>
        <v>375843</v>
      </c>
      <c r="CB224" s="2">
        <f t="shared" si="520"/>
        <v>1700220</v>
      </c>
      <c r="CC224" s="2">
        <f t="shared" si="543"/>
        <v>307801</v>
      </c>
      <c r="CD224" s="2">
        <f t="shared" si="521"/>
        <v>1392419</v>
      </c>
      <c r="CE224" s="2">
        <f t="shared" si="544"/>
        <v>252078</v>
      </c>
      <c r="CF224" s="2">
        <f t="shared" si="522"/>
        <v>1140341</v>
      </c>
      <c r="CG224" s="2">
        <f t="shared" si="545"/>
        <v>206443</v>
      </c>
      <c r="CH224" s="2">
        <f t="shared" si="523"/>
        <v>933898</v>
      </c>
      <c r="CI224" s="2">
        <f t="shared" si="546"/>
        <v>169069</v>
      </c>
      <c r="CJ224" s="2">
        <f t="shared" si="524"/>
        <v>764829</v>
      </c>
      <c r="CK224" s="2">
        <f t="shared" si="547"/>
        <v>138462</v>
      </c>
      <c r="CL224" s="2">
        <f t="shared" si="525"/>
        <v>626367</v>
      </c>
      <c r="CM224" s="2">
        <f t="shared" si="548"/>
        <v>113395</v>
      </c>
      <c r="CN224" s="2">
        <f t="shared" si="526"/>
        <v>512972</v>
      </c>
      <c r="CO224" s="2">
        <f t="shared" si="549"/>
        <v>92867</v>
      </c>
      <c r="CP224" s="2">
        <f t="shared" si="527"/>
        <v>420105</v>
      </c>
      <c r="CQ224" s="317">
        <f t="shared" si="512"/>
        <v>41914.999999999985</v>
      </c>
      <c r="CR224" s="2">
        <f t="shared" si="528"/>
        <v>378190</v>
      </c>
      <c r="CS224" s="2">
        <v>0</v>
      </c>
      <c r="CT224" s="2">
        <f t="shared" si="529"/>
        <v>378190</v>
      </c>
      <c r="CU224" s="2">
        <v>0</v>
      </c>
      <c r="CV224" s="2">
        <f t="shared" si="530"/>
        <v>378190</v>
      </c>
      <c r="CW224" s="2">
        <v>0</v>
      </c>
      <c r="CX224" s="2">
        <f t="shared" si="531"/>
        <v>378190</v>
      </c>
      <c r="CY224" s="2">
        <v>0</v>
      </c>
      <c r="CZ224" s="2">
        <f t="shared" si="532"/>
        <v>378190</v>
      </c>
      <c r="DA224" s="2">
        <v>0</v>
      </c>
      <c r="DB224" s="2">
        <f t="shared" si="533"/>
        <v>378190</v>
      </c>
      <c r="DC224" s="2">
        <v>0</v>
      </c>
      <c r="DD224" s="2">
        <f t="shared" si="534"/>
        <v>378190</v>
      </c>
      <c r="DE224" s="2">
        <v>0</v>
      </c>
      <c r="DF224" s="2">
        <f t="shared" si="483"/>
        <v>378190</v>
      </c>
      <c r="DG224" s="2">
        <v>0</v>
      </c>
      <c r="DH224" s="2">
        <f t="shared" si="484"/>
        <v>378190</v>
      </c>
      <c r="DI224" s="2">
        <v>0</v>
      </c>
      <c r="DJ224" s="2">
        <f t="shared" si="485"/>
        <v>378190</v>
      </c>
      <c r="DK224" s="2">
        <v>0</v>
      </c>
      <c r="DL224" s="2">
        <f t="shared" si="486"/>
        <v>378190</v>
      </c>
      <c r="DM224" s="2">
        <v>0</v>
      </c>
      <c r="DN224" s="2">
        <f t="shared" si="487"/>
        <v>378190</v>
      </c>
      <c r="DO224" s="2">
        <v>0</v>
      </c>
      <c r="DP224" s="2">
        <f t="shared" si="488"/>
        <v>378190</v>
      </c>
      <c r="DQ224" s="2">
        <v>0</v>
      </c>
      <c r="DR224" s="2">
        <f t="shared" si="489"/>
        <v>378190</v>
      </c>
      <c r="DS224" s="2">
        <v>0</v>
      </c>
      <c r="DT224" s="2">
        <f t="shared" si="535"/>
        <v>378190</v>
      </c>
      <c r="DU224" s="2">
        <v>0</v>
      </c>
      <c r="DV224" s="2">
        <f t="shared" si="536"/>
        <v>378190</v>
      </c>
      <c r="DW224" s="266">
        <f t="shared" ref="DW224:DW287" si="553">+E224*5%</f>
        <v>378190</v>
      </c>
      <c r="DX224" s="441">
        <f t="shared" ref="DX224:DX259" si="554">+DW224-DR224</f>
        <v>0</v>
      </c>
    </row>
    <row r="225" spans="1:128">
      <c r="A225" s="413">
        <v>66</v>
      </c>
      <c r="B225" s="537" t="s">
        <v>889</v>
      </c>
      <c r="C225" s="433" t="s">
        <v>518</v>
      </c>
      <c r="D225" s="468">
        <v>0.18099999999999999</v>
      </c>
      <c r="E225" s="469">
        <v>33627300</v>
      </c>
      <c r="F225" s="470" t="s">
        <v>921</v>
      </c>
      <c r="G225" s="482">
        <v>43344</v>
      </c>
      <c r="H225" s="443">
        <f t="shared" si="504"/>
        <v>48822</v>
      </c>
      <c r="I225" s="267">
        <v>15</v>
      </c>
      <c r="J225" s="267">
        <f t="shared" si="505"/>
        <v>212</v>
      </c>
      <c r="K225" s="267">
        <f t="shared" si="513"/>
        <v>153</v>
      </c>
      <c r="L225" s="433"/>
      <c r="M225" s="433"/>
      <c r="N225" s="436"/>
      <c r="O225" s="436"/>
      <c r="P225" s="433"/>
      <c r="Q225" s="436"/>
      <c r="R225" s="436"/>
      <c r="S225" s="433"/>
      <c r="T225" s="436"/>
      <c r="U225" s="436"/>
      <c r="V225" s="433"/>
      <c r="W225" s="436"/>
      <c r="X225" s="436"/>
      <c r="Y225" s="433"/>
      <c r="Z225" s="436"/>
      <c r="AA225" s="436"/>
      <c r="AB225" s="433"/>
      <c r="AC225" s="436"/>
      <c r="AD225" s="436"/>
      <c r="AE225" s="436"/>
      <c r="AF225" s="436"/>
      <c r="AG225" s="436"/>
      <c r="AH225" s="436"/>
      <c r="AI225" s="439">
        <v>15</v>
      </c>
      <c r="AJ225" s="436">
        <f t="shared" si="503"/>
        <v>15</v>
      </c>
      <c r="AK225" s="440">
        <f t="shared" si="514"/>
        <v>0.18103627252208465</v>
      </c>
      <c r="AL225" s="2"/>
      <c r="AM225" s="433"/>
      <c r="AN225" s="436"/>
      <c r="AO225" s="436"/>
      <c r="AP225" s="436"/>
      <c r="AQ225" s="436"/>
      <c r="AR225" s="436"/>
      <c r="AS225" s="436"/>
      <c r="AT225" s="2"/>
      <c r="AU225" s="2"/>
      <c r="AV225" s="2"/>
      <c r="AW225" s="2"/>
      <c r="AX225" s="2"/>
      <c r="AY225" s="2"/>
      <c r="AZ225" s="433"/>
      <c r="BA225" s="2"/>
      <c r="BB225" s="2"/>
      <c r="BC225" s="2"/>
      <c r="BD225" s="2"/>
      <c r="BE225" s="2"/>
      <c r="BF225" s="433"/>
      <c r="BG225" s="2"/>
      <c r="BH225" s="2"/>
      <c r="BI225" s="2">
        <f t="shared" si="506"/>
        <v>3535905</v>
      </c>
      <c r="BJ225" s="2">
        <f t="shared" si="507"/>
        <v>30091395</v>
      </c>
      <c r="BK225" s="2">
        <f t="shared" si="508"/>
        <v>5447634</v>
      </c>
      <c r="BL225" s="2">
        <f t="shared" si="550"/>
        <v>24643761</v>
      </c>
      <c r="BM225" s="2"/>
      <c r="BN225" s="2">
        <f t="shared" si="551"/>
        <v>24643761</v>
      </c>
      <c r="BO225" s="2">
        <f t="shared" si="537"/>
        <v>4461415</v>
      </c>
      <c r="BP225" s="2">
        <f t="shared" si="515"/>
        <v>20182346</v>
      </c>
      <c r="BQ225" s="2"/>
      <c r="BR225" s="2">
        <f t="shared" si="552"/>
        <v>20182346</v>
      </c>
      <c r="BS225" s="2">
        <f t="shared" si="538"/>
        <v>3653737</v>
      </c>
      <c r="BT225" s="2">
        <f t="shared" si="516"/>
        <v>16528609</v>
      </c>
      <c r="BU225" s="2">
        <f t="shared" si="539"/>
        <v>2992278</v>
      </c>
      <c r="BV225" s="2">
        <f t="shared" si="517"/>
        <v>13536331</v>
      </c>
      <c r="BW225" s="2">
        <f t="shared" si="540"/>
        <v>2450567</v>
      </c>
      <c r="BX225" s="2">
        <f t="shared" si="518"/>
        <v>11085764</v>
      </c>
      <c r="BY225" s="2">
        <f t="shared" si="541"/>
        <v>2006925</v>
      </c>
      <c r="BZ225" s="2">
        <f t="shared" si="519"/>
        <v>9078839</v>
      </c>
      <c r="CA225" s="2">
        <f t="shared" si="542"/>
        <v>1643599</v>
      </c>
      <c r="CB225" s="2">
        <f t="shared" si="520"/>
        <v>7435240</v>
      </c>
      <c r="CC225" s="2">
        <f t="shared" si="543"/>
        <v>1346048</v>
      </c>
      <c r="CD225" s="2">
        <f t="shared" si="521"/>
        <v>6089192</v>
      </c>
      <c r="CE225" s="2">
        <f t="shared" si="544"/>
        <v>1102365</v>
      </c>
      <c r="CF225" s="2">
        <f t="shared" si="522"/>
        <v>4986827</v>
      </c>
      <c r="CG225" s="2">
        <f t="shared" si="545"/>
        <v>902797</v>
      </c>
      <c r="CH225" s="2">
        <f t="shared" si="523"/>
        <v>4084030</v>
      </c>
      <c r="CI225" s="2">
        <f t="shared" si="546"/>
        <v>739358</v>
      </c>
      <c r="CJ225" s="2">
        <f t="shared" si="524"/>
        <v>3344672</v>
      </c>
      <c r="CK225" s="2">
        <f t="shared" si="547"/>
        <v>605507</v>
      </c>
      <c r="CL225" s="2">
        <f t="shared" si="525"/>
        <v>2739165</v>
      </c>
      <c r="CM225" s="2">
        <f t="shared" si="548"/>
        <v>495888</v>
      </c>
      <c r="CN225" s="2">
        <f t="shared" si="526"/>
        <v>2243277</v>
      </c>
      <c r="CO225" s="2">
        <f t="shared" si="549"/>
        <v>406115</v>
      </c>
      <c r="CP225" s="2">
        <f t="shared" si="527"/>
        <v>1837162</v>
      </c>
      <c r="CQ225" s="317">
        <f t="shared" si="512"/>
        <v>155797.00000000003</v>
      </c>
      <c r="CR225" s="2">
        <f t="shared" si="528"/>
        <v>1681365</v>
      </c>
      <c r="CS225" s="2">
        <v>0</v>
      </c>
      <c r="CT225" s="2">
        <f t="shared" si="529"/>
        <v>1681365</v>
      </c>
      <c r="CU225" s="2">
        <v>0</v>
      </c>
      <c r="CV225" s="2">
        <f t="shared" si="530"/>
        <v>1681365</v>
      </c>
      <c r="CW225" s="2">
        <v>0</v>
      </c>
      <c r="CX225" s="2">
        <f t="shared" si="531"/>
        <v>1681365</v>
      </c>
      <c r="CY225" s="2">
        <v>0</v>
      </c>
      <c r="CZ225" s="2">
        <f t="shared" si="532"/>
        <v>1681365</v>
      </c>
      <c r="DA225" s="2">
        <v>0</v>
      </c>
      <c r="DB225" s="2">
        <f t="shared" si="533"/>
        <v>1681365</v>
      </c>
      <c r="DC225" s="2">
        <v>0</v>
      </c>
      <c r="DD225" s="2">
        <f t="shared" si="534"/>
        <v>1681365</v>
      </c>
      <c r="DE225" s="2">
        <v>0</v>
      </c>
      <c r="DF225" s="2">
        <f t="shared" ref="DF225:DF286" si="555">+DD225-DE225</f>
        <v>1681365</v>
      </c>
      <c r="DG225" s="2">
        <v>0</v>
      </c>
      <c r="DH225" s="2">
        <f t="shared" ref="DH225:DH286" si="556">+DF225-DG225</f>
        <v>1681365</v>
      </c>
      <c r="DI225" s="2">
        <v>0</v>
      </c>
      <c r="DJ225" s="2">
        <f t="shared" ref="DJ225:DJ286" si="557">+DH225-DI225</f>
        <v>1681365</v>
      </c>
      <c r="DK225" s="2">
        <v>0</v>
      </c>
      <c r="DL225" s="2">
        <f t="shared" ref="DL225:DL286" si="558">+DJ225-DK225</f>
        <v>1681365</v>
      </c>
      <c r="DM225" s="2">
        <v>0</v>
      </c>
      <c r="DN225" s="2">
        <f t="shared" ref="DN225:DN286" si="559">+DL225-DM225</f>
        <v>1681365</v>
      </c>
      <c r="DO225" s="2">
        <v>0</v>
      </c>
      <c r="DP225" s="2">
        <f t="shared" ref="DP225:DP286" si="560">+DN225-DO225</f>
        <v>1681365</v>
      </c>
      <c r="DQ225" s="2">
        <v>0</v>
      </c>
      <c r="DR225" s="2">
        <f t="shared" ref="DR225:DR286" si="561">+DP225-DQ225</f>
        <v>1681365</v>
      </c>
      <c r="DS225" s="2">
        <v>0</v>
      </c>
      <c r="DT225" s="2">
        <f t="shared" si="535"/>
        <v>1681365</v>
      </c>
      <c r="DU225" s="2">
        <v>0</v>
      </c>
      <c r="DV225" s="2">
        <f t="shared" si="536"/>
        <v>1681365</v>
      </c>
      <c r="DW225" s="266">
        <f t="shared" si="553"/>
        <v>1681365</v>
      </c>
      <c r="DX225" s="441">
        <f t="shared" si="554"/>
        <v>0</v>
      </c>
    </row>
    <row r="226" spans="1:128">
      <c r="A226" s="413">
        <v>67</v>
      </c>
      <c r="B226" s="537" t="s">
        <v>890</v>
      </c>
      <c r="C226" s="433" t="s">
        <v>518</v>
      </c>
      <c r="D226" s="468">
        <v>0.18099999999999999</v>
      </c>
      <c r="E226" s="469">
        <v>9353906</v>
      </c>
      <c r="F226" s="470" t="s">
        <v>921</v>
      </c>
      <c r="G226" s="482">
        <v>43344</v>
      </c>
      <c r="H226" s="443">
        <f t="shared" si="504"/>
        <v>48822</v>
      </c>
      <c r="I226" s="267">
        <v>15</v>
      </c>
      <c r="J226" s="267">
        <f t="shared" si="505"/>
        <v>212</v>
      </c>
      <c r="K226" s="267">
        <f t="shared" si="513"/>
        <v>153</v>
      </c>
      <c r="L226" s="433"/>
      <c r="M226" s="433"/>
      <c r="N226" s="436"/>
      <c r="O226" s="436"/>
      <c r="P226" s="433"/>
      <c r="Q226" s="436"/>
      <c r="R226" s="436"/>
      <c r="S226" s="433"/>
      <c r="T226" s="436"/>
      <c r="U226" s="436"/>
      <c r="V226" s="433"/>
      <c r="W226" s="436"/>
      <c r="X226" s="436"/>
      <c r="Y226" s="433"/>
      <c r="Z226" s="436"/>
      <c r="AA226" s="436"/>
      <c r="AB226" s="433"/>
      <c r="AC226" s="436"/>
      <c r="AD226" s="436"/>
      <c r="AE226" s="436"/>
      <c r="AF226" s="436"/>
      <c r="AG226" s="436"/>
      <c r="AH226" s="436"/>
      <c r="AI226" s="439">
        <v>15</v>
      </c>
      <c r="AJ226" s="436">
        <f t="shared" si="503"/>
        <v>15</v>
      </c>
      <c r="AK226" s="440">
        <f t="shared" si="514"/>
        <v>0.18103627252208465</v>
      </c>
      <c r="AL226" s="2"/>
      <c r="AM226" s="433"/>
      <c r="AN226" s="436"/>
      <c r="AO226" s="436"/>
      <c r="AP226" s="436"/>
      <c r="AQ226" s="436"/>
      <c r="AR226" s="436"/>
      <c r="AS226" s="436"/>
      <c r="AT226" s="2"/>
      <c r="AU226" s="2"/>
      <c r="AV226" s="2"/>
      <c r="AW226" s="2"/>
      <c r="AX226" s="2"/>
      <c r="AY226" s="2"/>
      <c r="AZ226" s="433"/>
      <c r="BA226" s="2"/>
      <c r="BB226" s="2"/>
      <c r="BC226" s="2"/>
      <c r="BD226" s="2"/>
      <c r="BE226" s="2"/>
      <c r="BF226" s="433"/>
      <c r="BG226" s="2"/>
      <c r="BH226" s="2"/>
      <c r="BI226" s="2">
        <f t="shared" si="506"/>
        <v>983562</v>
      </c>
      <c r="BJ226" s="2">
        <f t="shared" si="507"/>
        <v>8370344</v>
      </c>
      <c r="BK226" s="2">
        <f t="shared" si="508"/>
        <v>1515336</v>
      </c>
      <c r="BL226" s="2">
        <f t="shared" si="550"/>
        <v>6855008</v>
      </c>
      <c r="BM226" s="2"/>
      <c r="BN226" s="2">
        <f t="shared" si="551"/>
        <v>6855008</v>
      </c>
      <c r="BO226" s="2">
        <f t="shared" si="537"/>
        <v>1241005</v>
      </c>
      <c r="BP226" s="2">
        <f t="shared" si="515"/>
        <v>5614003</v>
      </c>
      <c r="BQ226" s="2"/>
      <c r="BR226" s="2">
        <f t="shared" si="552"/>
        <v>5614003</v>
      </c>
      <c r="BS226" s="2">
        <f t="shared" si="538"/>
        <v>1016338</v>
      </c>
      <c r="BT226" s="2">
        <f t="shared" si="516"/>
        <v>4597665</v>
      </c>
      <c r="BU226" s="2">
        <f t="shared" si="539"/>
        <v>832344</v>
      </c>
      <c r="BV226" s="2">
        <f t="shared" si="517"/>
        <v>3765321</v>
      </c>
      <c r="BW226" s="2">
        <f t="shared" si="540"/>
        <v>681660</v>
      </c>
      <c r="BX226" s="2">
        <f t="shared" si="518"/>
        <v>3083661</v>
      </c>
      <c r="BY226" s="2">
        <f t="shared" si="541"/>
        <v>558254</v>
      </c>
      <c r="BZ226" s="2">
        <f t="shared" si="519"/>
        <v>2525407</v>
      </c>
      <c r="CA226" s="2">
        <f t="shared" si="542"/>
        <v>457190</v>
      </c>
      <c r="CB226" s="2">
        <f t="shared" si="520"/>
        <v>2068217</v>
      </c>
      <c r="CC226" s="2">
        <f t="shared" si="543"/>
        <v>374422</v>
      </c>
      <c r="CD226" s="2">
        <f t="shared" si="521"/>
        <v>1693795</v>
      </c>
      <c r="CE226" s="2">
        <f t="shared" si="544"/>
        <v>306638</v>
      </c>
      <c r="CF226" s="2">
        <f t="shared" si="522"/>
        <v>1387157</v>
      </c>
      <c r="CG226" s="2">
        <f t="shared" si="545"/>
        <v>251126</v>
      </c>
      <c r="CH226" s="2">
        <f t="shared" si="523"/>
        <v>1136031</v>
      </c>
      <c r="CI226" s="2">
        <f t="shared" si="546"/>
        <v>205663</v>
      </c>
      <c r="CJ226" s="2">
        <f t="shared" si="524"/>
        <v>930368</v>
      </c>
      <c r="CK226" s="2">
        <f t="shared" si="547"/>
        <v>168430</v>
      </c>
      <c r="CL226" s="2">
        <f t="shared" si="525"/>
        <v>761938</v>
      </c>
      <c r="CM226" s="2">
        <f t="shared" si="548"/>
        <v>137938</v>
      </c>
      <c r="CN226" s="2">
        <f t="shared" si="526"/>
        <v>624000</v>
      </c>
      <c r="CO226" s="2">
        <f t="shared" si="549"/>
        <v>112967</v>
      </c>
      <c r="CP226" s="2">
        <f t="shared" si="527"/>
        <v>511033</v>
      </c>
      <c r="CQ226" s="317">
        <f t="shared" si="512"/>
        <v>43337.699999999946</v>
      </c>
      <c r="CR226" s="2">
        <f t="shared" si="528"/>
        <v>467695.30000000005</v>
      </c>
      <c r="CS226" s="2">
        <v>0</v>
      </c>
      <c r="CT226" s="2">
        <f t="shared" si="529"/>
        <v>467695.30000000005</v>
      </c>
      <c r="CU226" s="2">
        <v>0</v>
      </c>
      <c r="CV226" s="2">
        <f t="shared" si="530"/>
        <v>467695.30000000005</v>
      </c>
      <c r="CW226" s="2">
        <v>0</v>
      </c>
      <c r="CX226" s="2">
        <f t="shared" si="531"/>
        <v>467695.30000000005</v>
      </c>
      <c r="CY226" s="2">
        <v>0</v>
      </c>
      <c r="CZ226" s="2">
        <f t="shared" si="532"/>
        <v>467695.30000000005</v>
      </c>
      <c r="DA226" s="2">
        <v>0</v>
      </c>
      <c r="DB226" s="2">
        <f t="shared" si="533"/>
        <v>467695.30000000005</v>
      </c>
      <c r="DC226" s="2">
        <v>0</v>
      </c>
      <c r="DD226" s="2">
        <f t="shared" si="534"/>
        <v>467695.30000000005</v>
      </c>
      <c r="DE226" s="2">
        <v>0</v>
      </c>
      <c r="DF226" s="2">
        <f t="shared" si="555"/>
        <v>467695.30000000005</v>
      </c>
      <c r="DG226" s="2">
        <v>0</v>
      </c>
      <c r="DH226" s="2">
        <f t="shared" si="556"/>
        <v>467695.30000000005</v>
      </c>
      <c r="DI226" s="2">
        <v>0</v>
      </c>
      <c r="DJ226" s="2">
        <f t="shared" si="557"/>
        <v>467695.30000000005</v>
      </c>
      <c r="DK226" s="2">
        <v>0</v>
      </c>
      <c r="DL226" s="2">
        <f t="shared" si="558"/>
        <v>467695.30000000005</v>
      </c>
      <c r="DM226" s="2">
        <v>0</v>
      </c>
      <c r="DN226" s="2">
        <f t="shared" si="559"/>
        <v>467695.30000000005</v>
      </c>
      <c r="DO226" s="2">
        <v>0</v>
      </c>
      <c r="DP226" s="2">
        <f t="shared" si="560"/>
        <v>467695.30000000005</v>
      </c>
      <c r="DQ226" s="2">
        <v>0</v>
      </c>
      <c r="DR226" s="2">
        <f t="shared" si="561"/>
        <v>467695.30000000005</v>
      </c>
      <c r="DS226" s="2">
        <v>0</v>
      </c>
      <c r="DT226" s="2">
        <f t="shared" si="535"/>
        <v>467695.30000000005</v>
      </c>
      <c r="DU226" s="2">
        <v>0</v>
      </c>
      <c r="DV226" s="2">
        <f t="shared" si="536"/>
        <v>467695.30000000005</v>
      </c>
      <c r="DW226" s="266">
        <f t="shared" si="553"/>
        <v>467695.30000000005</v>
      </c>
      <c r="DX226" s="441">
        <f t="shared" si="554"/>
        <v>0</v>
      </c>
    </row>
    <row r="227" spans="1:128">
      <c r="A227" s="413">
        <v>68</v>
      </c>
      <c r="B227" s="537" t="s">
        <v>891</v>
      </c>
      <c r="C227" s="433" t="s">
        <v>518</v>
      </c>
      <c r="D227" s="468">
        <v>0.18099999999999999</v>
      </c>
      <c r="E227" s="469">
        <v>67206.899999999994</v>
      </c>
      <c r="F227" s="470" t="s">
        <v>921</v>
      </c>
      <c r="G227" s="482">
        <v>43344</v>
      </c>
      <c r="H227" s="443">
        <f t="shared" si="504"/>
        <v>48822</v>
      </c>
      <c r="I227" s="267">
        <v>15</v>
      </c>
      <c r="J227" s="267">
        <f t="shared" si="505"/>
        <v>212</v>
      </c>
      <c r="K227" s="267">
        <f t="shared" si="513"/>
        <v>153</v>
      </c>
      <c r="L227" s="433"/>
      <c r="M227" s="433"/>
      <c r="N227" s="436"/>
      <c r="O227" s="436"/>
      <c r="P227" s="433"/>
      <c r="Q227" s="436"/>
      <c r="R227" s="436"/>
      <c r="S227" s="433"/>
      <c r="T227" s="436"/>
      <c r="U227" s="436"/>
      <c r="V227" s="433"/>
      <c r="W227" s="436"/>
      <c r="X227" s="436"/>
      <c r="Y227" s="433"/>
      <c r="Z227" s="436"/>
      <c r="AA227" s="436"/>
      <c r="AB227" s="433"/>
      <c r="AC227" s="436"/>
      <c r="AD227" s="436"/>
      <c r="AE227" s="436"/>
      <c r="AF227" s="436"/>
      <c r="AG227" s="436"/>
      <c r="AH227" s="436"/>
      <c r="AI227" s="439">
        <v>15</v>
      </c>
      <c r="AJ227" s="436">
        <f t="shared" si="503"/>
        <v>15</v>
      </c>
      <c r="AK227" s="440">
        <f t="shared" si="514"/>
        <v>0.18103627252208465</v>
      </c>
      <c r="AL227" s="2"/>
      <c r="AM227" s="433"/>
      <c r="AN227" s="436"/>
      <c r="AO227" s="436"/>
      <c r="AP227" s="436"/>
      <c r="AQ227" s="436"/>
      <c r="AR227" s="436"/>
      <c r="AS227" s="436"/>
      <c r="AT227" s="2"/>
      <c r="AU227" s="2"/>
      <c r="AV227" s="2"/>
      <c r="AW227" s="2"/>
      <c r="AX227" s="2"/>
      <c r="AY227" s="2"/>
      <c r="AZ227" s="433"/>
      <c r="BA227" s="2"/>
      <c r="BB227" s="2"/>
      <c r="BC227" s="2"/>
      <c r="BD227" s="2"/>
      <c r="BE227" s="2"/>
      <c r="BF227" s="433"/>
      <c r="BG227" s="2"/>
      <c r="BH227" s="2"/>
      <c r="BI227" s="2">
        <f t="shared" si="506"/>
        <v>7067</v>
      </c>
      <c r="BJ227" s="2">
        <f t="shared" si="507"/>
        <v>60139.899999999994</v>
      </c>
      <c r="BK227" s="2">
        <f t="shared" si="508"/>
        <v>10888</v>
      </c>
      <c r="BL227" s="2">
        <f t="shared" si="550"/>
        <v>49251.899999999994</v>
      </c>
      <c r="BM227" s="2"/>
      <c r="BN227" s="2">
        <f t="shared" si="551"/>
        <v>49251.899999999994</v>
      </c>
      <c r="BO227" s="2">
        <f t="shared" si="537"/>
        <v>8916</v>
      </c>
      <c r="BP227" s="2">
        <f t="shared" si="515"/>
        <v>40335.899999999994</v>
      </c>
      <c r="BQ227" s="2"/>
      <c r="BR227" s="2">
        <f t="shared" si="552"/>
        <v>40335.899999999994</v>
      </c>
      <c r="BS227" s="2">
        <f t="shared" si="538"/>
        <v>7302</v>
      </c>
      <c r="BT227" s="2">
        <f t="shared" si="516"/>
        <v>33033.899999999994</v>
      </c>
      <c r="BU227" s="2">
        <f t="shared" si="539"/>
        <v>5980</v>
      </c>
      <c r="BV227" s="2">
        <f t="shared" si="517"/>
        <v>27053.899999999994</v>
      </c>
      <c r="BW227" s="2">
        <f t="shared" si="540"/>
        <v>4898</v>
      </c>
      <c r="BX227" s="2">
        <f t="shared" si="518"/>
        <v>22155.899999999994</v>
      </c>
      <c r="BY227" s="2">
        <f t="shared" si="541"/>
        <v>4011</v>
      </c>
      <c r="BZ227" s="2">
        <f t="shared" si="519"/>
        <v>18144.899999999994</v>
      </c>
      <c r="CA227" s="2">
        <f t="shared" si="542"/>
        <v>3285</v>
      </c>
      <c r="CB227" s="2">
        <f t="shared" si="520"/>
        <v>14859.899999999994</v>
      </c>
      <c r="CC227" s="2">
        <f t="shared" si="543"/>
        <v>2690</v>
      </c>
      <c r="CD227" s="2">
        <f t="shared" si="521"/>
        <v>12169.899999999994</v>
      </c>
      <c r="CE227" s="2">
        <f t="shared" si="544"/>
        <v>2203</v>
      </c>
      <c r="CF227" s="2">
        <f t="shared" si="522"/>
        <v>9966.8999999999942</v>
      </c>
      <c r="CG227" s="2">
        <f t="shared" si="545"/>
        <v>1804</v>
      </c>
      <c r="CH227" s="2">
        <f t="shared" si="523"/>
        <v>8162.8999999999942</v>
      </c>
      <c r="CI227" s="2">
        <f t="shared" si="546"/>
        <v>1478</v>
      </c>
      <c r="CJ227" s="2">
        <f t="shared" si="524"/>
        <v>6684.8999999999942</v>
      </c>
      <c r="CK227" s="2">
        <f t="shared" si="547"/>
        <v>1210</v>
      </c>
      <c r="CL227" s="2">
        <f t="shared" si="525"/>
        <v>5474.8999999999942</v>
      </c>
      <c r="CM227" s="2">
        <f t="shared" si="548"/>
        <v>991</v>
      </c>
      <c r="CN227" s="2">
        <f t="shared" si="526"/>
        <v>4483.8999999999942</v>
      </c>
      <c r="CO227" s="2">
        <f t="shared" si="549"/>
        <v>812</v>
      </c>
      <c r="CP227" s="2">
        <f t="shared" si="527"/>
        <v>3671.8999999999942</v>
      </c>
      <c r="CQ227" s="317">
        <f t="shared" si="512"/>
        <v>311.55499999999455</v>
      </c>
      <c r="CR227" s="2">
        <f t="shared" si="528"/>
        <v>3360.3449999999998</v>
      </c>
      <c r="CS227" s="2">
        <v>0</v>
      </c>
      <c r="CT227" s="2">
        <f t="shared" si="529"/>
        <v>3360.3449999999998</v>
      </c>
      <c r="CU227" s="2">
        <v>0</v>
      </c>
      <c r="CV227" s="2">
        <f t="shared" si="530"/>
        <v>3360.3449999999998</v>
      </c>
      <c r="CW227" s="2">
        <v>0</v>
      </c>
      <c r="CX227" s="2">
        <f t="shared" si="531"/>
        <v>3360.3449999999998</v>
      </c>
      <c r="CY227" s="2">
        <v>0</v>
      </c>
      <c r="CZ227" s="2">
        <f t="shared" si="532"/>
        <v>3360.3449999999998</v>
      </c>
      <c r="DA227" s="2">
        <v>0</v>
      </c>
      <c r="DB227" s="2">
        <f t="shared" si="533"/>
        <v>3360.3449999999998</v>
      </c>
      <c r="DC227" s="2">
        <v>0</v>
      </c>
      <c r="DD227" s="2">
        <f t="shared" si="534"/>
        <v>3360.3449999999998</v>
      </c>
      <c r="DE227" s="2">
        <v>0</v>
      </c>
      <c r="DF227" s="2">
        <f t="shared" si="555"/>
        <v>3360.3449999999998</v>
      </c>
      <c r="DG227" s="2">
        <v>0</v>
      </c>
      <c r="DH227" s="2">
        <f t="shared" si="556"/>
        <v>3360.3449999999998</v>
      </c>
      <c r="DI227" s="2">
        <v>0</v>
      </c>
      <c r="DJ227" s="2">
        <f t="shared" si="557"/>
        <v>3360.3449999999998</v>
      </c>
      <c r="DK227" s="2">
        <v>0</v>
      </c>
      <c r="DL227" s="2">
        <f t="shared" si="558"/>
        <v>3360.3449999999998</v>
      </c>
      <c r="DM227" s="2">
        <v>0</v>
      </c>
      <c r="DN227" s="2">
        <f t="shared" si="559"/>
        <v>3360.3449999999998</v>
      </c>
      <c r="DO227" s="2">
        <v>0</v>
      </c>
      <c r="DP227" s="2">
        <f t="shared" si="560"/>
        <v>3360.3449999999998</v>
      </c>
      <c r="DQ227" s="2">
        <v>0</v>
      </c>
      <c r="DR227" s="2">
        <f t="shared" si="561"/>
        <v>3360.3449999999998</v>
      </c>
      <c r="DS227" s="2">
        <v>0</v>
      </c>
      <c r="DT227" s="2">
        <f t="shared" si="535"/>
        <v>3360.3449999999998</v>
      </c>
      <c r="DU227" s="2">
        <v>0</v>
      </c>
      <c r="DV227" s="2">
        <f t="shared" si="536"/>
        <v>3360.3449999999998</v>
      </c>
      <c r="DW227" s="266">
        <f t="shared" si="553"/>
        <v>3360.3449999999998</v>
      </c>
      <c r="DX227" s="441">
        <f t="shared" si="554"/>
        <v>0</v>
      </c>
    </row>
    <row r="228" spans="1:128">
      <c r="A228" s="413">
        <v>69</v>
      </c>
      <c r="B228" s="537" t="s">
        <v>891</v>
      </c>
      <c r="C228" s="433" t="s">
        <v>518</v>
      </c>
      <c r="D228" s="468">
        <v>0.18099999999999999</v>
      </c>
      <c r="E228" s="469">
        <v>4130</v>
      </c>
      <c r="F228" s="470" t="s">
        <v>921</v>
      </c>
      <c r="G228" s="482">
        <v>43344</v>
      </c>
      <c r="H228" s="443">
        <f t="shared" si="504"/>
        <v>48822</v>
      </c>
      <c r="I228" s="267">
        <v>15</v>
      </c>
      <c r="J228" s="267">
        <f t="shared" si="505"/>
        <v>212</v>
      </c>
      <c r="K228" s="267">
        <f t="shared" si="513"/>
        <v>153</v>
      </c>
      <c r="L228" s="433"/>
      <c r="M228" s="433"/>
      <c r="N228" s="436"/>
      <c r="O228" s="436"/>
      <c r="P228" s="433"/>
      <c r="Q228" s="436"/>
      <c r="R228" s="436"/>
      <c r="S228" s="433"/>
      <c r="T228" s="436"/>
      <c r="U228" s="436"/>
      <c r="V228" s="433"/>
      <c r="W228" s="436"/>
      <c r="X228" s="436"/>
      <c r="Y228" s="433"/>
      <c r="Z228" s="436"/>
      <c r="AA228" s="436"/>
      <c r="AB228" s="433"/>
      <c r="AC228" s="436"/>
      <c r="AD228" s="436"/>
      <c r="AE228" s="436"/>
      <c r="AF228" s="436"/>
      <c r="AG228" s="436"/>
      <c r="AH228" s="436"/>
      <c r="AI228" s="439">
        <v>15</v>
      </c>
      <c r="AJ228" s="436">
        <f t="shared" si="503"/>
        <v>15</v>
      </c>
      <c r="AK228" s="440">
        <f t="shared" si="514"/>
        <v>0.18103627252208465</v>
      </c>
      <c r="AL228" s="2"/>
      <c r="AM228" s="433"/>
      <c r="AN228" s="436"/>
      <c r="AO228" s="436"/>
      <c r="AP228" s="436"/>
      <c r="AQ228" s="436"/>
      <c r="AR228" s="436"/>
      <c r="AS228" s="436"/>
      <c r="AT228" s="2"/>
      <c r="AU228" s="2"/>
      <c r="AV228" s="2"/>
      <c r="AW228" s="2"/>
      <c r="AX228" s="2"/>
      <c r="AY228" s="2"/>
      <c r="AZ228" s="433"/>
      <c r="BA228" s="2"/>
      <c r="BB228" s="2"/>
      <c r="BC228" s="2"/>
      <c r="BD228" s="2"/>
      <c r="BE228" s="2"/>
      <c r="BF228" s="433"/>
      <c r="BG228" s="2"/>
      <c r="BH228" s="2"/>
      <c r="BI228" s="2">
        <f t="shared" si="506"/>
        <v>434</v>
      </c>
      <c r="BJ228" s="2">
        <f t="shared" si="507"/>
        <v>3696</v>
      </c>
      <c r="BK228" s="2">
        <f t="shared" si="508"/>
        <v>669</v>
      </c>
      <c r="BL228" s="2">
        <f t="shared" si="550"/>
        <v>3027</v>
      </c>
      <c r="BM228" s="2"/>
      <c r="BN228" s="2">
        <f t="shared" si="551"/>
        <v>3027</v>
      </c>
      <c r="BO228" s="2">
        <f t="shared" si="537"/>
        <v>548</v>
      </c>
      <c r="BP228" s="2">
        <f t="shared" si="515"/>
        <v>2479</v>
      </c>
      <c r="BQ228" s="2"/>
      <c r="BR228" s="2">
        <f t="shared" si="552"/>
        <v>2479</v>
      </c>
      <c r="BS228" s="2">
        <f t="shared" si="538"/>
        <v>449</v>
      </c>
      <c r="BT228" s="2">
        <f t="shared" si="516"/>
        <v>2030</v>
      </c>
      <c r="BU228" s="2">
        <f t="shared" si="539"/>
        <v>368</v>
      </c>
      <c r="BV228" s="2">
        <f t="shared" si="517"/>
        <v>1662</v>
      </c>
      <c r="BW228" s="2">
        <f t="shared" si="540"/>
        <v>301</v>
      </c>
      <c r="BX228" s="2">
        <f t="shared" si="518"/>
        <v>1361</v>
      </c>
      <c r="BY228" s="2">
        <f t="shared" si="541"/>
        <v>246</v>
      </c>
      <c r="BZ228" s="2">
        <f t="shared" si="519"/>
        <v>1115</v>
      </c>
      <c r="CA228" s="2">
        <f t="shared" si="542"/>
        <v>202</v>
      </c>
      <c r="CB228" s="2">
        <f t="shared" si="520"/>
        <v>913</v>
      </c>
      <c r="CC228" s="2">
        <f t="shared" si="543"/>
        <v>165</v>
      </c>
      <c r="CD228" s="2">
        <f t="shared" si="521"/>
        <v>748</v>
      </c>
      <c r="CE228" s="2">
        <f t="shared" si="544"/>
        <v>135</v>
      </c>
      <c r="CF228" s="2">
        <f t="shared" si="522"/>
        <v>613</v>
      </c>
      <c r="CG228" s="2">
        <f t="shared" si="545"/>
        <v>111</v>
      </c>
      <c r="CH228" s="2">
        <f t="shared" si="523"/>
        <v>502</v>
      </c>
      <c r="CI228" s="2">
        <f t="shared" si="546"/>
        <v>91</v>
      </c>
      <c r="CJ228" s="2">
        <f t="shared" si="524"/>
        <v>411</v>
      </c>
      <c r="CK228" s="2">
        <f t="shared" si="547"/>
        <v>74</v>
      </c>
      <c r="CL228" s="2">
        <f t="shared" si="525"/>
        <v>337</v>
      </c>
      <c r="CM228" s="2">
        <f t="shared" si="548"/>
        <v>61</v>
      </c>
      <c r="CN228" s="2">
        <f t="shared" si="526"/>
        <v>276</v>
      </c>
      <c r="CO228" s="2">
        <f t="shared" si="549"/>
        <v>50</v>
      </c>
      <c r="CP228" s="2">
        <f t="shared" si="527"/>
        <v>226</v>
      </c>
      <c r="CQ228" s="317">
        <f t="shared" si="512"/>
        <v>19.499999999999993</v>
      </c>
      <c r="CR228" s="2">
        <f t="shared" si="528"/>
        <v>206.5</v>
      </c>
      <c r="CS228" s="2">
        <v>0</v>
      </c>
      <c r="CT228" s="2">
        <f t="shared" si="529"/>
        <v>206.5</v>
      </c>
      <c r="CU228" s="2">
        <v>0</v>
      </c>
      <c r="CV228" s="2">
        <f t="shared" si="530"/>
        <v>206.5</v>
      </c>
      <c r="CW228" s="2">
        <v>0</v>
      </c>
      <c r="CX228" s="2">
        <f t="shared" si="531"/>
        <v>206.5</v>
      </c>
      <c r="CY228" s="2">
        <v>0</v>
      </c>
      <c r="CZ228" s="2">
        <f t="shared" si="532"/>
        <v>206.5</v>
      </c>
      <c r="DA228" s="2">
        <v>0</v>
      </c>
      <c r="DB228" s="2">
        <f t="shared" si="533"/>
        <v>206.5</v>
      </c>
      <c r="DC228" s="2">
        <v>0</v>
      </c>
      <c r="DD228" s="2">
        <f t="shared" si="534"/>
        <v>206.5</v>
      </c>
      <c r="DE228" s="2">
        <v>0</v>
      </c>
      <c r="DF228" s="2">
        <f t="shared" si="555"/>
        <v>206.5</v>
      </c>
      <c r="DG228" s="2">
        <v>0</v>
      </c>
      <c r="DH228" s="2">
        <f t="shared" si="556"/>
        <v>206.5</v>
      </c>
      <c r="DI228" s="2">
        <v>0</v>
      </c>
      <c r="DJ228" s="2">
        <f t="shared" si="557"/>
        <v>206.5</v>
      </c>
      <c r="DK228" s="2">
        <v>0</v>
      </c>
      <c r="DL228" s="2">
        <f t="shared" si="558"/>
        <v>206.5</v>
      </c>
      <c r="DM228" s="2">
        <v>0</v>
      </c>
      <c r="DN228" s="2">
        <f t="shared" si="559"/>
        <v>206.5</v>
      </c>
      <c r="DO228" s="2">
        <v>0</v>
      </c>
      <c r="DP228" s="2">
        <f t="shared" si="560"/>
        <v>206.5</v>
      </c>
      <c r="DQ228" s="2">
        <v>0</v>
      </c>
      <c r="DR228" s="2">
        <f t="shared" si="561"/>
        <v>206.5</v>
      </c>
      <c r="DS228" s="2">
        <v>0</v>
      </c>
      <c r="DT228" s="2">
        <f t="shared" si="535"/>
        <v>206.5</v>
      </c>
      <c r="DU228" s="2">
        <v>0</v>
      </c>
      <c r="DV228" s="2">
        <f t="shared" si="536"/>
        <v>206.5</v>
      </c>
      <c r="DW228" s="266">
        <f t="shared" si="553"/>
        <v>206.5</v>
      </c>
      <c r="DX228" s="441">
        <f t="shared" si="554"/>
        <v>0</v>
      </c>
    </row>
    <row r="229" spans="1:128">
      <c r="A229" s="413">
        <v>70</v>
      </c>
      <c r="B229" s="537" t="s">
        <v>891</v>
      </c>
      <c r="C229" s="433" t="s">
        <v>518</v>
      </c>
      <c r="D229" s="468">
        <v>0.18099999999999999</v>
      </c>
      <c r="E229" s="469">
        <v>7152.4999999999991</v>
      </c>
      <c r="F229" s="470" t="s">
        <v>921</v>
      </c>
      <c r="G229" s="482">
        <v>43344</v>
      </c>
      <c r="H229" s="443">
        <f t="shared" si="504"/>
        <v>48822</v>
      </c>
      <c r="I229" s="267">
        <v>15</v>
      </c>
      <c r="J229" s="267">
        <f t="shared" si="505"/>
        <v>212</v>
      </c>
      <c r="K229" s="267">
        <f t="shared" si="513"/>
        <v>153</v>
      </c>
      <c r="L229" s="433"/>
      <c r="M229" s="433"/>
      <c r="N229" s="436"/>
      <c r="O229" s="436"/>
      <c r="P229" s="433"/>
      <c r="Q229" s="436"/>
      <c r="R229" s="436"/>
      <c r="S229" s="433"/>
      <c r="T229" s="436"/>
      <c r="U229" s="436"/>
      <c r="V229" s="433"/>
      <c r="W229" s="436"/>
      <c r="X229" s="436"/>
      <c r="Y229" s="433"/>
      <c r="Z229" s="436"/>
      <c r="AA229" s="436"/>
      <c r="AB229" s="433"/>
      <c r="AC229" s="436"/>
      <c r="AD229" s="436"/>
      <c r="AE229" s="436"/>
      <c r="AF229" s="436"/>
      <c r="AG229" s="436"/>
      <c r="AH229" s="436"/>
      <c r="AI229" s="439">
        <v>15</v>
      </c>
      <c r="AJ229" s="436">
        <f t="shared" si="503"/>
        <v>15</v>
      </c>
      <c r="AK229" s="440">
        <f t="shared" si="514"/>
        <v>0.18103627252208465</v>
      </c>
      <c r="AL229" s="2"/>
      <c r="AM229" s="433"/>
      <c r="AN229" s="436"/>
      <c r="AO229" s="436"/>
      <c r="AP229" s="436"/>
      <c r="AQ229" s="436"/>
      <c r="AR229" s="436"/>
      <c r="AS229" s="436"/>
      <c r="AT229" s="2"/>
      <c r="AU229" s="2"/>
      <c r="AV229" s="2"/>
      <c r="AW229" s="2"/>
      <c r="AX229" s="2"/>
      <c r="AY229" s="2"/>
      <c r="AZ229" s="433"/>
      <c r="BA229" s="2"/>
      <c r="BB229" s="2"/>
      <c r="BC229" s="2"/>
      <c r="BD229" s="2"/>
      <c r="BE229" s="2"/>
      <c r="BF229" s="433"/>
      <c r="BG229" s="2"/>
      <c r="BH229" s="2"/>
      <c r="BI229" s="2">
        <f t="shared" si="506"/>
        <v>752</v>
      </c>
      <c r="BJ229" s="2">
        <f t="shared" si="507"/>
        <v>6400.4999999999991</v>
      </c>
      <c r="BK229" s="2">
        <f t="shared" si="508"/>
        <v>1159</v>
      </c>
      <c r="BL229" s="2">
        <f t="shared" si="550"/>
        <v>5241.4999999999991</v>
      </c>
      <c r="BM229" s="2"/>
      <c r="BN229" s="2">
        <f t="shared" si="551"/>
        <v>5241.4999999999991</v>
      </c>
      <c r="BO229" s="2">
        <f t="shared" si="537"/>
        <v>949</v>
      </c>
      <c r="BP229" s="2">
        <f t="shared" si="515"/>
        <v>4292.4999999999991</v>
      </c>
      <c r="BQ229" s="2"/>
      <c r="BR229" s="2">
        <f t="shared" si="552"/>
        <v>4292.4999999999991</v>
      </c>
      <c r="BS229" s="2">
        <f t="shared" si="538"/>
        <v>777</v>
      </c>
      <c r="BT229" s="2">
        <f t="shared" si="516"/>
        <v>3515.4999999999991</v>
      </c>
      <c r="BU229" s="2">
        <f t="shared" si="539"/>
        <v>636</v>
      </c>
      <c r="BV229" s="2">
        <f t="shared" si="517"/>
        <v>2879.4999999999991</v>
      </c>
      <c r="BW229" s="2">
        <f t="shared" si="540"/>
        <v>521</v>
      </c>
      <c r="BX229" s="2">
        <f t="shared" si="518"/>
        <v>2358.4999999999991</v>
      </c>
      <c r="BY229" s="2">
        <f t="shared" si="541"/>
        <v>427</v>
      </c>
      <c r="BZ229" s="2">
        <f t="shared" si="519"/>
        <v>1931.4999999999991</v>
      </c>
      <c r="CA229" s="2">
        <f t="shared" si="542"/>
        <v>350</v>
      </c>
      <c r="CB229" s="2">
        <f t="shared" si="520"/>
        <v>1581.4999999999991</v>
      </c>
      <c r="CC229" s="2">
        <f t="shared" si="543"/>
        <v>286</v>
      </c>
      <c r="CD229" s="2">
        <f t="shared" si="521"/>
        <v>1295.4999999999991</v>
      </c>
      <c r="CE229" s="2">
        <f t="shared" si="544"/>
        <v>235</v>
      </c>
      <c r="CF229" s="2">
        <f t="shared" si="522"/>
        <v>1060.4999999999991</v>
      </c>
      <c r="CG229" s="2">
        <f t="shared" si="545"/>
        <v>192</v>
      </c>
      <c r="CH229" s="2">
        <f t="shared" si="523"/>
        <v>868.49999999999909</v>
      </c>
      <c r="CI229" s="2">
        <f t="shared" si="546"/>
        <v>157</v>
      </c>
      <c r="CJ229" s="2">
        <f t="shared" si="524"/>
        <v>711.49999999999909</v>
      </c>
      <c r="CK229" s="2">
        <f t="shared" si="547"/>
        <v>129</v>
      </c>
      <c r="CL229" s="2">
        <f t="shared" si="525"/>
        <v>582.49999999999909</v>
      </c>
      <c r="CM229" s="2">
        <f t="shared" si="548"/>
        <v>105</v>
      </c>
      <c r="CN229" s="2">
        <f t="shared" si="526"/>
        <v>477.49999999999909</v>
      </c>
      <c r="CO229" s="2">
        <f t="shared" si="549"/>
        <v>86</v>
      </c>
      <c r="CP229" s="2">
        <f t="shared" si="527"/>
        <v>391.49999999999909</v>
      </c>
      <c r="CQ229" s="317">
        <f t="shared" si="512"/>
        <v>33.874999999999091</v>
      </c>
      <c r="CR229" s="2">
        <f t="shared" si="528"/>
        <v>357.625</v>
      </c>
      <c r="CS229" s="2">
        <v>0</v>
      </c>
      <c r="CT229" s="2">
        <f t="shared" si="529"/>
        <v>357.625</v>
      </c>
      <c r="CU229" s="2">
        <v>0</v>
      </c>
      <c r="CV229" s="2">
        <f t="shared" si="530"/>
        <v>357.625</v>
      </c>
      <c r="CW229" s="2">
        <v>0</v>
      </c>
      <c r="CX229" s="2">
        <f t="shared" si="531"/>
        <v>357.625</v>
      </c>
      <c r="CY229" s="2">
        <v>0</v>
      </c>
      <c r="CZ229" s="2">
        <f t="shared" si="532"/>
        <v>357.625</v>
      </c>
      <c r="DA229" s="2">
        <v>0</v>
      </c>
      <c r="DB229" s="2">
        <f t="shared" si="533"/>
        <v>357.625</v>
      </c>
      <c r="DC229" s="2">
        <v>0</v>
      </c>
      <c r="DD229" s="2">
        <f t="shared" si="534"/>
        <v>357.625</v>
      </c>
      <c r="DE229" s="2">
        <v>0</v>
      </c>
      <c r="DF229" s="2">
        <f t="shared" si="555"/>
        <v>357.625</v>
      </c>
      <c r="DG229" s="2">
        <v>0</v>
      </c>
      <c r="DH229" s="2">
        <f t="shared" si="556"/>
        <v>357.625</v>
      </c>
      <c r="DI229" s="2">
        <v>0</v>
      </c>
      <c r="DJ229" s="2">
        <f t="shared" si="557"/>
        <v>357.625</v>
      </c>
      <c r="DK229" s="2">
        <v>0</v>
      </c>
      <c r="DL229" s="2">
        <f t="shared" si="558"/>
        <v>357.625</v>
      </c>
      <c r="DM229" s="2">
        <v>0</v>
      </c>
      <c r="DN229" s="2">
        <f t="shared" si="559"/>
        <v>357.625</v>
      </c>
      <c r="DO229" s="2">
        <v>0</v>
      </c>
      <c r="DP229" s="2">
        <f t="shared" si="560"/>
        <v>357.625</v>
      </c>
      <c r="DQ229" s="2">
        <v>0</v>
      </c>
      <c r="DR229" s="2">
        <f t="shared" si="561"/>
        <v>357.625</v>
      </c>
      <c r="DS229" s="2">
        <v>0</v>
      </c>
      <c r="DT229" s="2">
        <f t="shared" si="535"/>
        <v>357.625</v>
      </c>
      <c r="DU229" s="2">
        <v>0</v>
      </c>
      <c r="DV229" s="2">
        <f t="shared" si="536"/>
        <v>357.625</v>
      </c>
      <c r="DW229" s="266">
        <f t="shared" si="553"/>
        <v>357.625</v>
      </c>
      <c r="DX229" s="441">
        <f t="shared" si="554"/>
        <v>0</v>
      </c>
    </row>
    <row r="230" spans="1:128">
      <c r="A230" s="413">
        <v>71</v>
      </c>
      <c r="B230" s="537" t="s">
        <v>891</v>
      </c>
      <c r="C230" s="433" t="s">
        <v>518</v>
      </c>
      <c r="D230" s="468">
        <v>0.18099999999999999</v>
      </c>
      <c r="E230" s="469">
        <v>265046</v>
      </c>
      <c r="F230" s="470" t="s">
        <v>921</v>
      </c>
      <c r="G230" s="482">
        <v>43344</v>
      </c>
      <c r="H230" s="443">
        <f t="shared" si="504"/>
        <v>48822</v>
      </c>
      <c r="I230" s="267">
        <v>15</v>
      </c>
      <c r="J230" s="267">
        <f t="shared" si="505"/>
        <v>212</v>
      </c>
      <c r="K230" s="267">
        <f t="shared" si="513"/>
        <v>153</v>
      </c>
      <c r="L230" s="433"/>
      <c r="M230" s="433"/>
      <c r="N230" s="436"/>
      <c r="O230" s="436"/>
      <c r="P230" s="433"/>
      <c r="Q230" s="436"/>
      <c r="R230" s="436"/>
      <c r="S230" s="433"/>
      <c r="T230" s="436"/>
      <c r="U230" s="436"/>
      <c r="V230" s="433"/>
      <c r="W230" s="436"/>
      <c r="X230" s="436"/>
      <c r="Y230" s="433"/>
      <c r="Z230" s="436"/>
      <c r="AA230" s="436"/>
      <c r="AB230" s="433"/>
      <c r="AC230" s="436"/>
      <c r="AD230" s="436"/>
      <c r="AE230" s="436"/>
      <c r="AF230" s="436"/>
      <c r="AG230" s="436"/>
      <c r="AH230" s="436"/>
      <c r="AI230" s="439">
        <v>15</v>
      </c>
      <c r="AJ230" s="436">
        <f t="shared" si="503"/>
        <v>15</v>
      </c>
      <c r="AK230" s="440">
        <f t="shared" si="514"/>
        <v>0.18103627252208465</v>
      </c>
      <c r="AL230" s="2"/>
      <c r="AM230" s="433"/>
      <c r="AN230" s="436"/>
      <c r="AO230" s="436"/>
      <c r="AP230" s="436"/>
      <c r="AQ230" s="436"/>
      <c r="AR230" s="436"/>
      <c r="AS230" s="436"/>
      <c r="AT230" s="2"/>
      <c r="AU230" s="2"/>
      <c r="AV230" s="2"/>
      <c r="AW230" s="2"/>
      <c r="AX230" s="2"/>
      <c r="AY230" s="2"/>
      <c r="AZ230" s="433"/>
      <c r="BA230" s="2"/>
      <c r="BB230" s="2"/>
      <c r="BC230" s="2"/>
      <c r="BD230" s="2"/>
      <c r="BE230" s="2"/>
      <c r="BF230" s="433"/>
      <c r="BG230" s="2"/>
      <c r="BH230" s="2"/>
      <c r="BI230" s="2">
        <f t="shared" si="506"/>
        <v>27870</v>
      </c>
      <c r="BJ230" s="2">
        <f t="shared" si="507"/>
        <v>237176</v>
      </c>
      <c r="BK230" s="2">
        <f t="shared" si="508"/>
        <v>42937</v>
      </c>
      <c r="BL230" s="2">
        <f t="shared" si="550"/>
        <v>194239</v>
      </c>
      <c r="BM230" s="2"/>
      <c r="BN230" s="2">
        <f t="shared" si="551"/>
        <v>194239</v>
      </c>
      <c r="BO230" s="2">
        <f t="shared" si="537"/>
        <v>35164</v>
      </c>
      <c r="BP230" s="2">
        <f t="shared" si="515"/>
        <v>159075</v>
      </c>
      <c r="BQ230" s="2"/>
      <c r="BR230" s="2">
        <f t="shared" si="552"/>
        <v>159075</v>
      </c>
      <c r="BS230" s="2">
        <f t="shared" si="538"/>
        <v>28798</v>
      </c>
      <c r="BT230" s="2">
        <f t="shared" si="516"/>
        <v>130277</v>
      </c>
      <c r="BU230" s="2">
        <f t="shared" si="539"/>
        <v>23585</v>
      </c>
      <c r="BV230" s="2">
        <f t="shared" si="517"/>
        <v>106692</v>
      </c>
      <c r="BW230" s="2">
        <f t="shared" si="540"/>
        <v>19315</v>
      </c>
      <c r="BX230" s="2">
        <f t="shared" si="518"/>
        <v>87377</v>
      </c>
      <c r="BY230" s="2">
        <f t="shared" si="541"/>
        <v>15818</v>
      </c>
      <c r="BZ230" s="2">
        <f t="shared" si="519"/>
        <v>71559</v>
      </c>
      <c r="CA230" s="2">
        <f t="shared" si="542"/>
        <v>12955</v>
      </c>
      <c r="CB230" s="2">
        <f t="shared" si="520"/>
        <v>58604</v>
      </c>
      <c r="CC230" s="2">
        <f t="shared" si="543"/>
        <v>10609</v>
      </c>
      <c r="CD230" s="2">
        <f t="shared" si="521"/>
        <v>47995</v>
      </c>
      <c r="CE230" s="2">
        <f t="shared" si="544"/>
        <v>8689</v>
      </c>
      <c r="CF230" s="2">
        <f t="shared" si="522"/>
        <v>39306</v>
      </c>
      <c r="CG230" s="2">
        <f t="shared" si="545"/>
        <v>7116</v>
      </c>
      <c r="CH230" s="2">
        <f t="shared" si="523"/>
        <v>32190</v>
      </c>
      <c r="CI230" s="2">
        <f t="shared" si="546"/>
        <v>5828</v>
      </c>
      <c r="CJ230" s="2">
        <f t="shared" si="524"/>
        <v>26362</v>
      </c>
      <c r="CK230" s="2">
        <f t="shared" si="547"/>
        <v>4772</v>
      </c>
      <c r="CL230" s="2">
        <f t="shared" si="525"/>
        <v>21590</v>
      </c>
      <c r="CM230" s="2">
        <f t="shared" si="548"/>
        <v>3909</v>
      </c>
      <c r="CN230" s="2">
        <f t="shared" si="526"/>
        <v>17681</v>
      </c>
      <c r="CO230" s="2">
        <f t="shared" si="549"/>
        <v>3201</v>
      </c>
      <c r="CP230" s="2">
        <f t="shared" si="527"/>
        <v>14480</v>
      </c>
      <c r="CQ230" s="317">
        <f t="shared" si="512"/>
        <v>1227.6999999999982</v>
      </c>
      <c r="CR230" s="2">
        <f t="shared" si="528"/>
        <v>13252.300000000001</v>
      </c>
      <c r="CS230" s="2">
        <v>0</v>
      </c>
      <c r="CT230" s="2">
        <f t="shared" si="529"/>
        <v>13252.300000000001</v>
      </c>
      <c r="CU230" s="2">
        <v>0</v>
      </c>
      <c r="CV230" s="2">
        <f t="shared" si="530"/>
        <v>13252.300000000001</v>
      </c>
      <c r="CW230" s="2">
        <v>0</v>
      </c>
      <c r="CX230" s="2">
        <f t="shared" si="531"/>
        <v>13252.300000000001</v>
      </c>
      <c r="CY230" s="2">
        <v>0</v>
      </c>
      <c r="CZ230" s="2">
        <f t="shared" si="532"/>
        <v>13252.300000000001</v>
      </c>
      <c r="DA230" s="2">
        <v>0</v>
      </c>
      <c r="DB230" s="2">
        <f t="shared" si="533"/>
        <v>13252.300000000001</v>
      </c>
      <c r="DC230" s="2">
        <v>0</v>
      </c>
      <c r="DD230" s="2">
        <f t="shared" si="534"/>
        <v>13252.300000000001</v>
      </c>
      <c r="DE230" s="2">
        <v>0</v>
      </c>
      <c r="DF230" s="2">
        <f t="shared" si="555"/>
        <v>13252.300000000001</v>
      </c>
      <c r="DG230" s="2">
        <v>0</v>
      </c>
      <c r="DH230" s="2">
        <f t="shared" si="556"/>
        <v>13252.300000000001</v>
      </c>
      <c r="DI230" s="2">
        <v>0</v>
      </c>
      <c r="DJ230" s="2">
        <f t="shared" si="557"/>
        <v>13252.300000000001</v>
      </c>
      <c r="DK230" s="2">
        <v>0</v>
      </c>
      <c r="DL230" s="2">
        <f t="shared" si="558"/>
        <v>13252.300000000001</v>
      </c>
      <c r="DM230" s="2">
        <v>0</v>
      </c>
      <c r="DN230" s="2">
        <f t="shared" si="559"/>
        <v>13252.300000000001</v>
      </c>
      <c r="DO230" s="2">
        <v>0</v>
      </c>
      <c r="DP230" s="2">
        <f t="shared" si="560"/>
        <v>13252.300000000001</v>
      </c>
      <c r="DQ230" s="2">
        <v>0</v>
      </c>
      <c r="DR230" s="2">
        <f t="shared" si="561"/>
        <v>13252.300000000001</v>
      </c>
      <c r="DS230" s="2">
        <v>0</v>
      </c>
      <c r="DT230" s="2">
        <f t="shared" si="535"/>
        <v>13252.300000000001</v>
      </c>
      <c r="DU230" s="2">
        <v>0</v>
      </c>
      <c r="DV230" s="2">
        <f t="shared" si="536"/>
        <v>13252.300000000001</v>
      </c>
      <c r="DW230" s="266">
        <f t="shared" si="553"/>
        <v>13252.300000000001</v>
      </c>
      <c r="DX230" s="441">
        <f t="shared" si="554"/>
        <v>0</v>
      </c>
    </row>
    <row r="231" spans="1:128">
      <c r="A231" s="413">
        <v>72</v>
      </c>
      <c r="B231" s="537" t="s">
        <v>892</v>
      </c>
      <c r="C231" s="433" t="s">
        <v>518</v>
      </c>
      <c r="D231" s="468">
        <v>0.18099999999999999</v>
      </c>
      <c r="E231" s="469">
        <v>499140</v>
      </c>
      <c r="F231" s="470" t="s">
        <v>921</v>
      </c>
      <c r="G231" s="481">
        <v>43282</v>
      </c>
      <c r="H231" s="443">
        <f t="shared" si="504"/>
        <v>48760</v>
      </c>
      <c r="I231" s="267">
        <v>15</v>
      </c>
      <c r="J231" s="267">
        <f t="shared" si="505"/>
        <v>274</v>
      </c>
      <c r="K231" s="267">
        <f t="shared" si="513"/>
        <v>91</v>
      </c>
      <c r="L231" s="433"/>
      <c r="M231" s="433"/>
      <c r="N231" s="436"/>
      <c r="O231" s="436"/>
      <c r="P231" s="433"/>
      <c r="Q231" s="436"/>
      <c r="R231" s="436"/>
      <c r="S231" s="433"/>
      <c r="T231" s="436"/>
      <c r="U231" s="436"/>
      <c r="V231" s="433"/>
      <c r="W231" s="436"/>
      <c r="X231" s="436"/>
      <c r="Y231" s="433"/>
      <c r="Z231" s="436"/>
      <c r="AA231" s="436"/>
      <c r="AB231" s="433"/>
      <c r="AC231" s="436"/>
      <c r="AD231" s="436"/>
      <c r="AE231" s="436"/>
      <c r="AF231" s="436"/>
      <c r="AG231" s="436"/>
      <c r="AH231" s="436"/>
      <c r="AI231" s="439">
        <v>15</v>
      </c>
      <c r="AJ231" s="436">
        <f t="shared" si="503"/>
        <v>15</v>
      </c>
      <c r="AK231" s="440">
        <f t="shared" si="514"/>
        <v>0.18103627252208465</v>
      </c>
      <c r="AL231" s="2"/>
      <c r="AM231" s="433"/>
      <c r="AN231" s="436"/>
      <c r="AO231" s="436"/>
      <c r="AP231" s="436"/>
      <c r="AQ231" s="436"/>
      <c r="AR231" s="436"/>
      <c r="AS231" s="436"/>
      <c r="AT231" s="2"/>
      <c r="AU231" s="2"/>
      <c r="AV231" s="2"/>
      <c r="AW231" s="2"/>
      <c r="AX231" s="2"/>
      <c r="AY231" s="2"/>
      <c r="AZ231" s="433"/>
      <c r="BA231" s="2"/>
      <c r="BB231" s="2"/>
      <c r="BC231" s="2"/>
      <c r="BD231" s="2"/>
      <c r="BE231" s="2"/>
      <c r="BF231" s="433"/>
      <c r="BG231" s="2"/>
      <c r="BH231" s="2"/>
      <c r="BI231" s="2">
        <f t="shared" si="506"/>
        <v>67834</v>
      </c>
      <c r="BJ231" s="2">
        <f t="shared" si="507"/>
        <v>431306</v>
      </c>
      <c r="BK231" s="2">
        <f t="shared" si="508"/>
        <v>78082</v>
      </c>
      <c r="BL231" s="2">
        <f t="shared" si="550"/>
        <v>353224</v>
      </c>
      <c r="BM231" s="2"/>
      <c r="BN231" s="2">
        <f t="shared" si="551"/>
        <v>353224</v>
      </c>
      <c r="BO231" s="2">
        <f t="shared" si="537"/>
        <v>63946</v>
      </c>
      <c r="BP231" s="2">
        <f t="shared" si="515"/>
        <v>289278</v>
      </c>
      <c r="BQ231" s="2"/>
      <c r="BR231" s="2">
        <f t="shared" si="552"/>
        <v>289278</v>
      </c>
      <c r="BS231" s="2">
        <f t="shared" si="538"/>
        <v>52370</v>
      </c>
      <c r="BT231" s="2">
        <f t="shared" si="516"/>
        <v>236908</v>
      </c>
      <c r="BU231" s="2">
        <f t="shared" si="539"/>
        <v>42889</v>
      </c>
      <c r="BV231" s="2">
        <f t="shared" si="517"/>
        <v>194019</v>
      </c>
      <c r="BW231" s="2">
        <f t="shared" si="540"/>
        <v>35124</v>
      </c>
      <c r="BX231" s="2">
        <f t="shared" si="518"/>
        <v>158895</v>
      </c>
      <c r="BY231" s="2">
        <f t="shared" si="541"/>
        <v>28766</v>
      </c>
      <c r="BZ231" s="2">
        <f t="shared" si="519"/>
        <v>130129</v>
      </c>
      <c r="CA231" s="2">
        <f t="shared" si="542"/>
        <v>23558</v>
      </c>
      <c r="CB231" s="2">
        <f t="shared" si="520"/>
        <v>106571</v>
      </c>
      <c r="CC231" s="2">
        <f t="shared" si="543"/>
        <v>19293</v>
      </c>
      <c r="CD231" s="2">
        <f t="shared" si="521"/>
        <v>87278</v>
      </c>
      <c r="CE231" s="2">
        <f t="shared" si="544"/>
        <v>15800</v>
      </c>
      <c r="CF231" s="2">
        <f t="shared" si="522"/>
        <v>71478</v>
      </c>
      <c r="CG231" s="2">
        <f t="shared" si="545"/>
        <v>12940</v>
      </c>
      <c r="CH231" s="2">
        <f t="shared" si="523"/>
        <v>58538</v>
      </c>
      <c r="CI231" s="2">
        <f t="shared" si="546"/>
        <v>10598</v>
      </c>
      <c r="CJ231" s="2">
        <f t="shared" si="524"/>
        <v>47940</v>
      </c>
      <c r="CK231" s="2">
        <f t="shared" si="547"/>
        <v>8679</v>
      </c>
      <c r="CL231" s="2">
        <f t="shared" si="525"/>
        <v>39261</v>
      </c>
      <c r="CM231" s="2">
        <f t="shared" si="548"/>
        <v>7108</v>
      </c>
      <c r="CN231" s="2">
        <f t="shared" si="526"/>
        <v>32153</v>
      </c>
      <c r="CO231" s="2">
        <f t="shared" si="549"/>
        <v>5821</v>
      </c>
      <c r="CP231" s="2">
        <f t="shared" si="527"/>
        <v>26332</v>
      </c>
      <c r="CQ231" s="317">
        <f t="shared" si="512"/>
        <v>1375.0000000000014</v>
      </c>
      <c r="CR231" s="2">
        <f t="shared" si="528"/>
        <v>24957</v>
      </c>
      <c r="CS231" s="2">
        <v>0</v>
      </c>
      <c r="CT231" s="2">
        <f t="shared" si="529"/>
        <v>24957</v>
      </c>
      <c r="CU231" s="2">
        <v>0</v>
      </c>
      <c r="CV231" s="2">
        <f t="shared" si="530"/>
        <v>24957</v>
      </c>
      <c r="CW231" s="2">
        <v>0</v>
      </c>
      <c r="CX231" s="2">
        <f t="shared" si="531"/>
        <v>24957</v>
      </c>
      <c r="CY231" s="2">
        <v>0</v>
      </c>
      <c r="CZ231" s="2">
        <f t="shared" si="532"/>
        <v>24957</v>
      </c>
      <c r="DA231" s="2">
        <v>0</v>
      </c>
      <c r="DB231" s="2">
        <f t="shared" si="533"/>
        <v>24957</v>
      </c>
      <c r="DC231" s="2">
        <v>0</v>
      </c>
      <c r="DD231" s="2">
        <f t="shared" si="534"/>
        <v>24957</v>
      </c>
      <c r="DE231" s="2">
        <v>0</v>
      </c>
      <c r="DF231" s="2">
        <f t="shared" si="555"/>
        <v>24957</v>
      </c>
      <c r="DG231" s="2">
        <v>0</v>
      </c>
      <c r="DH231" s="2">
        <f t="shared" si="556"/>
        <v>24957</v>
      </c>
      <c r="DI231" s="2">
        <v>0</v>
      </c>
      <c r="DJ231" s="2">
        <f t="shared" si="557"/>
        <v>24957</v>
      </c>
      <c r="DK231" s="2">
        <v>0</v>
      </c>
      <c r="DL231" s="2">
        <f t="shared" si="558"/>
        <v>24957</v>
      </c>
      <c r="DM231" s="2">
        <v>0</v>
      </c>
      <c r="DN231" s="2">
        <f t="shared" si="559"/>
        <v>24957</v>
      </c>
      <c r="DO231" s="2">
        <v>0</v>
      </c>
      <c r="DP231" s="2">
        <f t="shared" si="560"/>
        <v>24957</v>
      </c>
      <c r="DQ231" s="2">
        <v>0</v>
      </c>
      <c r="DR231" s="2">
        <f t="shared" si="561"/>
        <v>24957</v>
      </c>
      <c r="DS231" s="2">
        <v>0</v>
      </c>
      <c r="DT231" s="2">
        <f t="shared" si="535"/>
        <v>24957</v>
      </c>
      <c r="DU231" s="2">
        <v>0</v>
      </c>
      <c r="DV231" s="2">
        <f t="shared" si="536"/>
        <v>24957</v>
      </c>
      <c r="DW231" s="266">
        <f t="shared" si="553"/>
        <v>24957</v>
      </c>
      <c r="DX231" s="441">
        <f t="shared" si="554"/>
        <v>0</v>
      </c>
    </row>
    <row r="232" spans="1:128">
      <c r="A232" s="413">
        <v>73</v>
      </c>
      <c r="B232" s="537" t="s">
        <v>893</v>
      </c>
      <c r="C232" s="433" t="s">
        <v>518</v>
      </c>
      <c r="D232" s="468">
        <v>0.18099999999999999</v>
      </c>
      <c r="E232" s="469">
        <v>224960</v>
      </c>
      <c r="F232" s="470" t="s">
        <v>921</v>
      </c>
      <c r="G232" s="481">
        <v>43374</v>
      </c>
      <c r="H232" s="443">
        <f t="shared" si="504"/>
        <v>48852</v>
      </c>
      <c r="I232" s="267">
        <v>15</v>
      </c>
      <c r="J232" s="267">
        <f t="shared" si="505"/>
        <v>182</v>
      </c>
      <c r="K232" s="267">
        <f t="shared" si="513"/>
        <v>183</v>
      </c>
      <c r="L232" s="433"/>
      <c r="M232" s="433"/>
      <c r="N232" s="436"/>
      <c r="O232" s="436"/>
      <c r="P232" s="433"/>
      <c r="Q232" s="436"/>
      <c r="R232" s="436"/>
      <c r="S232" s="433"/>
      <c r="T232" s="436"/>
      <c r="U232" s="436"/>
      <c r="V232" s="433"/>
      <c r="W232" s="436"/>
      <c r="X232" s="436"/>
      <c r="Y232" s="433"/>
      <c r="Z232" s="436"/>
      <c r="AA232" s="436"/>
      <c r="AB232" s="433"/>
      <c r="AC232" s="436"/>
      <c r="AD232" s="436"/>
      <c r="AE232" s="436"/>
      <c r="AF232" s="436"/>
      <c r="AG232" s="436"/>
      <c r="AH232" s="436"/>
      <c r="AI232" s="439">
        <v>15</v>
      </c>
      <c r="AJ232" s="436">
        <f t="shared" si="503"/>
        <v>15</v>
      </c>
      <c r="AK232" s="440">
        <f t="shared" si="514"/>
        <v>0.18103627252208465</v>
      </c>
      <c r="AL232" s="2"/>
      <c r="AM232" s="433"/>
      <c r="AN232" s="436"/>
      <c r="AO232" s="436"/>
      <c r="AP232" s="436"/>
      <c r="AQ232" s="436"/>
      <c r="AR232" s="436"/>
      <c r="AS232" s="436"/>
      <c r="AT232" s="2"/>
      <c r="AU232" s="2"/>
      <c r="AV232" s="2"/>
      <c r="AW232" s="2"/>
      <c r="AX232" s="2"/>
      <c r="AY232" s="2"/>
      <c r="AZ232" s="433"/>
      <c r="BA232" s="2"/>
      <c r="BB232" s="2"/>
      <c r="BC232" s="2"/>
      <c r="BD232" s="2"/>
      <c r="BE232" s="2"/>
      <c r="BF232" s="433"/>
      <c r="BG232" s="2"/>
      <c r="BH232" s="2"/>
      <c r="BI232" s="2">
        <f t="shared" si="506"/>
        <v>20307</v>
      </c>
      <c r="BJ232" s="2">
        <f t="shared" si="507"/>
        <v>204653</v>
      </c>
      <c r="BK232" s="2">
        <f t="shared" si="508"/>
        <v>37050</v>
      </c>
      <c r="BL232" s="2">
        <f t="shared" si="550"/>
        <v>167603</v>
      </c>
      <c r="BM232" s="2"/>
      <c r="BN232" s="2">
        <f t="shared" si="551"/>
        <v>167603</v>
      </c>
      <c r="BO232" s="2">
        <f t="shared" si="537"/>
        <v>30342</v>
      </c>
      <c r="BP232" s="2">
        <f t="shared" si="515"/>
        <v>137261</v>
      </c>
      <c r="BQ232" s="2"/>
      <c r="BR232" s="2">
        <f t="shared" si="552"/>
        <v>137261</v>
      </c>
      <c r="BS232" s="2">
        <f t="shared" si="538"/>
        <v>24849</v>
      </c>
      <c r="BT232" s="2">
        <f t="shared" si="516"/>
        <v>112412</v>
      </c>
      <c r="BU232" s="2">
        <f t="shared" si="539"/>
        <v>20351</v>
      </c>
      <c r="BV232" s="2">
        <f t="shared" si="517"/>
        <v>92061</v>
      </c>
      <c r="BW232" s="2">
        <f t="shared" si="540"/>
        <v>16666</v>
      </c>
      <c r="BX232" s="2">
        <f t="shared" si="518"/>
        <v>75395</v>
      </c>
      <c r="BY232" s="2">
        <f t="shared" si="541"/>
        <v>13649</v>
      </c>
      <c r="BZ232" s="2">
        <f t="shared" si="519"/>
        <v>61746</v>
      </c>
      <c r="CA232" s="2">
        <f t="shared" si="542"/>
        <v>11178</v>
      </c>
      <c r="CB232" s="2">
        <f t="shared" si="520"/>
        <v>50568</v>
      </c>
      <c r="CC232" s="2">
        <f t="shared" si="543"/>
        <v>9155</v>
      </c>
      <c r="CD232" s="2">
        <f t="shared" si="521"/>
        <v>41413</v>
      </c>
      <c r="CE232" s="2">
        <f t="shared" si="544"/>
        <v>7497</v>
      </c>
      <c r="CF232" s="2">
        <f t="shared" si="522"/>
        <v>33916</v>
      </c>
      <c r="CG232" s="2">
        <f t="shared" si="545"/>
        <v>6140</v>
      </c>
      <c r="CH232" s="2">
        <f t="shared" si="523"/>
        <v>27776</v>
      </c>
      <c r="CI232" s="2">
        <f t="shared" si="546"/>
        <v>5028</v>
      </c>
      <c r="CJ232" s="2">
        <f t="shared" si="524"/>
        <v>22748</v>
      </c>
      <c r="CK232" s="2">
        <f t="shared" si="547"/>
        <v>4118</v>
      </c>
      <c r="CL232" s="2">
        <f t="shared" si="525"/>
        <v>18630</v>
      </c>
      <c r="CM232" s="2">
        <f t="shared" si="548"/>
        <v>3373</v>
      </c>
      <c r="CN232" s="2">
        <f t="shared" si="526"/>
        <v>15257</v>
      </c>
      <c r="CO232" s="2">
        <f t="shared" si="549"/>
        <v>2762</v>
      </c>
      <c r="CP232" s="2">
        <f t="shared" si="527"/>
        <v>12495</v>
      </c>
      <c r="CQ232" s="317">
        <f t="shared" si="512"/>
        <v>1247.0000000000002</v>
      </c>
      <c r="CR232" s="2">
        <f t="shared" si="528"/>
        <v>11248</v>
      </c>
      <c r="CS232" s="2">
        <v>0</v>
      </c>
      <c r="CT232" s="2">
        <f t="shared" si="529"/>
        <v>11248</v>
      </c>
      <c r="CU232" s="2">
        <v>0</v>
      </c>
      <c r="CV232" s="2">
        <f t="shared" si="530"/>
        <v>11248</v>
      </c>
      <c r="CW232" s="2">
        <v>0</v>
      </c>
      <c r="CX232" s="2">
        <f t="shared" si="531"/>
        <v>11248</v>
      </c>
      <c r="CY232" s="2">
        <v>0</v>
      </c>
      <c r="CZ232" s="2">
        <f t="shared" si="532"/>
        <v>11248</v>
      </c>
      <c r="DA232" s="2">
        <v>0</v>
      </c>
      <c r="DB232" s="2">
        <f t="shared" si="533"/>
        <v>11248</v>
      </c>
      <c r="DC232" s="2">
        <v>0</v>
      </c>
      <c r="DD232" s="2">
        <f t="shared" si="534"/>
        <v>11248</v>
      </c>
      <c r="DE232" s="2">
        <v>0</v>
      </c>
      <c r="DF232" s="2">
        <f t="shared" si="555"/>
        <v>11248</v>
      </c>
      <c r="DG232" s="2">
        <v>0</v>
      </c>
      <c r="DH232" s="2">
        <f t="shared" si="556"/>
        <v>11248</v>
      </c>
      <c r="DI232" s="2">
        <v>0</v>
      </c>
      <c r="DJ232" s="2">
        <f t="shared" si="557"/>
        <v>11248</v>
      </c>
      <c r="DK232" s="2">
        <v>0</v>
      </c>
      <c r="DL232" s="2">
        <f t="shared" si="558"/>
        <v>11248</v>
      </c>
      <c r="DM232" s="2">
        <v>0</v>
      </c>
      <c r="DN232" s="2">
        <f t="shared" si="559"/>
        <v>11248</v>
      </c>
      <c r="DO232" s="2">
        <v>0</v>
      </c>
      <c r="DP232" s="2">
        <f t="shared" si="560"/>
        <v>11248</v>
      </c>
      <c r="DQ232" s="2">
        <v>0</v>
      </c>
      <c r="DR232" s="2">
        <f t="shared" si="561"/>
        <v>11248</v>
      </c>
      <c r="DS232" s="2">
        <v>0</v>
      </c>
      <c r="DT232" s="2">
        <f t="shared" si="535"/>
        <v>11248</v>
      </c>
      <c r="DU232" s="2">
        <v>0</v>
      </c>
      <c r="DV232" s="2">
        <f t="shared" si="536"/>
        <v>11248</v>
      </c>
      <c r="DW232" s="266">
        <f t="shared" si="553"/>
        <v>11248</v>
      </c>
      <c r="DX232" s="441">
        <f t="shared" si="554"/>
        <v>0</v>
      </c>
    </row>
    <row r="233" spans="1:128">
      <c r="A233" s="413">
        <v>74</v>
      </c>
      <c r="B233" s="537" t="s">
        <v>894</v>
      </c>
      <c r="C233" s="433" t="s">
        <v>518</v>
      </c>
      <c r="D233" s="468">
        <v>0.18099999999999999</v>
      </c>
      <c r="E233" s="469">
        <v>577020</v>
      </c>
      <c r="F233" s="470" t="s">
        <v>921</v>
      </c>
      <c r="G233" s="481">
        <v>43282</v>
      </c>
      <c r="H233" s="443">
        <f t="shared" si="504"/>
        <v>48760</v>
      </c>
      <c r="I233" s="267">
        <v>15</v>
      </c>
      <c r="J233" s="267">
        <f t="shared" si="505"/>
        <v>274</v>
      </c>
      <c r="K233" s="267">
        <f t="shared" si="513"/>
        <v>91</v>
      </c>
      <c r="L233" s="433"/>
      <c r="M233" s="433"/>
      <c r="N233" s="436"/>
      <c r="O233" s="436"/>
      <c r="P233" s="433"/>
      <c r="Q233" s="436"/>
      <c r="R233" s="436"/>
      <c r="S233" s="433"/>
      <c r="T233" s="436"/>
      <c r="U233" s="436"/>
      <c r="V233" s="433"/>
      <c r="W233" s="436"/>
      <c r="X233" s="436"/>
      <c r="Y233" s="433"/>
      <c r="Z233" s="436"/>
      <c r="AA233" s="436"/>
      <c r="AB233" s="433"/>
      <c r="AC233" s="436"/>
      <c r="AD233" s="436"/>
      <c r="AE233" s="436"/>
      <c r="AF233" s="436"/>
      <c r="AG233" s="436"/>
      <c r="AH233" s="436"/>
      <c r="AI233" s="439">
        <v>15</v>
      </c>
      <c r="AJ233" s="436">
        <f t="shared" si="503"/>
        <v>15</v>
      </c>
      <c r="AK233" s="440">
        <f t="shared" si="514"/>
        <v>0.18103627252208465</v>
      </c>
      <c r="AL233" s="2"/>
      <c r="AM233" s="433"/>
      <c r="AN233" s="436"/>
      <c r="AO233" s="436"/>
      <c r="AP233" s="436"/>
      <c r="AQ233" s="436"/>
      <c r="AR233" s="436"/>
      <c r="AS233" s="436"/>
      <c r="AT233" s="2"/>
      <c r="AU233" s="2"/>
      <c r="AV233" s="2"/>
      <c r="AW233" s="2"/>
      <c r="AX233" s="2"/>
      <c r="AY233" s="2"/>
      <c r="AZ233" s="433"/>
      <c r="BA233" s="2"/>
      <c r="BB233" s="2"/>
      <c r="BC233" s="2"/>
      <c r="BD233" s="2"/>
      <c r="BE233" s="2"/>
      <c r="BF233" s="433"/>
      <c r="BG233" s="2"/>
      <c r="BH233" s="2"/>
      <c r="BI233" s="2">
        <f t="shared" si="506"/>
        <v>78418</v>
      </c>
      <c r="BJ233" s="2">
        <f t="shared" si="507"/>
        <v>498602</v>
      </c>
      <c r="BK233" s="2">
        <f t="shared" si="508"/>
        <v>90265</v>
      </c>
      <c r="BL233" s="2">
        <f t="shared" si="550"/>
        <v>408337</v>
      </c>
      <c r="BM233" s="2"/>
      <c r="BN233" s="2">
        <f t="shared" si="551"/>
        <v>408337</v>
      </c>
      <c r="BO233" s="2">
        <f t="shared" si="537"/>
        <v>73924</v>
      </c>
      <c r="BP233" s="2">
        <f t="shared" si="515"/>
        <v>334413</v>
      </c>
      <c r="BQ233" s="2"/>
      <c r="BR233" s="2">
        <f t="shared" si="552"/>
        <v>334413</v>
      </c>
      <c r="BS233" s="2">
        <f t="shared" si="538"/>
        <v>60541</v>
      </c>
      <c r="BT233" s="2">
        <f t="shared" si="516"/>
        <v>273872</v>
      </c>
      <c r="BU233" s="2">
        <f t="shared" si="539"/>
        <v>49581</v>
      </c>
      <c r="BV233" s="2">
        <f t="shared" si="517"/>
        <v>224291</v>
      </c>
      <c r="BW233" s="2">
        <f t="shared" si="540"/>
        <v>40605</v>
      </c>
      <c r="BX233" s="2">
        <f t="shared" si="518"/>
        <v>183686</v>
      </c>
      <c r="BY233" s="2">
        <f t="shared" si="541"/>
        <v>33254</v>
      </c>
      <c r="BZ233" s="2">
        <f t="shared" si="519"/>
        <v>150432</v>
      </c>
      <c r="CA233" s="2">
        <f t="shared" si="542"/>
        <v>27234</v>
      </c>
      <c r="CB233" s="2">
        <f t="shared" si="520"/>
        <v>123198</v>
      </c>
      <c r="CC233" s="2">
        <f t="shared" si="543"/>
        <v>22303</v>
      </c>
      <c r="CD233" s="2">
        <f t="shared" si="521"/>
        <v>100895</v>
      </c>
      <c r="CE233" s="2">
        <f t="shared" si="544"/>
        <v>18266</v>
      </c>
      <c r="CF233" s="2">
        <f t="shared" si="522"/>
        <v>82629</v>
      </c>
      <c r="CG233" s="2">
        <f t="shared" si="545"/>
        <v>14959</v>
      </c>
      <c r="CH233" s="2">
        <f t="shared" si="523"/>
        <v>67670</v>
      </c>
      <c r="CI233" s="2">
        <f t="shared" si="546"/>
        <v>12251</v>
      </c>
      <c r="CJ233" s="2">
        <f t="shared" si="524"/>
        <v>55419</v>
      </c>
      <c r="CK233" s="2">
        <f t="shared" si="547"/>
        <v>10033</v>
      </c>
      <c r="CL233" s="2">
        <f t="shared" si="525"/>
        <v>45386</v>
      </c>
      <c r="CM233" s="2">
        <f t="shared" si="548"/>
        <v>8217</v>
      </c>
      <c r="CN233" s="2">
        <f t="shared" si="526"/>
        <v>37169</v>
      </c>
      <c r="CO233" s="2">
        <f t="shared" si="549"/>
        <v>6729</v>
      </c>
      <c r="CP233" s="2">
        <f t="shared" si="527"/>
        <v>30440</v>
      </c>
      <c r="CQ233" s="317">
        <f t="shared" si="512"/>
        <v>1588.9999999999989</v>
      </c>
      <c r="CR233" s="2">
        <f t="shared" si="528"/>
        <v>28851</v>
      </c>
      <c r="CS233" s="2">
        <v>0</v>
      </c>
      <c r="CT233" s="2">
        <f t="shared" si="529"/>
        <v>28851</v>
      </c>
      <c r="CU233" s="2">
        <v>0</v>
      </c>
      <c r="CV233" s="2">
        <f t="shared" si="530"/>
        <v>28851</v>
      </c>
      <c r="CW233" s="2">
        <v>0</v>
      </c>
      <c r="CX233" s="2">
        <f t="shared" si="531"/>
        <v>28851</v>
      </c>
      <c r="CY233" s="2">
        <v>0</v>
      </c>
      <c r="CZ233" s="2">
        <f t="shared" si="532"/>
        <v>28851</v>
      </c>
      <c r="DA233" s="2">
        <v>0</v>
      </c>
      <c r="DB233" s="2">
        <f t="shared" si="533"/>
        <v>28851</v>
      </c>
      <c r="DC233" s="2">
        <v>0</v>
      </c>
      <c r="DD233" s="2">
        <f t="shared" si="534"/>
        <v>28851</v>
      </c>
      <c r="DE233" s="2">
        <v>0</v>
      </c>
      <c r="DF233" s="2">
        <f t="shared" si="555"/>
        <v>28851</v>
      </c>
      <c r="DG233" s="2">
        <v>0</v>
      </c>
      <c r="DH233" s="2">
        <f t="shared" si="556"/>
        <v>28851</v>
      </c>
      <c r="DI233" s="2">
        <v>0</v>
      </c>
      <c r="DJ233" s="2">
        <f t="shared" si="557"/>
        <v>28851</v>
      </c>
      <c r="DK233" s="2">
        <v>0</v>
      </c>
      <c r="DL233" s="2">
        <f t="shared" si="558"/>
        <v>28851</v>
      </c>
      <c r="DM233" s="2">
        <v>0</v>
      </c>
      <c r="DN233" s="2">
        <f t="shared" si="559"/>
        <v>28851</v>
      </c>
      <c r="DO233" s="2">
        <v>0</v>
      </c>
      <c r="DP233" s="2">
        <f t="shared" si="560"/>
        <v>28851</v>
      </c>
      <c r="DQ233" s="2">
        <v>0</v>
      </c>
      <c r="DR233" s="2">
        <f t="shared" si="561"/>
        <v>28851</v>
      </c>
      <c r="DS233" s="2">
        <v>0</v>
      </c>
      <c r="DT233" s="2">
        <f t="shared" si="535"/>
        <v>28851</v>
      </c>
      <c r="DU233" s="2">
        <v>0</v>
      </c>
      <c r="DV233" s="2">
        <f t="shared" si="536"/>
        <v>28851</v>
      </c>
      <c r="DW233" s="266">
        <f t="shared" si="553"/>
        <v>28851</v>
      </c>
      <c r="DX233" s="441">
        <f t="shared" si="554"/>
        <v>0</v>
      </c>
    </row>
    <row r="234" spans="1:128">
      <c r="A234" s="413">
        <v>75</v>
      </c>
      <c r="B234" s="537" t="s">
        <v>539</v>
      </c>
      <c r="C234" s="433" t="s">
        <v>518</v>
      </c>
      <c r="D234" s="468">
        <v>0.18099999999999999</v>
      </c>
      <c r="E234" s="469">
        <v>29500</v>
      </c>
      <c r="F234" s="470" t="s">
        <v>921</v>
      </c>
      <c r="G234" s="481">
        <v>43282</v>
      </c>
      <c r="H234" s="443">
        <f t="shared" si="504"/>
        <v>48760</v>
      </c>
      <c r="I234" s="267">
        <v>15</v>
      </c>
      <c r="J234" s="267">
        <f t="shared" si="505"/>
        <v>274</v>
      </c>
      <c r="K234" s="267">
        <f t="shared" si="513"/>
        <v>91</v>
      </c>
      <c r="L234" s="433"/>
      <c r="M234" s="433"/>
      <c r="N234" s="436"/>
      <c r="O234" s="436"/>
      <c r="P234" s="433"/>
      <c r="Q234" s="436"/>
      <c r="R234" s="436"/>
      <c r="S234" s="433"/>
      <c r="T234" s="436"/>
      <c r="U234" s="436"/>
      <c r="V234" s="433"/>
      <c r="W234" s="436"/>
      <c r="X234" s="436"/>
      <c r="Y234" s="433"/>
      <c r="Z234" s="436"/>
      <c r="AA234" s="436"/>
      <c r="AB234" s="433"/>
      <c r="AC234" s="436"/>
      <c r="AD234" s="436"/>
      <c r="AE234" s="436"/>
      <c r="AF234" s="436"/>
      <c r="AG234" s="436"/>
      <c r="AH234" s="436"/>
      <c r="AI234" s="439">
        <v>15</v>
      </c>
      <c r="AJ234" s="436">
        <f t="shared" si="503"/>
        <v>15</v>
      </c>
      <c r="AK234" s="440">
        <f t="shared" si="514"/>
        <v>0.18103627252208465</v>
      </c>
      <c r="AL234" s="2"/>
      <c r="AM234" s="433"/>
      <c r="AN234" s="436"/>
      <c r="AO234" s="436"/>
      <c r="AP234" s="436"/>
      <c r="AQ234" s="436"/>
      <c r="AR234" s="436"/>
      <c r="AS234" s="436"/>
      <c r="AT234" s="2"/>
      <c r="AU234" s="2"/>
      <c r="AV234" s="2"/>
      <c r="AW234" s="2"/>
      <c r="AX234" s="2"/>
      <c r="AY234" s="2"/>
      <c r="AZ234" s="433"/>
      <c r="BA234" s="2"/>
      <c r="BB234" s="2"/>
      <c r="BC234" s="2"/>
      <c r="BD234" s="2"/>
      <c r="BE234" s="2"/>
      <c r="BF234" s="433"/>
      <c r="BG234" s="2"/>
      <c r="BH234" s="2"/>
      <c r="BI234" s="2">
        <f t="shared" si="506"/>
        <v>4009</v>
      </c>
      <c r="BJ234" s="2">
        <f t="shared" si="507"/>
        <v>25491</v>
      </c>
      <c r="BK234" s="2">
        <f t="shared" si="508"/>
        <v>4615</v>
      </c>
      <c r="BL234" s="2">
        <f t="shared" si="550"/>
        <v>20876</v>
      </c>
      <c r="BM234" s="2"/>
      <c r="BN234" s="2">
        <f t="shared" si="551"/>
        <v>20876</v>
      </c>
      <c r="BO234" s="2">
        <f t="shared" si="537"/>
        <v>3779</v>
      </c>
      <c r="BP234" s="2">
        <f t="shared" si="515"/>
        <v>17097</v>
      </c>
      <c r="BQ234" s="2"/>
      <c r="BR234" s="2">
        <f t="shared" si="552"/>
        <v>17097</v>
      </c>
      <c r="BS234" s="2">
        <f t="shared" si="538"/>
        <v>3095</v>
      </c>
      <c r="BT234" s="2">
        <f t="shared" si="516"/>
        <v>14002</v>
      </c>
      <c r="BU234" s="2">
        <f t="shared" si="539"/>
        <v>2535</v>
      </c>
      <c r="BV234" s="2">
        <f t="shared" si="517"/>
        <v>11467</v>
      </c>
      <c r="BW234" s="2">
        <f t="shared" si="540"/>
        <v>2076</v>
      </c>
      <c r="BX234" s="2">
        <f t="shared" si="518"/>
        <v>9391</v>
      </c>
      <c r="BY234" s="2">
        <f t="shared" si="541"/>
        <v>1700</v>
      </c>
      <c r="BZ234" s="2">
        <f t="shared" si="519"/>
        <v>7691</v>
      </c>
      <c r="CA234" s="2">
        <f t="shared" si="542"/>
        <v>1392</v>
      </c>
      <c r="CB234" s="2">
        <f t="shared" si="520"/>
        <v>6299</v>
      </c>
      <c r="CC234" s="2">
        <f t="shared" si="543"/>
        <v>1140</v>
      </c>
      <c r="CD234" s="2">
        <f t="shared" si="521"/>
        <v>5159</v>
      </c>
      <c r="CE234" s="2">
        <f t="shared" si="544"/>
        <v>934</v>
      </c>
      <c r="CF234" s="2">
        <f t="shared" si="522"/>
        <v>4225</v>
      </c>
      <c r="CG234" s="2">
        <f t="shared" si="545"/>
        <v>765</v>
      </c>
      <c r="CH234" s="2">
        <f t="shared" si="523"/>
        <v>3460</v>
      </c>
      <c r="CI234" s="2">
        <f t="shared" si="546"/>
        <v>626</v>
      </c>
      <c r="CJ234" s="2">
        <f t="shared" si="524"/>
        <v>2834</v>
      </c>
      <c r="CK234" s="2">
        <f t="shared" si="547"/>
        <v>513</v>
      </c>
      <c r="CL234" s="2">
        <f t="shared" si="525"/>
        <v>2321</v>
      </c>
      <c r="CM234" s="2">
        <f t="shared" si="548"/>
        <v>420</v>
      </c>
      <c r="CN234" s="2">
        <f t="shared" si="526"/>
        <v>1901</v>
      </c>
      <c r="CO234" s="2">
        <f t="shared" si="549"/>
        <v>344</v>
      </c>
      <c r="CP234" s="2">
        <f t="shared" si="527"/>
        <v>1557</v>
      </c>
      <c r="CQ234" s="317">
        <f t="shared" si="512"/>
        <v>82</v>
      </c>
      <c r="CR234" s="2">
        <f t="shared" si="528"/>
        <v>1475</v>
      </c>
      <c r="CS234" s="2">
        <v>0</v>
      </c>
      <c r="CT234" s="2">
        <f t="shared" si="529"/>
        <v>1475</v>
      </c>
      <c r="CU234" s="2">
        <v>0</v>
      </c>
      <c r="CV234" s="2">
        <f t="shared" si="530"/>
        <v>1475</v>
      </c>
      <c r="CW234" s="2">
        <v>0</v>
      </c>
      <c r="CX234" s="2">
        <f t="shared" si="531"/>
        <v>1475</v>
      </c>
      <c r="CY234" s="2">
        <v>0</v>
      </c>
      <c r="CZ234" s="2">
        <f t="shared" si="532"/>
        <v>1475</v>
      </c>
      <c r="DA234" s="2">
        <v>0</v>
      </c>
      <c r="DB234" s="2">
        <f t="shared" si="533"/>
        <v>1475</v>
      </c>
      <c r="DC234" s="2">
        <v>0</v>
      </c>
      <c r="DD234" s="2">
        <f t="shared" si="534"/>
        <v>1475</v>
      </c>
      <c r="DE234" s="2">
        <v>0</v>
      </c>
      <c r="DF234" s="2">
        <f t="shared" si="555"/>
        <v>1475</v>
      </c>
      <c r="DG234" s="2">
        <v>0</v>
      </c>
      <c r="DH234" s="2">
        <f t="shared" si="556"/>
        <v>1475</v>
      </c>
      <c r="DI234" s="2">
        <v>0</v>
      </c>
      <c r="DJ234" s="2">
        <f t="shared" si="557"/>
        <v>1475</v>
      </c>
      <c r="DK234" s="2">
        <v>0</v>
      </c>
      <c r="DL234" s="2">
        <f t="shared" si="558"/>
        <v>1475</v>
      </c>
      <c r="DM234" s="2">
        <v>0</v>
      </c>
      <c r="DN234" s="2">
        <f t="shared" si="559"/>
        <v>1475</v>
      </c>
      <c r="DO234" s="2">
        <v>0</v>
      </c>
      <c r="DP234" s="2">
        <f t="shared" si="560"/>
        <v>1475</v>
      </c>
      <c r="DQ234" s="2">
        <v>0</v>
      </c>
      <c r="DR234" s="2">
        <f t="shared" si="561"/>
        <v>1475</v>
      </c>
      <c r="DS234" s="2">
        <v>0</v>
      </c>
      <c r="DT234" s="2">
        <f t="shared" si="535"/>
        <v>1475</v>
      </c>
      <c r="DU234" s="2">
        <v>0</v>
      </c>
      <c r="DV234" s="2">
        <f t="shared" si="536"/>
        <v>1475</v>
      </c>
      <c r="DW234" s="266">
        <f t="shared" si="553"/>
        <v>1475</v>
      </c>
      <c r="DX234" s="441">
        <f t="shared" si="554"/>
        <v>0</v>
      </c>
    </row>
    <row r="235" spans="1:128">
      <c r="A235" s="413">
        <v>76</v>
      </c>
      <c r="B235" s="537" t="s">
        <v>894</v>
      </c>
      <c r="C235" s="433" t="s">
        <v>518</v>
      </c>
      <c r="D235" s="468">
        <v>0.18099999999999999</v>
      </c>
      <c r="E235" s="469">
        <v>314470</v>
      </c>
      <c r="F235" s="470" t="s">
        <v>921</v>
      </c>
      <c r="G235" s="481">
        <v>43282</v>
      </c>
      <c r="H235" s="443">
        <f t="shared" si="504"/>
        <v>48760</v>
      </c>
      <c r="I235" s="267">
        <v>15</v>
      </c>
      <c r="J235" s="267">
        <f t="shared" si="505"/>
        <v>274</v>
      </c>
      <c r="K235" s="267">
        <f t="shared" si="513"/>
        <v>91</v>
      </c>
      <c r="L235" s="433"/>
      <c r="M235" s="433"/>
      <c r="N235" s="436"/>
      <c r="O235" s="436"/>
      <c r="P235" s="433"/>
      <c r="Q235" s="436"/>
      <c r="R235" s="436"/>
      <c r="S235" s="433"/>
      <c r="T235" s="436"/>
      <c r="U235" s="436"/>
      <c r="V235" s="433"/>
      <c r="W235" s="436"/>
      <c r="X235" s="436"/>
      <c r="Y235" s="433"/>
      <c r="Z235" s="436"/>
      <c r="AA235" s="436"/>
      <c r="AB235" s="433"/>
      <c r="AC235" s="436"/>
      <c r="AD235" s="436"/>
      <c r="AE235" s="436"/>
      <c r="AF235" s="436"/>
      <c r="AG235" s="436"/>
      <c r="AH235" s="436"/>
      <c r="AI235" s="439">
        <v>15</v>
      </c>
      <c r="AJ235" s="436">
        <f t="shared" si="503"/>
        <v>15</v>
      </c>
      <c r="AK235" s="440">
        <f t="shared" si="514"/>
        <v>0.18103627252208465</v>
      </c>
      <c r="AL235" s="2"/>
      <c r="AM235" s="433"/>
      <c r="AN235" s="436"/>
      <c r="AO235" s="436"/>
      <c r="AP235" s="436"/>
      <c r="AQ235" s="436"/>
      <c r="AR235" s="436"/>
      <c r="AS235" s="436"/>
      <c r="AT235" s="2"/>
      <c r="AU235" s="2"/>
      <c r="AV235" s="2"/>
      <c r="AW235" s="2"/>
      <c r="AX235" s="2"/>
      <c r="AY235" s="2"/>
      <c r="AZ235" s="433"/>
      <c r="BA235" s="2"/>
      <c r="BB235" s="2"/>
      <c r="BC235" s="2"/>
      <c r="BD235" s="2"/>
      <c r="BE235" s="2"/>
      <c r="BF235" s="433"/>
      <c r="BG235" s="2"/>
      <c r="BH235" s="2"/>
      <c r="BI235" s="2">
        <f t="shared" si="506"/>
        <v>42737</v>
      </c>
      <c r="BJ235" s="2">
        <f t="shared" si="507"/>
        <v>271733</v>
      </c>
      <c r="BK235" s="2">
        <f t="shared" si="508"/>
        <v>49194</v>
      </c>
      <c r="BL235" s="2">
        <f t="shared" si="550"/>
        <v>222539</v>
      </c>
      <c r="BM235" s="2"/>
      <c r="BN235" s="2">
        <f t="shared" si="551"/>
        <v>222539</v>
      </c>
      <c r="BO235" s="2">
        <f t="shared" si="537"/>
        <v>40288</v>
      </c>
      <c r="BP235" s="2">
        <f t="shared" si="515"/>
        <v>182251</v>
      </c>
      <c r="BQ235" s="2"/>
      <c r="BR235" s="2">
        <f t="shared" si="552"/>
        <v>182251</v>
      </c>
      <c r="BS235" s="2">
        <f t="shared" si="538"/>
        <v>32994</v>
      </c>
      <c r="BT235" s="2">
        <f t="shared" si="516"/>
        <v>149257</v>
      </c>
      <c r="BU235" s="2">
        <f t="shared" si="539"/>
        <v>27021</v>
      </c>
      <c r="BV235" s="2">
        <f t="shared" si="517"/>
        <v>122236</v>
      </c>
      <c r="BW235" s="2">
        <f t="shared" si="540"/>
        <v>22129</v>
      </c>
      <c r="BX235" s="2">
        <f t="shared" si="518"/>
        <v>100107</v>
      </c>
      <c r="BY235" s="2">
        <f t="shared" si="541"/>
        <v>18123</v>
      </c>
      <c r="BZ235" s="2">
        <f t="shared" si="519"/>
        <v>81984</v>
      </c>
      <c r="CA235" s="2">
        <f t="shared" si="542"/>
        <v>14842</v>
      </c>
      <c r="CB235" s="2">
        <f t="shared" si="520"/>
        <v>67142</v>
      </c>
      <c r="CC235" s="2">
        <f t="shared" si="543"/>
        <v>12155</v>
      </c>
      <c r="CD235" s="2">
        <f t="shared" si="521"/>
        <v>54987</v>
      </c>
      <c r="CE235" s="2">
        <f t="shared" si="544"/>
        <v>9955</v>
      </c>
      <c r="CF235" s="2">
        <f t="shared" si="522"/>
        <v>45032</v>
      </c>
      <c r="CG235" s="2">
        <f t="shared" si="545"/>
        <v>8152</v>
      </c>
      <c r="CH235" s="2">
        <f t="shared" si="523"/>
        <v>36880</v>
      </c>
      <c r="CI235" s="2">
        <f t="shared" si="546"/>
        <v>6677</v>
      </c>
      <c r="CJ235" s="2">
        <f t="shared" si="524"/>
        <v>30203</v>
      </c>
      <c r="CK235" s="2">
        <f t="shared" si="547"/>
        <v>5468</v>
      </c>
      <c r="CL235" s="2">
        <f t="shared" si="525"/>
        <v>24735</v>
      </c>
      <c r="CM235" s="2">
        <f t="shared" si="548"/>
        <v>4478</v>
      </c>
      <c r="CN235" s="2">
        <f t="shared" si="526"/>
        <v>20257</v>
      </c>
      <c r="CO235" s="2">
        <f t="shared" si="549"/>
        <v>3667</v>
      </c>
      <c r="CP235" s="2">
        <f t="shared" si="527"/>
        <v>16590</v>
      </c>
      <c r="CQ235" s="317">
        <f t="shared" si="512"/>
        <v>866.50000000000023</v>
      </c>
      <c r="CR235" s="2">
        <f t="shared" si="528"/>
        <v>15723.5</v>
      </c>
      <c r="CS235" s="2">
        <v>0</v>
      </c>
      <c r="CT235" s="2">
        <f t="shared" si="529"/>
        <v>15723.5</v>
      </c>
      <c r="CU235" s="2">
        <v>0</v>
      </c>
      <c r="CV235" s="2">
        <f t="shared" si="530"/>
        <v>15723.5</v>
      </c>
      <c r="CW235" s="2">
        <v>0</v>
      </c>
      <c r="CX235" s="2">
        <f t="shared" si="531"/>
        <v>15723.5</v>
      </c>
      <c r="CY235" s="2">
        <v>0</v>
      </c>
      <c r="CZ235" s="2">
        <f t="shared" si="532"/>
        <v>15723.5</v>
      </c>
      <c r="DA235" s="2">
        <v>0</v>
      </c>
      <c r="DB235" s="2">
        <f t="shared" si="533"/>
        <v>15723.5</v>
      </c>
      <c r="DC235" s="2">
        <v>0</v>
      </c>
      <c r="DD235" s="2">
        <f t="shared" si="534"/>
        <v>15723.5</v>
      </c>
      <c r="DE235" s="2">
        <v>0</v>
      </c>
      <c r="DF235" s="2">
        <f t="shared" si="555"/>
        <v>15723.5</v>
      </c>
      <c r="DG235" s="2">
        <v>0</v>
      </c>
      <c r="DH235" s="2">
        <f t="shared" si="556"/>
        <v>15723.5</v>
      </c>
      <c r="DI235" s="2">
        <v>0</v>
      </c>
      <c r="DJ235" s="2">
        <f t="shared" si="557"/>
        <v>15723.5</v>
      </c>
      <c r="DK235" s="2">
        <v>0</v>
      </c>
      <c r="DL235" s="2">
        <f t="shared" si="558"/>
        <v>15723.5</v>
      </c>
      <c r="DM235" s="2">
        <v>0</v>
      </c>
      <c r="DN235" s="2">
        <f t="shared" si="559"/>
        <v>15723.5</v>
      </c>
      <c r="DO235" s="2">
        <v>0</v>
      </c>
      <c r="DP235" s="2">
        <f t="shared" si="560"/>
        <v>15723.5</v>
      </c>
      <c r="DQ235" s="2">
        <v>0</v>
      </c>
      <c r="DR235" s="2">
        <f t="shared" si="561"/>
        <v>15723.5</v>
      </c>
      <c r="DS235" s="2">
        <v>0</v>
      </c>
      <c r="DT235" s="2">
        <f t="shared" si="535"/>
        <v>15723.5</v>
      </c>
      <c r="DU235" s="2">
        <v>0</v>
      </c>
      <c r="DV235" s="2">
        <f t="shared" si="536"/>
        <v>15723.5</v>
      </c>
      <c r="DW235" s="266">
        <f t="shared" si="553"/>
        <v>15723.5</v>
      </c>
      <c r="DX235" s="441">
        <f t="shared" si="554"/>
        <v>0</v>
      </c>
    </row>
    <row r="236" spans="1:128">
      <c r="A236" s="413">
        <v>77</v>
      </c>
      <c r="B236" s="537" t="s">
        <v>895</v>
      </c>
      <c r="C236" s="433" t="s">
        <v>518</v>
      </c>
      <c r="D236" s="468">
        <v>0.18099999999999999</v>
      </c>
      <c r="E236" s="469">
        <v>1215400</v>
      </c>
      <c r="F236" s="470" t="s">
        <v>921</v>
      </c>
      <c r="G236" s="481">
        <v>43374</v>
      </c>
      <c r="H236" s="443">
        <f t="shared" si="504"/>
        <v>48852</v>
      </c>
      <c r="I236" s="267">
        <v>15</v>
      </c>
      <c r="J236" s="267">
        <f t="shared" si="505"/>
        <v>182</v>
      </c>
      <c r="K236" s="267">
        <f t="shared" si="513"/>
        <v>183</v>
      </c>
      <c r="L236" s="433"/>
      <c r="M236" s="433"/>
      <c r="N236" s="436"/>
      <c r="O236" s="436"/>
      <c r="P236" s="433"/>
      <c r="Q236" s="436"/>
      <c r="R236" s="436"/>
      <c r="S236" s="433"/>
      <c r="T236" s="436"/>
      <c r="U236" s="436"/>
      <c r="V236" s="433"/>
      <c r="W236" s="436"/>
      <c r="X236" s="436"/>
      <c r="Y236" s="433"/>
      <c r="Z236" s="436"/>
      <c r="AA236" s="436"/>
      <c r="AB236" s="433"/>
      <c r="AC236" s="436"/>
      <c r="AD236" s="436"/>
      <c r="AE236" s="436"/>
      <c r="AF236" s="436"/>
      <c r="AG236" s="436"/>
      <c r="AH236" s="436"/>
      <c r="AI236" s="439">
        <v>15</v>
      </c>
      <c r="AJ236" s="436">
        <f t="shared" si="503"/>
        <v>15</v>
      </c>
      <c r="AK236" s="440">
        <f t="shared" si="514"/>
        <v>0.18103627252208465</v>
      </c>
      <c r="AL236" s="2"/>
      <c r="AM236" s="433"/>
      <c r="AN236" s="436"/>
      <c r="AO236" s="436"/>
      <c r="AP236" s="436"/>
      <c r="AQ236" s="436"/>
      <c r="AR236" s="436"/>
      <c r="AS236" s="436"/>
      <c r="AT236" s="2"/>
      <c r="AU236" s="2"/>
      <c r="AV236" s="2"/>
      <c r="AW236" s="2"/>
      <c r="AX236" s="2"/>
      <c r="AY236" s="2"/>
      <c r="AZ236" s="433"/>
      <c r="BA236" s="2"/>
      <c r="BB236" s="2"/>
      <c r="BC236" s="2"/>
      <c r="BD236" s="2"/>
      <c r="BE236" s="2"/>
      <c r="BF236" s="433"/>
      <c r="BG236" s="2"/>
      <c r="BH236" s="2"/>
      <c r="BI236" s="2">
        <f t="shared" si="506"/>
        <v>109714</v>
      </c>
      <c r="BJ236" s="2">
        <f t="shared" si="507"/>
        <v>1105686</v>
      </c>
      <c r="BK236" s="2">
        <f t="shared" si="508"/>
        <v>200169</v>
      </c>
      <c r="BL236" s="2">
        <f t="shared" si="550"/>
        <v>905517</v>
      </c>
      <c r="BM236" s="2"/>
      <c r="BN236" s="2">
        <f t="shared" si="551"/>
        <v>905517</v>
      </c>
      <c r="BO236" s="2">
        <f t="shared" si="537"/>
        <v>163931</v>
      </c>
      <c r="BP236" s="2">
        <f t="shared" si="515"/>
        <v>741586</v>
      </c>
      <c r="BQ236" s="2"/>
      <c r="BR236" s="2">
        <f t="shared" si="552"/>
        <v>741586</v>
      </c>
      <c r="BS236" s="2">
        <f t="shared" si="538"/>
        <v>134254</v>
      </c>
      <c r="BT236" s="2">
        <f t="shared" si="516"/>
        <v>607332</v>
      </c>
      <c r="BU236" s="2">
        <f t="shared" si="539"/>
        <v>109949</v>
      </c>
      <c r="BV236" s="2">
        <f t="shared" si="517"/>
        <v>497383</v>
      </c>
      <c r="BW236" s="2">
        <f t="shared" si="540"/>
        <v>90044</v>
      </c>
      <c r="BX236" s="2">
        <f t="shared" si="518"/>
        <v>407339</v>
      </c>
      <c r="BY236" s="2">
        <f t="shared" si="541"/>
        <v>73743</v>
      </c>
      <c r="BZ236" s="2">
        <f t="shared" si="519"/>
        <v>333596</v>
      </c>
      <c r="CA236" s="2">
        <f t="shared" si="542"/>
        <v>60393</v>
      </c>
      <c r="CB236" s="2">
        <f t="shared" si="520"/>
        <v>273203</v>
      </c>
      <c r="CC236" s="2">
        <f t="shared" si="543"/>
        <v>49460</v>
      </c>
      <c r="CD236" s="2">
        <f t="shared" si="521"/>
        <v>223743</v>
      </c>
      <c r="CE236" s="2">
        <f t="shared" si="544"/>
        <v>40506</v>
      </c>
      <c r="CF236" s="2">
        <f t="shared" si="522"/>
        <v>183237</v>
      </c>
      <c r="CG236" s="2">
        <f t="shared" si="545"/>
        <v>33173</v>
      </c>
      <c r="CH236" s="2">
        <f t="shared" si="523"/>
        <v>150064</v>
      </c>
      <c r="CI236" s="2">
        <f t="shared" si="546"/>
        <v>27167</v>
      </c>
      <c r="CJ236" s="2">
        <f t="shared" si="524"/>
        <v>122897</v>
      </c>
      <c r="CK236" s="2">
        <f t="shared" si="547"/>
        <v>22249</v>
      </c>
      <c r="CL236" s="2">
        <f t="shared" si="525"/>
        <v>100648</v>
      </c>
      <c r="CM236" s="2">
        <f t="shared" si="548"/>
        <v>18221</v>
      </c>
      <c r="CN236" s="2">
        <f t="shared" si="526"/>
        <v>82427</v>
      </c>
      <c r="CO236" s="2">
        <f t="shared" si="549"/>
        <v>14922</v>
      </c>
      <c r="CP236" s="2">
        <f t="shared" si="527"/>
        <v>67505</v>
      </c>
      <c r="CQ236" s="317">
        <f t="shared" si="512"/>
        <v>6735</v>
      </c>
      <c r="CR236" s="2">
        <f t="shared" si="528"/>
        <v>60770</v>
      </c>
      <c r="CS236" s="2">
        <v>0</v>
      </c>
      <c r="CT236" s="2">
        <f t="shared" si="529"/>
        <v>60770</v>
      </c>
      <c r="CU236" s="2">
        <v>0</v>
      </c>
      <c r="CV236" s="2">
        <f t="shared" si="530"/>
        <v>60770</v>
      </c>
      <c r="CW236" s="2">
        <v>0</v>
      </c>
      <c r="CX236" s="2">
        <f t="shared" si="531"/>
        <v>60770</v>
      </c>
      <c r="CY236" s="2">
        <v>0</v>
      </c>
      <c r="CZ236" s="2">
        <f t="shared" si="532"/>
        <v>60770</v>
      </c>
      <c r="DA236" s="2">
        <v>0</v>
      </c>
      <c r="DB236" s="2">
        <f t="shared" si="533"/>
        <v>60770</v>
      </c>
      <c r="DC236" s="2">
        <v>0</v>
      </c>
      <c r="DD236" s="2">
        <f t="shared" si="534"/>
        <v>60770</v>
      </c>
      <c r="DE236" s="2">
        <v>0</v>
      </c>
      <c r="DF236" s="2">
        <f t="shared" si="555"/>
        <v>60770</v>
      </c>
      <c r="DG236" s="2">
        <v>0</v>
      </c>
      <c r="DH236" s="2">
        <f t="shared" si="556"/>
        <v>60770</v>
      </c>
      <c r="DI236" s="2">
        <v>0</v>
      </c>
      <c r="DJ236" s="2">
        <f t="shared" si="557"/>
        <v>60770</v>
      </c>
      <c r="DK236" s="2">
        <v>0</v>
      </c>
      <c r="DL236" s="2">
        <f t="shared" si="558"/>
        <v>60770</v>
      </c>
      <c r="DM236" s="2">
        <v>0</v>
      </c>
      <c r="DN236" s="2">
        <f t="shared" si="559"/>
        <v>60770</v>
      </c>
      <c r="DO236" s="2">
        <v>0</v>
      </c>
      <c r="DP236" s="2">
        <f t="shared" si="560"/>
        <v>60770</v>
      </c>
      <c r="DQ236" s="2">
        <v>0</v>
      </c>
      <c r="DR236" s="2">
        <f t="shared" si="561"/>
        <v>60770</v>
      </c>
      <c r="DS236" s="2">
        <v>0</v>
      </c>
      <c r="DT236" s="2">
        <f t="shared" si="535"/>
        <v>60770</v>
      </c>
      <c r="DU236" s="2">
        <v>0</v>
      </c>
      <c r="DV236" s="2">
        <f t="shared" si="536"/>
        <v>60770</v>
      </c>
      <c r="DW236" s="266">
        <f t="shared" si="553"/>
        <v>60770</v>
      </c>
      <c r="DX236" s="441">
        <f t="shared" si="554"/>
        <v>0</v>
      </c>
    </row>
    <row r="237" spans="1:128">
      <c r="A237" s="413">
        <v>78</v>
      </c>
      <c r="B237" s="537" t="s">
        <v>896</v>
      </c>
      <c r="C237" s="433" t="s">
        <v>518</v>
      </c>
      <c r="D237" s="468">
        <v>0.18099999999999999</v>
      </c>
      <c r="E237" s="469">
        <v>276710</v>
      </c>
      <c r="F237" s="470" t="s">
        <v>921</v>
      </c>
      <c r="G237" s="481">
        <v>43282</v>
      </c>
      <c r="H237" s="443">
        <f t="shared" si="504"/>
        <v>48760</v>
      </c>
      <c r="I237" s="267">
        <v>15</v>
      </c>
      <c r="J237" s="267">
        <f t="shared" si="505"/>
        <v>274</v>
      </c>
      <c r="K237" s="267">
        <f t="shared" si="513"/>
        <v>91</v>
      </c>
      <c r="L237" s="433"/>
      <c r="M237" s="433"/>
      <c r="N237" s="436"/>
      <c r="O237" s="436"/>
      <c r="P237" s="433"/>
      <c r="Q237" s="436"/>
      <c r="R237" s="436"/>
      <c r="S237" s="433"/>
      <c r="T237" s="436"/>
      <c r="U237" s="436"/>
      <c r="V237" s="433"/>
      <c r="W237" s="436"/>
      <c r="X237" s="436"/>
      <c r="Y237" s="433"/>
      <c r="Z237" s="436"/>
      <c r="AA237" s="436"/>
      <c r="AB237" s="433"/>
      <c r="AC237" s="436"/>
      <c r="AD237" s="436"/>
      <c r="AE237" s="436"/>
      <c r="AF237" s="436"/>
      <c r="AG237" s="436"/>
      <c r="AH237" s="436"/>
      <c r="AI237" s="439">
        <v>15</v>
      </c>
      <c r="AJ237" s="436">
        <f t="shared" si="503"/>
        <v>15</v>
      </c>
      <c r="AK237" s="440">
        <f t="shared" si="514"/>
        <v>0.18103627252208465</v>
      </c>
      <c r="AL237" s="2"/>
      <c r="AM237" s="433"/>
      <c r="AN237" s="436"/>
      <c r="AO237" s="436"/>
      <c r="AP237" s="436"/>
      <c r="AQ237" s="436"/>
      <c r="AR237" s="436"/>
      <c r="AS237" s="436"/>
      <c r="AT237" s="2"/>
      <c r="AU237" s="2"/>
      <c r="AV237" s="2"/>
      <c r="AW237" s="2"/>
      <c r="AX237" s="2"/>
      <c r="AY237" s="2"/>
      <c r="AZ237" s="433"/>
      <c r="BA237" s="2"/>
      <c r="BB237" s="2"/>
      <c r="BC237" s="2"/>
      <c r="BD237" s="2"/>
      <c r="BE237" s="2"/>
      <c r="BF237" s="433"/>
      <c r="BG237" s="2"/>
      <c r="BH237" s="2"/>
      <c r="BI237" s="2">
        <f t="shared" si="506"/>
        <v>37605</v>
      </c>
      <c r="BJ237" s="2">
        <f t="shared" si="507"/>
        <v>239105</v>
      </c>
      <c r="BK237" s="2">
        <f t="shared" si="508"/>
        <v>43287</v>
      </c>
      <c r="BL237" s="2">
        <f t="shared" si="550"/>
        <v>195818</v>
      </c>
      <c r="BM237" s="2"/>
      <c r="BN237" s="2">
        <f t="shared" si="551"/>
        <v>195818</v>
      </c>
      <c r="BO237" s="2">
        <f t="shared" si="537"/>
        <v>35450</v>
      </c>
      <c r="BP237" s="2">
        <f t="shared" si="515"/>
        <v>160368</v>
      </c>
      <c r="BQ237" s="2"/>
      <c r="BR237" s="2">
        <f t="shared" si="552"/>
        <v>160368</v>
      </c>
      <c r="BS237" s="2">
        <f t="shared" si="538"/>
        <v>29032</v>
      </c>
      <c r="BT237" s="2">
        <f t="shared" si="516"/>
        <v>131336</v>
      </c>
      <c r="BU237" s="2">
        <f t="shared" si="539"/>
        <v>23777</v>
      </c>
      <c r="BV237" s="2">
        <f t="shared" si="517"/>
        <v>107559</v>
      </c>
      <c r="BW237" s="2">
        <f t="shared" si="540"/>
        <v>19472</v>
      </c>
      <c r="BX237" s="2">
        <f t="shared" si="518"/>
        <v>88087</v>
      </c>
      <c r="BY237" s="2">
        <f t="shared" si="541"/>
        <v>15947</v>
      </c>
      <c r="BZ237" s="2">
        <f t="shared" si="519"/>
        <v>72140</v>
      </c>
      <c r="CA237" s="2">
        <f t="shared" si="542"/>
        <v>13060</v>
      </c>
      <c r="CB237" s="2">
        <f t="shared" si="520"/>
        <v>59080</v>
      </c>
      <c r="CC237" s="2">
        <f t="shared" si="543"/>
        <v>10696</v>
      </c>
      <c r="CD237" s="2">
        <f t="shared" si="521"/>
        <v>48384</v>
      </c>
      <c r="CE237" s="2">
        <f t="shared" si="544"/>
        <v>8759</v>
      </c>
      <c r="CF237" s="2">
        <f t="shared" si="522"/>
        <v>39625</v>
      </c>
      <c r="CG237" s="2">
        <f t="shared" si="545"/>
        <v>7174</v>
      </c>
      <c r="CH237" s="2">
        <f t="shared" si="523"/>
        <v>32451</v>
      </c>
      <c r="CI237" s="2">
        <f t="shared" si="546"/>
        <v>5875</v>
      </c>
      <c r="CJ237" s="2">
        <f t="shared" si="524"/>
        <v>26576</v>
      </c>
      <c r="CK237" s="2">
        <f t="shared" si="547"/>
        <v>4811</v>
      </c>
      <c r="CL237" s="2">
        <f t="shared" si="525"/>
        <v>21765</v>
      </c>
      <c r="CM237" s="2">
        <f t="shared" si="548"/>
        <v>3940</v>
      </c>
      <c r="CN237" s="2">
        <f t="shared" si="526"/>
        <v>17825</v>
      </c>
      <c r="CO237" s="2">
        <f t="shared" si="549"/>
        <v>3227</v>
      </c>
      <c r="CP237" s="2">
        <f t="shared" si="527"/>
        <v>14598</v>
      </c>
      <c r="CQ237" s="317">
        <f t="shared" si="512"/>
        <v>762.5</v>
      </c>
      <c r="CR237" s="2">
        <f t="shared" si="528"/>
        <v>13835.5</v>
      </c>
      <c r="CS237" s="2">
        <v>0</v>
      </c>
      <c r="CT237" s="2">
        <f t="shared" si="529"/>
        <v>13835.5</v>
      </c>
      <c r="CU237" s="2">
        <v>0</v>
      </c>
      <c r="CV237" s="2">
        <f t="shared" si="530"/>
        <v>13835.5</v>
      </c>
      <c r="CW237" s="2">
        <v>0</v>
      </c>
      <c r="CX237" s="2">
        <f t="shared" si="531"/>
        <v>13835.5</v>
      </c>
      <c r="CY237" s="2">
        <v>0</v>
      </c>
      <c r="CZ237" s="2">
        <f t="shared" si="532"/>
        <v>13835.5</v>
      </c>
      <c r="DA237" s="2">
        <v>0</v>
      </c>
      <c r="DB237" s="2">
        <f t="shared" si="533"/>
        <v>13835.5</v>
      </c>
      <c r="DC237" s="2">
        <v>0</v>
      </c>
      <c r="DD237" s="2">
        <f t="shared" si="534"/>
        <v>13835.5</v>
      </c>
      <c r="DE237" s="2">
        <v>0</v>
      </c>
      <c r="DF237" s="2">
        <f t="shared" si="555"/>
        <v>13835.5</v>
      </c>
      <c r="DG237" s="2">
        <v>0</v>
      </c>
      <c r="DH237" s="2">
        <f t="shared" si="556"/>
        <v>13835.5</v>
      </c>
      <c r="DI237" s="2">
        <v>0</v>
      </c>
      <c r="DJ237" s="2">
        <f t="shared" si="557"/>
        <v>13835.5</v>
      </c>
      <c r="DK237" s="2">
        <v>0</v>
      </c>
      <c r="DL237" s="2">
        <f t="shared" si="558"/>
        <v>13835.5</v>
      </c>
      <c r="DM237" s="2">
        <v>0</v>
      </c>
      <c r="DN237" s="2">
        <f t="shared" si="559"/>
        <v>13835.5</v>
      </c>
      <c r="DO237" s="2">
        <v>0</v>
      </c>
      <c r="DP237" s="2">
        <f t="shared" si="560"/>
        <v>13835.5</v>
      </c>
      <c r="DQ237" s="2">
        <v>0</v>
      </c>
      <c r="DR237" s="2">
        <f t="shared" si="561"/>
        <v>13835.5</v>
      </c>
      <c r="DS237" s="2">
        <v>0</v>
      </c>
      <c r="DT237" s="2">
        <f t="shared" si="535"/>
        <v>13835.5</v>
      </c>
      <c r="DU237" s="2">
        <v>0</v>
      </c>
      <c r="DV237" s="2">
        <f t="shared" si="536"/>
        <v>13835.5</v>
      </c>
      <c r="DW237" s="266">
        <f t="shared" si="553"/>
        <v>13835.5</v>
      </c>
      <c r="DX237" s="441">
        <f t="shared" si="554"/>
        <v>0</v>
      </c>
    </row>
    <row r="238" spans="1:128">
      <c r="A238" s="413">
        <v>79</v>
      </c>
      <c r="B238" s="537" t="s">
        <v>897</v>
      </c>
      <c r="C238" s="433" t="s">
        <v>518</v>
      </c>
      <c r="D238" s="468">
        <v>0.18099999999999999</v>
      </c>
      <c r="E238" s="469">
        <v>24780</v>
      </c>
      <c r="F238" s="470" t="s">
        <v>921</v>
      </c>
      <c r="G238" s="481">
        <v>43313</v>
      </c>
      <c r="H238" s="443">
        <f t="shared" si="504"/>
        <v>48791</v>
      </c>
      <c r="I238" s="267">
        <v>15</v>
      </c>
      <c r="J238" s="267">
        <f t="shared" si="505"/>
        <v>243</v>
      </c>
      <c r="K238" s="267">
        <f t="shared" si="513"/>
        <v>122</v>
      </c>
      <c r="L238" s="433"/>
      <c r="M238" s="433"/>
      <c r="N238" s="436"/>
      <c r="O238" s="436"/>
      <c r="P238" s="433"/>
      <c r="Q238" s="436"/>
      <c r="R238" s="436"/>
      <c r="S238" s="433"/>
      <c r="T238" s="436"/>
      <c r="U238" s="436"/>
      <c r="V238" s="433"/>
      <c r="W238" s="436"/>
      <c r="X238" s="436"/>
      <c r="Y238" s="433"/>
      <c r="Z238" s="436"/>
      <c r="AA238" s="436"/>
      <c r="AB238" s="433"/>
      <c r="AC238" s="436"/>
      <c r="AD238" s="436"/>
      <c r="AE238" s="436"/>
      <c r="AF238" s="436"/>
      <c r="AG238" s="436"/>
      <c r="AH238" s="436"/>
      <c r="AI238" s="439">
        <v>15</v>
      </c>
      <c r="AJ238" s="436">
        <f t="shared" si="503"/>
        <v>15</v>
      </c>
      <c r="AK238" s="440">
        <f t="shared" si="514"/>
        <v>0.18103627252208465</v>
      </c>
      <c r="AL238" s="2"/>
      <c r="AM238" s="433"/>
      <c r="AN238" s="436"/>
      <c r="AO238" s="436"/>
      <c r="AP238" s="436"/>
      <c r="AQ238" s="436"/>
      <c r="AR238" s="436"/>
      <c r="AS238" s="436"/>
      <c r="AT238" s="2"/>
      <c r="AU238" s="2"/>
      <c r="AV238" s="2"/>
      <c r="AW238" s="2"/>
      <c r="AX238" s="2"/>
      <c r="AY238" s="2"/>
      <c r="AZ238" s="433"/>
      <c r="BA238" s="2"/>
      <c r="BB238" s="2"/>
      <c r="BC238" s="2"/>
      <c r="BD238" s="2"/>
      <c r="BE238" s="2"/>
      <c r="BF238" s="433"/>
      <c r="BG238" s="2"/>
      <c r="BH238" s="2"/>
      <c r="BI238" s="2">
        <f t="shared" si="506"/>
        <v>2987</v>
      </c>
      <c r="BJ238" s="2">
        <f t="shared" si="507"/>
        <v>21793</v>
      </c>
      <c r="BK238" s="2">
        <f t="shared" si="508"/>
        <v>3945</v>
      </c>
      <c r="BL238" s="2">
        <f t="shared" si="550"/>
        <v>17848</v>
      </c>
      <c r="BM238" s="2"/>
      <c r="BN238" s="2">
        <f t="shared" si="551"/>
        <v>17848</v>
      </c>
      <c r="BO238" s="2">
        <f t="shared" si="537"/>
        <v>3231</v>
      </c>
      <c r="BP238" s="2">
        <f t="shared" si="515"/>
        <v>14617</v>
      </c>
      <c r="BQ238" s="2"/>
      <c r="BR238" s="2">
        <f t="shared" si="552"/>
        <v>14617</v>
      </c>
      <c r="BS238" s="2">
        <f t="shared" si="538"/>
        <v>2646</v>
      </c>
      <c r="BT238" s="2">
        <f t="shared" si="516"/>
        <v>11971</v>
      </c>
      <c r="BU238" s="2">
        <f t="shared" si="539"/>
        <v>2167</v>
      </c>
      <c r="BV238" s="2">
        <f t="shared" si="517"/>
        <v>9804</v>
      </c>
      <c r="BW238" s="2">
        <f t="shared" si="540"/>
        <v>1775</v>
      </c>
      <c r="BX238" s="2">
        <f t="shared" si="518"/>
        <v>8029</v>
      </c>
      <c r="BY238" s="2">
        <f t="shared" si="541"/>
        <v>1454</v>
      </c>
      <c r="BZ238" s="2">
        <f t="shared" si="519"/>
        <v>6575</v>
      </c>
      <c r="CA238" s="2">
        <f t="shared" si="542"/>
        <v>1190</v>
      </c>
      <c r="CB238" s="2">
        <f t="shared" si="520"/>
        <v>5385</v>
      </c>
      <c r="CC238" s="2">
        <f t="shared" si="543"/>
        <v>975</v>
      </c>
      <c r="CD238" s="2">
        <f t="shared" si="521"/>
        <v>4410</v>
      </c>
      <c r="CE238" s="2">
        <f t="shared" si="544"/>
        <v>798</v>
      </c>
      <c r="CF238" s="2">
        <f t="shared" si="522"/>
        <v>3612</v>
      </c>
      <c r="CG238" s="2">
        <f t="shared" si="545"/>
        <v>654</v>
      </c>
      <c r="CH238" s="2">
        <f t="shared" si="523"/>
        <v>2958</v>
      </c>
      <c r="CI238" s="2">
        <f t="shared" si="546"/>
        <v>536</v>
      </c>
      <c r="CJ238" s="2">
        <f t="shared" si="524"/>
        <v>2422</v>
      </c>
      <c r="CK238" s="2">
        <f t="shared" si="547"/>
        <v>438</v>
      </c>
      <c r="CL238" s="2">
        <f t="shared" si="525"/>
        <v>1984</v>
      </c>
      <c r="CM238" s="2">
        <f t="shared" si="548"/>
        <v>359</v>
      </c>
      <c r="CN238" s="2">
        <f t="shared" si="526"/>
        <v>1625</v>
      </c>
      <c r="CO238" s="2">
        <f t="shared" si="549"/>
        <v>294</v>
      </c>
      <c r="CP238" s="2">
        <f t="shared" si="527"/>
        <v>1331</v>
      </c>
      <c r="CQ238" s="317">
        <f t="shared" si="512"/>
        <v>91.999999999999957</v>
      </c>
      <c r="CR238" s="2">
        <f t="shared" si="528"/>
        <v>1239</v>
      </c>
      <c r="CS238" s="2">
        <v>0</v>
      </c>
      <c r="CT238" s="2">
        <f t="shared" si="529"/>
        <v>1239</v>
      </c>
      <c r="CU238" s="2">
        <v>0</v>
      </c>
      <c r="CV238" s="2">
        <f t="shared" si="530"/>
        <v>1239</v>
      </c>
      <c r="CW238" s="2">
        <v>0</v>
      </c>
      <c r="CX238" s="2">
        <f t="shared" si="531"/>
        <v>1239</v>
      </c>
      <c r="CY238" s="2">
        <v>0</v>
      </c>
      <c r="CZ238" s="2">
        <f t="shared" si="532"/>
        <v>1239</v>
      </c>
      <c r="DA238" s="2">
        <v>0</v>
      </c>
      <c r="DB238" s="2">
        <f t="shared" si="533"/>
        <v>1239</v>
      </c>
      <c r="DC238" s="2">
        <v>0</v>
      </c>
      <c r="DD238" s="2">
        <f t="shared" si="534"/>
        <v>1239</v>
      </c>
      <c r="DE238" s="2">
        <v>0</v>
      </c>
      <c r="DF238" s="2">
        <f t="shared" si="555"/>
        <v>1239</v>
      </c>
      <c r="DG238" s="2">
        <v>0</v>
      </c>
      <c r="DH238" s="2">
        <f t="shared" si="556"/>
        <v>1239</v>
      </c>
      <c r="DI238" s="2">
        <v>0</v>
      </c>
      <c r="DJ238" s="2">
        <f t="shared" si="557"/>
        <v>1239</v>
      </c>
      <c r="DK238" s="2">
        <v>0</v>
      </c>
      <c r="DL238" s="2">
        <f t="shared" si="558"/>
        <v>1239</v>
      </c>
      <c r="DM238" s="2">
        <v>0</v>
      </c>
      <c r="DN238" s="2">
        <f t="shared" si="559"/>
        <v>1239</v>
      </c>
      <c r="DO238" s="2">
        <v>0</v>
      </c>
      <c r="DP238" s="2">
        <f t="shared" si="560"/>
        <v>1239</v>
      </c>
      <c r="DQ238" s="2">
        <v>0</v>
      </c>
      <c r="DR238" s="2">
        <f t="shared" si="561"/>
        <v>1239</v>
      </c>
      <c r="DS238" s="2">
        <v>0</v>
      </c>
      <c r="DT238" s="2">
        <f t="shared" si="535"/>
        <v>1239</v>
      </c>
      <c r="DU238" s="2">
        <v>0</v>
      </c>
      <c r="DV238" s="2">
        <f t="shared" si="536"/>
        <v>1239</v>
      </c>
      <c r="DW238" s="266">
        <f t="shared" si="553"/>
        <v>1239</v>
      </c>
      <c r="DX238" s="441">
        <f t="shared" si="554"/>
        <v>0</v>
      </c>
    </row>
    <row r="239" spans="1:128">
      <c r="A239" s="413">
        <v>80</v>
      </c>
      <c r="B239" s="537" t="s">
        <v>897</v>
      </c>
      <c r="C239" s="433" t="s">
        <v>518</v>
      </c>
      <c r="D239" s="468">
        <v>0.18099999999999999</v>
      </c>
      <c r="E239" s="469">
        <v>24780</v>
      </c>
      <c r="F239" s="470" t="s">
        <v>921</v>
      </c>
      <c r="G239" s="481">
        <v>43313</v>
      </c>
      <c r="H239" s="443">
        <f t="shared" si="504"/>
        <v>48791</v>
      </c>
      <c r="I239" s="267">
        <v>15</v>
      </c>
      <c r="J239" s="267">
        <f t="shared" si="505"/>
        <v>243</v>
      </c>
      <c r="K239" s="267">
        <f t="shared" si="513"/>
        <v>122</v>
      </c>
      <c r="L239" s="433"/>
      <c r="M239" s="433"/>
      <c r="N239" s="436"/>
      <c r="O239" s="436"/>
      <c r="P239" s="433"/>
      <c r="Q239" s="436"/>
      <c r="R239" s="436"/>
      <c r="S239" s="433"/>
      <c r="T239" s="436"/>
      <c r="U239" s="436"/>
      <c r="V239" s="433"/>
      <c r="W239" s="436"/>
      <c r="X239" s="436"/>
      <c r="Y239" s="433"/>
      <c r="Z239" s="436"/>
      <c r="AA239" s="436"/>
      <c r="AB239" s="433"/>
      <c r="AC239" s="436"/>
      <c r="AD239" s="436"/>
      <c r="AE239" s="436"/>
      <c r="AF239" s="436"/>
      <c r="AG239" s="436"/>
      <c r="AH239" s="436"/>
      <c r="AI239" s="439">
        <v>15</v>
      </c>
      <c r="AJ239" s="436">
        <f t="shared" si="503"/>
        <v>15</v>
      </c>
      <c r="AK239" s="440">
        <f t="shared" si="514"/>
        <v>0.18103627252208465</v>
      </c>
      <c r="AL239" s="2"/>
      <c r="AM239" s="433"/>
      <c r="AN239" s="436"/>
      <c r="AO239" s="436"/>
      <c r="AP239" s="436"/>
      <c r="AQ239" s="436"/>
      <c r="AR239" s="436"/>
      <c r="AS239" s="436"/>
      <c r="AT239" s="2"/>
      <c r="AU239" s="2"/>
      <c r="AV239" s="2"/>
      <c r="AW239" s="2"/>
      <c r="AX239" s="2"/>
      <c r="AY239" s="2"/>
      <c r="AZ239" s="433"/>
      <c r="BA239" s="2"/>
      <c r="BB239" s="2"/>
      <c r="BC239" s="2"/>
      <c r="BD239" s="2"/>
      <c r="BE239" s="2"/>
      <c r="BF239" s="433"/>
      <c r="BG239" s="2"/>
      <c r="BH239" s="2"/>
      <c r="BI239" s="2">
        <f t="shared" si="506"/>
        <v>2987</v>
      </c>
      <c r="BJ239" s="2">
        <f t="shared" si="507"/>
        <v>21793</v>
      </c>
      <c r="BK239" s="2">
        <f t="shared" si="508"/>
        <v>3945</v>
      </c>
      <c r="BL239" s="2">
        <f t="shared" si="550"/>
        <v>17848</v>
      </c>
      <c r="BM239" s="2"/>
      <c r="BN239" s="2">
        <f t="shared" si="551"/>
        <v>17848</v>
      </c>
      <c r="BO239" s="2">
        <f t="shared" si="537"/>
        <v>3231</v>
      </c>
      <c r="BP239" s="2">
        <f t="shared" si="515"/>
        <v>14617</v>
      </c>
      <c r="BQ239" s="2"/>
      <c r="BR239" s="2">
        <f t="shared" si="552"/>
        <v>14617</v>
      </c>
      <c r="BS239" s="2">
        <f t="shared" si="538"/>
        <v>2646</v>
      </c>
      <c r="BT239" s="2">
        <f t="shared" si="516"/>
        <v>11971</v>
      </c>
      <c r="BU239" s="2">
        <f t="shared" si="539"/>
        <v>2167</v>
      </c>
      <c r="BV239" s="2">
        <f t="shared" si="517"/>
        <v>9804</v>
      </c>
      <c r="BW239" s="2">
        <f t="shared" si="540"/>
        <v>1775</v>
      </c>
      <c r="BX239" s="2">
        <f t="shared" si="518"/>
        <v>8029</v>
      </c>
      <c r="BY239" s="2">
        <f t="shared" si="541"/>
        <v>1454</v>
      </c>
      <c r="BZ239" s="2">
        <f t="shared" si="519"/>
        <v>6575</v>
      </c>
      <c r="CA239" s="2">
        <f t="shared" si="542"/>
        <v>1190</v>
      </c>
      <c r="CB239" s="2">
        <f t="shared" si="520"/>
        <v>5385</v>
      </c>
      <c r="CC239" s="2">
        <f t="shared" si="543"/>
        <v>975</v>
      </c>
      <c r="CD239" s="2">
        <f t="shared" si="521"/>
        <v>4410</v>
      </c>
      <c r="CE239" s="2">
        <f t="shared" si="544"/>
        <v>798</v>
      </c>
      <c r="CF239" s="2">
        <f t="shared" si="522"/>
        <v>3612</v>
      </c>
      <c r="CG239" s="2">
        <f t="shared" si="545"/>
        <v>654</v>
      </c>
      <c r="CH239" s="2">
        <f t="shared" si="523"/>
        <v>2958</v>
      </c>
      <c r="CI239" s="2">
        <f t="shared" si="546"/>
        <v>536</v>
      </c>
      <c r="CJ239" s="2">
        <f t="shared" si="524"/>
        <v>2422</v>
      </c>
      <c r="CK239" s="2">
        <f t="shared" si="547"/>
        <v>438</v>
      </c>
      <c r="CL239" s="2">
        <f t="shared" si="525"/>
        <v>1984</v>
      </c>
      <c r="CM239" s="2">
        <f t="shared" si="548"/>
        <v>359</v>
      </c>
      <c r="CN239" s="2">
        <f t="shared" si="526"/>
        <v>1625</v>
      </c>
      <c r="CO239" s="2">
        <f t="shared" si="549"/>
        <v>294</v>
      </c>
      <c r="CP239" s="2">
        <f t="shared" si="527"/>
        <v>1331</v>
      </c>
      <c r="CQ239" s="317">
        <f t="shared" si="512"/>
        <v>91.999999999999957</v>
      </c>
      <c r="CR239" s="2">
        <f t="shared" si="528"/>
        <v>1239</v>
      </c>
      <c r="CS239" s="2">
        <v>0</v>
      </c>
      <c r="CT239" s="2">
        <f t="shared" si="529"/>
        <v>1239</v>
      </c>
      <c r="CU239" s="2">
        <v>0</v>
      </c>
      <c r="CV239" s="2">
        <f t="shared" si="530"/>
        <v>1239</v>
      </c>
      <c r="CW239" s="2">
        <v>0</v>
      </c>
      <c r="CX239" s="2">
        <f t="shared" si="531"/>
        <v>1239</v>
      </c>
      <c r="CY239" s="2">
        <v>0</v>
      </c>
      <c r="CZ239" s="2">
        <f t="shared" si="532"/>
        <v>1239</v>
      </c>
      <c r="DA239" s="2">
        <v>0</v>
      </c>
      <c r="DB239" s="2">
        <f t="shared" si="533"/>
        <v>1239</v>
      </c>
      <c r="DC239" s="2">
        <v>0</v>
      </c>
      <c r="DD239" s="2">
        <f t="shared" si="534"/>
        <v>1239</v>
      </c>
      <c r="DE239" s="2">
        <v>0</v>
      </c>
      <c r="DF239" s="2">
        <f t="shared" si="555"/>
        <v>1239</v>
      </c>
      <c r="DG239" s="2">
        <v>0</v>
      </c>
      <c r="DH239" s="2">
        <f t="shared" si="556"/>
        <v>1239</v>
      </c>
      <c r="DI239" s="2">
        <v>0</v>
      </c>
      <c r="DJ239" s="2">
        <f t="shared" si="557"/>
        <v>1239</v>
      </c>
      <c r="DK239" s="2">
        <v>0</v>
      </c>
      <c r="DL239" s="2">
        <f t="shared" si="558"/>
        <v>1239</v>
      </c>
      <c r="DM239" s="2">
        <v>0</v>
      </c>
      <c r="DN239" s="2">
        <f t="shared" si="559"/>
        <v>1239</v>
      </c>
      <c r="DO239" s="2">
        <v>0</v>
      </c>
      <c r="DP239" s="2">
        <f t="shared" si="560"/>
        <v>1239</v>
      </c>
      <c r="DQ239" s="2">
        <v>0</v>
      </c>
      <c r="DR239" s="2">
        <f t="shared" si="561"/>
        <v>1239</v>
      </c>
      <c r="DS239" s="2">
        <v>0</v>
      </c>
      <c r="DT239" s="2">
        <f t="shared" si="535"/>
        <v>1239</v>
      </c>
      <c r="DU239" s="2">
        <v>0</v>
      </c>
      <c r="DV239" s="2">
        <f t="shared" si="536"/>
        <v>1239</v>
      </c>
      <c r="DW239" s="266">
        <f t="shared" si="553"/>
        <v>1239</v>
      </c>
      <c r="DX239" s="441">
        <f t="shared" si="554"/>
        <v>0</v>
      </c>
    </row>
    <row r="240" spans="1:128">
      <c r="A240" s="413">
        <v>81</v>
      </c>
      <c r="B240" s="537" t="s">
        <v>898</v>
      </c>
      <c r="C240" s="433" t="s">
        <v>518</v>
      </c>
      <c r="D240" s="468">
        <v>0.18099999999999999</v>
      </c>
      <c r="E240" s="469">
        <v>21594</v>
      </c>
      <c r="F240" s="470" t="s">
        <v>921</v>
      </c>
      <c r="G240" s="481">
        <v>43313</v>
      </c>
      <c r="H240" s="443">
        <f t="shared" si="504"/>
        <v>48791</v>
      </c>
      <c r="I240" s="267">
        <v>15</v>
      </c>
      <c r="J240" s="267">
        <f t="shared" si="505"/>
        <v>243</v>
      </c>
      <c r="K240" s="267">
        <f t="shared" si="513"/>
        <v>122</v>
      </c>
      <c r="L240" s="433"/>
      <c r="M240" s="433"/>
      <c r="N240" s="436"/>
      <c r="O240" s="436"/>
      <c r="P240" s="433"/>
      <c r="Q240" s="436"/>
      <c r="R240" s="436"/>
      <c r="S240" s="433"/>
      <c r="T240" s="436"/>
      <c r="U240" s="436"/>
      <c r="V240" s="433"/>
      <c r="W240" s="436"/>
      <c r="X240" s="436"/>
      <c r="Y240" s="433"/>
      <c r="Z240" s="436"/>
      <c r="AA240" s="436"/>
      <c r="AB240" s="433"/>
      <c r="AC240" s="436"/>
      <c r="AD240" s="436"/>
      <c r="AE240" s="436"/>
      <c r="AF240" s="436"/>
      <c r="AG240" s="436"/>
      <c r="AH240" s="436"/>
      <c r="AI240" s="439">
        <v>15</v>
      </c>
      <c r="AJ240" s="436">
        <f t="shared" si="503"/>
        <v>15</v>
      </c>
      <c r="AK240" s="440">
        <f t="shared" si="514"/>
        <v>0.18103627252208465</v>
      </c>
      <c r="AL240" s="2"/>
      <c r="AM240" s="433"/>
      <c r="AN240" s="436"/>
      <c r="AO240" s="436"/>
      <c r="AP240" s="436"/>
      <c r="AQ240" s="436"/>
      <c r="AR240" s="436"/>
      <c r="AS240" s="436"/>
      <c r="AT240" s="2"/>
      <c r="AU240" s="2"/>
      <c r="AV240" s="2"/>
      <c r="AW240" s="2"/>
      <c r="AX240" s="2"/>
      <c r="AY240" s="2"/>
      <c r="AZ240" s="433"/>
      <c r="BA240" s="2"/>
      <c r="BB240" s="2"/>
      <c r="BC240" s="2"/>
      <c r="BD240" s="2"/>
      <c r="BE240" s="2"/>
      <c r="BF240" s="433"/>
      <c r="BG240" s="2"/>
      <c r="BH240" s="2"/>
      <c r="BI240" s="2">
        <f t="shared" si="506"/>
        <v>2603</v>
      </c>
      <c r="BJ240" s="2">
        <f t="shared" si="507"/>
        <v>18991</v>
      </c>
      <c r="BK240" s="2">
        <f t="shared" si="508"/>
        <v>3438</v>
      </c>
      <c r="BL240" s="2">
        <f t="shared" si="550"/>
        <v>15553</v>
      </c>
      <c r="BM240" s="2"/>
      <c r="BN240" s="2">
        <f t="shared" si="551"/>
        <v>15553</v>
      </c>
      <c r="BO240" s="2">
        <f t="shared" si="537"/>
        <v>2816</v>
      </c>
      <c r="BP240" s="2">
        <f t="shared" si="515"/>
        <v>12737</v>
      </c>
      <c r="BQ240" s="2"/>
      <c r="BR240" s="2">
        <f t="shared" si="552"/>
        <v>12737</v>
      </c>
      <c r="BS240" s="2">
        <f t="shared" si="538"/>
        <v>2306</v>
      </c>
      <c r="BT240" s="2">
        <f t="shared" si="516"/>
        <v>10431</v>
      </c>
      <c r="BU240" s="2">
        <f t="shared" si="539"/>
        <v>1888</v>
      </c>
      <c r="BV240" s="2">
        <f t="shared" si="517"/>
        <v>8543</v>
      </c>
      <c r="BW240" s="2">
        <f t="shared" si="540"/>
        <v>1547</v>
      </c>
      <c r="BX240" s="2">
        <f t="shared" si="518"/>
        <v>6996</v>
      </c>
      <c r="BY240" s="2">
        <f t="shared" si="541"/>
        <v>1267</v>
      </c>
      <c r="BZ240" s="2">
        <f t="shared" si="519"/>
        <v>5729</v>
      </c>
      <c r="CA240" s="2">
        <f t="shared" si="542"/>
        <v>1037</v>
      </c>
      <c r="CB240" s="2">
        <f t="shared" si="520"/>
        <v>4692</v>
      </c>
      <c r="CC240" s="2">
        <f t="shared" si="543"/>
        <v>849</v>
      </c>
      <c r="CD240" s="2">
        <f t="shared" si="521"/>
        <v>3843</v>
      </c>
      <c r="CE240" s="2">
        <f t="shared" si="544"/>
        <v>696</v>
      </c>
      <c r="CF240" s="2">
        <f t="shared" si="522"/>
        <v>3147</v>
      </c>
      <c r="CG240" s="2">
        <f t="shared" si="545"/>
        <v>570</v>
      </c>
      <c r="CH240" s="2">
        <f t="shared" si="523"/>
        <v>2577</v>
      </c>
      <c r="CI240" s="2">
        <f t="shared" si="546"/>
        <v>467</v>
      </c>
      <c r="CJ240" s="2">
        <f t="shared" si="524"/>
        <v>2110</v>
      </c>
      <c r="CK240" s="2">
        <f t="shared" si="547"/>
        <v>382</v>
      </c>
      <c r="CL240" s="2">
        <f t="shared" si="525"/>
        <v>1728</v>
      </c>
      <c r="CM240" s="2">
        <f t="shared" si="548"/>
        <v>313</v>
      </c>
      <c r="CN240" s="2">
        <f t="shared" si="526"/>
        <v>1415</v>
      </c>
      <c r="CO240" s="2">
        <f t="shared" si="549"/>
        <v>256</v>
      </c>
      <c r="CP240" s="2">
        <f t="shared" si="527"/>
        <v>1159</v>
      </c>
      <c r="CQ240" s="317">
        <f t="shared" si="512"/>
        <v>79.299999999999983</v>
      </c>
      <c r="CR240" s="2">
        <f t="shared" si="528"/>
        <v>1079.7</v>
      </c>
      <c r="CS240" s="2">
        <v>0</v>
      </c>
      <c r="CT240" s="2">
        <f t="shared" si="529"/>
        <v>1079.7</v>
      </c>
      <c r="CU240" s="2">
        <v>0</v>
      </c>
      <c r="CV240" s="2">
        <f t="shared" si="530"/>
        <v>1079.7</v>
      </c>
      <c r="CW240" s="2">
        <v>0</v>
      </c>
      <c r="CX240" s="2">
        <f t="shared" si="531"/>
        <v>1079.7</v>
      </c>
      <c r="CY240" s="2">
        <v>0</v>
      </c>
      <c r="CZ240" s="2">
        <f t="shared" si="532"/>
        <v>1079.7</v>
      </c>
      <c r="DA240" s="2">
        <v>0</v>
      </c>
      <c r="DB240" s="2">
        <f t="shared" si="533"/>
        <v>1079.7</v>
      </c>
      <c r="DC240" s="2">
        <v>0</v>
      </c>
      <c r="DD240" s="2">
        <f t="shared" si="534"/>
        <v>1079.7</v>
      </c>
      <c r="DE240" s="2">
        <v>0</v>
      </c>
      <c r="DF240" s="2">
        <f t="shared" si="555"/>
        <v>1079.7</v>
      </c>
      <c r="DG240" s="2">
        <v>0</v>
      </c>
      <c r="DH240" s="2">
        <f t="shared" si="556"/>
        <v>1079.7</v>
      </c>
      <c r="DI240" s="2">
        <v>0</v>
      </c>
      <c r="DJ240" s="2">
        <f t="shared" si="557"/>
        <v>1079.7</v>
      </c>
      <c r="DK240" s="2">
        <v>0</v>
      </c>
      <c r="DL240" s="2">
        <f t="shared" si="558"/>
        <v>1079.7</v>
      </c>
      <c r="DM240" s="2">
        <v>0</v>
      </c>
      <c r="DN240" s="2">
        <f t="shared" si="559"/>
        <v>1079.7</v>
      </c>
      <c r="DO240" s="2">
        <v>0</v>
      </c>
      <c r="DP240" s="2">
        <f t="shared" si="560"/>
        <v>1079.7</v>
      </c>
      <c r="DQ240" s="2">
        <v>0</v>
      </c>
      <c r="DR240" s="2">
        <f t="shared" si="561"/>
        <v>1079.7</v>
      </c>
      <c r="DS240" s="2">
        <v>0</v>
      </c>
      <c r="DT240" s="2">
        <f t="shared" si="535"/>
        <v>1079.7</v>
      </c>
      <c r="DU240" s="2">
        <v>0</v>
      </c>
      <c r="DV240" s="2">
        <f t="shared" si="536"/>
        <v>1079.7</v>
      </c>
      <c r="DW240" s="266">
        <f t="shared" si="553"/>
        <v>1079.7</v>
      </c>
      <c r="DX240" s="441">
        <f t="shared" si="554"/>
        <v>0</v>
      </c>
    </row>
    <row r="241" spans="1:128">
      <c r="A241" s="413">
        <v>82</v>
      </c>
      <c r="B241" s="537" t="s">
        <v>899</v>
      </c>
      <c r="C241" s="433" t="s">
        <v>518</v>
      </c>
      <c r="D241" s="468">
        <v>0.18099999999999999</v>
      </c>
      <c r="E241" s="469">
        <v>1980040</v>
      </c>
      <c r="F241" s="470" t="s">
        <v>921</v>
      </c>
      <c r="G241" s="481">
        <v>43374</v>
      </c>
      <c r="H241" s="443">
        <f t="shared" si="504"/>
        <v>48852</v>
      </c>
      <c r="I241" s="267">
        <v>15</v>
      </c>
      <c r="J241" s="267">
        <f t="shared" si="505"/>
        <v>182</v>
      </c>
      <c r="K241" s="267">
        <f t="shared" si="513"/>
        <v>183</v>
      </c>
      <c r="L241" s="433"/>
      <c r="M241" s="433"/>
      <c r="N241" s="436"/>
      <c r="O241" s="436"/>
      <c r="P241" s="433"/>
      <c r="Q241" s="436"/>
      <c r="R241" s="436"/>
      <c r="S241" s="433"/>
      <c r="T241" s="436"/>
      <c r="U241" s="436"/>
      <c r="V241" s="433"/>
      <c r="W241" s="436"/>
      <c r="X241" s="436"/>
      <c r="Y241" s="433"/>
      <c r="Z241" s="436"/>
      <c r="AA241" s="436"/>
      <c r="AB241" s="433"/>
      <c r="AC241" s="436"/>
      <c r="AD241" s="436"/>
      <c r="AE241" s="436"/>
      <c r="AF241" s="436"/>
      <c r="AG241" s="436"/>
      <c r="AH241" s="436"/>
      <c r="AI241" s="439">
        <v>15</v>
      </c>
      <c r="AJ241" s="436">
        <f t="shared" si="503"/>
        <v>15</v>
      </c>
      <c r="AK241" s="440">
        <f t="shared" si="514"/>
        <v>0.18103627252208465</v>
      </c>
      <c r="AL241" s="2"/>
      <c r="AM241" s="433"/>
      <c r="AN241" s="436"/>
      <c r="AO241" s="436"/>
      <c r="AP241" s="436"/>
      <c r="AQ241" s="436"/>
      <c r="AR241" s="436"/>
      <c r="AS241" s="436"/>
      <c r="AT241" s="2"/>
      <c r="AU241" s="2"/>
      <c r="AV241" s="2"/>
      <c r="AW241" s="2"/>
      <c r="AX241" s="2"/>
      <c r="AY241" s="2"/>
      <c r="AZ241" s="433"/>
      <c r="BA241" s="2"/>
      <c r="BB241" s="2"/>
      <c r="BC241" s="2"/>
      <c r="BD241" s="2"/>
      <c r="BE241" s="2"/>
      <c r="BF241" s="433"/>
      <c r="BG241" s="2"/>
      <c r="BH241" s="2"/>
      <c r="BI241" s="2">
        <f t="shared" si="506"/>
        <v>178738</v>
      </c>
      <c r="BJ241" s="2">
        <f t="shared" si="507"/>
        <v>1801302</v>
      </c>
      <c r="BK241" s="2">
        <f t="shared" si="508"/>
        <v>326101</v>
      </c>
      <c r="BL241" s="2">
        <f t="shared" si="550"/>
        <v>1475201</v>
      </c>
      <c r="BM241" s="2"/>
      <c r="BN241" s="2">
        <f t="shared" si="551"/>
        <v>1475201</v>
      </c>
      <c r="BO241" s="2">
        <f t="shared" si="537"/>
        <v>267065</v>
      </c>
      <c r="BP241" s="2">
        <f t="shared" si="515"/>
        <v>1208136</v>
      </c>
      <c r="BQ241" s="2"/>
      <c r="BR241" s="2">
        <f t="shared" si="552"/>
        <v>1208136</v>
      </c>
      <c r="BS241" s="2">
        <f t="shared" si="538"/>
        <v>218716</v>
      </c>
      <c r="BT241" s="2">
        <f t="shared" si="516"/>
        <v>989420</v>
      </c>
      <c r="BU241" s="2">
        <f t="shared" si="539"/>
        <v>179121</v>
      </c>
      <c r="BV241" s="2">
        <f t="shared" si="517"/>
        <v>810299</v>
      </c>
      <c r="BW241" s="2">
        <f t="shared" si="540"/>
        <v>146694</v>
      </c>
      <c r="BX241" s="2">
        <f t="shared" si="518"/>
        <v>663605</v>
      </c>
      <c r="BY241" s="2">
        <f t="shared" si="541"/>
        <v>120137</v>
      </c>
      <c r="BZ241" s="2">
        <f t="shared" si="519"/>
        <v>543468</v>
      </c>
      <c r="CA241" s="2">
        <f t="shared" si="542"/>
        <v>98387</v>
      </c>
      <c r="CB241" s="2">
        <f t="shared" si="520"/>
        <v>445081</v>
      </c>
      <c r="CC241" s="2">
        <f t="shared" si="543"/>
        <v>80576</v>
      </c>
      <c r="CD241" s="2">
        <f t="shared" si="521"/>
        <v>364505</v>
      </c>
      <c r="CE241" s="2">
        <f t="shared" si="544"/>
        <v>65989</v>
      </c>
      <c r="CF241" s="2">
        <f t="shared" si="522"/>
        <v>298516</v>
      </c>
      <c r="CG241" s="2">
        <f t="shared" si="545"/>
        <v>54042</v>
      </c>
      <c r="CH241" s="2">
        <f t="shared" si="523"/>
        <v>244474</v>
      </c>
      <c r="CI241" s="2">
        <f t="shared" si="546"/>
        <v>44259</v>
      </c>
      <c r="CJ241" s="2">
        <f t="shared" si="524"/>
        <v>200215</v>
      </c>
      <c r="CK241" s="2">
        <f t="shared" si="547"/>
        <v>36246</v>
      </c>
      <c r="CL241" s="2">
        <f t="shared" si="525"/>
        <v>163969</v>
      </c>
      <c r="CM241" s="2">
        <f t="shared" si="548"/>
        <v>29684</v>
      </c>
      <c r="CN241" s="2">
        <f t="shared" si="526"/>
        <v>134285</v>
      </c>
      <c r="CO241" s="2">
        <f t="shared" si="549"/>
        <v>24310</v>
      </c>
      <c r="CP241" s="2">
        <f t="shared" si="527"/>
        <v>109975</v>
      </c>
      <c r="CQ241" s="317">
        <f t="shared" si="512"/>
        <v>10972.999999999998</v>
      </c>
      <c r="CR241" s="2">
        <f t="shared" si="528"/>
        <v>99002</v>
      </c>
      <c r="CS241" s="2">
        <v>0</v>
      </c>
      <c r="CT241" s="2">
        <f t="shared" si="529"/>
        <v>99002</v>
      </c>
      <c r="CU241" s="2">
        <v>0</v>
      </c>
      <c r="CV241" s="2">
        <f t="shared" si="530"/>
        <v>99002</v>
      </c>
      <c r="CW241" s="2">
        <v>0</v>
      </c>
      <c r="CX241" s="2">
        <f t="shared" si="531"/>
        <v>99002</v>
      </c>
      <c r="CY241" s="2">
        <v>0</v>
      </c>
      <c r="CZ241" s="2">
        <f t="shared" si="532"/>
        <v>99002</v>
      </c>
      <c r="DA241" s="2">
        <v>0</v>
      </c>
      <c r="DB241" s="2">
        <f t="shared" si="533"/>
        <v>99002</v>
      </c>
      <c r="DC241" s="2">
        <v>0</v>
      </c>
      <c r="DD241" s="2">
        <f t="shared" si="534"/>
        <v>99002</v>
      </c>
      <c r="DE241" s="2">
        <v>0</v>
      </c>
      <c r="DF241" s="2">
        <f t="shared" si="555"/>
        <v>99002</v>
      </c>
      <c r="DG241" s="2">
        <v>0</v>
      </c>
      <c r="DH241" s="2">
        <f t="shared" si="556"/>
        <v>99002</v>
      </c>
      <c r="DI241" s="2">
        <v>0</v>
      </c>
      <c r="DJ241" s="2">
        <f t="shared" si="557"/>
        <v>99002</v>
      </c>
      <c r="DK241" s="2">
        <v>0</v>
      </c>
      <c r="DL241" s="2">
        <f t="shared" si="558"/>
        <v>99002</v>
      </c>
      <c r="DM241" s="2">
        <v>0</v>
      </c>
      <c r="DN241" s="2">
        <f t="shared" si="559"/>
        <v>99002</v>
      </c>
      <c r="DO241" s="2">
        <v>0</v>
      </c>
      <c r="DP241" s="2">
        <f t="shared" si="560"/>
        <v>99002</v>
      </c>
      <c r="DQ241" s="2">
        <v>0</v>
      </c>
      <c r="DR241" s="2">
        <f t="shared" si="561"/>
        <v>99002</v>
      </c>
      <c r="DS241" s="2">
        <v>0</v>
      </c>
      <c r="DT241" s="2">
        <f t="shared" si="535"/>
        <v>99002</v>
      </c>
      <c r="DU241" s="2">
        <v>0</v>
      </c>
      <c r="DV241" s="2">
        <f t="shared" si="536"/>
        <v>99002</v>
      </c>
      <c r="DW241" s="266">
        <f t="shared" si="553"/>
        <v>99002</v>
      </c>
      <c r="DX241" s="441">
        <f t="shared" si="554"/>
        <v>0</v>
      </c>
    </row>
    <row r="242" spans="1:128">
      <c r="A242" s="413">
        <v>83</v>
      </c>
      <c r="B242" s="537" t="s">
        <v>900</v>
      </c>
      <c r="C242" s="433" t="s">
        <v>518</v>
      </c>
      <c r="D242" s="468">
        <v>0.18099999999999999</v>
      </c>
      <c r="E242" s="469">
        <v>176410</v>
      </c>
      <c r="F242" s="470" t="s">
        <v>921</v>
      </c>
      <c r="G242" s="481">
        <v>43374</v>
      </c>
      <c r="H242" s="443">
        <f t="shared" si="504"/>
        <v>48852</v>
      </c>
      <c r="I242" s="267">
        <v>15</v>
      </c>
      <c r="J242" s="267">
        <f t="shared" si="505"/>
        <v>182</v>
      </c>
      <c r="K242" s="267">
        <f t="shared" si="513"/>
        <v>183</v>
      </c>
      <c r="L242" s="433"/>
      <c r="M242" s="433"/>
      <c r="N242" s="436"/>
      <c r="O242" s="436"/>
      <c r="P242" s="433"/>
      <c r="Q242" s="436"/>
      <c r="R242" s="436"/>
      <c r="S242" s="433"/>
      <c r="T242" s="436"/>
      <c r="U242" s="436"/>
      <c r="V242" s="433"/>
      <c r="W242" s="436"/>
      <c r="X242" s="436"/>
      <c r="Y242" s="433"/>
      <c r="Z242" s="436"/>
      <c r="AA242" s="436"/>
      <c r="AB242" s="433"/>
      <c r="AC242" s="436"/>
      <c r="AD242" s="436"/>
      <c r="AE242" s="436"/>
      <c r="AF242" s="436"/>
      <c r="AG242" s="436"/>
      <c r="AH242" s="436"/>
      <c r="AI242" s="439">
        <v>15</v>
      </c>
      <c r="AJ242" s="436">
        <f t="shared" si="503"/>
        <v>15</v>
      </c>
      <c r="AK242" s="440">
        <f t="shared" si="514"/>
        <v>0.18103627252208465</v>
      </c>
      <c r="AL242" s="2"/>
      <c r="AM242" s="433"/>
      <c r="AN242" s="436"/>
      <c r="AO242" s="436"/>
      <c r="AP242" s="436"/>
      <c r="AQ242" s="436"/>
      <c r="AR242" s="436"/>
      <c r="AS242" s="436"/>
      <c r="AT242" s="2"/>
      <c r="AU242" s="2"/>
      <c r="AV242" s="2"/>
      <c r="AW242" s="2"/>
      <c r="AX242" s="2"/>
      <c r="AY242" s="2"/>
      <c r="AZ242" s="433"/>
      <c r="BA242" s="2"/>
      <c r="BB242" s="2"/>
      <c r="BC242" s="2"/>
      <c r="BD242" s="2"/>
      <c r="BE242" s="2"/>
      <c r="BF242" s="433"/>
      <c r="BG242" s="2"/>
      <c r="BH242" s="2"/>
      <c r="BI242" s="2">
        <f t="shared" si="506"/>
        <v>15925</v>
      </c>
      <c r="BJ242" s="2">
        <f t="shared" si="507"/>
        <v>160485</v>
      </c>
      <c r="BK242" s="2">
        <f t="shared" si="508"/>
        <v>29054</v>
      </c>
      <c r="BL242" s="2">
        <f t="shared" si="550"/>
        <v>131431</v>
      </c>
      <c r="BM242" s="2"/>
      <c r="BN242" s="2">
        <f t="shared" si="551"/>
        <v>131431</v>
      </c>
      <c r="BO242" s="2">
        <f t="shared" si="537"/>
        <v>23794</v>
      </c>
      <c r="BP242" s="2">
        <f t="shared" si="515"/>
        <v>107637</v>
      </c>
      <c r="BQ242" s="2"/>
      <c r="BR242" s="2">
        <f t="shared" si="552"/>
        <v>107637</v>
      </c>
      <c r="BS242" s="2">
        <f t="shared" si="538"/>
        <v>19486</v>
      </c>
      <c r="BT242" s="2">
        <f t="shared" si="516"/>
        <v>88151</v>
      </c>
      <c r="BU242" s="2">
        <f t="shared" si="539"/>
        <v>15959</v>
      </c>
      <c r="BV242" s="2">
        <f t="shared" si="517"/>
        <v>72192</v>
      </c>
      <c r="BW242" s="2">
        <f t="shared" si="540"/>
        <v>13069</v>
      </c>
      <c r="BX242" s="2">
        <f t="shared" si="518"/>
        <v>59123</v>
      </c>
      <c r="BY242" s="2">
        <f t="shared" si="541"/>
        <v>10703</v>
      </c>
      <c r="BZ242" s="2">
        <f t="shared" si="519"/>
        <v>48420</v>
      </c>
      <c r="CA242" s="2">
        <f t="shared" si="542"/>
        <v>8766</v>
      </c>
      <c r="CB242" s="2">
        <f t="shared" si="520"/>
        <v>39654</v>
      </c>
      <c r="CC242" s="2">
        <f t="shared" si="543"/>
        <v>7179</v>
      </c>
      <c r="CD242" s="2">
        <f t="shared" si="521"/>
        <v>32475</v>
      </c>
      <c r="CE242" s="2">
        <f t="shared" si="544"/>
        <v>5879</v>
      </c>
      <c r="CF242" s="2">
        <f t="shared" si="522"/>
        <v>26596</v>
      </c>
      <c r="CG242" s="2">
        <f t="shared" si="545"/>
        <v>4815</v>
      </c>
      <c r="CH242" s="2">
        <f t="shared" si="523"/>
        <v>21781</v>
      </c>
      <c r="CI242" s="2">
        <f t="shared" si="546"/>
        <v>3943</v>
      </c>
      <c r="CJ242" s="2">
        <f t="shared" si="524"/>
        <v>17838</v>
      </c>
      <c r="CK242" s="2">
        <f t="shared" si="547"/>
        <v>3229</v>
      </c>
      <c r="CL242" s="2">
        <f t="shared" si="525"/>
        <v>14609</v>
      </c>
      <c r="CM242" s="2">
        <f t="shared" si="548"/>
        <v>2645</v>
      </c>
      <c r="CN242" s="2">
        <f t="shared" si="526"/>
        <v>11964</v>
      </c>
      <c r="CO242" s="2">
        <f t="shared" si="549"/>
        <v>2166</v>
      </c>
      <c r="CP242" s="2">
        <f t="shared" si="527"/>
        <v>9798</v>
      </c>
      <c r="CQ242" s="317">
        <f t="shared" si="512"/>
        <v>977.50000000000045</v>
      </c>
      <c r="CR242" s="2">
        <f t="shared" si="528"/>
        <v>8820.5</v>
      </c>
      <c r="CS242" s="2">
        <v>0</v>
      </c>
      <c r="CT242" s="2">
        <f t="shared" si="529"/>
        <v>8820.5</v>
      </c>
      <c r="CU242" s="2">
        <v>0</v>
      </c>
      <c r="CV242" s="2">
        <f t="shared" si="530"/>
        <v>8820.5</v>
      </c>
      <c r="CW242" s="2">
        <v>0</v>
      </c>
      <c r="CX242" s="2">
        <f t="shared" si="531"/>
        <v>8820.5</v>
      </c>
      <c r="CY242" s="2">
        <v>0</v>
      </c>
      <c r="CZ242" s="2">
        <f t="shared" si="532"/>
        <v>8820.5</v>
      </c>
      <c r="DA242" s="2">
        <v>0</v>
      </c>
      <c r="DB242" s="2">
        <f t="shared" si="533"/>
        <v>8820.5</v>
      </c>
      <c r="DC242" s="2">
        <v>0</v>
      </c>
      <c r="DD242" s="2">
        <f t="shared" si="534"/>
        <v>8820.5</v>
      </c>
      <c r="DE242" s="2">
        <v>0</v>
      </c>
      <c r="DF242" s="2">
        <f t="shared" si="555"/>
        <v>8820.5</v>
      </c>
      <c r="DG242" s="2">
        <v>0</v>
      </c>
      <c r="DH242" s="2">
        <f t="shared" si="556"/>
        <v>8820.5</v>
      </c>
      <c r="DI242" s="2">
        <v>0</v>
      </c>
      <c r="DJ242" s="2">
        <f t="shared" si="557"/>
        <v>8820.5</v>
      </c>
      <c r="DK242" s="2">
        <v>0</v>
      </c>
      <c r="DL242" s="2">
        <f t="shared" si="558"/>
        <v>8820.5</v>
      </c>
      <c r="DM242" s="2">
        <v>0</v>
      </c>
      <c r="DN242" s="2">
        <f t="shared" si="559"/>
        <v>8820.5</v>
      </c>
      <c r="DO242" s="2">
        <v>0</v>
      </c>
      <c r="DP242" s="2">
        <f t="shared" si="560"/>
        <v>8820.5</v>
      </c>
      <c r="DQ242" s="2">
        <v>0</v>
      </c>
      <c r="DR242" s="2">
        <f t="shared" si="561"/>
        <v>8820.5</v>
      </c>
      <c r="DS242" s="2">
        <v>0</v>
      </c>
      <c r="DT242" s="2">
        <f t="shared" si="535"/>
        <v>8820.5</v>
      </c>
      <c r="DU242" s="2">
        <v>0</v>
      </c>
      <c r="DV242" s="2">
        <f t="shared" si="536"/>
        <v>8820.5</v>
      </c>
      <c r="DW242" s="266">
        <f t="shared" si="553"/>
        <v>8820.5</v>
      </c>
      <c r="DX242" s="441">
        <f t="shared" si="554"/>
        <v>0</v>
      </c>
    </row>
    <row r="243" spans="1:128">
      <c r="A243" s="413">
        <v>84</v>
      </c>
      <c r="B243" s="537" t="s">
        <v>897</v>
      </c>
      <c r="C243" s="433" t="s">
        <v>518</v>
      </c>
      <c r="D243" s="468">
        <v>0.18099999999999999</v>
      </c>
      <c r="E243" s="469">
        <v>24780</v>
      </c>
      <c r="F243" s="470" t="s">
        <v>921</v>
      </c>
      <c r="G243" s="481">
        <v>43374</v>
      </c>
      <c r="H243" s="443">
        <f t="shared" si="504"/>
        <v>48852</v>
      </c>
      <c r="I243" s="267">
        <v>15</v>
      </c>
      <c r="J243" s="267">
        <f t="shared" si="505"/>
        <v>182</v>
      </c>
      <c r="K243" s="267">
        <f t="shared" si="513"/>
        <v>183</v>
      </c>
      <c r="L243" s="433"/>
      <c r="M243" s="433"/>
      <c r="N243" s="436"/>
      <c r="O243" s="436"/>
      <c r="P243" s="433"/>
      <c r="Q243" s="436"/>
      <c r="R243" s="436"/>
      <c r="S243" s="433"/>
      <c r="T243" s="436"/>
      <c r="U243" s="436"/>
      <c r="V243" s="433"/>
      <c r="W243" s="436"/>
      <c r="X243" s="436"/>
      <c r="Y243" s="433"/>
      <c r="Z243" s="436"/>
      <c r="AA243" s="436"/>
      <c r="AB243" s="433"/>
      <c r="AC243" s="436"/>
      <c r="AD243" s="436"/>
      <c r="AE243" s="436"/>
      <c r="AF243" s="436"/>
      <c r="AG243" s="436"/>
      <c r="AH243" s="436"/>
      <c r="AI243" s="439">
        <v>15</v>
      </c>
      <c r="AJ243" s="436">
        <f t="shared" si="503"/>
        <v>15</v>
      </c>
      <c r="AK243" s="440">
        <f t="shared" si="514"/>
        <v>0.18103627252208465</v>
      </c>
      <c r="AL243" s="2"/>
      <c r="AM243" s="433"/>
      <c r="AN243" s="436"/>
      <c r="AO243" s="436"/>
      <c r="AP243" s="436"/>
      <c r="AQ243" s="436"/>
      <c r="AR243" s="436"/>
      <c r="AS243" s="436"/>
      <c r="AT243" s="2"/>
      <c r="AU243" s="2"/>
      <c r="AV243" s="2"/>
      <c r="AW243" s="2"/>
      <c r="AX243" s="2"/>
      <c r="AY243" s="2"/>
      <c r="AZ243" s="433"/>
      <c r="BA243" s="2"/>
      <c r="BB243" s="2"/>
      <c r="BC243" s="2"/>
      <c r="BD243" s="2"/>
      <c r="BE243" s="2"/>
      <c r="BF243" s="433"/>
      <c r="BG243" s="2"/>
      <c r="BH243" s="2"/>
      <c r="BI243" s="2">
        <f t="shared" si="506"/>
        <v>2237</v>
      </c>
      <c r="BJ243" s="2">
        <f t="shared" si="507"/>
        <v>22543</v>
      </c>
      <c r="BK243" s="2">
        <f t="shared" si="508"/>
        <v>4081</v>
      </c>
      <c r="BL243" s="2">
        <f t="shared" si="550"/>
        <v>18462</v>
      </c>
      <c r="BM243" s="2"/>
      <c r="BN243" s="2">
        <f t="shared" si="551"/>
        <v>18462</v>
      </c>
      <c r="BO243" s="2">
        <f t="shared" si="537"/>
        <v>3342</v>
      </c>
      <c r="BP243" s="2">
        <f t="shared" si="515"/>
        <v>15120</v>
      </c>
      <c r="BQ243" s="2"/>
      <c r="BR243" s="2">
        <f t="shared" si="552"/>
        <v>15120</v>
      </c>
      <c r="BS243" s="2">
        <f t="shared" si="538"/>
        <v>2737</v>
      </c>
      <c r="BT243" s="2">
        <f t="shared" si="516"/>
        <v>12383</v>
      </c>
      <c r="BU243" s="2">
        <f t="shared" si="539"/>
        <v>2242</v>
      </c>
      <c r="BV243" s="2">
        <f t="shared" si="517"/>
        <v>10141</v>
      </c>
      <c r="BW243" s="2">
        <f t="shared" si="540"/>
        <v>1836</v>
      </c>
      <c r="BX243" s="2">
        <f t="shared" si="518"/>
        <v>8305</v>
      </c>
      <c r="BY243" s="2">
        <f t="shared" si="541"/>
        <v>1504</v>
      </c>
      <c r="BZ243" s="2">
        <f t="shared" si="519"/>
        <v>6801</v>
      </c>
      <c r="CA243" s="2">
        <f t="shared" si="542"/>
        <v>1231</v>
      </c>
      <c r="CB243" s="2">
        <f t="shared" si="520"/>
        <v>5570</v>
      </c>
      <c r="CC243" s="2">
        <f t="shared" si="543"/>
        <v>1008</v>
      </c>
      <c r="CD243" s="2">
        <f t="shared" si="521"/>
        <v>4562</v>
      </c>
      <c r="CE243" s="2">
        <f t="shared" si="544"/>
        <v>826</v>
      </c>
      <c r="CF243" s="2">
        <f t="shared" si="522"/>
        <v>3736</v>
      </c>
      <c r="CG243" s="2">
        <f t="shared" si="545"/>
        <v>676</v>
      </c>
      <c r="CH243" s="2">
        <f t="shared" si="523"/>
        <v>3060</v>
      </c>
      <c r="CI243" s="2">
        <f t="shared" si="546"/>
        <v>554</v>
      </c>
      <c r="CJ243" s="2">
        <f t="shared" si="524"/>
        <v>2506</v>
      </c>
      <c r="CK243" s="2">
        <f t="shared" si="547"/>
        <v>454</v>
      </c>
      <c r="CL243" s="2">
        <f t="shared" si="525"/>
        <v>2052</v>
      </c>
      <c r="CM243" s="2">
        <f t="shared" si="548"/>
        <v>371</v>
      </c>
      <c r="CN243" s="2">
        <f t="shared" si="526"/>
        <v>1681</v>
      </c>
      <c r="CO243" s="2">
        <f t="shared" si="549"/>
        <v>304</v>
      </c>
      <c r="CP243" s="2">
        <f t="shared" si="527"/>
        <v>1377</v>
      </c>
      <c r="CQ243" s="317">
        <f t="shared" si="512"/>
        <v>138.00000000000003</v>
      </c>
      <c r="CR243" s="2">
        <f t="shared" si="528"/>
        <v>1239</v>
      </c>
      <c r="CS243" s="2">
        <v>0</v>
      </c>
      <c r="CT243" s="2">
        <f t="shared" si="529"/>
        <v>1239</v>
      </c>
      <c r="CU243" s="2">
        <v>0</v>
      </c>
      <c r="CV243" s="2">
        <f t="shared" si="530"/>
        <v>1239</v>
      </c>
      <c r="CW243" s="2">
        <v>0</v>
      </c>
      <c r="CX243" s="2">
        <f t="shared" si="531"/>
        <v>1239</v>
      </c>
      <c r="CY243" s="2">
        <v>0</v>
      </c>
      <c r="CZ243" s="2">
        <f t="shared" si="532"/>
        <v>1239</v>
      </c>
      <c r="DA243" s="2">
        <v>0</v>
      </c>
      <c r="DB243" s="2">
        <f t="shared" si="533"/>
        <v>1239</v>
      </c>
      <c r="DC243" s="2">
        <v>0</v>
      </c>
      <c r="DD243" s="2">
        <f t="shared" si="534"/>
        <v>1239</v>
      </c>
      <c r="DE243" s="2">
        <v>0</v>
      </c>
      <c r="DF243" s="2">
        <f t="shared" si="555"/>
        <v>1239</v>
      </c>
      <c r="DG243" s="2">
        <v>0</v>
      </c>
      <c r="DH243" s="2">
        <f t="shared" si="556"/>
        <v>1239</v>
      </c>
      <c r="DI243" s="2">
        <v>0</v>
      </c>
      <c r="DJ243" s="2">
        <f t="shared" si="557"/>
        <v>1239</v>
      </c>
      <c r="DK243" s="2">
        <v>0</v>
      </c>
      <c r="DL243" s="2">
        <f t="shared" si="558"/>
        <v>1239</v>
      </c>
      <c r="DM243" s="2">
        <v>0</v>
      </c>
      <c r="DN243" s="2">
        <f t="shared" si="559"/>
        <v>1239</v>
      </c>
      <c r="DO243" s="2">
        <v>0</v>
      </c>
      <c r="DP243" s="2">
        <f t="shared" si="560"/>
        <v>1239</v>
      </c>
      <c r="DQ243" s="2">
        <v>0</v>
      </c>
      <c r="DR243" s="2">
        <f t="shared" si="561"/>
        <v>1239</v>
      </c>
      <c r="DS243" s="2">
        <v>0</v>
      </c>
      <c r="DT243" s="2">
        <f t="shared" si="535"/>
        <v>1239</v>
      </c>
      <c r="DU243" s="2">
        <v>0</v>
      </c>
      <c r="DV243" s="2">
        <f t="shared" si="536"/>
        <v>1239</v>
      </c>
      <c r="DW243" s="266">
        <f t="shared" si="553"/>
        <v>1239</v>
      </c>
      <c r="DX243" s="441">
        <f t="shared" si="554"/>
        <v>0</v>
      </c>
    </row>
    <row r="244" spans="1:128">
      <c r="A244" s="413">
        <v>85</v>
      </c>
      <c r="B244" s="537" t="s">
        <v>885</v>
      </c>
      <c r="C244" s="433" t="s">
        <v>518</v>
      </c>
      <c r="D244" s="468">
        <v>0.18099999999999999</v>
      </c>
      <c r="E244" s="469">
        <v>60416</v>
      </c>
      <c r="F244" s="470" t="s">
        <v>921</v>
      </c>
      <c r="G244" s="481">
        <v>43374</v>
      </c>
      <c r="H244" s="443">
        <f t="shared" si="504"/>
        <v>48852</v>
      </c>
      <c r="I244" s="267">
        <v>15</v>
      </c>
      <c r="J244" s="267">
        <f t="shared" si="505"/>
        <v>182</v>
      </c>
      <c r="K244" s="267">
        <f t="shared" si="513"/>
        <v>183</v>
      </c>
      <c r="L244" s="433"/>
      <c r="M244" s="433"/>
      <c r="N244" s="436"/>
      <c r="O244" s="436"/>
      <c r="P244" s="433"/>
      <c r="Q244" s="436"/>
      <c r="R244" s="436"/>
      <c r="S244" s="433"/>
      <c r="T244" s="436"/>
      <c r="U244" s="436"/>
      <c r="V244" s="433"/>
      <c r="W244" s="436"/>
      <c r="X244" s="436"/>
      <c r="Y244" s="433"/>
      <c r="Z244" s="436"/>
      <c r="AA244" s="436"/>
      <c r="AB244" s="433"/>
      <c r="AC244" s="436"/>
      <c r="AD244" s="436"/>
      <c r="AE244" s="436"/>
      <c r="AF244" s="436"/>
      <c r="AG244" s="436"/>
      <c r="AH244" s="436"/>
      <c r="AI244" s="439">
        <v>15</v>
      </c>
      <c r="AJ244" s="436">
        <f t="shared" si="503"/>
        <v>15</v>
      </c>
      <c r="AK244" s="440">
        <f t="shared" si="514"/>
        <v>0.18103627252208465</v>
      </c>
      <c r="AL244" s="2"/>
      <c r="AM244" s="433"/>
      <c r="AN244" s="436"/>
      <c r="AO244" s="436"/>
      <c r="AP244" s="436"/>
      <c r="AQ244" s="436"/>
      <c r="AR244" s="436"/>
      <c r="AS244" s="436"/>
      <c r="AT244" s="2"/>
      <c r="AU244" s="2"/>
      <c r="AV244" s="2"/>
      <c r="AW244" s="2"/>
      <c r="AX244" s="2"/>
      <c r="AY244" s="2"/>
      <c r="AZ244" s="433"/>
      <c r="BA244" s="2"/>
      <c r="BB244" s="2"/>
      <c r="BC244" s="2"/>
      <c r="BD244" s="2"/>
      <c r="BE244" s="2"/>
      <c r="BF244" s="433"/>
      <c r="BG244" s="2"/>
      <c r="BH244" s="2"/>
      <c r="BI244" s="2">
        <f t="shared" si="506"/>
        <v>5454</v>
      </c>
      <c r="BJ244" s="2">
        <f t="shared" si="507"/>
        <v>54962</v>
      </c>
      <c r="BK244" s="2">
        <f t="shared" si="508"/>
        <v>9950</v>
      </c>
      <c r="BL244" s="2">
        <f t="shared" si="550"/>
        <v>45012</v>
      </c>
      <c r="BM244" s="2"/>
      <c r="BN244" s="2">
        <f t="shared" si="551"/>
        <v>45012</v>
      </c>
      <c r="BO244" s="2">
        <f t="shared" si="537"/>
        <v>8149</v>
      </c>
      <c r="BP244" s="2">
        <f t="shared" si="515"/>
        <v>36863</v>
      </c>
      <c r="BQ244" s="2"/>
      <c r="BR244" s="2">
        <f t="shared" si="552"/>
        <v>36863</v>
      </c>
      <c r="BS244" s="2">
        <f t="shared" si="538"/>
        <v>6674</v>
      </c>
      <c r="BT244" s="2">
        <f t="shared" si="516"/>
        <v>30189</v>
      </c>
      <c r="BU244" s="2">
        <f t="shared" si="539"/>
        <v>5465</v>
      </c>
      <c r="BV244" s="2">
        <f t="shared" si="517"/>
        <v>24724</v>
      </c>
      <c r="BW244" s="2">
        <f t="shared" si="540"/>
        <v>4476</v>
      </c>
      <c r="BX244" s="2">
        <f t="shared" si="518"/>
        <v>20248</v>
      </c>
      <c r="BY244" s="2">
        <f t="shared" si="541"/>
        <v>3666</v>
      </c>
      <c r="BZ244" s="2">
        <f t="shared" si="519"/>
        <v>16582</v>
      </c>
      <c r="CA244" s="2">
        <f t="shared" si="542"/>
        <v>3002</v>
      </c>
      <c r="CB244" s="2">
        <f t="shared" si="520"/>
        <v>13580</v>
      </c>
      <c r="CC244" s="2">
        <f t="shared" si="543"/>
        <v>2458</v>
      </c>
      <c r="CD244" s="2">
        <f t="shared" si="521"/>
        <v>11122</v>
      </c>
      <c r="CE244" s="2">
        <f t="shared" si="544"/>
        <v>2013</v>
      </c>
      <c r="CF244" s="2">
        <f t="shared" si="522"/>
        <v>9109</v>
      </c>
      <c r="CG244" s="2">
        <f t="shared" si="545"/>
        <v>1649</v>
      </c>
      <c r="CH244" s="2">
        <f t="shared" si="523"/>
        <v>7460</v>
      </c>
      <c r="CI244" s="2">
        <f t="shared" si="546"/>
        <v>1351</v>
      </c>
      <c r="CJ244" s="2">
        <f t="shared" si="524"/>
        <v>6109</v>
      </c>
      <c r="CK244" s="2">
        <f t="shared" si="547"/>
        <v>1106</v>
      </c>
      <c r="CL244" s="2">
        <f t="shared" si="525"/>
        <v>5003</v>
      </c>
      <c r="CM244" s="2">
        <f t="shared" si="548"/>
        <v>906</v>
      </c>
      <c r="CN244" s="2">
        <f t="shared" si="526"/>
        <v>4097</v>
      </c>
      <c r="CO244" s="2">
        <f t="shared" si="549"/>
        <v>742</v>
      </c>
      <c r="CP244" s="2">
        <f t="shared" si="527"/>
        <v>3355</v>
      </c>
      <c r="CQ244" s="317">
        <f t="shared" si="512"/>
        <v>334.2</v>
      </c>
      <c r="CR244" s="2">
        <f t="shared" si="528"/>
        <v>3020.8</v>
      </c>
      <c r="CS244" s="2">
        <v>0</v>
      </c>
      <c r="CT244" s="2">
        <f t="shared" si="529"/>
        <v>3020.8</v>
      </c>
      <c r="CU244" s="2">
        <v>0</v>
      </c>
      <c r="CV244" s="2">
        <f t="shared" si="530"/>
        <v>3020.8</v>
      </c>
      <c r="CW244" s="2">
        <v>0</v>
      </c>
      <c r="CX244" s="2">
        <f t="shared" si="531"/>
        <v>3020.8</v>
      </c>
      <c r="CY244" s="2">
        <v>0</v>
      </c>
      <c r="CZ244" s="2">
        <f t="shared" si="532"/>
        <v>3020.8</v>
      </c>
      <c r="DA244" s="2">
        <v>0</v>
      </c>
      <c r="DB244" s="2">
        <f t="shared" si="533"/>
        <v>3020.8</v>
      </c>
      <c r="DC244" s="2">
        <v>0</v>
      </c>
      <c r="DD244" s="2">
        <f t="shared" si="534"/>
        <v>3020.8</v>
      </c>
      <c r="DE244" s="2">
        <v>0</v>
      </c>
      <c r="DF244" s="2">
        <f t="shared" si="555"/>
        <v>3020.8</v>
      </c>
      <c r="DG244" s="2">
        <v>0</v>
      </c>
      <c r="DH244" s="2">
        <f t="shared" si="556"/>
        <v>3020.8</v>
      </c>
      <c r="DI244" s="2">
        <v>0</v>
      </c>
      <c r="DJ244" s="2">
        <f t="shared" si="557"/>
        <v>3020.8</v>
      </c>
      <c r="DK244" s="2">
        <v>0</v>
      </c>
      <c r="DL244" s="2">
        <f t="shared" si="558"/>
        <v>3020.8</v>
      </c>
      <c r="DM244" s="2">
        <v>0</v>
      </c>
      <c r="DN244" s="2">
        <f t="shared" si="559"/>
        <v>3020.8</v>
      </c>
      <c r="DO244" s="2">
        <v>0</v>
      </c>
      <c r="DP244" s="2">
        <f t="shared" si="560"/>
        <v>3020.8</v>
      </c>
      <c r="DQ244" s="2">
        <v>0</v>
      </c>
      <c r="DR244" s="2">
        <f t="shared" si="561"/>
        <v>3020.8</v>
      </c>
      <c r="DS244" s="2">
        <v>0</v>
      </c>
      <c r="DT244" s="2">
        <f t="shared" si="535"/>
        <v>3020.8</v>
      </c>
      <c r="DU244" s="2">
        <v>0</v>
      </c>
      <c r="DV244" s="2">
        <f t="shared" si="536"/>
        <v>3020.8</v>
      </c>
      <c r="DW244" s="266">
        <f t="shared" si="553"/>
        <v>3020.8</v>
      </c>
      <c r="DX244" s="441">
        <f t="shared" si="554"/>
        <v>0</v>
      </c>
    </row>
    <row r="245" spans="1:128">
      <c r="A245" s="413">
        <v>86</v>
      </c>
      <c r="B245" s="537" t="s">
        <v>901</v>
      </c>
      <c r="C245" s="433" t="s">
        <v>518</v>
      </c>
      <c r="D245" s="468">
        <v>0.18099999999999999</v>
      </c>
      <c r="E245" s="469">
        <v>5830380</v>
      </c>
      <c r="F245" s="470" t="s">
        <v>921</v>
      </c>
      <c r="G245" s="481">
        <v>43374</v>
      </c>
      <c r="H245" s="443">
        <f t="shared" si="504"/>
        <v>48852</v>
      </c>
      <c r="I245" s="267">
        <v>15</v>
      </c>
      <c r="J245" s="267">
        <f t="shared" si="505"/>
        <v>182</v>
      </c>
      <c r="K245" s="267">
        <f t="shared" si="513"/>
        <v>183</v>
      </c>
      <c r="L245" s="433"/>
      <c r="M245" s="433"/>
      <c r="N245" s="436"/>
      <c r="O245" s="436"/>
      <c r="P245" s="433"/>
      <c r="Q245" s="436"/>
      <c r="R245" s="436"/>
      <c r="S245" s="433"/>
      <c r="T245" s="436"/>
      <c r="U245" s="436"/>
      <c r="V245" s="433"/>
      <c r="W245" s="436"/>
      <c r="X245" s="436"/>
      <c r="Y245" s="433"/>
      <c r="Z245" s="436"/>
      <c r="AA245" s="436"/>
      <c r="AB245" s="433"/>
      <c r="AC245" s="436"/>
      <c r="AD245" s="436"/>
      <c r="AE245" s="436"/>
      <c r="AF245" s="436"/>
      <c r="AG245" s="436"/>
      <c r="AH245" s="436"/>
      <c r="AI245" s="439">
        <v>15</v>
      </c>
      <c r="AJ245" s="436">
        <f t="shared" si="503"/>
        <v>15</v>
      </c>
      <c r="AK245" s="440">
        <f t="shared" si="514"/>
        <v>0.18103627252208465</v>
      </c>
      <c r="AL245" s="2"/>
      <c r="AM245" s="433"/>
      <c r="AN245" s="436"/>
      <c r="AO245" s="436"/>
      <c r="AP245" s="436"/>
      <c r="AQ245" s="436"/>
      <c r="AR245" s="436"/>
      <c r="AS245" s="436"/>
      <c r="AT245" s="2"/>
      <c r="AU245" s="2"/>
      <c r="AV245" s="2"/>
      <c r="AW245" s="2"/>
      <c r="AX245" s="2"/>
      <c r="AY245" s="2"/>
      <c r="AZ245" s="433"/>
      <c r="BA245" s="2"/>
      <c r="BB245" s="2"/>
      <c r="BC245" s="2"/>
      <c r="BD245" s="2"/>
      <c r="BE245" s="2"/>
      <c r="BF245" s="433"/>
      <c r="BG245" s="2"/>
      <c r="BH245" s="2"/>
      <c r="BI245" s="2">
        <f t="shared" si="506"/>
        <v>526309</v>
      </c>
      <c r="BJ245" s="2">
        <f t="shared" si="507"/>
        <v>5304071</v>
      </c>
      <c r="BK245" s="2">
        <f t="shared" si="508"/>
        <v>960229</v>
      </c>
      <c r="BL245" s="2">
        <f t="shared" si="550"/>
        <v>4343842</v>
      </c>
      <c r="BM245" s="2"/>
      <c r="BN245" s="2">
        <f t="shared" si="551"/>
        <v>4343842</v>
      </c>
      <c r="BO245" s="2">
        <f t="shared" si="537"/>
        <v>786393</v>
      </c>
      <c r="BP245" s="2">
        <f t="shared" si="515"/>
        <v>3557449</v>
      </c>
      <c r="BQ245" s="2"/>
      <c r="BR245" s="2">
        <f t="shared" si="552"/>
        <v>3557449</v>
      </c>
      <c r="BS245" s="2">
        <f t="shared" si="538"/>
        <v>644027</v>
      </c>
      <c r="BT245" s="2">
        <f t="shared" si="516"/>
        <v>2913422</v>
      </c>
      <c r="BU245" s="2">
        <f t="shared" si="539"/>
        <v>527435</v>
      </c>
      <c r="BV245" s="2">
        <f t="shared" si="517"/>
        <v>2385987</v>
      </c>
      <c r="BW245" s="2">
        <f t="shared" si="540"/>
        <v>431950</v>
      </c>
      <c r="BX245" s="2">
        <f t="shared" si="518"/>
        <v>1954037</v>
      </c>
      <c r="BY245" s="2">
        <f t="shared" si="541"/>
        <v>353752</v>
      </c>
      <c r="BZ245" s="2">
        <f t="shared" si="519"/>
        <v>1600285</v>
      </c>
      <c r="CA245" s="2">
        <f t="shared" si="542"/>
        <v>289710</v>
      </c>
      <c r="CB245" s="2">
        <f t="shared" si="520"/>
        <v>1310575</v>
      </c>
      <c r="CC245" s="2">
        <f t="shared" si="543"/>
        <v>237262</v>
      </c>
      <c r="CD245" s="2">
        <f t="shared" si="521"/>
        <v>1073313</v>
      </c>
      <c r="CE245" s="2">
        <f t="shared" si="544"/>
        <v>194309</v>
      </c>
      <c r="CF245" s="2">
        <f t="shared" si="522"/>
        <v>879004</v>
      </c>
      <c r="CG245" s="2">
        <f t="shared" si="545"/>
        <v>159132</v>
      </c>
      <c r="CH245" s="2">
        <f t="shared" si="523"/>
        <v>719872</v>
      </c>
      <c r="CI245" s="2">
        <f t="shared" si="546"/>
        <v>130323</v>
      </c>
      <c r="CJ245" s="2">
        <f t="shared" si="524"/>
        <v>589549</v>
      </c>
      <c r="CK245" s="2">
        <f t="shared" si="547"/>
        <v>106730</v>
      </c>
      <c r="CL245" s="2">
        <f t="shared" si="525"/>
        <v>482819</v>
      </c>
      <c r="CM245" s="2">
        <f t="shared" si="548"/>
        <v>87408</v>
      </c>
      <c r="CN245" s="2">
        <f t="shared" si="526"/>
        <v>395411</v>
      </c>
      <c r="CO245" s="2">
        <f t="shared" si="549"/>
        <v>71584</v>
      </c>
      <c r="CP245" s="2">
        <f t="shared" si="527"/>
        <v>323827</v>
      </c>
      <c r="CQ245" s="317">
        <f t="shared" si="512"/>
        <v>32308.000000000004</v>
      </c>
      <c r="CR245" s="2">
        <f t="shared" si="528"/>
        <v>291519</v>
      </c>
      <c r="CS245" s="2">
        <v>0</v>
      </c>
      <c r="CT245" s="2">
        <f t="shared" si="529"/>
        <v>291519</v>
      </c>
      <c r="CU245" s="2">
        <v>0</v>
      </c>
      <c r="CV245" s="2">
        <f t="shared" si="530"/>
        <v>291519</v>
      </c>
      <c r="CW245" s="2">
        <v>0</v>
      </c>
      <c r="CX245" s="2">
        <f t="shared" si="531"/>
        <v>291519</v>
      </c>
      <c r="CY245" s="2">
        <v>0</v>
      </c>
      <c r="CZ245" s="2">
        <f t="shared" si="532"/>
        <v>291519</v>
      </c>
      <c r="DA245" s="2">
        <v>0</v>
      </c>
      <c r="DB245" s="2">
        <f t="shared" si="533"/>
        <v>291519</v>
      </c>
      <c r="DC245" s="2">
        <v>0</v>
      </c>
      <c r="DD245" s="2">
        <f t="shared" si="534"/>
        <v>291519</v>
      </c>
      <c r="DE245" s="2">
        <v>0</v>
      </c>
      <c r="DF245" s="2">
        <f t="shared" si="555"/>
        <v>291519</v>
      </c>
      <c r="DG245" s="2">
        <v>0</v>
      </c>
      <c r="DH245" s="2">
        <f t="shared" si="556"/>
        <v>291519</v>
      </c>
      <c r="DI245" s="2">
        <v>0</v>
      </c>
      <c r="DJ245" s="2">
        <f t="shared" si="557"/>
        <v>291519</v>
      </c>
      <c r="DK245" s="2">
        <v>0</v>
      </c>
      <c r="DL245" s="2">
        <f t="shared" si="558"/>
        <v>291519</v>
      </c>
      <c r="DM245" s="2">
        <v>0</v>
      </c>
      <c r="DN245" s="2">
        <f t="shared" si="559"/>
        <v>291519</v>
      </c>
      <c r="DO245" s="2">
        <v>0</v>
      </c>
      <c r="DP245" s="2">
        <f t="shared" si="560"/>
        <v>291519</v>
      </c>
      <c r="DQ245" s="2">
        <v>0</v>
      </c>
      <c r="DR245" s="2">
        <f t="shared" si="561"/>
        <v>291519</v>
      </c>
      <c r="DS245" s="2">
        <v>0</v>
      </c>
      <c r="DT245" s="2">
        <f t="shared" si="535"/>
        <v>291519</v>
      </c>
      <c r="DU245" s="2">
        <v>0</v>
      </c>
      <c r="DV245" s="2">
        <f t="shared" si="536"/>
        <v>291519</v>
      </c>
      <c r="DW245" s="266">
        <f t="shared" si="553"/>
        <v>291519</v>
      </c>
      <c r="DX245" s="441">
        <f t="shared" si="554"/>
        <v>0</v>
      </c>
    </row>
    <row r="246" spans="1:128">
      <c r="A246" s="413">
        <v>87</v>
      </c>
      <c r="B246" s="537" t="s">
        <v>902</v>
      </c>
      <c r="C246" s="433" t="s">
        <v>518</v>
      </c>
      <c r="D246" s="468">
        <v>0.18099999999999999</v>
      </c>
      <c r="E246" s="469">
        <v>4519400</v>
      </c>
      <c r="F246" s="470" t="s">
        <v>921</v>
      </c>
      <c r="G246" s="481">
        <v>43399</v>
      </c>
      <c r="H246" s="443">
        <f t="shared" si="504"/>
        <v>48877</v>
      </c>
      <c r="I246" s="267">
        <v>15</v>
      </c>
      <c r="J246" s="267">
        <f t="shared" si="505"/>
        <v>157</v>
      </c>
      <c r="K246" s="267">
        <f t="shared" si="513"/>
        <v>208</v>
      </c>
      <c r="L246" s="433"/>
      <c r="M246" s="433"/>
      <c r="N246" s="436"/>
      <c r="O246" s="436"/>
      <c r="P246" s="433"/>
      <c r="Q246" s="436"/>
      <c r="R246" s="436"/>
      <c r="S246" s="433"/>
      <c r="T246" s="436"/>
      <c r="U246" s="436"/>
      <c r="V246" s="433"/>
      <c r="W246" s="436"/>
      <c r="X246" s="436"/>
      <c r="Y246" s="433"/>
      <c r="Z246" s="436"/>
      <c r="AA246" s="436"/>
      <c r="AB246" s="433"/>
      <c r="AC246" s="436"/>
      <c r="AD246" s="436"/>
      <c r="AE246" s="436"/>
      <c r="AF246" s="436"/>
      <c r="AG246" s="436"/>
      <c r="AH246" s="436"/>
      <c r="AI246" s="439">
        <v>15</v>
      </c>
      <c r="AJ246" s="436">
        <f t="shared" si="503"/>
        <v>15</v>
      </c>
      <c r="AK246" s="440">
        <f t="shared" si="514"/>
        <v>0.18103627252208465</v>
      </c>
      <c r="AL246" s="2"/>
      <c r="AM246" s="433"/>
      <c r="AN246" s="436"/>
      <c r="AO246" s="436"/>
      <c r="AP246" s="436"/>
      <c r="AQ246" s="436"/>
      <c r="AR246" s="436"/>
      <c r="AS246" s="436"/>
      <c r="AT246" s="2"/>
      <c r="AU246" s="2"/>
      <c r="AV246" s="2"/>
      <c r="AW246" s="2"/>
      <c r="AX246" s="2"/>
      <c r="AY246" s="2"/>
      <c r="AZ246" s="433"/>
      <c r="BA246" s="2"/>
      <c r="BB246" s="2"/>
      <c r="BC246" s="2"/>
      <c r="BD246" s="2"/>
      <c r="BE246" s="2"/>
      <c r="BF246" s="433"/>
      <c r="BG246" s="2"/>
      <c r="BH246" s="2"/>
      <c r="BI246" s="2">
        <f t="shared" si="506"/>
        <v>351927</v>
      </c>
      <c r="BJ246" s="2">
        <f t="shared" si="507"/>
        <v>4167473</v>
      </c>
      <c r="BK246" s="2">
        <f t="shared" si="508"/>
        <v>754464</v>
      </c>
      <c r="BL246" s="2">
        <f t="shared" si="550"/>
        <v>3413009</v>
      </c>
      <c r="BM246" s="2"/>
      <c r="BN246" s="2">
        <f t="shared" si="551"/>
        <v>3413009</v>
      </c>
      <c r="BO246" s="2">
        <f t="shared" si="537"/>
        <v>617878</v>
      </c>
      <c r="BP246" s="2">
        <f t="shared" si="515"/>
        <v>2795131</v>
      </c>
      <c r="BQ246" s="2"/>
      <c r="BR246" s="2">
        <f t="shared" si="552"/>
        <v>2795131</v>
      </c>
      <c r="BS246" s="2">
        <f t="shared" si="538"/>
        <v>506020</v>
      </c>
      <c r="BT246" s="2">
        <f t="shared" si="516"/>
        <v>2289111</v>
      </c>
      <c r="BU246" s="2">
        <f t="shared" si="539"/>
        <v>414412</v>
      </c>
      <c r="BV246" s="2">
        <f t="shared" si="517"/>
        <v>1874699</v>
      </c>
      <c r="BW246" s="2">
        <f t="shared" si="540"/>
        <v>339389</v>
      </c>
      <c r="BX246" s="2">
        <f t="shared" si="518"/>
        <v>1535310</v>
      </c>
      <c r="BY246" s="2">
        <f t="shared" si="541"/>
        <v>277947</v>
      </c>
      <c r="BZ246" s="2">
        <f t="shared" si="519"/>
        <v>1257363</v>
      </c>
      <c r="CA246" s="2">
        <f t="shared" si="542"/>
        <v>227628</v>
      </c>
      <c r="CB246" s="2">
        <f t="shared" si="520"/>
        <v>1029735</v>
      </c>
      <c r="CC246" s="2">
        <f t="shared" si="543"/>
        <v>186419</v>
      </c>
      <c r="CD246" s="2">
        <f t="shared" si="521"/>
        <v>843316</v>
      </c>
      <c r="CE246" s="2">
        <f t="shared" si="544"/>
        <v>152671</v>
      </c>
      <c r="CF246" s="2">
        <f t="shared" si="522"/>
        <v>690645</v>
      </c>
      <c r="CG246" s="2">
        <f t="shared" si="545"/>
        <v>125032</v>
      </c>
      <c r="CH246" s="2">
        <f t="shared" si="523"/>
        <v>565613</v>
      </c>
      <c r="CI246" s="2">
        <f t="shared" si="546"/>
        <v>102396</v>
      </c>
      <c r="CJ246" s="2">
        <f t="shared" si="524"/>
        <v>463217</v>
      </c>
      <c r="CK246" s="2">
        <f t="shared" si="547"/>
        <v>83859</v>
      </c>
      <c r="CL246" s="2">
        <f t="shared" si="525"/>
        <v>379358</v>
      </c>
      <c r="CM246" s="2">
        <f t="shared" si="548"/>
        <v>68678</v>
      </c>
      <c r="CN246" s="2">
        <f t="shared" si="526"/>
        <v>310680</v>
      </c>
      <c r="CO246" s="2">
        <f t="shared" si="549"/>
        <v>56244</v>
      </c>
      <c r="CP246" s="2">
        <f t="shared" si="527"/>
        <v>254436</v>
      </c>
      <c r="CQ246" s="317">
        <f t="shared" si="512"/>
        <v>28466.000000000004</v>
      </c>
      <c r="CR246" s="2">
        <f t="shared" si="528"/>
        <v>225970</v>
      </c>
      <c r="CS246" s="2">
        <v>0</v>
      </c>
      <c r="CT246" s="2">
        <f t="shared" si="529"/>
        <v>225970</v>
      </c>
      <c r="CU246" s="2">
        <v>0</v>
      </c>
      <c r="CV246" s="2">
        <f t="shared" si="530"/>
        <v>225970</v>
      </c>
      <c r="CW246" s="2">
        <v>0</v>
      </c>
      <c r="CX246" s="2">
        <f t="shared" si="531"/>
        <v>225970</v>
      </c>
      <c r="CY246" s="2">
        <v>0</v>
      </c>
      <c r="CZ246" s="2">
        <f t="shared" si="532"/>
        <v>225970</v>
      </c>
      <c r="DA246" s="2">
        <v>0</v>
      </c>
      <c r="DB246" s="2">
        <f t="shared" si="533"/>
        <v>225970</v>
      </c>
      <c r="DC246" s="2">
        <v>0</v>
      </c>
      <c r="DD246" s="2">
        <f t="shared" si="534"/>
        <v>225970</v>
      </c>
      <c r="DE246" s="2">
        <v>0</v>
      </c>
      <c r="DF246" s="2">
        <f t="shared" si="555"/>
        <v>225970</v>
      </c>
      <c r="DG246" s="2">
        <v>0</v>
      </c>
      <c r="DH246" s="2">
        <f t="shared" si="556"/>
        <v>225970</v>
      </c>
      <c r="DI246" s="2">
        <v>0</v>
      </c>
      <c r="DJ246" s="2">
        <f t="shared" si="557"/>
        <v>225970</v>
      </c>
      <c r="DK246" s="2">
        <v>0</v>
      </c>
      <c r="DL246" s="2">
        <f t="shared" si="558"/>
        <v>225970</v>
      </c>
      <c r="DM246" s="2">
        <v>0</v>
      </c>
      <c r="DN246" s="2">
        <f t="shared" si="559"/>
        <v>225970</v>
      </c>
      <c r="DO246" s="2">
        <v>0</v>
      </c>
      <c r="DP246" s="2">
        <f t="shared" si="560"/>
        <v>225970</v>
      </c>
      <c r="DQ246" s="2">
        <v>0</v>
      </c>
      <c r="DR246" s="2">
        <f t="shared" si="561"/>
        <v>225970</v>
      </c>
      <c r="DS246" s="2">
        <v>0</v>
      </c>
      <c r="DT246" s="2">
        <f t="shared" si="535"/>
        <v>225970</v>
      </c>
      <c r="DU246" s="2">
        <v>0</v>
      </c>
      <c r="DV246" s="2">
        <f t="shared" si="536"/>
        <v>225970</v>
      </c>
      <c r="DW246" s="266">
        <f t="shared" si="553"/>
        <v>225970</v>
      </c>
      <c r="DX246" s="441">
        <f t="shared" si="554"/>
        <v>0</v>
      </c>
    </row>
    <row r="247" spans="1:128">
      <c r="A247" s="413">
        <v>88</v>
      </c>
      <c r="B247" s="537" t="s">
        <v>903</v>
      </c>
      <c r="C247" s="433" t="s">
        <v>518</v>
      </c>
      <c r="D247" s="468">
        <v>0.18099999999999999</v>
      </c>
      <c r="E247" s="469">
        <v>163430</v>
      </c>
      <c r="F247" s="470" t="s">
        <v>921</v>
      </c>
      <c r="G247" s="481">
        <v>43413</v>
      </c>
      <c r="H247" s="443">
        <f t="shared" si="504"/>
        <v>48891</v>
      </c>
      <c r="I247" s="267">
        <v>15</v>
      </c>
      <c r="J247" s="267">
        <f t="shared" si="505"/>
        <v>143</v>
      </c>
      <c r="K247" s="267">
        <f t="shared" si="513"/>
        <v>222</v>
      </c>
      <c r="L247" s="433"/>
      <c r="M247" s="433"/>
      <c r="N247" s="436"/>
      <c r="O247" s="436"/>
      <c r="P247" s="433"/>
      <c r="Q247" s="436"/>
      <c r="R247" s="436"/>
      <c r="S247" s="433"/>
      <c r="T247" s="436"/>
      <c r="U247" s="436"/>
      <c r="V247" s="433"/>
      <c r="W247" s="436"/>
      <c r="X247" s="436"/>
      <c r="Y247" s="433"/>
      <c r="Z247" s="436"/>
      <c r="AA247" s="436"/>
      <c r="AB247" s="433"/>
      <c r="AC247" s="436"/>
      <c r="AD247" s="436"/>
      <c r="AE247" s="436"/>
      <c r="AF247" s="436"/>
      <c r="AG247" s="436"/>
      <c r="AH247" s="436"/>
      <c r="AI247" s="439">
        <v>15</v>
      </c>
      <c r="AJ247" s="436">
        <f t="shared" si="503"/>
        <v>15</v>
      </c>
      <c r="AK247" s="440">
        <f t="shared" si="514"/>
        <v>0.18103627252208465</v>
      </c>
      <c r="AL247" s="2"/>
      <c r="AM247" s="433"/>
      <c r="AN247" s="436"/>
      <c r="AO247" s="436"/>
      <c r="AP247" s="436"/>
      <c r="AQ247" s="436"/>
      <c r="AR247" s="436"/>
      <c r="AS247" s="436"/>
      <c r="AT247" s="2"/>
      <c r="AU247" s="2"/>
      <c r="AV247" s="2"/>
      <c r="AW247" s="2"/>
      <c r="AX247" s="2"/>
      <c r="AY247" s="2"/>
      <c r="AZ247" s="433"/>
      <c r="BA247" s="2"/>
      <c r="BB247" s="2"/>
      <c r="BC247" s="2"/>
      <c r="BD247" s="2"/>
      <c r="BE247" s="2"/>
      <c r="BF247" s="433"/>
      <c r="BG247" s="2"/>
      <c r="BH247" s="2"/>
      <c r="BI247" s="2">
        <f t="shared" si="506"/>
        <v>11592</v>
      </c>
      <c r="BJ247" s="2">
        <f t="shared" si="507"/>
        <v>151838</v>
      </c>
      <c r="BK247" s="2">
        <f t="shared" si="508"/>
        <v>27488</v>
      </c>
      <c r="BL247" s="2">
        <f t="shared" si="550"/>
        <v>124350</v>
      </c>
      <c r="BM247" s="2"/>
      <c r="BN247" s="2">
        <f t="shared" si="551"/>
        <v>124350</v>
      </c>
      <c r="BO247" s="2">
        <f t="shared" si="537"/>
        <v>22512</v>
      </c>
      <c r="BP247" s="2">
        <f t="shared" si="515"/>
        <v>101838</v>
      </c>
      <c r="BQ247" s="2"/>
      <c r="BR247" s="2">
        <f t="shared" si="552"/>
        <v>101838</v>
      </c>
      <c r="BS247" s="2">
        <f t="shared" si="538"/>
        <v>18436</v>
      </c>
      <c r="BT247" s="2">
        <f t="shared" si="516"/>
        <v>83402</v>
      </c>
      <c r="BU247" s="2">
        <f t="shared" si="539"/>
        <v>15099</v>
      </c>
      <c r="BV247" s="2">
        <f t="shared" si="517"/>
        <v>68303</v>
      </c>
      <c r="BW247" s="2">
        <f t="shared" si="540"/>
        <v>12365</v>
      </c>
      <c r="BX247" s="2">
        <f t="shared" si="518"/>
        <v>55938</v>
      </c>
      <c r="BY247" s="2">
        <f t="shared" si="541"/>
        <v>10127</v>
      </c>
      <c r="BZ247" s="2">
        <f t="shared" si="519"/>
        <v>45811</v>
      </c>
      <c r="CA247" s="2">
        <f t="shared" si="542"/>
        <v>8293</v>
      </c>
      <c r="CB247" s="2">
        <f t="shared" si="520"/>
        <v>37518</v>
      </c>
      <c r="CC247" s="2">
        <f t="shared" si="543"/>
        <v>6792</v>
      </c>
      <c r="CD247" s="2">
        <f t="shared" si="521"/>
        <v>30726</v>
      </c>
      <c r="CE247" s="2">
        <f t="shared" si="544"/>
        <v>5563</v>
      </c>
      <c r="CF247" s="2">
        <f t="shared" si="522"/>
        <v>25163</v>
      </c>
      <c r="CG247" s="2">
        <f t="shared" si="545"/>
        <v>4555</v>
      </c>
      <c r="CH247" s="2">
        <f t="shared" si="523"/>
        <v>20608</v>
      </c>
      <c r="CI247" s="2">
        <f t="shared" si="546"/>
        <v>3731</v>
      </c>
      <c r="CJ247" s="2">
        <f t="shared" si="524"/>
        <v>16877</v>
      </c>
      <c r="CK247" s="2">
        <f t="shared" si="547"/>
        <v>3055</v>
      </c>
      <c r="CL247" s="2">
        <f t="shared" si="525"/>
        <v>13822</v>
      </c>
      <c r="CM247" s="2">
        <f t="shared" si="548"/>
        <v>2502</v>
      </c>
      <c r="CN247" s="2">
        <f t="shared" si="526"/>
        <v>11320</v>
      </c>
      <c r="CO247" s="2">
        <f t="shared" si="549"/>
        <v>2049</v>
      </c>
      <c r="CP247" s="2">
        <f t="shared" si="527"/>
        <v>9271</v>
      </c>
      <c r="CQ247" s="317">
        <f t="shared" si="512"/>
        <v>1099.4999999999998</v>
      </c>
      <c r="CR247" s="2">
        <f t="shared" si="528"/>
        <v>8171.5</v>
      </c>
      <c r="CS247" s="2">
        <v>0</v>
      </c>
      <c r="CT247" s="2">
        <f t="shared" si="529"/>
        <v>8171.5</v>
      </c>
      <c r="CU247" s="2">
        <v>0</v>
      </c>
      <c r="CV247" s="2">
        <f t="shared" si="530"/>
        <v>8171.5</v>
      </c>
      <c r="CW247" s="2">
        <v>0</v>
      </c>
      <c r="CX247" s="2">
        <f t="shared" si="531"/>
        <v>8171.5</v>
      </c>
      <c r="CY247" s="2">
        <v>0</v>
      </c>
      <c r="CZ247" s="2">
        <f t="shared" si="532"/>
        <v>8171.5</v>
      </c>
      <c r="DA247" s="2">
        <v>0</v>
      </c>
      <c r="DB247" s="2">
        <f t="shared" si="533"/>
        <v>8171.5</v>
      </c>
      <c r="DC247" s="2">
        <v>0</v>
      </c>
      <c r="DD247" s="2">
        <f t="shared" si="534"/>
        <v>8171.5</v>
      </c>
      <c r="DE247" s="2">
        <v>0</v>
      </c>
      <c r="DF247" s="2">
        <f t="shared" si="555"/>
        <v>8171.5</v>
      </c>
      <c r="DG247" s="2">
        <v>0</v>
      </c>
      <c r="DH247" s="2">
        <f t="shared" si="556"/>
        <v>8171.5</v>
      </c>
      <c r="DI247" s="2">
        <v>0</v>
      </c>
      <c r="DJ247" s="2">
        <f t="shared" si="557"/>
        <v>8171.5</v>
      </c>
      <c r="DK247" s="2">
        <v>0</v>
      </c>
      <c r="DL247" s="2">
        <f t="shared" si="558"/>
        <v>8171.5</v>
      </c>
      <c r="DM247" s="2">
        <v>0</v>
      </c>
      <c r="DN247" s="2">
        <f t="shared" si="559"/>
        <v>8171.5</v>
      </c>
      <c r="DO247" s="2">
        <v>0</v>
      </c>
      <c r="DP247" s="2">
        <f t="shared" si="560"/>
        <v>8171.5</v>
      </c>
      <c r="DQ247" s="2">
        <v>0</v>
      </c>
      <c r="DR247" s="2">
        <f t="shared" si="561"/>
        <v>8171.5</v>
      </c>
      <c r="DS247" s="2">
        <v>0</v>
      </c>
      <c r="DT247" s="2">
        <f t="shared" si="535"/>
        <v>8171.5</v>
      </c>
      <c r="DU247" s="2">
        <v>0</v>
      </c>
      <c r="DV247" s="2">
        <f t="shared" si="536"/>
        <v>8171.5</v>
      </c>
      <c r="DW247" s="266">
        <f t="shared" si="553"/>
        <v>8171.5</v>
      </c>
      <c r="DX247" s="441">
        <f t="shared" si="554"/>
        <v>0</v>
      </c>
    </row>
    <row r="248" spans="1:128">
      <c r="A248" s="413">
        <v>89</v>
      </c>
      <c r="B248" s="537" t="s">
        <v>904</v>
      </c>
      <c r="C248" s="433" t="s">
        <v>518</v>
      </c>
      <c r="D248" s="468">
        <v>0.18099999999999999</v>
      </c>
      <c r="E248" s="469">
        <v>2591626</v>
      </c>
      <c r="F248" s="470" t="s">
        <v>921</v>
      </c>
      <c r="G248" s="481">
        <v>43344</v>
      </c>
      <c r="H248" s="443">
        <f t="shared" si="504"/>
        <v>48822</v>
      </c>
      <c r="I248" s="267">
        <v>15</v>
      </c>
      <c r="J248" s="267">
        <f t="shared" si="505"/>
        <v>212</v>
      </c>
      <c r="K248" s="267">
        <f t="shared" si="513"/>
        <v>153</v>
      </c>
      <c r="L248" s="433"/>
      <c r="M248" s="433"/>
      <c r="N248" s="436"/>
      <c r="O248" s="436"/>
      <c r="P248" s="433"/>
      <c r="Q248" s="436"/>
      <c r="R248" s="436"/>
      <c r="S248" s="433"/>
      <c r="T248" s="436"/>
      <c r="U248" s="436"/>
      <c r="V248" s="433"/>
      <c r="W248" s="436"/>
      <c r="X248" s="436"/>
      <c r="Y248" s="433"/>
      <c r="Z248" s="436"/>
      <c r="AA248" s="436"/>
      <c r="AB248" s="433"/>
      <c r="AC248" s="436"/>
      <c r="AD248" s="436"/>
      <c r="AE248" s="436"/>
      <c r="AF248" s="436"/>
      <c r="AG248" s="436"/>
      <c r="AH248" s="436"/>
      <c r="AI248" s="439">
        <v>15</v>
      </c>
      <c r="AJ248" s="436">
        <f t="shared" si="503"/>
        <v>15</v>
      </c>
      <c r="AK248" s="440">
        <f t="shared" si="514"/>
        <v>0.18103627252208465</v>
      </c>
      <c r="AL248" s="2"/>
      <c r="AM248" s="433"/>
      <c r="AN248" s="436"/>
      <c r="AO248" s="436"/>
      <c r="AP248" s="436"/>
      <c r="AQ248" s="436"/>
      <c r="AR248" s="436"/>
      <c r="AS248" s="436"/>
      <c r="AT248" s="2"/>
      <c r="AU248" s="2"/>
      <c r="AV248" s="2"/>
      <c r="AW248" s="2"/>
      <c r="AX248" s="2"/>
      <c r="AY248" s="2"/>
      <c r="AZ248" s="433"/>
      <c r="BA248" s="2"/>
      <c r="BB248" s="2"/>
      <c r="BC248" s="2"/>
      <c r="BD248" s="2"/>
      <c r="BE248" s="2"/>
      <c r="BF248" s="433"/>
      <c r="BG248" s="2"/>
      <c r="BH248" s="2"/>
      <c r="BI248" s="2">
        <f t="shared" si="506"/>
        <v>272509</v>
      </c>
      <c r="BJ248" s="2">
        <f t="shared" si="507"/>
        <v>2319117</v>
      </c>
      <c r="BK248" s="2">
        <f t="shared" si="508"/>
        <v>419844</v>
      </c>
      <c r="BL248" s="2">
        <f t="shared" si="550"/>
        <v>1899273</v>
      </c>
      <c r="BM248" s="2"/>
      <c r="BN248" s="2">
        <f t="shared" si="551"/>
        <v>1899273</v>
      </c>
      <c r="BO248" s="2">
        <f t="shared" si="537"/>
        <v>343837</v>
      </c>
      <c r="BP248" s="2">
        <f t="shared" si="515"/>
        <v>1555436</v>
      </c>
      <c r="BQ248" s="2"/>
      <c r="BR248" s="2">
        <f t="shared" si="552"/>
        <v>1555436</v>
      </c>
      <c r="BS248" s="2">
        <f t="shared" si="538"/>
        <v>281590</v>
      </c>
      <c r="BT248" s="2">
        <f t="shared" si="516"/>
        <v>1273846</v>
      </c>
      <c r="BU248" s="2">
        <f t="shared" si="539"/>
        <v>230612</v>
      </c>
      <c r="BV248" s="2">
        <f t="shared" si="517"/>
        <v>1043234</v>
      </c>
      <c r="BW248" s="2">
        <f t="shared" si="540"/>
        <v>188863</v>
      </c>
      <c r="BX248" s="2">
        <f t="shared" si="518"/>
        <v>854371</v>
      </c>
      <c r="BY248" s="2">
        <f t="shared" si="541"/>
        <v>154672</v>
      </c>
      <c r="BZ248" s="2">
        <f t="shared" si="519"/>
        <v>699699</v>
      </c>
      <c r="CA248" s="2">
        <f t="shared" si="542"/>
        <v>126671</v>
      </c>
      <c r="CB248" s="2">
        <f t="shared" si="520"/>
        <v>573028</v>
      </c>
      <c r="CC248" s="2">
        <f t="shared" si="543"/>
        <v>103739</v>
      </c>
      <c r="CD248" s="2">
        <f t="shared" si="521"/>
        <v>469289</v>
      </c>
      <c r="CE248" s="2">
        <f t="shared" si="544"/>
        <v>84958</v>
      </c>
      <c r="CF248" s="2">
        <f t="shared" si="522"/>
        <v>384331</v>
      </c>
      <c r="CG248" s="2">
        <f t="shared" si="545"/>
        <v>69578</v>
      </c>
      <c r="CH248" s="2">
        <f t="shared" si="523"/>
        <v>314753</v>
      </c>
      <c r="CI248" s="2">
        <f t="shared" si="546"/>
        <v>56982</v>
      </c>
      <c r="CJ248" s="2">
        <f t="shared" si="524"/>
        <v>257771</v>
      </c>
      <c r="CK248" s="2">
        <f t="shared" si="547"/>
        <v>46666</v>
      </c>
      <c r="CL248" s="2">
        <f t="shared" si="525"/>
        <v>211105</v>
      </c>
      <c r="CM248" s="2">
        <f t="shared" si="548"/>
        <v>38218</v>
      </c>
      <c r="CN248" s="2">
        <f t="shared" si="526"/>
        <v>172887</v>
      </c>
      <c r="CO248" s="2">
        <f t="shared" si="549"/>
        <v>31299</v>
      </c>
      <c r="CP248" s="2">
        <f t="shared" si="527"/>
        <v>141588</v>
      </c>
      <c r="CQ248" s="317">
        <f t="shared" si="512"/>
        <v>12006.699999999995</v>
      </c>
      <c r="CR248" s="2">
        <f t="shared" si="528"/>
        <v>129581.3</v>
      </c>
      <c r="CS248" s="2">
        <v>0</v>
      </c>
      <c r="CT248" s="2">
        <f t="shared" si="529"/>
        <v>129581.3</v>
      </c>
      <c r="CU248" s="2">
        <v>0</v>
      </c>
      <c r="CV248" s="2">
        <f t="shared" si="530"/>
        <v>129581.3</v>
      </c>
      <c r="CW248" s="2">
        <v>0</v>
      </c>
      <c r="CX248" s="2">
        <f t="shared" si="531"/>
        <v>129581.3</v>
      </c>
      <c r="CY248" s="2">
        <v>0</v>
      </c>
      <c r="CZ248" s="2">
        <f t="shared" si="532"/>
        <v>129581.3</v>
      </c>
      <c r="DA248" s="2">
        <v>0</v>
      </c>
      <c r="DB248" s="2">
        <f t="shared" si="533"/>
        <v>129581.3</v>
      </c>
      <c r="DC248" s="2">
        <v>0</v>
      </c>
      <c r="DD248" s="2">
        <f t="shared" si="534"/>
        <v>129581.3</v>
      </c>
      <c r="DE248" s="2">
        <v>0</v>
      </c>
      <c r="DF248" s="2">
        <f t="shared" si="555"/>
        <v>129581.3</v>
      </c>
      <c r="DG248" s="2">
        <v>0</v>
      </c>
      <c r="DH248" s="2">
        <f t="shared" si="556"/>
        <v>129581.3</v>
      </c>
      <c r="DI248" s="2">
        <v>0</v>
      </c>
      <c r="DJ248" s="2">
        <f t="shared" si="557"/>
        <v>129581.3</v>
      </c>
      <c r="DK248" s="2">
        <v>0</v>
      </c>
      <c r="DL248" s="2">
        <f t="shared" si="558"/>
        <v>129581.3</v>
      </c>
      <c r="DM248" s="2">
        <v>0</v>
      </c>
      <c r="DN248" s="2">
        <f t="shared" si="559"/>
        <v>129581.3</v>
      </c>
      <c r="DO248" s="2">
        <v>0</v>
      </c>
      <c r="DP248" s="2">
        <f t="shared" si="560"/>
        <v>129581.3</v>
      </c>
      <c r="DQ248" s="2">
        <v>0</v>
      </c>
      <c r="DR248" s="2">
        <f t="shared" si="561"/>
        <v>129581.3</v>
      </c>
      <c r="DS248" s="2">
        <v>0</v>
      </c>
      <c r="DT248" s="2">
        <f t="shared" si="535"/>
        <v>129581.3</v>
      </c>
      <c r="DU248" s="2">
        <v>0</v>
      </c>
      <c r="DV248" s="2">
        <f t="shared" si="536"/>
        <v>129581.3</v>
      </c>
      <c r="DW248" s="266">
        <f t="shared" si="553"/>
        <v>129581.3</v>
      </c>
      <c r="DX248" s="441">
        <f t="shared" si="554"/>
        <v>0</v>
      </c>
    </row>
    <row r="249" spans="1:128">
      <c r="A249" s="413">
        <v>90</v>
      </c>
      <c r="B249" s="480" t="s">
        <v>905</v>
      </c>
      <c r="C249" s="433" t="s">
        <v>518</v>
      </c>
      <c r="D249" s="468">
        <v>0.18099999999999999</v>
      </c>
      <c r="E249" s="469">
        <v>4724827</v>
      </c>
      <c r="F249" s="470" t="s">
        <v>921</v>
      </c>
      <c r="G249" s="481">
        <v>43344</v>
      </c>
      <c r="H249" s="443">
        <f t="shared" si="504"/>
        <v>48822</v>
      </c>
      <c r="I249" s="267">
        <v>15</v>
      </c>
      <c r="J249" s="267">
        <f t="shared" si="505"/>
        <v>212</v>
      </c>
      <c r="K249" s="267">
        <f t="shared" si="513"/>
        <v>153</v>
      </c>
      <c r="L249" s="433"/>
      <c r="M249" s="433"/>
      <c r="N249" s="436"/>
      <c r="O249" s="436"/>
      <c r="P249" s="433"/>
      <c r="Q249" s="436"/>
      <c r="R249" s="436"/>
      <c r="S249" s="433"/>
      <c r="T249" s="436"/>
      <c r="U249" s="436"/>
      <c r="V249" s="433"/>
      <c r="W249" s="436"/>
      <c r="X249" s="436"/>
      <c r="Y249" s="433"/>
      <c r="Z249" s="436"/>
      <c r="AA249" s="436"/>
      <c r="AB249" s="433"/>
      <c r="AC249" s="436"/>
      <c r="AD249" s="436"/>
      <c r="AE249" s="436"/>
      <c r="AF249" s="436"/>
      <c r="AG249" s="436"/>
      <c r="AH249" s="436"/>
      <c r="AI249" s="439">
        <v>15</v>
      </c>
      <c r="AJ249" s="436">
        <f t="shared" si="503"/>
        <v>15</v>
      </c>
      <c r="AK249" s="440">
        <f t="shared" si="514"/>
        <v>0.18103627252208465</v>
      </c>
      <c r="AL249" s="2"/>
      <c r="AM249" s="433"/>
      <c r="AN249" s="436"/>
      <c r="AO249" s="436"/>
      <c r="AP249" s="436"/>
      <c r="AQ249" s="436"/>
      <c r="AR249" s="436"/>
      <c r="AS249" s="436"/>
      <c r="AT249" s="2"/>
      <c r="AU249" s="2"/>
      <c r="AV249" s="2"/>
      <c r="AW249" s="2"/>
      <c r="AX249" s="2"/>
      <c r="AY249" s="2"/>
      <c r="AZ249" s="433"/>
      <c r="BA249" s="2"/>
      <c r="BB249" s="2"/>
      <c r="BC249" s="2"/>
      <c r="BD249" s="2"/>
      <c r="BE249" s="2"/>
      <c r="BF249" s="433"/>
      <c r="BG249" s="2"/>
      <c r="BH249" s="2"/>
      <c r="BI249" s="2">
        <f t="shared" si="506"/>
        <v>496815</v>
      </c>
      <c r="BJ249" s="2">
        <f t="shared" si="507"/>
        <v>4228012</v>
      </c>
      <c r="BK249" s="2">
        <f t="shared" si="508"/>
        <v>765424</v>
      </c>
      <c r="BL249" s="2">
        <f t="shared" si="550"/>
        <v>3462588</v>
      </c>
      <c r="BM249" s="2"/>
      <c r="BN249" s="2">
        <f t="shared" si="551"/>
        <v>3462588</v>
      </c>
      <c r="BO249" s="2">
        <f t="shared" si="537"/>
        <v>626854</v>
      </c>
      <c r="BP249" s="2">
        <f t="shared" si="515"/>
        <v>2835734</v>
      </c>
      <c r="BQ249" s="2"/>
      <c r="BR249" s="2">
        <f t="shared" si="552"/>
        <v>2835734</v>
      </c>
      <c r="BS249" s="2">
        <f t="shared" si="538"/>
        <v>513371</v>
      </c>
      <c r="BT249" s="2">
        <f t="shared" si="516"/>
        <v>2322363</v>
      </c>
      <c r="BU249" s="2">
        <f t="shared" si="539"/>
        <v>420432</v>
      </c>
      <c r="BV249" s="2">
        <f t="shared" si="517"/>
        <v>1901931</v>
      </c>
      <c r="BW249" s="2">
        <f t="shared" si="540"/>
        <v>344318</v>
      </c>
      <c r="BX249" s="2">
        <f t="shared" si="518"/>
        <v>1557613</v>
      </c>
      <c r="BY249" s="2">
        <f t="shared" si="541"/>
        <v>281984</v>
      </c>
      <c r="BZ249" s="2">
        <f t="shared" si="519"/>
        <v>1275629</v>
      </c>
      <c r="CA249" s="2">
        <f t="shared" si="542"/>
        <v>230935</v>
      </c>
      <c r="CB249" s="2">
        <f t="shared" si="520"/>
        <v>1044694</v>
      </c>
      <c r="CC249" s="2">
        <f t="shared" si="543"/>
        <v>189128</v>
      </c>
      <c r="CD249" s="2">
        <f t="shared" si="521"/>
        <v>855566</v>
      </c>
      <c r="CE249" s="2">
        <f t="shared" si="544"/>
        <v>154888</v>
      </c>
      <c r="CF249" s="2">
        <f t="shared" si="522"/>
        <v>700678</v>
      </c>
      <c r="CG249" s="2">
        <f t="shared" si="545"/>
        <v>126848</v>
      </c>
      <c r="CH249" s="2">
        <f t="shared" si="523"/>
        <v>573830</v>
      </c>
      <c r="CI249" s="2">
        <f t="shared" si="546"/>
        <v>103884</v>
      </c>
      <c r="CJ249" s="2">
        <f t="shared" si="524"/>
        <v>469946</v>
      </c>
      <c r="CK249" s="2">
        <f t="shared" si="547"/>
        <v>85077</v>
      </c>
      <c r="CL249" s="2">
        <f t="shared" si="525"/>
        <v>384869</v>
      </c>
      <c r="CM249" s="2">
        <f t="shared" si="548"/>
        <v>69675</v>
      </c>
      <c r="CN249" s="2">
        <f t="shared" si="526"/>
        <v>315194</v>
      </c>
      <c r="CO249" s="2">
        <f t="shared" si="549"/>
        <v>57062</v>
      </c>
      <c r="CP249" s="2">
        <f t="shared" si="527"/>
        <v>258132</v>
      </c>
      <c r="CQ249" s="317">
        <f t="shared" si="512"/>
        <v>21890.649999999983</v>
      </c>
      <c r="CR249" s="2">
        <f t="shared" si="528"/>
        <v>236241.35</v>
      </c>
      <c r="CS249" s="2">
        <v>0</v>
      </c>
      <c r="CT249" s="2">
        <f t="shared" si="529"/>
        <v>236241.35</v>
      </c>
      <c r="CU249" s="2">
        <v>0</v>
      </c>
      <c r="CV249" s="2">
        <f t="shared" si="530"/>
        <v>236241.35</v>
      </c>
      <c r="CW249" s="2">
        <v>0</v>
      </c>
      <c r="CX249" s="2">
        <f t="shared" si="531"/>
        <v>236241.35</v>
      </c>
      <c r="CY249" s="2">
        <v>0</v>
      </c>
      <c r="CZ249" s="2">
        <f t="shared" si="532"/>
        <v>236241.35</v>
      </c>
      <c r="DA249" s="2">
        <v>0</v>
      </c>
      <c r="DB249" s="2">
        <f t="shared" si="533"/>
        <v>236241.35</v>
      </c>
      <c r="DC249" s="2">
        <v>0</v>
      </c>
      <c r="DD249" s="2">
        <f t="shared" si="534"/>
        <v>236241.35</v>
      </c>
      <c r="DE249" s="2">
        <v>0</v>
      </c>
      <c r="DF249" s="2">
        <f t="shared" si="555"/>
        <v>236241.35</v>
      </c>
      <c r="DG249" s="2">
        <v>0</v>
      </c>
      <c r="DH249" s="2">
        <f t="shared" si="556"/>
        <v>236241.35</v>
      </c>
      <c r="DI249" s="2">
        <v>0</v>
      </c>
      <c r="DJ249" s="2">
        <f t="shared" si="557"/>
        <v>236241.35</v>
      </c>
      <c r="DK249" s="2">
        <v>0</v>
      </c>
      <c r="DL249" s="2">
        <f t="shared" si="558"/>
        <v>236241.35</v>
      </c>
      <c r="DM249" s="2">
        <v>0</v>
      </c>
      <c r="DN249" s="2">
        <f t="shared" si="559"/>
        <v>236241.35</v>
      </c>
      <c r="DO249" s="2">
        <v>0</v>
      </c>
      <c r="DP249" s="2">
        <f t="shared" si="560"/>
        <v>236241.35</v>
      </c>
      <c r="DQ249" s="2">
        <v>0</v>
      </c>
      <c r="DR249" s="2">
        <f t="shared" si="561"/>
        <v>236241.35</v>
      </c>
      <c r="DS249" s="2">
        <v>0</v>
      </c>
      <c r="DT249" s="2">
        <f t="shared" si="535"/>
        <v>236241.35</v>
      </c>
      <c r="DU249" s="2">
        <v>0</v>
      </c>
      <c r="DV249" s="2">
        <f t="shared" si="536"/>
        <v>236241.35</v>
      </c>
      <c r="DW249" s="266">
        <f t="shared" si="553"/>
        <v>236241.35</v>
      </c>
      <c r="DX249" s="441">
        <f t="shared" si="554"/>
        <v>0</v>
      </c>
    </row>
    <row r="250" spans="1:128">
      <c r="A250" s="413">
        <v>91</v>
      </c>
      <c r="B250" s="480" t="s">
        <v>654</v>
      </c>
      <c r="C250" s="433" t="s">
        <v>518</v>
      </c>
      <c r="D250" s="468">
        <v>0.18099999999999999</v>
      </c>
      <c r="E250" s="469">
        <v>47200</v>
      </c>
      <c r="F250" s="470" t="s">
        <v>921</v>
      </c>
      <c r="G250" s="481">
        <v>43435</v>
      </c>
      <c r="H250" s="443">
        <f t="shared" si="504"/>
        <v>48913</v>
      </c>
      <c r="I250" s="267">
        <v>15</v>
      </c>
      <c r="J250" s="267">
        <f t="shared" si="505"/>
        <v>121</v>
      </c>
      <c r="K250" s="267">
        <f t="shared" si="513"/>
        <v>244</v>
      </c>
      <c r="L250" s="433"/>
      <c r="M250" s="433"/>
      <c r="N250" s="436"/>
      <c r="O250" s="436"/>
      <c r="P250" s="433"/>
      <c r="Q250" s="436"/>
      <c r="R250" s="436"/>
      <c r="S250" s="433"/>
      <c r="T250" s="436"/>
      <c r="U250" s="436"/>
      <c r="V250" s="433"/>
      <c r="W250" s="436"/>
      <c r="X250" s="436"/>
      <c r="Y250" s="433"/>
      <c r="Z250" s="436"/>
      <c r="AA250" s="436"/>
      <c r="AB250" s="433"/>
      <c r="AC250" s="436"/>
      <c r="AD250" s="436"/>
      <c r="AE250" s="436"/>
      <c r="AF250" s="436"/>
      <c r="AG250" s="436"/>
      <c r="AH250" s="436"/>
      <c r="AI250" s="439">
        <v>15</v>
      </c>
      <c r="AJ250" s="436">
        <f t="shared" si="503"/>
        <v>15</v>
      </c>
      <c r="AK250" s="440">
        <f t="shared" si="514"/>
        <v>0.18103627252208465</v>
      </c>
      <c r="AL250" s="2"/>
      <c r="AM250" s="433"/>
      <c r="AN250" s="436"/>
      <c r="AO250" s="436"/>
      <c r="AP250" s="436"/>
      <c r="AQ250" s="436"/>
      <c r="AR250" s="436"/>
      <c r="AS250" s="436"/>
      <c r="AT250" s="2"/>
      <c r="AU250" s="2"/>
      <c r="AV250" s="2"/>
      <c r="AW250" s="2"/>
      <c r="AX250" s="2"/>
      <c r="AY250" s="2"/>
      <c r="AZ250" s="433"/>
      <c r="BA250" s="2"/>
      <c r="BB250" s="2"/>
      <c r="BC250" s="2"/>
      <c r="BD250" s="2"/>
      <c r="BE250" s="2"/>
      <c r="BF250" s="433"/>
      <c r="BG250" s="2"/>
      <c r="BH250" s="2"/>
      <c r="BI250" s="2">
        <f t="shared" si="506"/>
        <v>2833</v>
      </c>
      <c r="BJ250" s="2">
        <f t="shared" si="507"/>
        <v>44367</v>
      </c>
      <c r="BK250" s="2">
        <f t="shared" si="508"/>
        <v>8032</v>
      </c>
      <c r="BL250" s="2">
        <f t="shared" si="550"/>
        <v>36335</v>
      </c>
      <c r="BM250" s="2"/>
      <c r="BN250" s="2">
        <f t="shared" si="551"/>
        <v>36335</v>
      </c>
      <c r="BO250" s="2">
        <f t="shared" si="537"/>
        <v>6578</v>
      </c>
      <c r="BP250" s="2">
        <f t="shared" si="515"/>
        <v>29757</v>
      </c>
      <c r="BQ250" s="2"/>
      <c r="BR250" s="2">
        <f t="shared" si="552"/>
        <v>29757</v>
      </c>
      <c r="BS250" s="2">
        <f t="shared" si="538"/>
        <v>5387</v>
      </c>
      <c r="BT250" s="2">
        <f t="shared" si="516"/>
        <v>24370</v>
      </c>
      <c r="BU250" s="2">
        <f t="shared" si="539"/>
        <v>4412</v>
      </c>
      <c r="BV250" s="2">
        <f t="shared" si="517"/>
        <v>19958</v>
      </c>
      <c r="BW250" s="2">
        <f t="shared" si="540"/>
        <v>3613</v>
      </c>
      <c r="BX250" s="2">
        <f t="shared" si="518"/>
        <v>16345</v>
      </c>
      <c r="BY250" s="2">
        <f t="shared" si="541"/>
        <v>2959</v>
      </c>
      <c r="BZ250" s="2">
        <f t="shared" si="519"/>
        <v>13386</v>
      </c>
      <c r="CA250" s="2">
        <f t="shared" si="542"/>
        <v>2423</v>
      </c>
      <c r="CB250" s="2">
        <f t="shared" si="520"/>
        <v>10963</v>
      </c>
      <c r="CC250" s="2">
        <f t="shared" si="543"/>
        <v>1985</v>
      </c>
      <c r="CD250" s="2">
        <f t="shared" si="521"/>
        <v>8978</v>
      </c>
      <c r="CE250" s="2">
        <f t="shared" si="544"/>
        <v>1625</v>
      </c>
      <c r="CF250" s="2">
        <f t="shared" si="522"/>
        <v>7353</v>
      </c>
      <c r="CG250" s="2">
        <f t="shared" si="545"/>
        <v>1331</v>
      </c>
      <c r="CH250" s="2">
        <f t="shared" si="523"/>
        <v>6022</v>
      </c>
      <c r="CI250" s="2">
        <f t="shared" si="546"/>
        <v>1090</v>
      </c>
      <c r="CJ250" s="2">
        <f t="shared" si="524"/>
        <v>4932</v>
      </c>
      <c r="CK250" s="2">
        <f t="shared" si="547"/>
        <v>893</v>
      </c>
      <c r="CL250" s="2">
        <f t="shared" si="525"/>
        <v>4039</v>
      </c>
      <c r="CM250" s="2">
        <f t="shared" si="548"/>
        <v>731</v>
      </c>
      <c r="CN250" s="2">
        <f t="shared" si="526"/>
        <v>3308</v>
      </c>
      <c r="CO250" s="2">
        <f t="shared" si="549"/>
        <v>599</v>
      </c>
      <c r="CP250" s="2">
        <f t="shared" si="527"/>
        <v>2709</v>
      </c>
      <c r="CQ250" s="317">
        <f t="shared" si="512"/>
        <v>349.00000000000006</v>
      </c>
      <c r="CR250" s="2">
        <f t="shared" si="528"/>
        <v>2360</v>
      </c>
      <c r="CS250" s="2">
        <v>0</v>
      </c>
      <c r="CT250" s="2">
        <f t="shared" si="529"/>
        <v>2360</v>
      </c>
      <c r="CU250" s="2">
        <v>0</v>
      </c>
      <c r="CV250" s="2">
        <f t="shared" si="530"/>
        <v>2360</v>
      </c>
      <c r="CW250" s="2">
        <v>0</v>
      </c>
      <c r="CX250" s="2">
        <f t="shared" si="531"/>
        <v>2360</v>
      </c>
      <c r="CY250" s="2">
        <v>0</v>
      </c>
      <c r="CZ250" s="2">
        <f t="shared" si="532"/>
        <v>2360</v>
      </c>
      <c r="DA250" s="2">
        <v>0</v>
      </c>
      <c r="DB250" s="2">
        <f t="shared" si="533"/>
        <v>2360</v>
      </c>
      <c r="DC250" s="2">
        <v>0</v>
      </c>
      <c r="DD250" s="2">
        <f t="shared" si="534"/>
        <v>2360</v>
      </c>
      <c r="DE250" s="2">
        <v>0</v>
      </c>
      <c r="DF250" s="2">
        <f t="shared" si="555"/>
        <v>2360</v>
      </c>
      <c r="DG250" s="2">
        <v>0</v>
      </c>
      <c r="DH250" s="2">
        <f t="shared" si="556"/>
        <v>2360</v>
      </c>
      <c r="DI250" s="2">
        <v>0</v>
      </c>
      <c r="DJ250" s="2">
        <f t="shared" si="557"/>
        <v>2360</v>
      </c>
      <c r="DK250" s="2">
        <v>0</v>
      </c>
      <c r="DL250" s="2">
        <f t="shared" si="558"/>
        <v>2360</v>
      </c>
      <c r="DM250" s="2">
        <v>0</v>
      </c>
      <c r="DN250" s="2">
        <f t="shared" si="559"/>
        <v>2360</v>
      </c>
      <c r="DO250" s="2">
        <v>0</v>
      </c>
      <c r="DP250" s="2">
        <f t="shared" si="560"/>
        <v>2360</v>
      </c>
      <c r="DQ250" s="2">
        <v>0</v>
      </c>
      <c r="DR250" s="2">
        <f t="shared" si="561"/>
        <v>2360</v>
      </c>
      <c r="DS250" s="2">
        <v>0</v>
      </c>
      <c r="DT250" s="2">
        <f t="shared" si="535"/>
        <v>2360</v>
      </c>
      <c r="DU250" s="2">
        <v>0</v>
      </c>
      <c r="DV250" s="2">
        <f t="shared" si="536"/>
        <v>2360</v>
      </c>
      <c r="DW250" s="266">
        <f t="shared" si="553"/>
        <v>2360</v>
      </c>
      <c r="DX250" s="441">
        <f t="shared" si="554"/>
        <v>0</v>
      </c>
    </row>
    <row r="251" spans="1:128">
      <c r="A251" s="413">
        <v>92</v>
      </c>
      <c r="B251" s="480" t="s">
        <v>906</v>
      </c>
      <c r="C251" s="433" t="s">
        <v>518</v>
      </c>
      <c r="D251" s="468">
        <v>0.18099999999999999</v>
      </c>
      <c r="E251" s="469">
        <v>9204000</v>
      </c>
      <c r="F251" s="470" t="s">
        <v>921</v>
      </c>
      <c r="G251" s="481">
        <v>43435</v>
      </c>
      <c r="H251" s="443">
        <f t="shared" si="504"/>
        <v>48913</v>
      </c>
      <c r="I251" s="267">
        <v>15</v>
      </c>
      <c r="J251" s="267">
        <f t="shared" si="505"/>
        <v>121</v>
      </c>
      <c r="K251" s="267">
        <f t="shared" si="513"/>
        <v>244</v>
      </c>
      <c r="L251" s="433"/>
      <c r="M251" s="433"/>
      <c r="N251" s="436"/>
      <c r="O251" s="436"/>
      <c r="P251" s="433"/>
      <c r="Q251" s="436"/>
      <c r="R251" s="436"/>
      <c r="S251" s="433"/>
      <c r="T251" s="436"/>
      <c r="U251" s="436"/>
      <c r="V251" s="433"/>
      <c r="W251" s="436"/>
      <c r="X251" s="436"/>
      <c r="Y251" s="433"/>
      <c r="Z251" s="436"/>
      <c r="AA251" s="436"/>
      <c r="AB251" s="433"/>
      <c r="AC251" s="436"/>
      <c r="AD251" s="436"/>
      <c r="AE251" s="436"/>
      <c r="AF251" s="436"/>
      <c r="AG251" s="436"/>
      <c r="AH251" s="436"/>
      <c r="AI251" s="439">
        <v>15</v>
      </c>
      <c r="AJ251" s="436">
        <f t="shared" si="503"/>
        <v>15</v>
      </c>
      <c r="AK251" s="440">
        <f t="shared" si="514"/>
        <v>0.18103627252208465</v>
      </c>
      <c r="AL251" s="2"/>
      <c r="AM251" s="433"/>
      <c r="AN251" s="436"/>
      <c r="AO251" s="436"/>
      <c r="AP251" s="436"/>
      <c r="AQ251" s="436"/>
      <c r="AR251" s="436"/>
      <c r="AS251" s="436"/>
      <c r="AT251" s="2"/>
      <c r="AU251" s="2"/>
      <c r="AV251" s="2"/>
      <c r="AW251" s="2"/>
      <c r="AX251" s="2"/>
      <c r="AY251" s="2"/>
      <c r="AZ251" s="433"/>
      <c r="BA251" s="2"/>
      <c r="BB251" s="2"/>
      <c r="BC251" s="2"/>
      <c r="BD251" s="2"/>
      <c r="BE251" s="2"/>
      <c r="BF251" s="433"/>
      <c r="BG251" s="2"/>
      <c r="BH251" s="2"/>
      <c r="BI251" s="2">
        <f t="shared" si="506"/>
        <v>552376</v>
      </c>
      <c r="BJ251" s="2">
        <f t="shared" si="507"/>
        <v>8651624</v>
      </c>
      <c r="BK251" s="2">
        <f t="shared" si="508"/>
        <v>1566258</v>
      </c>
      <c r="BL251" s="2">
        <f t="shared" si="550"/>
        <v>7085366</v>
      </c>
      <c r="BM251" s="2"/>
      <c r="BN251" s="2">
        <f t="shared" si="551"/>
        <v>7085366</v>
      </c>
      <c r="BO251" s="2">
        <f t="shared" si="537"/>
        <v>1282708</v>
      </c>
      <c r="BP251" s="2">
        <f t="shared" si="515"/>
        <v>5802658</v>
      </c>
      <c r="BQ251" s="2"/>
      <c r="BR251" s="2">
        <f t="shared" si="552"/>
        <v>5802658</v>
      </c>
      <c r="BS251" s="2">
        <f t="shared" si="538"/>
        <v>1050492</v>
      </c>
      <c r="BT251" s="2">
        <f t="shared" si="516"/>
        <v>4752166</v>
      </c>
      <c r="BU251" s="2">
        <f t="shared" si="539"/>
        <v>860314</v>
      </c>
      <c r="BV251" s="2">
        <f t="shared" si="517"/>
        <v>3891852</v>
      </c>
      <c r="BW251" s="2">
        <f t="shared" si="540"/>
        <v>704566</v>
      </c>
      <c r="BX251" s="2">
        <f t="shared" si="518"/>
        <v>3187286</v>
      </c>
      <c r="BY251" s="2">
        <f t="shared" si="541"/>
        <v>577014</v>
      </c>
      <c r="BZ251" s="2">
        <f t="shared" si="519"/>
        <v>2610272</v>
      </c>
      <c r="CA251" s="2">
        <f t="shared" si="542"/>
        <v>472554</v>
      </c>
      <c r="CB251" s="2">
        <f t="shared" si="520"/>
        <v>2137718</v>
      </c>
      <c r="CC251" s="2">
        <f t="shared" si="543"/>
        <v>387004</v>
      </c>
      <c r="CD251" s="2">
        <f t="shared" si="521"/>
        <v>1750714</v>
      </c>
      <c r="CE251" s="2">
        <f t="shared" si="544"/>
        <v>316943</v>
      </c>
      <c r="CF251" s="2">
        <f t="shared" si="522"/>
        <v>1433771</v>
      </c>
      <c r="CG251" s="2">
        <f t="shared" si="545"/>
        <v>259565</v>
      </c>
      <c r="CH251" s="2">
        <f t="shared" si="523"/>
        <v>1174206</v>
      </c>
      <c r="CI251" s="2">
        <f t="shared" si="546"/>
        <v>212574</v>
      </c>
      <c r="CJ251" s="2">
        <f t="shared" si="524"/>
        <v>961632</v>
      </c>
      <c r="CK251" s="2">
        <f t="shared" si="547"/>
        <v>174090</v>
      </c>
      <c r="CL251" s="2">
        <f t="shared" si="525"/>
        <v>787542</v>
      </c>
      <c r="CM251" s="2">
        <f t="shared" si="548"/>
        <v>142574</v>
      </c>
      <c r="CN251" s="2">
        <f t="shared" si="526"/>
        <v>644968</v>
      </c>
      <c r="CO251" s="2">
        <f t="shared" si="549"/>
        <v>116763</v>
      </c>
      <c r="CP251" s="2">
        <f t="shared" si="527"/>
        <v>528205</v>
      </c>
      <c r="CQ251" s="317">
        <f t="shared" si="512"/>
        <v>68005</v>
      </c>
      <c r="CR251" s="2">
        <f t="shared" si="528"/>
        <v>460200</v>
      </c>
      <c r="CS251" s="2">
        <v>0</v>
      </c>
      <c r="CT251" s="2">
        <f t="shared" si="529"/>
        <v>460200</v>
      </c>
      <c r="CU251" s="2">
        <v>0</v>
      </c>
      <c r="CV251" s="2">
        <f t="shared" si="530"/>
        <v>460200</v>
      </c>
      <c r="CW251" s="2">
        <v>0</v>
      </c>
      <c r="CX251" s="2">
        <f t="shared" si="531"/>
        <v>460200</v>
      </c>
      <c r="CY251" s="2">
        <v>0</v>
      </c>
      <c r="CZ251" s="2">
        <f t="shared" si="532"/>
        <v>460200</v>
      </c>
      <c r="DA251" s="2">
        <v>0</v>
      </c>
      <c r="DB251" s="2">
        <f t="shared" si="533"/>
        <v>460200</v>
      </c>
      <c r="DC251" s="2">
        <v>0</v>
      </c>
      <c r="DD251" s="2">
        <f t="shared" si="534"/>
        <v>460200</v>
      </c>
      <c r="DE251" s="2">
        <v>0</v>
      </c>
      <c r="DF251" s="2">
        <f t="shared" si="555"/>
        <v>460200</v>
      </c>
      <c r="DG251" s="2">
        <v>0</v>
      </c>
      <c r="DH251" s="2">
        <f t="shared" si="556"/>
        <v>460200</v>
      </c>
      <c r="DI251" s="2">
        <v>0</v>
      </c>
      <c r="DJ251" s="2">
        <f t="shared" si="557"/>
        <v>460200</v>
      </c>
      <c r="DK251" s="2">
        <v>0</v>
      </c>
      <c r="DL251" s="2">
        <f t="shared" si="558"/>
        <v>460200</v>
      </c>
      <c r="DM251" s="2">
        <v>0</v>
      </c>
      <c r="DN251" s="2">
        <f t="shared" si="559"/>
        <v>460200</v>
      </c>
      <c r="DO251" s="2">
        <v>0</v>
      </c>
      <c r="DP251" s="2">
        <f t="shared" si="560"/>
        <v>460200</v>
      </c>
      <c r="DQ251" s="2">
        <v>0</v>
      </c>
      <c r="DR251" s="2">
        <f t="shared" si="561"/>
        <v>460200</v>
      </c>
      <c r="DS251" s="2">
        <v>0</v>
      </c>
      <c r="DT251" s="2">
        <f t="shared" si="535"/>
        <v>460200</v>
      </c>
      <c r="DU251" s="2">
        <v>0</v>
      </c>
      <c r="DV251" s="2">
        <f t="shared" si="536"/>
        <v>460200</v>
      </c>
      <c r="DW251" s="266">
        <f t="shared" si="553"/>
        <v>460200</v>
      </c>
      <c r="DX251" s="441">
        <f t="shared" si="554"/>
        <v>0</v>
      </c>
    </row>
    <row r="252" spans="1:128">
      <c r="A252" s="413">
        <v>93</v>
      </c>
      <c r="B252" s="480" t="s">
        <v>907</v>
      </c>
      <c r="C252" s="433" t="s">
        <v>518</v>
      </c>
      <c r="D252" s="468">
        <v>0.18099999999999999</v>
      </c>
      <c r="E252" s="469">
        <v>1516300</v>
      </c>
      <c r="F252" s="470" t="s">
        <v>921</v>
      </c>
      <c r="G252" s="481">
        <v>43435</v>
      </c>
      <c r="H252" s="443">
        <f t="shared" si="504"/>
        <v>48913</v>
      </c>
      <c r="I252" s="267">
        <v>15</v>
      </c>
      <c r="J252" s="267">
        <f t="shared" si="505"/>
        <v>121</v>
      </c>
      <c r="K252" s="267">
        <f t="shared" si="513"/>
        <v>244</v>
      </c>
      <c r="L252" s="433"/>
      <c r="M252" s="433"/>
      <c r="N252" s="436"/>
      <c r="O252" s="436"/>
      <c r="P252" s="433"/>
      <c r="Q252" s="436"/>
      <c r="R252" s="436"/>
      <c r="S252" s="433"/>
      <c r="T252" s="436"/>
      <c r="U252" s="436"/>
      <c r="V252" s="433"/>
      <c r="W252" s="436"/>
      <c r="X252" s="436"/>
      <c r="Y252" s="433"/>
      <c r="Z252" s="436"/>
      <c r="AA252" s="436"/>
      <c r="AB252" s="433"/>
      <c r="AC252" s="436"/>
      <c r="AD252" s="436"/>
      <c r="AE252" s="436"/>
      <c r="AF252" s="436"/>
      <c r="AG252" s="436"/>
      <c r="AH252" s="436"/>
      <c r="AI252" s="439">
        <v>15</v>
      </c>
      <c r="AJ252" s="436">
        <f t="shared" si="503"/>
        <v>15</v>
      </c>
      <c r="AK252" s="440">
        <f t="shared" si="514"/>
        <v>0.18103627252208465</v>
      </c>
      <c r="AL252" s="2"/>
      <c r="AM252" s="433"/>
      <c r="AN252" s="436"/>
      <c r="AO252" s="436"/>
      <c r="AP252" s="436"/>
      <c r="AQ252" s="436"/>
      <c r="AR252" s="436"/>
      <c r="AS252" s="436"/>
      <c r="AT252" s="2"/>
      <c r="AU252" s="2"/>
      <c r="AV252" s="2"/>
      <c r="AW252" s="2"/>
      <c r="AX252" s="2"/>
      <c r="AY252" s="2"/>
      <c r="AZ252" s="433"/>
      <c r="BA252" s="2"/>
      <c r="BB252" s="2"/>
      <c r="BC252" s="2"/>
      <c r="BD252" s="2"/>
      <c r="BE252" s="2"/>
      <c r="BF252" s="433"/>
      <c r="BG252" s="2"/>
      <c r="BH252" s="2"/>
      <c r="BI252" s="2">
        <f t="shared" si="506"/>
        <v>91000</v>
      </c>
      <c r="BJ252" s="2">
        <f t="shared" si="507"/>
        <v>1425300</v>
      </c>
      <c r="BK252" s="2">
        <f t="shared" si="508"/>
        <v>258031</v>
      </c>
      <c r="BL252" s="2">
        <f t="shared" si="550"/>
        <v>1167269</v>
      </c>
      <c r="BM252" s="2"/>
      <c r="BN252" s="2">
        <f t="shared" si="551"/>
        <v>1167269</v>
      </c>
      <c r="BO252" s="2">
        <f t="shared" si="537"/>
        <v>211318</v>
      </c>
      <c r="BP252" s="2">
        <f t="shared" si="515"/>
        <v>955951</v>
      </c>
      <c r="BQ252" s="2"/>
      <c r="BR252" s="2">
        <f t="shared" si="552"/>
        <v>955951</v>
      </c>
      <c r="BS252" s="2">
        <f t="shared" si="538"/>
        <v>173062</v>
      </c>
      <c r="BT252" s="2">
        <f t="shared" si="516"/>
        <v>782889</v>
      </c>
      <c r="BU252" s="2">
        <f t="shared" si="539"/>
        <v>141731</v>
      </c>
      <c r="BV252" s="2">
        <f t="shared" si="517"/>
        <v>641158</v>
      </c>
      <c r="BW252" s="2">
        <f t="shared" si="540"/>
        <v>116073</v>
      </c>
      <c r="BX252" s="2">
        <f t="shared" si="518"/>
        <v>525085</v>
      </c>
      <c r="BY252" s="2">
        <f t="shared" si="541"/>
        <v>95059</v>
      </c>
      <c r="BZ252" s="2">
        <f t="shared" si="519"/>
        <v>430026</v>
      </c>
      <c r="CA252" s="2">
        <f t="shared" si="542"/>
        <v>77850</v>
      </c>
      <c r="CB252" s="2">
        <f t="shared" si="520"/>
        <v>352176</v>
      </c>
      <c r="CC252" s="2">
        <f t="shared" si="543"/>
        <v>63757</v>
      </c>
      <c r="CD252" s="2">
        <f t="shared" si="521"/>
        <v>288419</v>
      </c>
      <c r="CE252" s="2">
        <f t="shared" si="544"/>
        <v>52214</v>
      </c>
      <c r="CF252" s="2">
        <f t="shared" si="522"/>
        <v>236205</v>
      </c>
      <c r="CG252" s="2">
        <f t="shared" si="545"/>
        <v>42762</v>
      </c>
      <c r="CH252" s="2">
        <f t="shared" si="523"/>
        <v>193443</v>
      </c>
      <c r="CI252" s="2">
        <f t="shared" si="546"/>
        <v>35020</v>
      </c>
      <c r="CJ252" s="2">
        <f t="shared" si="524"/>
        <v>158423</v>
      </c>
      <c r="CK252" s="2">
        <f t="shared" si="547"/>
        <v>28680</v>
      </c>
      <c r="CL252" s="2">
        <f t="shared" si="525"/>
        <v>129743</v>
      </c>
      <c r="CM252" s="2">
        <f t="shared" si="548"/>
        <v>23488</v>
      </c>
      <c r="CN252" s="2">
        <f t="shared" si="526"/>
        <v>106255</v>
      </c>
      <c r="CO252" s="2">
        <f t="shared" si="549"/>
        <v>19236</v>
      </c>
      <c r="CP252" s="2">
        <f t="shared" si="527"/>
        <v>87019</v>
      </c>
      <c r="CQ252" s="317">
        <f t="shared" si="512"/>
        <v>11204.000000000002</v>
      </c>
      <c r="CR252" s="2">
        <f t="shared" si="528"/>
        <v>75815</v>
      </c>
      <c r="CS252" s="2">
        <v>0</v>
      </c>
      <c r="CT252" s="2">
        <f t="shared" si="529"/>
        <v>75815</v>
      </c>
      <c r="CU252" s="2">
        <v>0</v>
      </c>
      <c r="CV252" s="2">
        <f t="shared" si="530"/>
        <v>75815</v>
      </c>
      <c r="CW252" s="2">
        <v>0</v>
      </c>
      <c r="CX252" s="2">
        <f t="shared" si="531"/>
        <v>75815</v>
      </c>
      <c r="CY252" s="2">
        <v>0</v>
      </c>
      <c r="CZ252" s="2">
        <f t="shared" si="532"/>
        <v>75815</v>
      </c>
      <c r="DA252" s="2">
        <v>0</v>
      </c>
      <c r="DB252" s="2">
        <f t="shared" si="533"/>
        <v>75815</v>
      </c>
      <c r="DC252" s="2">
        <v>0</v>
      </c>
      <c r="DD252" s="2">
        <f t="shared" si="534"/>
        <v>75815</v>
      </c>
      <c r="DE252" s="2">
        <v>0</v>
      </c>
      <c r="DF252" s="2">
        <f t="shared" si="555"/>
        <v>75815</v>
      </c>
      <c r="DG252" s="2">
        <v>0</v>
      </c>
      <c r="DH252" s="2">
        <f t="shared" si="556"/>
        <v>75815</v>
      </c>
      <c r="DI252" s="2">
        <v>0</v>
      </c>
      <c r="DJ252" s="2">
        <f t="shared" si="557"/>
        <v>75815</v>
      </c>
      <c r="DK252" s="2">
        <v>0</v>
      </c>
      <c r="DL252" s="2">
        <f t="shared" si="558"/>
        <v>75815</v>
      </c>
      <c r="DM252" s="2">
        <v>0</v>
      </c>
      <c r="DN252" s="2">
        <f t="shared" si="559"/>
        <v>75815</v>
      </c>
      <c r="DO252" s="2">
        <v>0</v>
      </c>
      <c r="DP252" s="2">
        <f t="shared" si="560"/>
        <v>75815</v>
      </c>
      <c r="DQ252" s="2">
        <v>0</v>
      </c>
      <c r="DR252" s="2">
        <f t="shared" si="561"/>
        <v>75815</v>
      </c>
      <c r="DS252" s="2">
        <v>0</v>
      </c>
      <c r="DT252" s="2">
        <f t="shared" si="535"/>
        <v>75815</v>
      </c>
      <c r="DU252" s="2">
        <v>0</v>
      </c>
      <c r="DV252" s="2">
        <f t="shared" si="536"/>
        <v>75815</v>
      </c>
      <c r="DW252" s="266">
        <f t="shared" si="553"/>
        <v>75815</v>
      </c>
      <c r="DX252" s="441">
        <f t="shared" si="554"/>
        <v>0</v>
      </c>
    </row>
    <row r="253" spans="1:128">
      <c r="A253" s="413">
        <v>94</v>
      </c>
      <c r="B253" s="480" t="s">
        <v>908</v>
      </c>
      <c r="C253" s="433" t="s">
        <v>518</v>
      </c>
      <c r="D253" s="468">
        <v>0.18099999999999999</v>
      </c>
      <c r="E253" s="469">
        <v>384000</v>
      </c>
      <c r="F253" s="470" t="s">
        <v>921</v>
      </c>
      <c r="G253" s="481">
        <v>43435</v>
      </c>
      <c r="H253" s="443">
        <f t="shared" si="504"/>
        <v>48913</v>
      </c>
      <c r="I253" s="267">
        <v>15</v>
      </c>
      <c r="J253" s="267">
        <f t="shared" si="505"/>
        <v>121</v>
      </c>
      <c r="K253" s="267">
        <f t="shared" si="513"/>
        <v>244</v>
      </c>
      <c r="L253" s="433"/>
      <c r="M253" s="433"/>
      <c r="N253" s="436"/>
      <c r="O253" s="436"/>
      <c r="P253" s="433"/>
      <c r="Q253" s="436"/>
      <c r="R253" s="436"/>
      <c r="S253" s="433"/>
      <c r="T253" s="436"/>
      <c r="U253" s="436"/>
      <c r="V253" s="433"/>
      <c r="W253" s="436"/>
      <c r="X253" s="436"/>
      <c r="Y253" s="433"/>
      <c r="Z253" s="436"/>
      <c r="AA253" s="436"/>
      <c r="AB253" s="433"/>
      <c r="AC253" s="436"/>
      <c r="AD253" s="436"/>
      <c r="AE253" s="436"/>
      <c r="AF253" s="436"/>
      <c r="AG253" s="436"/>
      <c r="AH253" s="436"/>
      <c r="AI253" s="439">
        <v>15</v>
      </c>
      <c r="AJ253" s="436">
        <f t="shared" si="503"/>
        <v>15</v>
      </c>
      <c r="AK253" s="440">
        <f t="shared" si="514"/>
        <v>0.18103627252208465</v>
      </c>
      <c r="AL253" s="2"/>
      <c r="AM253" s="433"/>
      <c r="AN253" s="436"/>
      <c r="AO253" s="436"/>
      <c r="AP253" s="436"/>
      <c r="AQ253" s="436"/>
      <c r="AR253" s="436"/>
      <c r="AS253" s="436"/>
      <c r="AT253" s="2"/>
      <c r="AU253" s="2"/>
      <c r="AV253" s="2"/>
      <c r="AW253" s="2"/>
      <c r="AX253" s="2"/>
      <c r="AY253" s="2"/>
      <c r="AZ253" s="433"/>
      <c r="BA253" s="2"/>
      <c r="BB253" s="2"/>
      <c r="BC253" s="2"/>
      <c r="BD253" s="2"/>
      <c r="BE253" s="2"/>
      <c r="BF253" s="433"/>
      <c r="BG253" s="2"/>
      <c r="BH253" s="2"/>
      <c r="BI253" s="2">
        <f t="shared" si="506"/>
        <v>23046</v>
      </c>
      <c r="BJ253" s="2">
        <f t="shared" si="507"/>
        <v>360954</v>
      </c>
      <c r="BK253" s="2">
        <f t="shared" si="508"/>
        <v>65346</v>
      </c>
      <c r="BL253" s="2">
        <f t="shared" si="550"/>
        <v>295608</v>
      </c>
      <c r="BM253" s="2"/>
      <c r="BN253" s="2">
        <f t="shared" si="551"/>
        <v>295608</v>
      </c>
      <c r="BO253" s="2">
        <f t="shared" si="537"/>
        <v>53516</v>
      </c>
      <c r="BP253" s="2">
        <f t="shared" si="515"/>
        <v>242092</v>
      </c>
      <c r="BQ253" s="2"/>
      <c r="BR253" s="2">
        <f t="shared" si="552"/>
        <v>242092</v>
      </c>
      <c r="BS253" s="2">
        <f t="shared" si="538"/>
        <v>43827</v>
      </c>
      <c r="BT253" s="2">
        <f t="shared" si="516"/>
        <v>198265</v>
      </c>
      <c r="BU253" s="2">
        <f t="shared" si="539"/>
        <v>35893</v>
      </c>
      <c r="BV253" s="2">
        <f t="shared" si="517"/>
        <v>162372</v>
      </c>
      <c r="BW253" s="2">
        <f t="shared" si="540"/>
        <v>29395</v>
      </c>
      <c r="BX253" s="2">
        <f t="shared" si="518"/>
        <v>132977</v>
      </c>
      <c r="BY253" s="2">
        <f t="shared" si="541"/>
        <v>24074</v>
      </c>
      <c r="BZ253" s="2">
        <f t="shared" si="519"/>
        <v>108903</v>
      </c>
      <c r="CA253" s="2">
        <f t="shared" si="542"/>
        <v>19715</v>
      </c>
      <c r="CB253" s="2">
        <f t="shared" si="520"/>
        <v>89188</v>
      </c>
      <c r="CC253" s="2">
        <f t="shared" si="543"/>
        <v>16146</v>
      </c>
      <c r="CD253" s="2">
        <f t="shared" si="521"/>
        <v>73042</v>
      </c>
      <c r="CE253" s="2">
        <f t="shared" si="544"/>
        <v>13223</v>
      </c>
      <c r="CF253" s="2">
        <f t="shared" si="522"/>
        <v>59819</v>
      </c>
      <c r="CG253" s="2">
        <f t="shared" si="545"/>
        <v>10829</v>
      </c>
      <c r="CH253" s="2">
        <f t="shared" si="523"/>
        <v>48990</v>
      </c>
      <c r="CI253" s="2">
        <f t="shared" si="546"/>
        <v>8869</v>
      </c>
      <c r="CJ253" s="2">
        <f t="shared" si="524"/>
        <v>40121</v>
      </c>
      <c r="CK253" s="2">
        <f t="shared" si="547"/>
        <v>7263</v>
      </c>
      <c r="CL253" s="2">
        <f t="shared" si="525"/>
        <v>32858</v>
      </c>
      <c r="CM253" s="2">
        <f t="shared" si="548"/>
        <v>5948</v>
      </c>
      <c r="CN253" s="2">
        <f t="shared" si="526"/>
        <v>26910</v>
      </c>
      <c r="CO253" s="2">
        <f t="shared" si="549"/>
        <v>4872</v>
      </c>
      <c r="CP253" s="2">
        <f t="shared" si="527"/>
        <v>22038</v>
      </c>
      <c r="CQ253" s="317">
        <f t="shared" si="512"/>
        <v>2837.9999999999991</v>
      </c>
      <c r="CR253" s="2">
        <f t="shared" si="528"/>
        <v>19200</v>
      </c>
      <c r="CS253" s="2">
        <v>0</v>
      </c>
      <c r="CT253" s="2">
        <f t="shared" si="529"/>
        <v>19200</v>
      </c>
      <c r="CU253" s="2">
        <v>0</v>
      </c>
      <c r="CV253" s="2">
        <f t="shared" si="530"/>
        <v>19200</v>
      </c>
      <c r="CW253" s="2">
        <v>0</v>
      </c>
      <c r="CX253" s="2">
        <f t="shared" si="531"/>
        <v>19200</v>
      </c>
      <c r="CY253" s="2">
        <v>0</v>
      </c>
      <c r="CZ253" s="2">
        <f t="shared" si="532"/>
        <v>19200</v>
      </c>
      <c r="DA253" s="2">
        <v>0</v>
      </c>
      <c r="DB253" s="2">
        <f t="shared" si="533"/>
        <v>19200</v>
      </c>
      <c r="DC253" s="2">
        <v>0</v>
      </c>
      <c r="DD253" s="2">
        <f t="shared" si="534"/>
        <v>19200</v>
      </c>
      <c r="DE253" s="2">
        <v>0</v>
      </c>
      <c r="DF253" s="2">
        <f t="shared" si="555"/>
        <v>19200</v>
      </c>
      <c r="DG253" s="2">
        <v>0</v>
      </c>
      <c r="DH253" s="2">
        <f t="shared" si="556"/>
        <v>19200</v>
      </c>
      <c r="DI253" s="2">
        <v>0</v>
      </c>
      <c r="DJ253" s="2">
        <f t="shared" si="557"/>
        <v>19200</v>
      </c>
      <c r="DK253" s="2">
        <v>0</v>
      </c>
      <c r="DL253" s="2">
        <f t="shared" si="558"/>
        <v>19200</v>
      </c>
      <c r="DM253" s="2">
        <v>0</v>
      </c>
      <c r="DN253" s="2">
        <f t="shared" si="559"/>
        <v>19200</v>
      </c>
      <c r="DO253" s="2">
        <v>0</v>
      </c>
      <c r="DP253" s="2">
        <f t="shared" si="560"/>
        <v>19200</v>
      </c>
      <c r="DQ253" s="2">
        <v>0</v>
      </c>
      <c r="DR253" s="2">
        <f t="shared" si="561"/>
        <v>19200</v>
      </c>
      <c r="DS253" s="2">
        <v>0</v>
      </c>
      <c r="DT253" s="2">
        <f t="shared" si="535"/>
        <v>19200</v>
      </c>
      <c r="DU253" s="2">
        <v>0</v>
      </c>
      <c r="DV253" s="2">
        <f t="shared" si="536"/>
        <v>19200</v>
      </c>
      <c r="DW253" s="266">
        <f t="shared" si="553"/>
        <v>19200</v>
      </c>
      <c r="DX253" s="441">
        <f t="shared" si="554"/>
        <v>0</v>
      </c>
    </row>
    <row r="254" spans="1:128">
      <c r="A254" s="413">
        <v>95</v>
      </c>
      <c r="B254" s="480" t="s">
        <v>909</v>
      </c>
      <c r="C254" s="433" t="s">
        <v>518</v>
      </c>
      <c r="D254" s="468">
        <v>0.18099999999999999</v>
      </c>
      <c r="E254" s="469">
        <v>82600</v>
      </c>
      <c r="F254" s="470" t="s">
        <v>921</v>
      </c>
      <c r="G254" s="481">
        <v>43437</v>
      </c>
      <c r="H254" s="443">
        <f t="shared" si="504"/>
        <v>48915</v>
      </c>
      <c r="I254" s="267">
        <v>15</v>
      </c>
      <c r="J254" s="267">
        <f t="shared" si="505"/>
        <v>119</v>
      </c>
      <c r="K254" s="267">
        <f t="shared" si="513"/>
        <v>246</v>
      </c>
      <c r="L254" s="433"/>
      <c r="M254" s="433"/>
      <c r="N254" s="436"/>
      <c r="O254" s="436"/>
      <c r="P254" s="433"/>
      <c r="Q254" s="436"/>
      <c r="R254" s="436"/>
      <c r="S254" s="433"/>
      <c r="T254" s="436"/>
      <c r="U254" s="436"/>
      <c r="V254" s="433"/>
      <c r="W254" s="436"/>
      <c r="X254" s="436"/>
      <c r="Y254" s="433"/>
      <c r="Z254" s="436"/>
      <c r="AA254" s="436"/>
      <c r="AB254" s="433"/>
      <c r="AC254" s="436"/>
      <c r="AD254" s="436"/>
      <c r="AE254" s="436"/>
      <c r="AF254" s="436"/>
      <c r="AG254" s="436"/>
      <c r="AH254" s="436"/>
      <c r="AI254" s="439">
        <v>15</v>
      </c>
      <c r="AJ254" s="436">
        <f t="shared" si="503"/>
        <v>15</v>
      </c>
      <c r="AK254" s="440">
        <f t="shared" si="514"/>
        <v>0.18103627252208465</v>
      </c>
      <c r="AL254" s="2"/>
      <c r="AM254" s="433"/>
      <c r="AN254" s="436"/>
      <c r="AO254" s="436"/>
      <c r="AP254" s="436"/>
      <c r="AQ254" s="436"/>
      <c r="AR254" s="436"/>
      <c r="AS254" s="436"/>
      <c r="AT254" s="2"/>
      <c r="AU254" s="2"/>
      <c r="AV254" s="2"/>
      <c r="AW254" s="2"/>
      <c r="AX254" s="2"/>
      <c r="AY254" s="2"/>
      <c r="AZ254" s="433"/>
      <c r="BA254" s="2"/>
      <c r="BB254" s="2"/>
      <c r="BC254" s="2"/>
      <c r="BD254" s="2"/>
      <c r="BE254" s="2"/>
      <c r="BF254" s="433"/>
      <c r="BG254" s="2"/>
      <c r="BH254" s="2"/>
      <c r="BI254" s="2">
        <f t="shared" si="506"/>
        <v>4875</v>
      </c>
      <c r="BJ254" s="2">
        <f t="shared" si="507"/>
        <v>77725</v>
      </c>
      <c r="BK254" s="2">
        <f t="shared" si="508"/>
        <v>14071</v>
      </c>
      <c r="BL254" s="2">
        <f t="shared" si="550"/>
        <v>63654</v>
      </c>
      <c r="BM254" s="2"/>
      <c r="BN254" s="2">
        <f t="shared" si="551"/>
        <v>63654</v>
      </c>
      <c r="BO254" s="2">
        <f t="shared" si="537"/>
        <v>11524</v>
      </c>
      <c r="BP254" s="2">
        <f t="shared" si="515"/>
        <v>52130</v>
      </c>
      <c r="BQ254" s="2"/>
      <c r="BR254" s="2">
        <f t="shared" si="552"/>
        <v>52130</v>
      </c>
      <c r="BS254" s="2">
        <f t="shared" si="538"/>
        <v>9437</v>
      </c>
      <c r="BT254" s="2">
        <f t="shared" si="516"/>
        <v>42693</v>
      </c>
      <c r="BU254" s="2">
        <f t="shared" si="539"/>
        <v>7729</v>
      </c>
      <c r="BV254" s="2">
        <f t="shared" si="517"/>
        <v>34964</v>
      </c>
      <c r="BW254" s="2">
        <f t="shared" si="540"/>
        <v>6330</v>
      </c>
      <c r="BX254" s="2">
        <f t="shared" si="518"/>
        <v>28634</v>
      </c>
      <c r="BY254" s="2">
        <f t="shared" si="541"/>
        <v>5184</v>
      </c>
      <c r="BZ254" s="2">
        <f t="shared" si="519"/>
        <v>23450</v>
      </c>
      <c r="CA254" s="2">
        <f t="shared" si="542"/>
        <v>4245</v>
      </c>
      <c r="CB254" s="2">
        <f t="shared" si="520"/>
        <v>19205</v>
      </c>
      <c r="CC254" s="2">
        <f t="shared" si="543"/>
        <v>3477</v>
      </c>
      <c r="CD254" s="2">
        <f t="shared" si="521"/>
        <v>15728</v>
      </c>
      <c r="CE254" s="2">
        <f t="shared" si="544"/>
        <v>2847</v>
      </c>
      <c r="CF254" s="2">
        <f t="shared" si="522"/>
        <v>12881</v>
      </c>
      <c r="CG254" s="2">
        <f t="shared" si="545"/>
        <v>2332</v>
      </c>
      <c r="CH254" s="2">
        <f t="shared" si="523"/>
        <v>10549</v>
      </c>
      <c r="CI254" s="2">
        <f t="shared" si="546"/>
        <v>1910</v>
      </c>
      <c r="CJ254" s="2">
        <f t="shared" si="524"/>
        <v>8639</v>
      </c>
      <c r="CK254" s="2">
        <f t="shared" si="547"/>
        <v>1564</v>
      </c>
      <c r="CL254" s="2">
        <f t="shared" si="525"/>
        <v>7075</v>
      </c>
      <c r="CM254" s="2">
        <f t="shared" si="548"/>
        <v>1281</v>
      </c>
      <c r="CN254" s="2">
        <f t="shared" si="526"/>
        <v>5794</v>
      </c>
      <c r="CO254" s="2">
        <f t="shared" si="549"/>
        <v>1049</v>
      </c>
      <c r="CP254" s="2">
        <f t="shared" si="527"/>
        <v>4745</v>
      </c>
      <c r="CQ254" s="317">
        <f t="shared" si="512"/>
        <v>614.99999999999989</v>
      </c>
      <c r="CR254" s="2">
        <f t="shared" si="528"/>
        <v>4130</v>
      </c>
      <c r="CS254" s="2">
        <v>0</v>
      </c>
      <c r="CT254" s="2">
        <f t="shared" si="529"/>
        <v>4130</v>
      </c>
      <c r="CU254" s="2">
        <v>0</v>
      </c>
      <c r="CV254" s="2">
        <f t="shared" si="530"/>
        <v>4130</v>
      </c>
      <c r="CW254" s="2">
        <v>0</v>
      </c>
      <c r="CX254" s="2">
        <f t="shared" si="531"/>
        <v>4130</v>
      </c>
      <c r="CY254" s="2">
        <v>0</v>
      </c>
      <c r="CZ254" s="2">
        <f t="shared" si="532"/>
        <v>4130</v>
      </c>
      <c r="DA254" s="2">
        <v>0</v>
      </c>
      <c r="DB254" s="2">
        <f t="shared" si="533"/>
        <v>4130</v>
      </c>
      <c r="DC254" s="2">
        <v>0</v>
      </c>
      <c r="DD254" s="2">
        <f t="shared" si="534"/>
        <v>4130</v>
      </c>
      <c r="DE254" s="2">
        <v>0</v>
      </c>
      <c r="DF254" s="2">
        <f t="shared" si="555"/>
        <v>4130</v>
      </c>
      <c r="DG254" s="2">
        <v>0</v>
      </c>
      <c r="DH254" s="2">
        <f t="shared" si="556"/>
        <v>4130</v>
      </c>
      <c r="DI254" s="2">
        <v>0</v>
      </c>
      <c r="DJ254" s="2">
        <f t="shared" si="557"/>
        <v>4130</v>
      </c>
      <c r="DK254" s="2">
        <v>0</v>
      </c>
      <c r="DL254" s="2">
        <f t="shared" si="558"/>
        <v>4130</v>
      </c>
      <c r="DM254" s="2">
        <v>0</v>
      </c>
      <c r="DN254" s="2">
        <f t="shared" si="559"/>
        <v>4130</v>
      </c>
      <c r="DO254" s="2">
        <v>0</v>
      </c>
      <c r="DP254" s="2">
        <f t="shared" si="560"/>
        <v>4130</v>
      </c>
      <c r="DQ254" s="2">
        <v>0</v>
      </c>
      <c r="DR254" s="2">
        <f t="shared" si="561"/>
        <v>4130</v>
      </c>
      <c r="DS254" s="2">
        <v>0</v>
      </c>
      <c r="DT254" s="2">
        <f t="shared" si="535"/>
        <v>4130</v>
      </c>
      <c r="DU254" s="2">
        <v>0</v>
      </c>
      <c r="DV254" s="2">
        <f t="shared" si="536"/>
        <v>4130</v>
      </c>
      <c r="DW254" s="266">
        <f t="shared" si="553"/>
        <v>4130</v>
      </c>
      <c r="DX254" s="441">
        <f t="shared" si="554"/>
        <v>0</v>
      </c>
    </row>
    <row r="255" spans="1:128">
      <c r="A255" s="413">
        <v>96</v>
      </c>
      <c r="B255" s="480" t="s">
        <v>910</v>
      </c>
      <c r="C255" s="433" t="s">
        <v>518</v>
      </c>
      <c r="D255" s="468">
        <v>0.18099999999999999</v>
      </c>
      <c r="E255" s="469">
        <v>29500</v>
      </c>
      <c r="F255" s="470" t="s">
        <v>921</v>
      </c>
      <c r="G255" s="481">
        <v>43441</v>
      </c>
      <c r="H255" s="443">
        <f t="shared" si="504"/>
        <v>48919</v>
      </c>
      <c r="I255" s="267">
        <v>15</v>
      </c>
      <c r="J255" s="267">
        <f t="shared" si="505"/>
        <v>115</v>
      </c>
      <c r="K255" s="267">
        <f t="shared" si="513"/>
        <v>250</v>
      </c>
      <c r="L255" s="433"/>
      <c r="M255" s="433"/>
      <c r="N255" s="436"/>
      <c r="O255" s="436"/>
      <c r="P255" s="433"/>
      <c r="Q255" s="436"/>
      <c r="R255" s="436"/>
      <c r="S255" s="433"/>
      <c r="T255" s="436"/>
      <c r="U255" s="436"/>
      <c r="V255" s="433"/>
      <c r="W255" s="436"/>
      <c r="X255" s="436"/>
      <c r="Y255" s="433"/>
      <c r="Z255" s="436"/>
      <c r="AA255" s="436"/>
      <c r="AB255" s="433"/>
      <c r="AC255" s="436"/>
      <c r="AD255" s="436"/>
      <c r="AE255" s="436"/>
      <c r="AF255" s="436"/>
      <c r="AG255" s="436"/>
      <c r="AH255" s="436"/>
      <c r="AI255" s="439">
        <v>15</v>
      </c>
      <c r="AJ255" s="436">
        <f t="shared" si="503"/>
        <v>15</v>
      </c>
      <c r="AK255" s="440">
        <f t="shared" si="514"/>
        <v>0.18103627252208465</v>
      </c>
      <c r="AL255" s="2"/>
      <c r="AM255" s="433"/>
      <c r="AN255" s="436"/>
      <c r="AO255" s="436"/>
      <c r="AP255" s="436"/>
      <c r="AQ255" s="436"/>
      <c r="AR255" s="436"/>
      <c r="AS255" s="436"/>
      <c r="AT255" s="2"/>
      <c r="AU255" s="2"/>
      <c r="AV255" s="2"/>
      <c r="AW255" s="2"/>
      <c r="AX255" s="2"/>
      <c r="AY255" s="2"/>
      <c r="AZ255" s="433"/>
      <c r="BA255" s="2"/>
      <c r="BB255" s="2"/>
      <c r="BC255" s="2"/>
      <c r="BD255" s="2"/>
      <c r="BE255" s="2"/>
      <c r="BF255" s="433"/>
      <c r="BG255" s="2"/>
      <c r="BH255" s="2"/>
      <c r="BI255" s="2">
        <f t="shared" si="506"/>
        <v>1683</v>
      </c>
      <c r="BJ255" s="2">
        <f t="shared" si="507"/>
        <v>27817</v>
      </c>
      <c r="BK255" s="2">
        <f t="shared" si="508"/>
        <v>5036</v>
      </c>
      <c r="BL255" s="2">
        <f t="shared" si="550"/>
        <v>22781</v>
      </c>
      <c r="BM255" s="2"/>
      <c r="BN255" s="2">
        <f t="shared" si="551"/>
        <v>22781</v>
      </c>
      <c r="BO255" s="2">
        <f t="shared" si="537"/>
        <v>4124</v>
      </c>
      <c r="BP255" s="2">
        <f t="shared" si="515"/>
        <v>18657</v>
      </c>
      <c r="BQ255" s="2"/>
      <c r="BR255" s="2">
        <f t="shared" si="552"/>
        <v>18657</v>
      </c>
      <c r="BS255" s="2">
        <f t="shared" si="538"/>
        <v>3378</v>
      </c>
      <c r="BT255" s="2">
        <f t="shared" si="516"/>
        <v>15279</v>
      </c>
      <c r="BU255" s="2">
        <f t="shared" si="539"/>
        <v>2766</v>
      </c>
      <c r="BV255" s="2">
        <f t="shared" si="517"/>
        <v>12513</v>
      </c>
      <c r="BW255" s="2">
        <f t="shared" si="540"/>
        <v>2265</v>
      </c>
      <c r="BX255" s="2">
        <f t="shared" si="518"/>
        <v>10248</v>
      </c>
      <c r="BY255" s="2">
        <f t="shared" si="541"/>
        <v>1855</v>
      </c>
      <c r="BZ255" s="2">
        <f t="shared" si="519"/>
        <v>8393</v>
      </c>
      <c r="CA255" s="2">
        <f t="shared" si="542"/>
        <v>1519</v>
      </c>
      <c r="CB255" s="2">
        <f t="shared" si="520"/>
        <v>6874</v>
      </c>
      <c r="CC255" s="2">
        <f t="shared" si="543"/>
        <v>1244</v>
      </c>
      <c r="CD255" s="2">
        <f t="shared" si="521"/>
        <v>5630</v>
      </c>
      <c r="CE255" s="2">
        <f t="shared" si="544"/>
        <v>1019</v>
      </c>
      <c r="CF255" s="2">
        <f t="shared" si="522"/>
        <v>4611</v>
      </c>
      <c r="CG255" s="2">
        <f t="shared" si="545"/>
        <v>835</v>
      </c>
      <c r="CH255" s="2">
        <f t="shared" si="523"/>
        <v>3776</v>
      </c>
      <c r="CI255" s="2">
        <f t="shared" si="546"/>
        <v>684</v>
      </c>
      <c r="CJ255" s="2">
        <f t="shared" si="524"/>
        <v>3092</v>
      </c>
      <c r="CK255" s="2">
        <f t="shared" si="547"/>
        <v>560</v>
      </c>
      <c r="CL255" s="2">
        <f t="shared" si="525"/>
        <v>2532</v>
      </c>
      <c r="CM255" s="2">
        <f t="shared" si="548"/>
        <v>458</v>
      </c>
      <c r="CN255" s="2">
        <f t="shared" si="526"/>
        <v>2074</v>
      </c>
      <c r="CO255" s="2">
        <f t="shared" si="549"/>
        <v>375</v>
      </c>
      <c r="CP255" s="2">
        <f t="shared" si="527"/>
        <v>1699</v>
      </c>
      <c r="CQ255" s="317">
        <f t="shared" si="512"/>
        <v>224.00000000000009</v>
      </c>
      <c r="CR255" s="2">
        <f t="shared" si="528"/>
        <v>1475</v>
      </c>
      <c r="CS255" s="2">
        <v>0</v>
      </c>
      <c r="CT255" s="2">
        <f t="shared" si="529"/>
        <v>1475</v>
      </c>
      <c r="CU255" s="2">
        <v>0</v>
      </c>
      <c r="CV255" s="2">
        <f t="shared" si="530"/>
        <v>1475</v>
      </c>
      <c r="CW255" s="2">
        <v>0</v>
      </c>
      <c r="CX255" s="2">
        <f t="shared" si="531"/>
        <v>1475</v>
      </c>
      <c r="CY255" s="2">
        <v>0</v>
      </c>
      <c r="CZ255" s="2">
        <f t="shared" si="532"/>
        <v>1475</v>
      </c>
      <c r="DA255" s="2">
        <v>0</v>
      </c>
      <c r="DB255" s="2">
        <f t="shared" si="533"/>
        <v>1475</v>
      </c>
      <c r="DC255" s="2">
        <v>0</v>
      </c>
      <c r="DD255" s="2">
        <f t="shared" si="534"/>
        <v>1475</v>
      </c>
      <c r="DE255" s="2">
        <v>0</v>
      </c>
      <c r="DF255" s="2">
        <f t="shared" si="555"/>
        <v>1475</v>
      </c>
      <c r="DG255" s="2">
        <v>0</v>
      </c>
      <c r="DH255" s="2">
        <f t="shared" si="556"/>
        <v>1475</v>
      </c>
      <c r="DI255" s="2">
        <v>0</v>
      </c>
      <c r="DJ255" s="2">
        <f t="shared" si="557"/>
        <v>1475</v>
      </c>
      <c r="DK255" s="2">
        <v>0</v>
      </c>
      <c r="DL255" s="2">
        <f t="shared" si="558"/>
        <v>1475</v>
      </c>
      <c r="DM255" s="2">
        <v>0</v>
      </c>
      <c r="DN255" s="2">
        <f t="shared" si="559"/>
        <v>1475</v>
      </c>
      <c r="DO255" s="2">
        <v>0</v>
      </c>
      <c r="DP255" s="2">
        <f t="shared" si="560"/>
        <v>1475</v>
      </c>
      <c r="DQ255" s="2">
        <v>0</v>
      </c>
      <c r="DR255" s="2">
        <f t="shared" si="561"/>
        <v>1475</v>
      </c>
      <c r="DS255" s="2">
        <v>0</v>
      </c>
      <c r="DT255" s="2">
        <f t="shared" si="535"/>
        <v>1475</v>
      </c>
      <c r="DU255" s="2">
        <v>0</v>
      </c>
      <c r="DV255" s="2">
        <f t="shared" si="536"/>
        <v>1475</v>
      </c>
      <c r="DW255" s="266">
        <f t="shared" si="553"/>
        <v>1475</v>
      </c>
      <c r="DX255" s="441">
        <f t="shared" si="554"/>
        <v>0</v>
      </c>
    </row>
    <row r="256" spans="1:128">
      <c r="A256" s="413">
        <v>97</v>
      </c>
      <c r="B256" s="480" t="s">
        <v>911</v>
      </c>
      <c r="C256" s="433" t="s">
        <v>518</v>
      </c>
      <c r="D256" s="468">
        <v>0.18099999999999999</v>
      </c>
      <c r="E256" s="469">
        <v>21948000</v>
      </c>
      <c r="F256" s="470" t="s">
        <v>921</v>
      </c>
      <c r="G256" s="481">
        <v>43445</v>
      </c>
      <c r="H256" s="443">
        <f t="shared" si="504"/>
        <v>48923</v>
      </c>
      <c r="I256" s="267">
        <v>15</v>
      </c>
      <c r="J256" s="267">
        <f t="shared" si="505"/>
        <v>111</v>
      </c>
      <c r="K256" s="267">
        <f t="shared" si="513"/>
        <v>254</v>
      </c>
      <c r="L256" s="433"/>
      <c r="M256" s="433"/>
      <c r="N256" s="436"/>
      <c r="O256" s="436"/>
      <c r="P256" s="433"/>
      <c r="Q256" s="436"/>
      <c r="R256" s="436"/>
      <c r="S256" s="433"/>
      <c r="T256" s="436"/>
      <c r="U256" s="436"/>
      <c r="V256" s="433"/>
      <c r="W256" s="436"/>
      <c r="X256" s="436"/>
      <c r="Y256" s="433"/>
      <c r="Z256" s="436"/>
      <c r="AA256" s="436"/>
      <c r="AB256" s="433"/>
      <c r="AC256" s="436"/>
      <c r="AD256" s="436"/>
      <c r="AE256" s="436"/>
      <c r="AF256" s="436"/>
      <c r="AG256" s="436"/>
      <c r="AH256" s="436"/>
      <c r="AI256" s="439">
        <v>15</v>
      </c>
      <c r="AJ256" s="436">
        <f t="shared" si="503"/>
        <v>15</v>
      </c>
      <c r="AK256" s="440">
        <f t="shared" si="514"/>
        <v>0.18103627252208465</v>
      </c>
      <c r="AL256" s="2"/>
      <c r="AM256" s="433"/>
      <c r="AN256" s="436"/>
      <c r="AO256" s="436"/>
      <c r="AP256" s="436"/>
      <c r="AQ256" s="436"/>
      <c r="AR256" s="436"/>
      <c r="AS256" s="436"/>
      <c r="AT256" s="2"/>
      <c r="AU256" s="2"/>
      <c r="AV256" s="2"/>
      <c r="AW256" s="2"/>
      <c r="AX256" s="2"/>
      <c r="AY256" s="2"/>
      <c r="AZ256" s="433"/>
      <c r="BA256" s="2"/>
      <c r="BB256" s="2"/>
      <c r="BC256" s="2"/>
      <c r="BD256" s="2"/>
      <c r="BE256" s="2"/>
      <c r="BF256" s="433"/>
      <c r="BG256" s="2"/>
      <c r="BH256" s="2"/>
      <c r="BI256" s="2">
        <f t="shared" si="506"/>
        <v>1208344</v>
      </c>
      <c r="BJ256" s="2">
        <f t="shared" si="507"/>
        <v>20739656</v>
      </c>
      <c r="BK256" s="2">
        <f t="shared" si="508"/>
        <v>3754630</v>
      </c>
      <c r="BL256" s="2">
        <f t="shared" si="550"/>
        <v>16985026</v>
      </c>
      <c r="BM256" s="2"/>
      <c r="BN256" s="2">
        <f t="shared" si="551"/>
        <v>16985026</v>
      </c>
      <c r="BO256" s="2">
        <f t="shared" si="537"/>
        <v>3074906</v>
      </c>
      <c r="BP256" s="2">
        <f t="shared" si="515"/>
        <v>13910120</v>
      </c>
      <c r="BQ256" s="2"/>
      <c r="BR256" s="2">
        <f t="shared" si="552"/>
        <v>13910120</v>
      </c>
      <c r="BS256" s="2">
        <f t="shared" si="538"/>
        <v>2518236</v>
      </c>
      <c r="BT256" s="2">
        <f t="shared" si="516"/>
        <v>11391884</v>
      </c>
      <c r="BU256" s="2">
        <f t="shared" si="539"/>
        <v>2062344</v>
      </c>
      <c r="BV256" s="2">
        <f t="shared" si="517"/>
        <v>9329540</v>
      </c>
      <c r="BW256" s="2">
        <f t="shared" si="540"/>
        <v>1688985</v>
      </c>
      <c r="BX256" s="2">
        <f t="shared" si="518"/>
        <v>7640555</v>
      </c>
      <c r="BY256" s="2">
        <f t="shared" si="541"/>
        <v>1383218</v>
      </c>
      <c r="BZ256" s="2">
        <f t="shared" si="519"/>
        <v>6257337</v>
      </c>
      <c r="CA256" s="2">
        <f t="shared" si="542"/>
        <v>1132805</v>
      </c>
      <c r="CB256" s="2">
        <f t="shared" si="520"/>
        <v>5124532</v>
      </c>
      <c r="CC256" s="2">
        <f t="shared" si="543"/>
        <v>927726</v>
      </c>
      <c r="CD256" s="2">
        <f t="shared" si="521"/>
        <v>4196806</v>
      </c>
      <c r="CE256" s="2">
        <f t="shared" si="544"/>
        <v>759774</v>
      </c>
      <c r="CF256" s="2">
        <f t="shared" si="522"/>
        <v>3437032</v>
      </c>
      <c r="CG256" s="2">
        <f t="shared" si="545"/>
        <v>622227</v>
      </c>
      <c r="CH256" s="2">
        <f t="shared" si="523"/>
        <v>2814805</v>
      </c>
      <c r="CI256" s="2">
        <f t="shared" si="546"/>
        <v>509582</v>
      </c>
      <c r="CJ256" s="2">
        <f t="shared" si="524"/>
        <v>2305223</v>
      </c>
      <c r="CK256" s="2">
        <f t="shared" si="547"/>
        <v>417329</v>
      </c>
      <c r="CL256" s="2">
        <f t="shared" si="525"/>
        <v>1887894</v>
      </c>
      <c r="CM256" s="2">
        <f t="shared" si="548"/>
        <v>341777</v>
      </c>
      <c r="CN256" s="2">
        <f t="shared" si="526"/>
        <v>1546117</v>
      </c>
      <c r="CO256" s="2">
        <f t="shared" si="549"/>
        <v>279903</v>
      </c>
      <c r="CP256" s="2">
        <f t="shared" si="527"/>
        <v>1266214</v>
      </c>
      <c r="CQ256" s="317">
        <f t="shared" si="512"/>
        <v>168814.00000000003</v>
      </c>
      <c r="CR256" s="2">
        <f t="shared" si="528"/>
        <v>1097400</v>
      </c>
      <c r="CS256" s="2">
        <v>0</v>
      </c>
      <c r="CT256" s="2">
        <f t="shared" si="529"/>
        <v>1097400</v>
      </c>
      <c r="CU256" s="2">
        <v>0</v>
      </c>
      <c r="CV256" s="2">
        <f t="shared" si="530"/>
        <v>1097400</v>
      </c>
      <c r="CW256" s="2">
        <v>0</v>
      </c>
      <c r="CX256" s="2">
        <f t="shared" si="531"/>
        <v>1097400</v>
      </c>
      <c r="CY256" s="2">
        <v>0</v>
      </c>
      <c r="CZ256" s="2">
        <f t="shared" si="532"/>
        <v>1097400</v>
      </c>
      <c r="DA256" s="2">
        <v>0</v>
      </c>
      <c r="DB256" s="2">
        <f t="shared" si="533"/>
        <v>1097400</v>
      </c>
      <c r="DC256" s="2">
        <v>0</v>
      </c>
      <c r="DD256" s="2">
        <f t="shared" si="534"/>
        <v>1097400</v>
      </c>
      <c r="DE256" s="2">
        <v>0</v>
      </c>
      <c r="DF256" s="2">
        <f t="shared" si="555"/>
        <v>1097400</v>
      </c>
      <c r="DG256" s="2">
        <v>0</v>
      </c>
      <c r="DH256" s="2">
        <f t="shared" si="556"/>
        <v>1097400</v>
      </c>
      <c r="DI256" s="2">
        <v>0</v>
      </c>
      <c r="DJ256" s="2">
        <f t="shared" si="557"/>
        <v>1097400</v>
      </c>
      <c r="DK256" s="2">
        <v>0</v>
      </c>
      <c r="DL256" s="2">
        <f t="shared" si="558"/>
        <v>1097400</v>
      </c>
      <c r="DM256" s="2">
        <v>0</v>
      </c>
      <c r="DN256" s="2">
        <f t="shared" si="559"/>
        <v>1097400</v>
      </c>
      <c r="DO256" s="2">
        <v>0</v>
      </c>
      <c r="DP256" s="2">
        <f t="shared" si="560"/>
        <v>1097400</v>
      </c>
      <c r="DQ256" s="2">
        <v>0</v>
      </c>
      <c r="DR256" s="2">
        <f t="shared" si="561"/>
        <v>1097400</v>
      </c>
      <c r="DS256" s="2">
        <v>0</v>
      </c>
      <c r="DT256" s="2">
        <f t="shared" si="535"/>
        <v>1097400</v>
      </c>
      <c r="DU256" s="2">
        <v>0</v>
      </c>
      <c r="DV256" s="2">
        <f t="shared" si="536"/>
        <v>1097400</v>
      </c>
      <c r="DW256" s="266">
        <f t="shared" si="553"/>
        <v>1097400</v>
      </c>
      <c r="DX256" s="441">
        <f t="shared" si="554"/>
        <v>0</v>
      </c>
    </row>
    <row r="257" spans="1:128">
      <c r="A257" s="413">
        <v>98</v>
      </c>
      <c r="B257" s="480" t="s">
        <v>912</v>
      </c>
      <c r="C257" s="433" t="s">
        <v>518</v>
      </c>
      <c r="D257" s="468">
        <v>0.18099999999999999</v>
      </c>
      <c r="E257" s="469">
        <v>1241554</v>
      </c>
      <c r="F257" s="470" t="s">
        <v>921</v>
      </c>
      <c r="G257" s="481">
        <v>43453</v>
      </c>
      <c r="H257" s="443">
        <f t="shared" si="504"/>
        <v>48931</v>
      </c>
      <c r="I257" s="267">
        <v>15</v>
      </c>
      <c r="J257" s="267">
        <f t="shared" si="505"/>
        <v>103</v>
      </c>
      <c r="K257" s="267">
        <f t="shared" si="513"/>
        <v>262</v>
      </c>
      <c r="L257" s="433"/>
      <c r="M257" s="433"/>
      <c r="N257" s="436"/>
      <c r="O257" s="436"/>
      <c r="P257" s="433"/>
      <c r="Q257" s="436"/>
      <c r="R257" s="436"/>
      <c r="S257" s="433"/>
      <c r="T257" s="436"/>
      <c r="U257" s="436"/>
      <c r="V257" s="433"/>
      <c r="W257" s="436"/>
      <c r="X257" s="436"/>
      <c r="Y257" s="433"/>
      <c r="Z257" s="436"/>
      <c r="AA257" s="436"/>
      <c r="AB257" s="433"/>
      <c r="AC257" s="436"/>
      <c r="AD257" s="436"/>
      <c r="AE257" s="436"/>
      <c r="AF257" s="436"/>
      <c r="AG257" s="436"/>
      <c r="AH257" s="436"/>
      <c r="AI257" s="439">
        <v>15</v>
      </c>
      <c r="AJ257" s="436">
        <f t="shared" si="503"/>
        <v>15</v>
      </c>
      <c r="AK257" s="440">
        <f t="shared" si="514"/>
        <v>0.18103627252208465</v>
      </c>
      <c r="AL257" s="2"/>
      <c r="AM257" s="433"/>
      <c r="AN257" s="436"/>
      <c r="AO257" s="436"/>
      <c r="AP257" s="436"/>
      <c r="AQ257" s="436"/>
      <c r="AR257" s="436"/>
      <c r="AS257" s="436"/>
      <c r="AT257" s="2"/>
      <c r="AU257" s="2"/>
      <c r="AV257" s="2"/>
      <c r="AW257" s="2"/>
      <c r="AX257" s="2"/>
      <c r="AY257" s="2"/>
      <c r="AZ257" s="433"/>
      <c r="BA257" s="2"/>
      <c r="BB257" s="2"/>
      <c r="BC257" s="2"/>
      <c r="BD257" s="2"/>
      <c r="BE257" s="2"/>
      <c r="BF257" s="433"/>
      <c r="BG257" s="2"/>
      <c r="BH257" s="2"/>
      <c r="BI257" s="2">
        <f t="shared" si="506"/>
        <v>63427</v>
      </c>
      <c r="BJ257" s="2">
        <f t="shared" si="507"/>
        <v>1178127</v>
      </c>
      <c r="BK257" s="2">
        <f t="shared" si="508"/>
        <v>213284</v>
      </c>
      <c r="BL257" s="2">
        <f t="shared" si="550"/>
        <v>964843</v>
      </c>
      <c r="BM257" s="2"/>
      <c r="BN257" s="2">
        <f t="shared" si="551"/>
        <v>964843</v>
      </c>
      <c r="BO257" s="2">
        <f t="shared" si="537"/>
        <v>174672</v>
      </c>
      <c r="BP257" s="2">
        <f t="shared" si="515"/>
        <v>790171</v>
      </c>
      <c r="BQ257" s="2"/>
      <c r="BR257" s="2">
        <f t="shared" si="552"/>
        <v>790171</v>
      </c>
      <c r="BS257" s="2">
        <f t="shared" si="538"/>
        <v>143050</v>
      </c>
      <c r="BT257" s="2">
        <f t="shared" si="516"/>
        <v>647121</v>
      </c>
      <c r="BU257" s="2">
        <f t="shared" si="539"/>
        <v>117152</v>
      </c>
      <c r="BV257" s="2">
        <f t="shared" si="517"/>
        <v>529969</v>
      </c>
      <c r="BW257" s="2">
        <f t="shared" si="540"/>
        <v>95944</v>
      </c>
      <c r="BX257" s="2">
        <f t="shared" si="518"/>
        <v>434025</v>
      </c>
      <c r="BY257" s="2">
        <f t="shared" si="541"/>
        <v>78574</v>
      </c>
      <c r="BZ257" s="2">
        <f t="shared" si="519"/>
        <v>355451</v>
      </c>
      <c r="CA257" s="2">
        <f t="shared" si="542"/>
        <v>64350</v>
      </c>
      <c r="CB257" s="2">
        <f t="shared" si="520"/>
        <v>291101</v>
      </c>
      <c r="CC257" s="2">
        <f t="shared" si="543"/>
        <v>52700</v>
      </c>
      <c r="CD257" s="2">
        <f t="shared" si="521"/>
        <v>238401</v>
      </c>
      <c r="CE257" s="2">
        <f t="shared" si="544"/>
        <v>43159</v>
      </c>
      <c r="CF257" s="2">
        <f t="shared" si="522"/>
        <v>195242</v>
      </c>
      <c r="CG257" s="2">
        <f t="shared" si="545"/>
        <v>35346</v>
      </c>
      <c r="CH257" s="2">
        <f t="shared" si="523"/>
        <v>159896</v>
      </c>
      <c r="CI257" s="2">
        <f t="shared" si="546"/>
        <v>28947</v>
      </c>
      <c r="CJ257" s="2">
        <f t="shared" si="524"/>
        <v>130949</v>
      </c>
      <c r="CK257" s="2">
        <f t="shared" si="547"/>
        <v>23707</v>
      </c>
      <c r="CL257" s="2">
        <f t="shared" si="525"/>
        <v>107242</v>
      </c>
      <c r="CM257" s="2">
        <f t="shared" si="548"/>
        <v>19415</v>
      </c>
      <c r="CN257" s="2">
        <f t="shared" si="526"/>
        <v>87827</v>
      </c>
      <c r="CO257" s="2">
        <f t="shared" si="549"/>
        <v>15900</v>
      </c>
      <c r="CP257" s="2">
        <f t="shared" si="527"/>
        <v>71927</v>
      </c>
      <c r="CQ257" s="317">
        <f t="shared" si="512"/>
        <v>9849.2999999999956</v>
      </c>
      <c r="CR257" s="2">
        <f t="shared" si="528"/>
        <v>62077.700000000004</v>
      </c>
      <c r="CS257" s="2">
        <v>0</v>
      </c>
      <c r="CT257" s="2">
        <f t="shared" si="529"/>
        <v>62077.700000000004</v>
      </c>
      <c r="CU257" s="2">
        <v>0</v>
      </c>
      <c r="CV257" s="2">
        <f t="shared" si="530"/>
        <v>62077.700000000004</v>
      </c>
      <c r="CW257" s="2">
        <v>0</v>
      </c>
      <c r="CX257" s="2">
        <f t="shared" si="531"/>
        <v>62077.700000000004</v>
      </c>
      <c r="CY257" s="2">
        <v>0</v>
      </c>
      <c r="CZ257" s="2">
        <f t="shared" si="532"/>
        <v>62077.700000000004</v>
      </c>
      <c r="DA257" s="2">
        <v>0</v>
      </c>
      <c r="DB257" s="2">
        <f t="shared" si="533"/>
        <v>62077.700000000004</v>
      </c>
      <c r="DC257" s="2">
        <v>0</v>
      </c>
      <c r="DD257" s="2">
        <f t="shared" si="534"/>
        <v>62077.700000000004</v>
      </c>
      <c r="DE257" s="2">
        <v>0</v>
      </c>
      <c r="DF257" s="2">
        <f t="shared" si="555"/>
        <v>62077.700000000004</v>
      </c>
      <c r="DG257" s="2">
        <v>0</v>
      </c>
      <c r="DH257" s="2">
        <f t="shared" si="556"/>
        <v>62077.700000000004</v>
      </c>
      <c r="DI257" s="2">
        <v>0</v>
      </c>
      <c r="DJ257" s="2">
        <f t="shared" si="557"/>
        <v>62077.700000000004</v>
      </c>
      <c r="DK257" s="2">
        <v>0</v>
      </c>
      <c r="DL257" s="2">
        <f t="shared" si="558"/>
        <v>62077.700000000004</v>
      </c>
      <c r="DM257" s="2">
        <v>0</v>
      </c>
      <c r="DN257" s="2">
        <f t="shared" si="559"/>
        <v>62077.700000000004</v>
      </c>
      <c r="DO257" s="2">
        <v>0</v>
      </c>
      <c r="DP257" s="2">
        <f t="shared" si="560"/>
        <v>62077.700000000004</v>
      </c>
      <c r="DQ257" s="2">
        <v>0</v>
      </c>
      <c r="DR257" s="2">
        <f t="shared" si="561"/>
        <v>62077.700000000004</v>
      </c>
      <c r="DS257" s="2">
        <v>0</v>
      </c>
      <c r="DT257" s="2">
        <f t="shared" si="535"/>
        <v>62077.700000000004</v>
      </c>
      <c r="DU257" s="2">
        <v>0</v>
      </c>
      <c r="DV257" s="2">
        <f t="shared" si="536"/>
        <v>62077.700000000004</v>
      </c>
      <c r="DW257" s="266">
        <f t="shared" si="553"/>
        <v>62077.700000000004</v>
      </c>
      <c r="DX257" s="441">
        <f t="shared" si="554"/>
        <v>0</v>
      </c>
    </row>
    <row r="258" spans="1:128">
      <c r="A258" s="413">
        <v>99</v>
      </c>
      <c r="B258" s="480" t="s">
        <v>913</v>
      </c>
      <c r="C258" s="433" t="s">
        <v>518</v>
      </c>
      <c r="D258" s="468">
        <v>0.18099999999999999</v>
      </c>
      <c r="E258" s="469">
        <v>784110</v>
      </c>
      <c r="F258" s="470" t="s">
        <v>921</v>
      </c>
      <c r="G258" s="481">
        <v>43455</v>
      </c>
      <c r="H258" s="443">
        <f t="shared" si="504"/>
        <v>48933</v>
      </c>
      <c r="I258" s="267">
        <v>15</v>
      </c>
      <c r="J258" s="267">
        <f t="shared" si="505"/>
        <v>101</v>
      </c>
      <c r="K258" s="267">
        <f t="shared" si="513"/>
        <v>264</v>
      </c>
      <c r="L258" s="433"/>
      <c r="M258" s="433"/>
      <c r="N258" s="436"/>
      <c r="O258" s="436"/>
      <c r="P258" s="433"/>
      <c r="Q258" s="436"/>
      <c r="R258" s="436"/>
      <c r="S258" s="433"/>
      <c r="T258" s="436"/>
      <c r="U258" s="436"/>
      <c r="V258" s="433"/>
      <c r="W258" s="436"/>
      <c r="X258" s="436"/>
      <c r="Y258" s="433"/>
      <c r="Z258" s="436"/>
      <c r="AA258" s="436"/>
      <c r="AB258" s="433"/>
      <c r="AC258" s="436"/>
      <c r="AD258" s="436"/>
      <c r="AE258" s="436"/>
      <c r="AF258" s="436"/>
      <c r="AG258" s="436"/>
      <c r="AH258" s="436"/>
      <c r="AI258" s="439">
        <v>15</v>
      </c>
      <c r="AJ258" s="436">
        <f t="shared" si="503"/>
        <v>15</v>
      </c>
      <c r="AK258" s="440">
        <f t="shared" si="514"/>
        <v>0.18103627252208465</v>
      </c>
      <c r="AL258" s="2"/>
      <c r="AM258" s="433"/>
      <c r="AN258" s="436"/>
      <c r="AO258" s="436"/>
      <c r="AP258" s="436"/>
      <c r="AQ258" s="436"/>
      <c r="AR258" s="436"/>
      <c r="AS258" s="436"/>
      <c r="AT258" s="2"/>
      <c r="AU258" s="2"/>
      <c r="AV258" s="2"/>
      <c r="AW258" s="2"/>
      <c r="AX258" s="2"/>
      <c r="AY258" s="2"/>
      <c r="AZ258" s="433"/>
      <c r="BA258" s="2"/>
      <c r="BB258" s="2"/>
      <c r="BC258" s="2"/>
      <c r="BD258" s="2"/>
      <c r="BE258" s="2"/>
      <c r="BF258" s="433"/>
      <c r="BG258" s="2"/>
      <c r="BH258" s="2"/>
      <c r="BI258" s="2">
        <f t="shared" si="506"/>
        <v>39280</v>
      </c>
      <c r="BJ258" s="2">
        <f t="shared" si="507"/>
        <v>744830</v>
      </c>
      <c r="BK258" s="2">
        <f t="shared" si="508"/>
        <v>134841</v>
      </c>
      <c r="BL258" s="2">
        <f t="shared" si="550"/>
        <v>609989</v>
      </c>
      <c r="BM258" s="2"/>
      <c r="BN258" s="2">
        <f t="shared" si="551"/>
        <v>609989</v>
      </c>
      <c r="BO258" s="2">
        <f t="shared" si="537"/>
        <v>110430</v>
      </c>
      <c r="BP258" s="2">
        <f t="shared" si="515"/>
        <v>499559</v>
      </c>
      <c r="BQ258" s="2"/>
      <c r="BR258" s="2">
        <f t="shared" si="552"/>
        <v>499559</v>
      </c>
      <c r="BS258" s="2">
        <f t="shared" si="538"/>
        <v>90438</v>
      </c>
      <c r="BT258" s="2">
        <f t="shared" si="516"/>
        <v>409121</v>
      </c>
      <c r="BU258" s="2">
        <f t="shared" si="539"/>
        <v>74066</v>
      </c>
      <c r="BV258" s="2">
        <f t="shared" si="517"/>
        <v>335055</v>
      </c>
      <c r="BW258" s="2">
        <f t="shared" si="540"/>
        <v>60657</v>
      </c>
      <c r="BX258" s="2">
        <f t="shared" si="518"/>
        <v>274398</v>
      </c>
      <c r="BY258" s="2">
        <f t="shared" si="541"/>
        <v>49676</v>
      </c>
      <c r="BZ258" s="2">
        <f t="shared" si="519"/>
        <v>224722</v>
      </c>
      <c r="CA258" s="2">
        <f t="shared" si="542"/>
        <v>40683</v>
      </c>
      <c r="CB258" s="2">
        <f t="shared" si="520"/>
        <v>184039</v>
      </c>
      <c r="CC258" s="2">
        <f t="shared" si="543"/>
        <v>33318</v>
      </c>
      <c r="CD258" s="2">
        <f t="shared" si="521"/>
        <v>150721</v>
      </c>
      <c r="CE258" s="2">
        <f t="shared" si="544"/>
        <v>27286</v>
      </c>
      <c r="CF258" s="2">
        <f t="shared" si="522"/>
        <v>123435</v>
      </c>
      <c r="CG258" s="2">
        <f t="shared" si="545"/>
        <v>22346</v>
      </c>
      <c r="CH258" s="2">
        <f t="shared" si="523"/>
        <v>101089</v>
      </c>
      <c r="CI258" s="2">
        <f t="shared" si="546"/>
        <v>18301</v>
      </c>
      <c r="CJ258" s="2">
        <f t="shared" si="524"/>
        <v>82788</v>
      </c>
      <c r="CK258" s="2">
        <f t="shared" si="547"/>
        <v>14988</v>
      </c>
      <c r="CL258" s="2">
        <f t="shared" si="525"/>
        <v>67800</v>
      </c>
      <c r="CM258" s="2">
        <f t="shared" si="548"/>
        <v>12274</v>
      </c>
      <c r="CN258" s="2">
        <f t="shared" si="526"/>
        <v>55526</v>
      </c>
      <c r="CO258" s="2">
        <f t="shared" si="549"/>
        <v>10052</v>
      </c>
      <c r="CP258" s="2">
        <f t="shared" si="527"/>
        <v>45474</v>
      </c>
      <c r="CQ258" s="317">
        <f t="shared" si="512"/>
        <v>6268.4999999999973</v>
      </c>
      <c r="CR258" s="2">
        <f t="shared" si="528"/>
        <v>39205.5</v>
      </c>
      <c r="CS258" s="2">
        <v>0</v>
      </c>
      <c r="CT258" s="2">
        <f t="shared" si="529"/>
        <v>39205.5</v>
      </c>
      <c r="CU258" s="2">
        <v>0</v>
      </c>
      <c r="CV258" s="2">
        <f t="shared" si="530"/>
        <v>39205.5</v>
      </c>
      <c r="CW258" s="2">
        <v>0</v>
      </c>
      <c r="CX258" s="2">
        <f t="shared" si="531"/>
        <v>39205.5</v>
      </c>
      <c r="CY258" s="2">
        <v>0</v>
      </c>
      <c r="CZ258" s="2">
        <f t="shared" si="532"/>
        <v>39205.5</v>
      </c>
      <c r="DA258" s="2">
        <v>0</v>
      </c>
      <c r="DB258" s="2">
        <f t="shared" si="533"/>
        <v>39205.5</v>
      </c>
      <c r="DC258" s="2">
        <v>0</v>
      </c>
      <c r="DD258" s="2">
        <f t="shared" si="534"/>
        <v>39205.5</v>
      </c>
      <c r="DE258" s="2">
        <v>0</v>
      </c>
      <c r="DF258" s="2">
        <f t="shared" si="555"/>
        <v>39205.5</v>
      </c>
      <c r="DG258" s="2">
        <v>0</v>
      </c>
      <c r="DH258" s="2">
        <f t="shared" si="556"/>
        <v>39205.5</v>
      </c>
      <c r="DI258" s="2">
        <v>0</v>
      </c>
      <c r="DJ258" s="2">
        <f t="shared" si="557"/>
        <v>39205.5</v>
      </c>
      <c r="DK258" s="2">
        <v>0</v>
      </c>
      <c r="DL258" s="2">
        <f t="shared" si="558"/>
        <v>39205.5</v>
      </c>
      <c r="DM258" s="2">
        <v>0</v>
      </c>
      <c r="DN258" s="2">
        <f t="shared" si="559"/>
        <v>39205.5</v>
      </c>
      <c r="DO258" s="2">
        <v>0</v>
      </c>
      <c r="DP258" s="2">
        <f t="shared" si="560"/>
        <v>39205.5</v>
      </c>
      <c r="DQ258" s="2">
        <v>0</v>
      </c>
      <c r="DR258" s="2">
        <f t="shared" si="561"/>
        <v>39205.5</v>
      </c>
      <c r="DS258" s="2">
        <v>0</v>
      </c>
      <c r="DT258" s="2">
        <f t="shared" si="535"/>
        <v>39205.5</v>
      </c>
      <c r="DU258" s="2">
        <v>0</v>
      </c>
      <c r="DV258" s="2">
        <f t="shared" si="536"/>
        <v>39205.5</v>
      </c>
      <c r="DW258" s="266">
        <f t="shared" si="553"/>
        <v>39205.5</v>
      </c>
      <c r="DX258" s="441">
        <f t="shared" si="554"/>
        <v>0</v>
      </c>
    </row>
    <row r="259" spans="1:128">
      <c r="A259" s="413">
        <v>100</v>
      </c>
      <c r="B259" s="480" t="s">
        <v>895</v>
      </c>
      <c r="C259" s="433" t="s">
        <v>518</v>
      </c>
      <c r="D259" s="468">
        <v>0.18099999999999999</v>
      </c>
      <c r="E259" s="469">
        <v>2251440</v>
      </c>
      <c r="F259" s="470" t="s">
        <v>921</v>
      </c>
      <c r="G259" s="481">
        <v>43458</v>
      </c>
      <c r="H259" s="443">
        <f t="shared" si="504"/>
        <v>48936</v>
      </c>
      <c r="I259" s="267">
        <v>15</v>
      </c>
      <c r="J259" s="267">
        <f t="shared" si="505"/>
        <v>98</v>
      </c>
      <c r="K259" s="267">
        <f t="shared" si="513"/>
        <v>267</v>
      </c>
      <c r="L259" s="433"/>
      <c r="M259" s="433"/>
      <c r="N259" s="436"/>
      <c r="O259" s="436"/>
      <c r="P259" s="433"/>
      <c r="Q259" s="436"/>
      <c r="R259" s="436"/>
      <c r="S259" s="433"/>
      <c r="T259" s="436"/>
      <c r="U259" s="436"/>
      <c r="V259" s="433"/>
      <c r="W259" s="436"/>
      <c r="X259" s="436"/>
      <c r="Y259" s="433"/>
      <c r="Z259" s="436"/>
      <c r="AA259" s="436"/>
      <c r="AB259" s="433"/>
      <c r="AC259" s="436"/>
      <c r="AD259" s="436"/>
      <c r="AE259" s="436"/>
      <c r="AF259" s="436"/>
      <c r="AG259" s="436"/>
      <c r="AH259" s="436"/>
      <c r="AI259" s="439">
        <v>15</v>
      </c>
      <c r="AJ259" s="436">
        <f t="shared" si="503"/>
        <v>15</v>
      </c>
      <c r="AK259" s="440">
        <f t="shared" si="514"/>
        <v>0.18103627252208465</v>
      </c>
      <c r="AL259" s="2"/>
      <c r="AM259" s="433"/>
      <c r="AN259" s="436"/>
      <c r="AO259" s="436"/>
      <c r="AP259" s="436"/>
      <c r="AQ259" s="436"/>
      <c r="AR259" s="436"/>
      <c r="AS259" s="436"/>
      <c r="AT259" s="2"/>
      <c r="AU259" s="2"/>
      <c r="AV259" s="2"/>
      <c r="AW259" s="2"/>
      <c r="AX259" s="2"/>
      <c r="AY259" s="2"/>
      <c r="AZ259" s="433"/>
      <c r="BA259" s="2"/>
      <c r="BB259" s="2"/>
      <c r="BC259" s="2"/>
      <c r="BD259" s="2"/>
      <c r="BE259" s="2"/>
      <c r="BF259" s="433"/>
      <c r="BG259" s="2"/>
      <c r="BH259" s="2"/>
      <c r="BI259" s="2">
        <f>ROUND(+E259*AK259*J259/365,0)</f>
        <v>109436</v>
      </c>
      <c r="BJ259" s="2">
        <f t="shared" si="507"/>
        <v>2142004</v>
      </c>
      <c r="BK259" s="2">
        <f t="shared" si="508"/>
        <v>387780</v>
      </c>
      <c r="BL259" s="2">
        <f t="shared" si="550"/>
        <v>1754224</v>
      </c>
      <c r="BM259" s="2"/>
      <c r="BN259" s="2">
        <f t="shared" si="551"/>
        <v>1754224</v>
      </c>
      <c r="BO259" s="2">
        <f t="shared" si="537"/>
        <v>317578</v>
      </c>
      <c r="BP259" s="2">
        <f t="shared" si="515"/>
        <v>1436646</v>
      </c>
      <c r="BQ259" s="2"/>
      <c r="BR259" s="2">
        <f t="shared" si="552"/>
        <v>1436646</v>
      </c>
      <c r="BS259" s="2">
        <f t="shared" si="538"/>
        <v>260085</v>
      </c>
      <c r="BT259" s="2">
        <f t="shared" si="516"/>
        <v>1176561</v>
      </c>
      <c r="BU259" s="2">
        <f t="shared" si="539"/>
        <v>213000</v>
      </c>
      <c r="BV259" s="2">
        <f t="shared" si="517"/>
        <v>963561</v>
      </c>
      <c r="BW259" s="2">
        <f t="shared" si="540"/>
        <v>174439</v>
      </c>
      <c r="BX259" s="2">
        <f t="shared" si="518"/>
        <v>789122</v>
      </c>
      <c r="BY259" s="2">
        <f t="shared" si="541"/>
        <v>142860</v>
      </c>
      <c r="BZ259" s="2">
        <f t="shared" si="519"/>
        <v>646262</v>
      </c>
      <c r="CA259" s="2">
        <f t="shared" si="542"/>
        <v>116997</v>
      </c>
      <c r="CB259" s="2">
        <f t="shared" si="520"/>
        <v>529265</v>
      </c>
      <c r="CC259" s="2">
        <f t="shared" si="543"/>
        <v>95816</v>
      </c>
      <c r="CD259" s="2">
        <f t="shared" si="521"/>
        <v>433449</v>
      </c>
      <c r="CE259" s="2">
        <f t="shared" si="544"/>
        <v>78470</v>
      </c>
      <c r="CF259" s="2">
        <f t="shared" si="522"/>
        <v>354979</v>
      </c>
      <c r="CG259" s="2">
        <f t="shared" si="545"/>
        <v>64264</v>
      </c>
      <c r="CH259" s="2">
        <f t="shared" si="523"/>
        <v>290715</v>
      </c>
      <c r="CI259" s="2">
        <f t="shared" si="546"/>
        <v>52630</v>
      </c>
      <c r="CJ259" s="2">
        <f t="shared" si="524"/>
        <v>238085</v>
      </c>
      <c r="CK259" s="2">
        <f t="shared" si="547"/>
        <v>43102</v>
      </c>
      <c r="CL259" s="2">
        <f t="shared" si="525"/>
        <v>194983</v>
      </c>
      <c r="CM259" s="2">
        <f t="shared" si="548"/>
        <v>35299</v>
      </c>
      <c r="CN259" s="2">
        <f t="shared" si="526"/>
        <v>159684</v>
      </c>
      <c r="CO259" s="2">
        <f t="shared" si="549"/>
        <v>28909</v>
      </c>
      <c r="CP259" s="2">
        <f t="shared" si="527"/>
        <v>130775</v>
      </c>
      <c r="CQ259" s="317">
        <f t="shared" si="512"/>
        <v>18203</v>
      </c>
      <c r="CR259" s="2">
        <f t="shared" si="528"/>
        <v>112572</v>
      </c>
      <c r="CS259" s="2">
        <v>0</v>
      </c>
      <c r="CT259" s="2">
        <f t="shared" si="529"/>
        <v>112572</v>
      </c>
      <c r="CU259" s="2">
        <v>0</v>
      </c>
      <c r="CV259" s="2">
        <f t="shared" si="530"/>
        <v>112572</v>
      </c>
      <c r="CW259" s="2">
        <v>0</v>
      </c>
      <c r="CX259" s="2">
        <f t="shared" si="531"/>
        <v>112572</v>
      </c>
      <c r="CY259" s="2">
        <v>0</v>
      </c>
      <c r="CZ259" s="2">
        <f t="shared" si="532"/>
        <v>112572</v>
      </c>
      <c r="DA259" s="2">
        <v>0</v>
      </c>
      <c r="DB259" s="2">
        <f t="shared" si="533"/>
        <v>112572</v>
      </c>
      <c r="DC259" s="2">
        <v>0</v>
      </c>
      <c r="DD259" s="2">
        <f t="shared" si="534"/>
        <v>112572</v>
      </c>
      <c r="DE259" s="2">
        <v>0</v>
      </c>
      <c r="DF259" s="2">
        <f t="shared" si="555"/>
        <v>112572</v>
      </c>
      <c r="DG259" s="2">
        <v>0</v>
      </c>
      <c r="DH259" s="2">
        <f t="shared" si="556"/>
        <v>112572</v>
      </c>
      <c r="DI259" s="2">
        <v>0</v>
      </c>
      <c r="DJ259" s="2">
        <f t="shared" si="557"/>
        <v>112572</v>
      </c>
      <c r="DK259" s="2">
        <v>0</v>
      </c>
      <c r="DL259" s="2">
        <f t="shared" si="558"/>
        <v>112572</v>
      </c>
      <c r="DM259" s="2">
        <v>0</v>
      </c>
      <c r="DN259" s="2">
        <f t="shared" si="559"/>
        <v>112572</v>
      </c>
      <c r="DO259" s="2">
        <v>0</v>
      </c>
      <c r="DP259" s="2">
        <f t="shared" si="560"/>
        <v>112572</v>
      </c>
      <c r="DQ259" s="2">
        <v>0</v>
      </c>
      <c r="DR259" s="2">
        <f t="shared" si="561"/>
        <v>112572</v>
      </c>
      <c r="DS259" s="2">
        <v>0</v>
      </c>
      <c r="DT259" s="2">
        <f t="shared" si="535"/>
        <v>112572</v>
      </c>
      <c r="DU259" s="2">
        <v>0</v>
      </c>
      <c r="DV259" s="2">
        <f t="shared" si="536"/>
        <v>112572</v>
      </c>
      <c r="DW259" s="266">
        <f t="shared" si="553"/>
        <v>112572</v>
      </c>
      <c r="DX259" s="441">
        <f t="shared" si="554"/>
        <v>0</v>
      </c>
    </row>
    <row r="260" spans="1:128">
      <c r="A260" s="413">
        <v>101</v>
      </c>
      <c r="B260" s="480" t="s">
        <v>914</v>
      </c>
      <c r="C260" s="433" t="s">
        <v>518</v>
      </c>
      <c r="D260" s="468">
        <v>0.18099999999999999</v>
      </c>
      <c r="E260" s="469">
        <v>916860</v>
      </c>
      <c r="F260" s="470" t="s">
        <v>921</v>
      </c>
      <c r="G260" s="481">
        <v>43476</v>
      </c>
      <c r="H260" s="443">
        <f t="shared" si="504"/>
        <v>48954</v>
      </c>
      <c r="I260" s="267">
        <v>15</v>
      </c>
      <c r="J260" s="267">
        <f t="shared" si="505"/>
        <v>80</v>
      </c>
      <c r="K260" s="267">
        <f t="shared" si="513"/>
        <v>285</v>
      </c>
      <c r="L260" s="483"/>
      <c r="M260" s="433"/>
      <c r="N260" s="484"/>
      <c r="O260" s="484"/>
      <c r="P260" s="433"/>
      <c r="Q260" s="484"/>
      <c r="R260" s="484"/>
      <c r="S260" s="433"/>
      <c r="T260" s="484"/>
      <c r="U260" s="484"/>
      <c r="V260" s="433"/>
      <c r="W260" s="484"/>
      <c r="X260" s="484"/>
      <c r="Y260" s="433"/>
      <c r="Z260" s="484"/>
      <c r="AA260" s="484"/>
      <c r="AB260" s="433"/>
      <c r="AC260" s="484"/>
      <c r="AD260" s="484"/>
      <c r="AE260" s="484"/>
      <c r="AF260" s="484"/>
      <c r="AG260" s="484"/>
      <c r="AH260" s="484"/>
      <c r="AI260" s="439">
        <v>15</v>
      </c>
      <c r="AJ260" s="436">
        <f t="shared" si="503"/>
        <v>15</v>
      </c>
      <c r="AK260" s="440">
        <f t="shared" si="514"/>
        <v>0.18103627252208465</v>
      </c>
      <c r="AL260" s="484"/>
      <c r="AM260" s="484"/>
      <c r="AN260" s="484"/>
      <c r="AO260" s="484"/>
      <c r="AP260" s="484"/>
      <c r="AQ260" s="484"/>
      <c r="AR260" s="433"/>
      <c r="AS260" s="484"/>
      <c r="AT260" s="319"/>
      <c r="AU260" s="319"/>
      <c r="AV260" s="319"/>
      <c r="AW260" s="319"/>
      <c r="AX260" s="319"/>
      <c r="AY260" s="319"/>
      <c r="AZ260" s="319"/>
      <c r="BA260" s="319"/>
      <c r="BB260" s="319"/>
      <c r="BC260" s="319"/>
      <c r="BD260" s="319"/>
      <c r="BE260" s="319"/>
      <c r="BF260" s="319"/>
      <c r="BG260" s="319"/>
      <c r="BH260" s="319"/>
      <c r="BI260" s="2">
        <f t="shared" si="506"/>
        <v>36380</v>
      </c>
      <c r="BJ260" s="2">
        <f t="shared" si="507"/>
        <v>880480</v>
      </c>
      <c r="BK260" s="2">
        <f>ROUND(+BJ260*$AK260,0)</f>
        <v>159399</v>
      </c>
      <c r="BL260" s="2">
        <f t="shared" si="550"/>
        <v>721081</v>
      </c>
      <c r="BM260" s="2"/>
      <c r="BN260" s="2">
        <f t="shared" si="551"/>
        <v>721081</v>
      </c>
      <c r="BO260" s="2">
        <f t="shared" si="537"/>
        <v>130542</v>
      </c>
      <c r="BP260" s="2">
        <f t="shared" si="515"/>
        <v>590539</v>
      </c>
      <c r="BQ260" s="2"/>
      <c r="BR260" s="2">
        <f t="shared" si="552"/>
        <v>590539</v>
      </c>
      <c r="BS260" s="2">
        <f t="shared" si="538"/>
        <v>106909</v>
      </c>
      <c r="BT260" s="2">
        <f t="shared" si="516"/>
        <v>483630</v>
      </c>
      <c r="BU260" s="2">
        <f t="shared" si="539"/>
        <v>87555</v>
      </c>
      <c r="BV260" s="2">
        <f t="shared" si="517"/>
        <v>396075</v>
      </c>
      <c r="BW260" s="2">
        <f t="shared" si="540"/>
        <v>71704</v>
      </c>
      <c r="BX260" s="2">
        <f t="shared" si="518"/>
        <v>324371</v>
      </c>
      <c r="BY260" s="2">
        <f t="shared" si="541"/>
        <v>58723</v>
      </c>
      <c r="BZ260" s="2">
        <f t="shared" si="519"/>
        <v>265648</v>
      </c>
      <c r="CA260" s="2">
        <f t="shared" si="542"/>
        <v>48092</v>
      </c>
      <c r="CB260" s="2">
        <f t="shared" si="520"/>
        <v>217556</v>
      </c>
      <c r="CC260" s="2">
        <f t="shared" si="543"/>
        <v>39386</v>
      </c>
      <c r="CD260" s="2">
        <f t="shared" si="521"/>
        <v>178170</v>
      </c>
      <c r="CE260" s="2">
        <f t="shared" si="544"/>
        <v>32255</v>
      </c>
      <c r="CF260" s="2">
        <f t="shared" si="522"/>
        <v>145915</v>
      </c>
      <c r="CG260" s="2">
        <f t="shared" si="545"/>
        <v>26416</v>
      </c>
      <c r="CH260" s="2">
        <f t="shared" si="523"/>
        <v>119499</v>
      </c>
      <c r="CI260" s="2">
        <f t="shared" si="546"/>
        <v>21634</v>
      </c>
      <c r="CJ260" s="2">
        <f t="shared" si="524"/>
        <v>97865</v>
      </c>
      <c r="CK260" s="2">
        <f t="shared" si="547"/>
        <v>17717</v>
      </c>
      <c r="CL260" s="2">
        <f t="shared" si="525"/>
        <v>80148</v>
      </c>
      <c r="CM260" s="2">
        <f t="shared" si="548"/>
        <v>14510</v>
      </c>
      <c r="CN260" s="2">
        <f t="shared" si="526"/>
        <v>65638</v>
      </c>
      <c r="CO260" s="2">
        <f t="shared" si="549"/>
        <v>11883</v>
      </c>
      <c r="CP260" s="2">
        <f t="shared" si="527"/>
        <v>53755</v>
      </c>
      <c r="CQ260" s="317">
        <f>+(1-($E260*5%)/CP260)*CP260</f>
        <v>7912.0000000000027</v>
      </c>
      <c r="CR260" s="2">
        <f t="shared" si="528"/>
        <v>45843</v>
      </c>
      <c r="CS260" s="2">
        <v>0</v>
      </c>
      <c r="CT260" s="2">
        <f>+CR260-CS260</f>
        <v>45843</v>
      </c>
      <c r="CU260" s="2">
        <v>0</v>
      </c>
      <c r="CV260" s="2">
        <f t="shared" si="530"/>
        <v>45843</v>
      </c>
      <c r="CW260" s="2">
        <v>0</v>
      </c>
      <c r="CX260" s="2">
        <f t="shared" si="531"/>
        <v>45843</v>
      </c>
      <c r="CY260" s="2">
        <v>0</v>
      </c>
      <c r="CZ260" s="2">
        <f t="shared" si="532"/>
        <v>45843</v>
      </c>
      <c r="DA260" s="2">
        <v>0</v>
      </c>
      <c r="DB260" s="2">
        <f t="shared" si="533"/>
        <v>45843</v>
      </c>
      <c r="DC260" s="2">
        <v>0</v>
      </c>
      <c r="DD260" s="2">
        <f t="shared" si="534"/>
        <v>45843</v>
      </c>
      <c r="DE260" s="2">
        <v>0</v>
      </c>
      <c r="DF260" s="2">
        <f t="shared" si="555"/>
        <v>45843</v>
      </c>
      <c r="DG260" s="2">
        <v>0</v>
      </c>
      <c r="DH260" s="2">
        <f t="shared" si="556"/>
        <v>45843</v>
      </c>
      <c r="DI260" s="2">
        <v>0</v>
      </c>
      <c r="DJ260" s="2">
        <f t="shared" si="557"/>
        <v>45843</v>
      </c>
      <c r="DK260" s="2">
        <v>0</v>
      </c>
      <c r="DL260" s="2">
        <f t="shared" si="558"/>
        <v>45843</v>
      </c>
      <c r="DM260" s="2">
        <v>0</v>
      </c>
      <c r="DN260" s="2">
        <f t="shared" si="559"/>
        <v>45843</v>
      </c>
      <c r="DO260" s="2">
        <v>0</v>
      </c>
      <c r="DP260" s="2">
        <f t="shared" si="560"/>
        <v>45843</v>
      </c>
      <c r="DQ260" s="2">
        <v>0</v>
      </c>
      <c r="DR260" s="2">
        <f t="shared" si="561"/>
        <v>45843</v>
      </c>
      <c r="DS260" s="2">
        <v>0</v>
      </c>
      <c r="DT260" s="2">
        <f t="shared" si="535"/>
        <v>45843</v>
      </c>
      <c r="DU260" s="2">
        <v>0</v>
      </c>
      <c r="DV260" s="2">
        <f t="shared" si="536"/>
        <v>45843</v>
      </c>
      <c r="DW260" s="266">
        <f t="shared" si="553"/>
        <v>45843</v>
      </c>
      <c r="DX260" s="441">
        <f>+DW260-DR260</f>
        <v>0</v>
      </c>
    </row>
    <row r="261" spans="1:128">
      <c r="A261" s="413">
        <v>102</v>
      </c>
      <c r="B261" s="480" t="s">
        <v>915</v>
      </c>
      <c r="C261" s="433" t="s">
        <v>518</v>
      </c>
      <c r="D261" s="468">
        <v>0.18099999999999999</v>
      </c>
      <c r="E261" s="469">
        <v>109882</v>
      </c>
      <c r="F261" s="470" t="s">
        <v>921</v>
      </c>
      <c r="G261" s="481">
        <v>43503</v>
      </c>
      <c r="H261" s="443">
        <f t="shared" si="504"/>
        <v>48981</v>
      </c>
      <c r="I261" s="267">
        <v>15</v>
      </c>
      <c r="J261" s="267">
        <f t="shared" si="505"/>
        <v>53</v>
      </c>
      <c r="K261" s="267">
        <f t="shared" si="513"/>
        <v>312</v>
      </c>
      <c r="L261" s="483"/>
      <c r="M261" s="433"/>
      <c r="N261" s="484"/>
      <c r="O261" s="484"/>
      <c r="P261" s="433"/>
      <c r="Q261" s="484"/>
      <c r="R261" s="484"/>
      <c r="S261" s="433"/>
      <c r="T261" s="484"/>
      <c r="U261" s="484"/>
      <c r="V261" s="433"/>
      <c r="W261" s="484"/>
      <c r="X261" s="484"/>
      <c r="Y261" s="433"/>
      <c r="Z261" s="484"/>
      <c r="AA261" s="484"/>
      <c r="AB261" s="433"/>
      <c r="AC261" s="484"/>
      <c r="AD261" s="484"/>
      <c r="AE261" s="484"/>
      <c r="AF261" s="484"/>
      <c r="AG261" s="484"/>
      <c r="AH261" s="484"/>
      <c r="AI261" s="439">
        <v>15</v>
      </c>
      <c r="AJ261" s="436">
        <f t="shared" si="503"/>
        <v>15</v>
      </c>
      <c r="AK261" s="440">
        <f t="shared" si="514"/>
        <v>0.18103627252208465</v>
      </c>
      <c r="AL261" s="484"/>
      <c r="AM261" s="484"/>
      <c r="AN261" s="484"/>
      <c r="AO261" s="484"/>
      <c r="AP261" s="484"/>
      <c r="AQ261" s="484"/>
      <c r="AR261" s="433"/>
      <c r="AS261" s="484"/>
      <c r="AT261" s="319"/>
      <c r="AU261" s="319"/>
      <c r="AV261" s="319"/>
      <c r="AW261" s="319"/>
      <c r="AX261" s="319"/>
      <c r="AY261" s="319"/>
      <c r="AZ261" s="319"/>
      <c r="BA261" s="319"/>
      <c r="BB261" s="319"/>
      <c r="BC261" s="319"/>
      <c r="BD261" s="319"/>
      <c r="BE261" s="319"/>
      <c r="BF261" s="319"/>
      <c r="BG261" s="319"/>
      <c r="BH261" s="319"/>
      <c r="BI261" s="2">
        <f t="shared" si="506"/>
        <v>2889</v>
      </c>
      <c r="BJ261" s="2">
        <f t="shared" si="507"/>
        <v>106993</v>
      </c>
      <c r="BK261" s="2">
        <f>ROUND(+BJ261*$AK261,0)</f>
        <v>19370</v>
      </c>
      <c r="BL261" s="2">
        <f t="shared" si="550"/>
        <v>87623</v>
      </c>
      <c r="BM261" s="2"/>
      <c r="BN261" s="2">
        <f t="shared" si="551"/>
        <v>87623</v>
      </c>
      <c r="BO261" s="2">
        <f t="shared" si="537"/>
        <v>15863</v>
      </c>
      <c r="BP261" s="2">
        <f t="shared" si="515"/>
        <v>71760</v>
      </c>
      <c r="BQ261" s="2"/>
      <c r="BR261" s="2">
        <f t="shared" si="552"/>
        <v>71760</v>
      </c>
      <c r="BS261" s="2">
        <f t="shared" si="538"/>
        <v>12991</v>
      </c>
      <c r="BT261" s="2">
        <f t="shared" si="516"/>
        <v>58769</v>
      </c>
      <c r="BU261" s="2">
        <f t="shared" si="539"/>
        <v>10639</v>
      </c>
      <c r="BV261" s="2">
        <f t="shared" si="517"/>
        <v>48130</v>
      </c>
      <c r="BW261" s="2">
        <f t="shared" si="540"/>
        <v>8713</v>
      </c>
      <c r="BX261" s="2">
        <f t="shared" si="518"/>
        <v>39417</v>
      </c>
      <c r="BY261" s="2">
        <f t="shared" si="541"/>
        <v>7136</v>
      </c>
      <c r="BZ261" s="2">
        <f t="shared" si="519"/>
        <v>32281</v>
      </c>
      <c r="CA261" s="2">
        <f t="shared" si="542"/>
        <v>5844</v>
      </c>
      <c r="CB261" s="2">
        <f t="shared" si="520"/>
        <v>26437</v>
      </c>
      <c r="CC261" s="2">
        <f t="shared" si="543"/>
        <v>4786</v>
      </c>
      <c r="CD261" s="2">
        <f t="shared" si="521"/>
        <v>21651</v>
      </c>
      <c r="CE261" s="2">
        <f t="shared" si="544"/>
        <v>3920</v>
      </c>
      <c r="CF261" s="2">
        <f t="shared" si="522"/>
        <v>17731</v>
      </c>
      <c r="CG261" s="2">
        <f t="shared" si="545"/>
        <v>3210</v>
      </c>
      <c r="CH261" s="2">
        <f t="shared" si="523"/>
        <v>14521</v>
      </c>
      <c r="CI261" s="2">
        <f t="shared" si="546"/>
        <v>2629</v>
      </c>
      <c r="CJ261" s="2">
        <f t="shared" si="524"/>
        <v>11892</v>
      </c>
      <c r="CK261" s="2">
        <f t="shared" si="547"/>
        <v>2153</v>
      </c>
      <c r="CL261" s="2">
        <f t="shared" si="525"/>
        <v>9739</v>
      </c>
      <c r="CM261" s="2">
        <f t="shared" si="548"/>
        <v>1763</v>
      </c>
      <c r="CN261" s="2">
        <f t="shared" si="526"/>
        <v>7976</v>
      </c>
      <c r="CO261" s="2">
        <f t="shared" si="549"/>
        <v>1444</v>
      </c>
      <c r="CP261" s="2">
        <f t="shared" si="527"/>
        <v>6532</v>
      </c>
      <c r="CQ261" s="317">
        <f>+(1-($E261*5%)/CP261)*CP261</f>
        <v>1037.8999999999996</v>
      </c>
      <c r="CR261" s="2">
        <f t="shared" si="528"/>
        <v>5494.1</v>
      </c>
      <c r="CS261" s="2">
        <v>0</v>
      </c>
      <c r="CT261" s="2">
        <f>+CR261-CS261</f>
        <v>5494.1</v>
      </c>
      <c r="CU261" s="2">
        <v>0</v>
      </c>
      <c r="CV261" s="2">
        <f t="shared" si="530"/>
        <v>5494.1</v>
      </c>
      <c r="CW261" s="2">
        <v>0</v>
      </c>
      <c r="CX261" s="2">
        <f t="shared" si="531"/>
        <v>5494.1</v>
      </c>
      <c r="CY261" s="2">
        <v>0</v>
      </c>
      <c r="CZ261" s="2">
        <f t="shared" si="532"/>
        <v>5494.1</v>
      </c>
      <c r="DA261" s="2">
        <v>0</v>
      </c>
      <c r="DB261" s="2">
        <f t="shared" si="533"/>
        <v>5494.1</v>
      </c>
      <c r="DC261" s="2">
        <v>0</v>
      </c>
      <c r="DD261" s="2">
        <f t="shared" si="534"/>
        <v>5494.1</v>
      </c>
      <c r="DE261" s="2">
        <v>0</v>
      </c>
      <c r="DF261" s="2">
        <f t="shared" si="555"/>
        <v>5494.1</v>
      </c>
      <c r="DG261" s="2">
        <v>0</v>
      </c>
      <c r="DH261" s="2">
        <f t="shared" si="556"/>
        <v>5494.1</v>
      </c>
      <c r="DI261" s="2">
        <v>0</v>
      </c>
      <c r="DJ261" s="2">
        <f t="shared" si="557"/>
        <v>5494.1</v>
      </c>
      <c r="DK261" s="2">
        <v>0</v>
      </c>
      <c r="DL261" s="2">
        <f t="shared" si="558"/>
        <v>5494.1</v>
      </c>
      <c r="DM261" s="2">
        <v>0</v>
      </c>
      <c r="DN261" s="2">
        <f t="shared" si="559"/>
        <v>5494.1</v>
      </c>
      <c r="DO261" s="2">
        <v>0</v>
      </c>
      <c r="DP261" s="2">
        <f t="shared" si="560"/>
        <v>5494.1</v>
      </c>
      <c r="DQ261" s="2">
        <v>0</v>
      </c>
      <c r="DR261" s="2">
        <f t="shared" si="561"/>
        <v>5494.1</v>
      </c>
      <c r="DS261" s="2">
        <v>0</v>
      </c>
      <c r="DT261" s="2">
        <f t="shared" si="535"/>
        <v>5494.1</v>
      </c>
      <c r="DU261" s="2">
        <v>0</v>
      </c>
      <c r="DV261" s="2">
        <f t="shared" si="536"/>
        <v>5494.1</v>
      </c>
      <c r="DW261" s="266">
        <f t="shared" si="553"/>
        <v>5494.1</v>
      </c>
      <c r="DX261" s="441">
        <f>+DW261-DR261</f>
        <v>0</v>
      </c>
    </row>
    <row r="262" spans="1:128">
      <c r="A262" s="413">
        <v>103</v>
      </c>
      <c r="B262" s="480" t="s">
        <v>916</v>
      </c>
      <c r="C262" s="433" t="s">
        <v>518</v>
      </c>
      <c r="D262" s="468">
        <v>0.18099999999999999</v>
      </c>
      <c r="E262" s="469">
        <v>460200</v>
      </c>
      <c r="F262" s="470" t="s">
        <v>921</v>
      </c>
      <c r="G262" s="481">
        <v>43518</v>
      </c>
      <c r="H262" s="443">
        <f t="shared" si="504"/>
        <v>48996</v>
      </c>
      <c r="I262" s="267">
        <v>15</v>
      </c>
      <c r="J262" s="267">
        <f t="shared" si="505"/>
        <v>38</v>
      </c>
      <c r="K262" s="267">
        <f t="shared" si="513"/>
        <v>327</v>
      </c>
      <c r="L262" s="483"/>
      <c r="M262" s="433"/>
      <c r="N262" s="484"/>
      <c r="O262" s="484"/>
      <c r="P262" s="433"/>
      <c r="Q262" s="484"/>
      <c r="R262" s="484"/>
      <c r="S262" s="433"/>
      <c r="T262" s="484"/>
      <c r="U262" s="484"/>
      <c r="V262" s="433"/>
      <c r="W262" s="484"/>
      <c r="X262" s="484"/>
      <c r="Y262" s="433"/>
      <c r="Z262" s="484"/>
      <c r="AA262" s="484"/>
      <c r="AB262" s="433"/>
      <c r="AC262" s="484"/>
      <c r="AD262" s="484"/>
      <c r="AE262" s="484"/>
      <c r="AF262" s="484"/>
      <c r="AG262" s="484"/>
      <c r="AH262" s="484"/>
      <c r="AI262" s="439">
        <v>15</v>
      </c>
      <c r="AJ262" s="436">
        <f t="shared" si="503"/>
        <v>15</v>
      </c>
      <c r="AK262" s="440">
        <f t="shared" si="514"/>
        <v>0.18103627252208465</v>
      </c>
      <c r="AL262" s="484"/>
      <c r="AM262" s="484"/>
      <c r="AN262" s="484"/>
      <c r="AO262" s="484"/>
      <c r="AP262" s="484"/>
      <c r="AQ262" s="484"/>
      <c r="AR262" s="433"/>
      <c r="AS262" s="484"/>
      <c r="AT262" s="319"/>
      <c r="AU262" s="319"/>
      <c r="AV262" s="319"/>
      <c r="AW262" s="319"/>
      <c r="AX262" s="319"/>
      <c r="AY262" s="319"/>
      <c r="AZ262" s="319"/>
      <c r="BA262" s="319"/>
      <c r="BB262" s="319"/>
      <c r="BC262" s="319"/>
      <c r="BD262" s="319"/>
      <c r="BE262" s="319"/>
      <c r="BF262" s="319"/>
      <c r="BG262" s="319"/>
      <c r="BH262" s="319"/>
      <c r="BI262" s="2">
        <f t="shared" si="506"/>
        <v>8674</v>
      </c>
      <c r="BJ262" s="2">
        <f t="shared" si="507"/>
        <v>451526</v>
      </c>
      <c r="BK262" s="2">
        <f>ROUND(+BJ262*$AK262,0)</f>
        <v>81743</v>
      </c>
      <c r="BL262" s="2">
        <f t="shared" si="550"/>
        <v>369783</v>
      </c>
      <c r="BM262" s="2"/>
      <c r="BN262" s="2">
        <f t="shared" si="551"/>
        <v>369783</v>
      </c>
      <c r="BO262" s="2">
        <f t="shared" si="537"/>
        <v>66944</v>
      </c>
      <c r="BP262" s="2">
        <f t="shared" si="515"/>
        <v>302839</v>
      </c>
      <c r="BQ262" s="2"/>
      <c r="BR262" s="2">
        <f t="shared" si="552"/>
        <v>302839</v>
      </c>
      <c r="BS262" s="2">
        <f t="shared" si="538"/>
        <v>54825</v>
      </c>
      <c r="BT262" s="2">
        <f t="shared" si="516"/>
        <v>248014</v>
      </c>
      <c r="BU262" s="2">
        <f t="shared" si="539"/>
        <v>44900</v>
      </c>
      <c r="BV262" s="2">
        <f t="shared" si="517"/>
        <v>203114</v>
      </c>
      <c r="BW262" s="2">
        <f t="shared" si="540"/>
        <v>36771</v>
      </c>
      <c r="BX262" s="2">
        <f t="shared" si="518"/>
        <v>166343</v>
      </c>
      <c r="BY262" s="2">
        <f t="shared" si="541"/>
        <v>30114</v>
      </c>
      <c r="BZ262" s="2">
        <f t="shared" si="519"/>
        <v>136229</v>
      </c>
      <c r="CA262" s="2">
        <f t="shared" si="542"/>
        <v>24662</v>
      </c>
      <c r="CB262" s="2">
        <f t="shared" si="520"/>
        <v>111567</v>
      </c>
      <c r="CC262" s="2">
        <f t="shared" si="543"/>
        <v>20198</v>
      </c>
      <c r="CD262" s="2">
        <f t="shared" si="521"/>
        <v>91369</v>
      </c>
      <c r="CE262" s="2">
        <f t="shared" si="544"/>
        <v>16541</v>
      </c>
      <c r="CF262" s="2">
        <f t="shared" si="522"/>
        <v>74828</v>
      </c>
      <c r="CG262" s="2">
        <f t="shared" si="545"/>
        <v>13547</v>
      </c>
      <c r="CH262" s="2">
        <f t="shared" si="523"/>
        <v>61281</v>
      </c>
      <c r="CI262" s="2">
        <f t="shared" si="546"/>
        <v>11094</v>
      </c>
      <c r="CJ262" s="2">
        <f t="shared" si="524"/>
        <v>50187</v>
      </c>
      <c r="CK262" s="2">
        <f t="shared" si="547"/>
        <v>9086</v>
      </c>
      <c r="CL262" s="2">
        <f t="shared" si="525"/>
        <v>41101</v>
      </c>
      <c r="CM262" s="2">
        <f t="shared" si="548"/>
        <v>7441</v>
      </c>
      <c r="CN262" s="2">
        <f t="shared" si="526"/>
        <v>33660</v>
      </c>
      <c r="CO262" s="2">
        <f t="shared" si="549"/>
        <v>6094</v>
      </c>
      <c r="CP262" s="2">
        <f t="shared" si="527"/>
        <v>27566</v>
      </c>
      <c r="CQ262" s="317">
        <f>+(1-($E262*5%)/CP262)*CP262</f>
        <v>4556.0000000000009</v>
      </c>
      <c r="CR262" s="2">
        <f t="shared" si="528"/>
        <v>23010</v>
      </c>
      <c r="CS262" s="2">
        <v>0</v>
      </c>
      <c r="CT262" s="2">
        <f>+CR262-CS262</f>
        <v>23010</v>
      </c>
      <c r="CU262" s="2">
        <v>0</v>
      </c>
      <c r="CV262" s="2">
        <f t="shared" si="530"/>
        <v>23010</v>
      </c>
      <c r="CW262" s="2">
        <v>0</v>
      </c>
      <c r="CX262" s="2">
        <f t="shared" si="531"/>
        <v>23010</v>
      </c>
      <c r="CY262" s="2">
        <v>0</v>
      </c>
      <c r="CZ262" s="2">
        <f t="shared" si="532"/>
        <v>23010</v>
      </c>
      <c r="DA262" s="2">
        <v>0</v>
      </c>
      <c r="DB262" s="2">
        <f t="shared" si="533"/>
        <v>23010</v>
      </c>
      <c r="DC262" s="2">
        <v>0</v>
      </c>
      <c r="DD262" s="2">
        <f t="shared" si="534"/>
        <v>23010</v>
      </c>
      <c r="DE262" s="2">
        <v>0</v>
      </c>
      <c r="DF262" s="2">
        <f t="shared" si="555"/>
        <v>23010</v>
      </c>
      <c r="DG262" s="2">
        <v>0</v>
      </c>
      <c r="DH262" s="2">
        <f t="shared" si="556"/>
        <v>23010</v>
      </c>
      <c r="DI262" s="2">
        <v>0</v>
      </c>
      <c r="DJ262" s="2">
        <f t="shared" si="557"/>
        <v>23010</v>
      </c>
      <c r="DK262" s="2">
        <v>0</v>
      </c>
      <c r="DL262" s="2">
        <f t="shared" si="558"/>
        <v>23010</v>
      </c>
      <c r="DM262" s="2">
        <v>0</v>
      </c>
      <c r="DN262" s="2">
        <f t="shared" si="559"/>
        <v>23010</v>
      </c>
      <c r="DO262" s="2">
        <v>0</v>
      </c>
      <c r="DP262" s="2">
        <f t="shared" si="560"/>
        <v>23010</v>
      </c>
      <c r="DQ262" s="2">
        <v>0</v>
      </c>
      <c r="DR262" s="2">
        <f t="shared" si="561"/>
        <v>23010</v>
      </c>
      <c r="DS262" s="2">
        <v>0</v>
      </c>
      <c r="DT262" s="2">
        <f t="shared" si="535"/>
        <v>23010</v>
      </c>
      <c r="DU262" s="2">
        <v>0</v>
      </c>
      <c r="DV262" s="2">
        <f t="shared" si="536"/>
        <v>23010</v>
      </c>
      <c r="DW262" s="266">
        <f t="shared" si="553"/>
        <v>23010</v>
      </c>
      <c r="DX262" s="441">
        <f>+DW262-DR262</f>
        <v>0</v>
      </c>
    </row>
    <row r="263" spans="1:128">
      <c r="A263" s="413">
        <v>104</v>
      </c>
      <c r="B263" s="480" t="s">
        <v>917</v>
      </c>
      <c r="C263" s="433" t="s">
        <v>518</v>
      </c>
      <c r="D263" s="468">
        <v>0.18099999999999999</v>
      </c>
      <c r="E263" s="469">
        <v>381182</v>
      </c>
      <c r="F263" s="470" t="s">
        <v>921</v>
      </c>
      <c r="G263" s="481">
        <v>43529</v>
      </c>
      <c r="H263" s="443">
        <f t="shared" si="504"/>
        <v>49007</v>
      </c>
      <c r="I263" s="267">
        <v>15</v>
      </c>
      <c r="J263" s="267">
        <f t="shared" si="505"/>
        <v>27</v>
      </c>
      <c r="K263" s="267">
        <f t="shared" si="513"/>
        <v>338</v>
      </c>
      <c r="L263" s="483"/>
      <c r="M263" s="433"/>
      <c r="N263" s="484"/>
      <c r="O263" s="484"/>
      <c r="P263" s="433"/>
      <c r="Q263" s="484"/>
      <c r="R263" s="484"/>
      <c r="S263" s="433"/>
      <c r="T263" s="484"/>
      <c r="U263" s="484"/>
      <c r="V263" s="433"/>
      <c r="W263" s="484"/>
      <c r="X263" s="484"/>
      <c r="Y263" s="433"/>
      <c r="Z263" s="484"/>
      <c r="AA263" s="484"/>
      <c r="AB263" s="433"/>
      <c r="AC263" s="484"/>
      <c r="AD263" s="484"/>
      <c r="AE263" s="484"/>
      <c r="AF263" s="484"/>
      <c r="AG263" s="484"/>
      <c r="AH263" s="484"/>
      <c r="AI263" s="439">
        <v>15</v>
      </c>
      <c r="AJ263" s="436">
        <f t="shared" si="503"/>
        <v>15</v>
      </c>
      <c r="AK263" s="440">
        <f t="shared" si="514"/>
        <v>0.18103627252208465</v>
      </c>
      <c r="AL263" s="484"/>
      <c r="AM263" s="484"/>
      <c r="AN263" s="484"/>
      <c r="AO263" s="484"/>
      <c r="AP263" s="484"/>
      <c r="AQ263" s="484"/>
      <c r="AR263" s="433"/>
      <c r="AS263" s="484"/>
      <c r="AT263" s="319"/>
      <c r="AU263" s="319"/>
      <c r="AV263" s="319"/>
      <c r="AW263" s="319"/>
      <c r="AX263" s="319"/>
      <c r="AY263" s="319"/>
      <c r="AZ263" s="319"/>
      <c r="BA263" s="319"/>
      <c r="BB263" s="319"/>
      <c r="BC263" s="319"/>
      <c r="BD263" s="319"/>
      <c r="BE263" s="319"/>
      <c r="BF263" s="319"/>
      <c r="BG263" s="319"/>
      <c r="BH263" s="319"/>
      <c r="BI263" s="2">
        <f t="shared" si="506"/>
        <v>5105</v>
      </c>
      <c r="BJ263" s="2">
        <f t="shared" si="507"/>
        <v>376077</v>
      </c>
      <c r="BK263" s="2">
        <f>ROUND(+BJ263*$AK263,0)</f>
        <v>68084</v>
      </c>
      <c r="BL263" s="2">
        <f t="shared" si="550"/>
        <v>307993</v>
      </c>
      <c r="BM263" s="2"/>
      <c r="BN263" s="2">
        <f t="shared" si="551"/>
        <v>307993</v>
      </c>
      <c r="BO263" s="2">
        <f t="shared" si="537"/>
        <v>55758</v>
      </c>
      <c r="BP263" s="2">
        <f t="shared" si="515"/>
        <v>252235</v>
      </c>
      <c r="BQ263" s="2"/>
      <c r="BR263" s="2">
        <f t="shared" si="552"/>
        <v>252235</v>
      </c>
      <c r="BS263" s="2">
        <f t="shared" si="538"/>
        <v>45664</v>
      </c>
      <c r="BT263" s="2">
        <f t="shared" si="516"/>
        <v>206571</v>
      </c>
      <c r="BU263" s="2">
        <f t="shared" si="539"/>
        <v>37397</v>
      </c>
      <c r="BV263" s="2">
        <f t="shared" si="517"/>
        <v>169174</v>
      </c>
      <c r="BW263" s="2">
        <f t="shared" si="540"/>
        <v>30627</v>
      </c>
      <c r="BX263" s="2">
        <f t="shared" si="518"/>
        <v>138547</v>
      </c>
      <c r="BY263" s="2">
        <f t="shared" si="541"/>
        <v>25082</v>
      </c>
      <c r="BZ263" s="2">
        <f t="shared" si="519"/>
        <v>113465</v>
      </c>
      <c r="CA263" s="2">
        <f t="shared" si="542"/>
        <v>20541</v>
      </c>
      <c r="CB263" s="2">
        <f t="shared" si="520"/>
        <v>92924</v>
      </c>
      <c r="CC263" s="2">
        <f t="shared" si="543"/>
        <v>16823</v>
      </c>
      <c r="CD263" s="2">
        <f t="shared" si="521"/>
        <v>76101</v>
      </c>
      <c r="CE263" s="2">
        <f t="shared" si="544"/>
        <v>13777</v>
      </c>
      <c r="CF263" s="2">
        <f t="shared" si="522"/>
        <v>62324</v>
      </c>
      <c r="CG263" s="2">
        <f t="shared" si="545"/>
        <v>11283</v>
      </c>
      <c r="CH263" s="2">
        <f t="shared" si="523"/>
        <v>51041</v>
      </c>
      <c r="CI263" s="2">
        <f t="shared" si="546"/>
        <v>9240</v>
      </c>
      <c r="CJ263" s="2">
        <f t="shared" si="524"/>
        <v>41801</v>
      </c>
      <c r="CK263" s="2">
        <f t="shared" si="547"/>
        <v>7567</v>
      </c>
      <c r="CL263" s="2">
        <f t="shared" si="525"/>
        <v>34234</v>
      </c>
      <c r="CM263" s="2">
        <f t="shared" si="548"/>
        <v>6198</v>
      </c>
      <c r="CN263" s="2">
        <f t="shared" si="526"/>
        <v>28036</v>
      </c>
      <c r="CO263" s="2">
        <f t="shared" si="549"/>
        <v>5076</v>
      </c>
      <c r="CP263" s="2">
        <f t="shared" si="527"/>
        <v>22960</v>
      </c>
      <c r="CQ263" s="317">
        <f>+(1-($E263*5%)/CP263)*CP263</f>
        <v>3900.8999999999974</v>
      </c>
      <c r="CR263" s="2">
        <f t="shared" si="528"/>
        <v>19059.100000000002</v>
      </c>
      <c r="CS263" s="2">
        <v>0</v>
      </c>
      <c r="CT263" s="2">
        <f>+CR263-CS263</f>
        <v>19059.100000000002</v>
      </c>
      <c r="CU263" s="2">
        <v>0</v>
      </c>
      <c r="CV263" s="2">
        <f t="shared" si="530"/>
        <v>19059.100000000002</v>
      </c>
      <c r="CW263" s="2">
        <v>0</v>
      </c>
      <c r="CX263" s="2">
        <f t="shared" si="531"/>
        <v>19059.100000000002</v>
      </c>
      <c r="CY263" s="2">
        <v>0</v>
      </c>
      <c r="CZ263" s="2">
        <f t="shared" si="532"/>
        <v>19059.100000000002</v>
      </c>
      <c r="DA263" s="2">
        <v>0</v>
      </c>
      <c r="DB263" s="2">
        <f t="shared" si="533"/>
        <v>19059.100000000002</v>
      </c>
      <c r="DC263" s="2">
        <v>0</v>
      </c>
      <c r="DD263" s="2">
        <f t="shared" si="534"/>
        <v>19059.100000000002</v>
      </c>
      <c r="DE263" s="2">
        <v>0</v>
      </c>
      <c r="DF263" s="2">
        <f t="shared" si="555"/>
        <v>19059.100000000002</v>
      </c>
      <c r="DG263" s="2">
        <v>0</v>
      </c>
      <c r="DH263" s="2">
        <f t="shared" si="556"/>
        <v>19059.100000000002</v>
      </c>
      <c r="DI263" s="2">
        <v>0</v>
      </c>
      <c r="DJ263" s="2">
        <f t="shared" si="557"/>
        <v>19059.100000000002</v>
      </c>
      <c r="DK263" s="2">
        <v>0</v>
      </c>
      <c r="DL263" s="2">
        <f t="shared" si="558"/>
        <v>19059.100000000002</v>
      </c>
      <c r="DM263" s="2">
        <v>0</v>
      </c>
      <c r="DN263" s="2">
        <f t="shared" si="559"/>
        <v>19059.100000000002</v>
      </c>
      <c r="DO263" s="2">
        <v>0</v>
      </c>
      <c r="DP263" s="2">
        <f t="shared" si="560"/>
        <v>19059.100000000002</v>
      </c>
      <c r="DQ263" s="2">
        <v>0</v>
      </c>
      <c r="DR263" s="2">
        <f t="shared" si="561"/>
        <v>19059.100000000002</v>
      </c>
      <c r="DS263" s="2">
        <v>0</v>
      </c>
      <c r="DT263" s="2">
        <f t="shared" si="535"/>
        <v>19059.100000000002</v>
      </c>
      <c r="DU263" s="2">
        <v>0</v>
      </c>
      <c r="DV263" s="2">
        <f t="shared" si="536"/>
        <v>19059.100000000002</v>
      </c>
      <c r="DW263" s="266">
        <f t="shared" si="553"/>
        <v>19059.100000000002</v>
      </c>
      <c r="DX263" s="441">
        <f>+DW263-DR263</f>
        <v>0</v>
      </c>
    </row>
    <row r="264" spans="1:128">
      <c r="A264" s="413">
        <v>105</v>
      </c>
      <c r="B264" s="480" t="s">
        <v>918</v>
      </c>
      <c r="C264" s="433" t="s">
        <v>518</v>
      </c>
      <c r="D264" s="468">
        <v>0.18099999999999999</v>
      </c>
      <c r="E264" s="469">
        <v>160409</v>
      </c>
      <c r="F264" s="470" t="s">
        <v>921</v>
      </c>
      <c r="G264" s="481">
        <v>43530</v>
      </c>
      <c r="H264" s="443">
        <f t="shared" si="504"/>
        <v>49008</v>
      </c>
      <c r="I264" s="267">
        <v>15</v>
      </c>
      <c r="J264" s="267">
        <f t="shared" si="505"/>
        <v>26</v>
      </c>
      <c r="K264" s="267">
        <f t="shared" si="513"/>
        <v>339</v>
      </c>
      <c r="L264" s="483"/>
      <c r="M264" s="433"/>
      <c r="N264" s="484"/>
      <c r="O264" s="484"/>
      <c r="P264" s="433"/>
      <c r="Q264" s="484"/>
      <c r="R264" s="484"/>
      <c r="S264" s="433"/>
      <c r="T264" s="484"/>
      <c r="U264" s="484"/>
      <c r="V264" s="433"/>
      <c r="W264" s="484"/>
      <c r="X264" s="484"/>
      <c r="Y264" s="433"/>
      <c r="Z264" s="484"/>
      <c r="AA264" s="484"/>
      <c r="AB264" s="433"/>
      <c r="AC264" s="484"/>
      <c r="AD264" s="484"/>
      <c r="AE264" s="484"/>
      <c r="AF264" s="484"/>
      <c r="AG264" s="484"/>
      <c r="AH264" s="484"/>
      <c r="AI264" s="439">
        <v>15</v>
      </c>
      <c r="AJ264" s="436">
        <f>AI264-AH264</f>
        <v>15</v>
      </c>
      <c r="AK264" s="440">
        <f t="shared" si="514"/>
        <v>0.18103627252208465</v>
      </c>
      <c r="AL264" s="484"/>
      <c r="AM264" s="484"/>
      <c r="AN264" s="484"/>
      <c r="AO264" s="484"/>
      <c r="AP264" s="484"/>
      <c r="AQ264" s="484"/>
      <c r="AR264" s="433"/>
      <c r="AS264" s="484"/>
      <c r="AT264" s="319"/>
      <c r="AU264" s="319"/>
      <c r="AV264" s="319"/>
      <c r="AW264" s="319"/>
      <c r="AX264" s="319"/>
      <c r="AY264" s="319"/>
      <c r="AZ264" s="319"/>
      <c r="BA264" s="319"/>
      <c r="BB264" s="319"/>
      <c r="BC264" s="319"/>
      <c r="BD264" s="319"/>
      <c r="BE264" s="319"/>
      <c r="BF264" s="319"/>
      <c r="BG264" s="319"/>
      <c r="BH264" s="319"/>
      <c r="BI264" s="2">
        <f t="shared" si="506"/>
        <v>2069</v>
      </c>
      <c r="BJ264" s="2">
        <f t="shared" si="507"/>
        <v>158340</v>
      </c>
      <c r="BK264" s="2">
        <f>ROUND(+BJ264*$AK264,0)</f>
        <v>28665</v>
      </c>
      <c r="BL264" s="2">
        <f t="shared" si="550"/>
        <v>129675</v>
      </c>
      <c r="BM264" s="2"/>
      <c r="BN264" s="2">
        <f t="shared" si="551"/>
        <v>129675</v>
      </c>
      <c r="BO264" s="2">
        <f t="shared" si="537"/>
        <v>23476</v>
      </c>
      <c r="BP264" s="2">
        <f t="shared" si="515"/>
        <v>106199</v>
      </c>
      <c r="BQ264" s="2"/>
      <c r="BR264" s="2">
        <f t="shared" si="552"/>
        <v>106199</v>
      </c>
      <c r="BS264" s="2">
        <f t="shared" si="538"/>
        <v>19226</v>
      </c>
      <c r="BT264" s="2">
        <f t="shared" si="516"/>
        <v>86973</v>
      </c>
      <c r="BU264" s="2">
        <f t="shared" si="539"/>
        <v>15745</v>
      </c>
      <c r="BV264" s="2">
        <f t="shared" si="517"/>
        <v>71228</v>
      </c>
      <c r="BW264" s="2">
        <f t="shared" si="540"/>
        <v>12895</v>
      </c>
      <c r="BX264" s="2">
        <f t="shared" si="518"/>
        <v>58333</v>
      </c>
      <c r="BY264" s="2">
        <f t="shared" si="541"/>
        <v>10560</v>
      </c>
      <c r="BZ264" s="2">
        <f t="shared" si="519"/>
        <v>47773</v>
      </c>
      <c r="CA264" s="2">
        <f t="shared" si="542"/>
        <v>8649</v>
      </c>
      <c r="CB264" s="2">
        <f t="shared" si="520"/>
        <v>39124</v>
      </c>
      <c r="CC264" s="2">
        <f t="shared" si="543"/>
        <v>7083</v>
      </c>
      <c r="CD264" s="2">
        <f t="shared" si="521"/>
        <v>32041</v>
      </c>
      <c r="CE264" s="2">
        <f t="shared" si="544"/>
        <v>5801</v>
      </c>
      <c r="CF264" s="2">
        <f t="shared" si="522"/>
        <v>26240</v>
      </c>
      <c r="CG264" s="2">
        <f t="shared" si="545"/>
        <v>4750</v>
      </c>
      <c r="CH264" s="2">
        <f t="shared" si="523"/>
        <v>21490</v>
      </c>
      <c r="CI264" s="2">
        <f t="shared" si="546"/>
        <v>3890</v>
      </c>
      <c r="CJ264" s="2">
        <f t="shared" si="524"/>
        <v>17600</v>
      </c>
      <c r="CK264" s="2">
        <f t="shared" si="547"/>
        <v>3186</v>
      </c>
      <c r="CL264" s="2">
        <f t="shared" si="525"/>
        <v>14414</v>
      </c>
      <c r="CM264" s="2">
        <f t="shared" si="548"/>
        <v>2609</v>
      </c>
      <c r="CN264" s="2">
        <f t="shared" si="526"/>
        <v>11805</v>
      </c>
      <c r="CO264" s="2">
        <f t="shared" si="549"/>
        <v>2137</v>
      </c>
      <c r="CP264" s="2">
        <f t="shared" si="527"/>
        <v>9668</v>
      </c>
      <c r="CQ264" s="317">
        <f>+(1-($E264*5%)/CP264)*CP264</f>
        <v>1647.5499999999997</v>
      </c>
      <c r="CR264" s="2">
        <f t="shared" si="528"/>
        <v>8020.4500000000007</v>
      </c>
      <c r="CS264" s="2">
        <v>0</v>
      </c>
      <c r="CT264" s="2">
        <f>+CR264-CS264</f>
        <v>8020.4500000000007</v>
      </c>
      <c r="CU264" s="2">
        <v>0</v>
      </c>
      <c r="CV264" s="2">
        <f t="shared" si="530"/>
        <v>8020.4500000000007</v>
      </c>
      <c r="CW264" s="2">
        <v>0</v>
      </c>
      <c r="CX264" s="2">
        <f t="shared" si="531"/>
        <v>8020.4500000000007</v>
      </c>
      <c r="CY264" s="2">
        <v>0</v>
      </c>
      <c r="CZ264" s="2">
        <f t="shared" si="532"/>
        <v>8020.4500000000007</v>
      </c>
      <c r="DA264" s="2">
        <v>0</v>
      </c>
      <c r="DB264" s="2">
        <f t="shared" si="533"/>
        <v>8020.4500000000007</v>
      </c>
      <c r="DC264" s="2">
        <v>0</v>
      </c>
      <c r="DD264" s="2">
        <f t="shared" si="534"/>
        <v>8020.4500000000007</v>
      </c>
      <c r="DE264" s="2">
        <v>0</v>
      </c>
      <c r="DF264" s="2">
        <f t="shared" si="555"/>
        <v>8020.4500000000007</v>
      </c>
      <c r="DG264" s="2">
        <v>0</v>
      </c>
      <c r="DH264" s="2">
        <f t="shared" si="556"/>
        <v>8020.4500000000007</v>
      </c>
      <c r="DI264" s="2">
        <v>0</v>
      </c>
      <c r="DJ264" s="2">
        <f t="shared" si="557"/>
        <v>8020.4500000000007</v>
      </c>
      <c r="DK264" s="2">
        <v>0</v>
      </c>
      <c r="DL264" s="2">
        <f t="shared" si="558"/>
        <v>8020.4500000000007</v>
      </c>
      <c r="DM264" s="2">
        <v>0</v>
      </c>
      <c r="DN264" s="2">
        <f t="shared" si="559"/>
        <v>8020.4500000000007</v>
      </c>
      <c r="DO264" s="2">
        <v>0</v>
      </c>
      <c r="DP264" s="2">
        <f t="shared" si="560"/>
        <v>8020.4500000000007</v>
      </c>
      <c r="DQ264" s="2">
        <v>0</v>
      </c>
      <c r="DR264" s="2">
        <f t="shared" si="561"/>
        <v>8020.4500000000007</v>
      </c>
      <c r="DS264" s="2">
        <v>0</v>
      </c>
      <c r="DT264" s="2">
        <f t="shared" si="535"/>
        <v>8020.4500000000007</v>
      </c>
      <c r="DU264" s="2">
        <v>0</v>
      </c>
      <c r="DV264" s="2">
        <f t="shared" si="536"/>
        <v>8020.4500000000007</v>
      </c>
      <c r="DW264" s="266">
        <f t="shared" si="553"/>
        <v>8020.4500000000007</v>
      </c>
      <c r="DX264" s="441">
        <f>+DW264-DR264</f>
        <v>0</v>
      </c>
    </row>
    <row r="265" spans="1:128">
      <c r="A265" s="413">
        <v>106</v>
      </c>
      <c r="B265" s="537"/>
      <c r="C265" s="433" t="s">
        <v>518</v>
      </c>
      <c r="D265" s="468"/>
      <c r="E265" s="469">
        <v>154000</v>
      </c>
      <c r="F265" s="470" t="s">
        <v>1080</v>
      </c>
      <c r="G265" s="481">
        <v>43560</v>
      </c>
      <c r="H265" s="443">
        <f t="shared" si="504"/>
        <v>49038</v>
      </c>
      <c r="I265" s="267">
        <v>15</v>
      </c>
      <c r="J265" s="267">
        <f>IF(($BK$6-$G265+1)&gt;365,365,($BK$6-$G265+1))</f>
        <v>362</v>
      </c>
      <c r="K265" s="267">
        <f t="shared" si="513"/>
        <v>3</v>
      </c>
      <c r="L265" s="483"/>
      <c r="M265" s="433"/>
      <c r="N265" s="484"/>
      <c r="O265" s="484"/>
      <c r="P265" s="433"/>
      <c r="Q265" s="484"/>
      <c r="R265" s="484"/>
      <c r="S265" s="433"/>
      <c r="T265" s="484"/>
      <c r="U265" s="484"/>
      <c r="V265" s="433"/>
      <c r="W265" s="484"/>
      <c r="X265" s="484"/>
      <c r="Y265" s="433"/>
      <c r="Z265" s="484"/>
      <c r="AA265" s="484"/>
      <c r="AB265" s="433"/>
      <c r="AC265" s="484"/>
      <c r="AD265" s="484"/>
      <c r="AE265" s="484"/>
      <c r="AF265" s="484"/>
      <c r="AG265" s="484"/>
      <c r="AH265" s="484"/>
      <c r="AI265" s="439">
        <v>15</v>
      </c>
      <c r="AJ265" s="436">
        <f t="shared" ref="AJ265:AJ299" si="562">AI265-AH265</f>
        <v>15</v>
      </c>
      <c r="AK265" s="440">
        <f t="shared" si="514"/>
        <v>0.18103627252208465</v>
      </c>
      <c r="AL265" s="484"/>
      <c r="AM265" s="484"/>
      <c r="AN265" s="484"/>
      <c r="AO265" s="484"/>
      <c r="AP265" s="484"/>
      <c r="AQ265" s="484"/>
      <c r="AR265" s="433"/>
      <c r="AS265" s="484"/>
      <c r="AT265" s="319"/>
      <c r="AU265" s="319"/>
      <c r="AV265" s="319"/>
      <c r="AW265" s="319"/>
      <c r="AX265" s="319"/>
      <c r="AY265" s="319"/>
      <c r="AZ265" s="319"/>
      <c r="BA265" s="319"/>
      <c r="BB265" s="319"/>
      <c r="BC265" s="319"/>
      <c r="BD265" s="319"/>
      <c r="BE265" s="319"/>
      <c r="BF265" s="319"/>
      <c r="BG265" s="319"/>
      <c r="BH265" s="319"/>
      <c r="BI265" s="2"/>
      <c r="BJ265" s="2"/>
      <c r="BK265" s="2">
        <f>+ROUND((E265*J265*AK265)/365,0)</f>
        <v>27650</v>
      </c>
      <c r="BL265" s="331">
        <f>+E265-BK265</f>
        <v>126350</v>
      </c>
      <c r="BM265" s="331"/>
      <c r="BN265" s="2">
        <f t="shared" si="551"/>
        <v>126350</v>
      </c>
      <c r="BO265" s="2">
        <f t="shared" si="537"/>
        <v>22874</v>
      </c>
      <c r="BP265" s="2">
        <f t="shared" si="515"/>
        <v>103476</v>
      </c>
      <c r="BQ265" s="2"/>
      <c r="BR265" s="2">
        <f t="shared" si="552"/>
        <v>103476</v>
      </c>
      <c r="BS265" s="2">
        <f t="shared" si="538"/>
        <v>18733</v>
      </c>
      <c r="BT265" s="2">
        <f t="shared" si="516"/>
        <v>84743</v>
      </c>
      <c r="BU265" s="2">
        <f t="shared" si="539"/>
        <v>15342</v>
      </c>
      <c r="BV265" s="2">
        <f t="shared" si="517"/>
        <v>69401</v>
      </c>
      <c r="BW265" s="2">
        <f t="shared" si="540"/>
        <v>12564</v>
      </c>
      <c r="BX265" s="2">
        <f t="shared" si="518"/>
        <v>56837</v>
      </c>
      <c r="BY265" s="2">
        <f t="shared" si="541"/>
        <v>10290</v>
      </c>
      <c r="BZ265" s="2">
        <f t="shared" si="519"/>
        <v>46547</v>
      </c>
      <c r="CA265" s="2">
        <f t="shared" si="542"/>
        <v>8427</v>
      </c>
      <c r="CB265" s="2">
        <f t="shared" si="520"/>
        <v>38120</v>
      </c>
      <c r="CC265" s="2">
        <f t="shared" si="543"/>
        <v>6901</v>
      </c>
      <c r="CD265" s="2">
        <f t="shared" si="521"/>
        <v>31219</v>
      </c>
      <c r="CE265" s="2">
        <f t="shared" si="544"/>
        <v>5652</v>
      </c>
      <c r="CF265" s="2">
        <f t="shared" si="522"/>
        <v>25567</v>
      </c>
      <c r="CG265" s="2">
        <f t="shared" si="545"/>
        <v>4629</v>
      </c>
      <c r="CH265" s="2">
        <f t="shared" si="523"/>
        <v>20938</v>
      </c>
      <c r="CI265" s="2">
        <f t="shared" si="546"/>
        <v>3791</v>
      </c>
      <c r="CJ265" s="2">
        <f t="shared" si="524"/>
        <v>17147</v>
      </c>
      <c r="CK265" s="2">
        <f t="shared" si="547"/>
        <v>3104</v>
      </c>
      <c r="CL265" s="2">
        <f t="shared" si="525"/>
        <v>14043</v>
      </c>
      <c r="CM265" s="2">
        <f t="shared" si="548"/>
        <v>2542</v>
      </c>
      <c r="CN265" s="2">
        <f t="shared" si="526"/>
        <v>11501</v>
      </c>
      <c r="CO265" s="2">
        <f t="shared" si="549"/>
        <v>2082</v>
      </c>
      <c r="CP265" s="2">
        <f t="shared" si="527"/>
        <v>9419</v>
      </c>
      <c r="CQ265" s="2">
        <f>ROUND(+CP265*$AK265,0)</f>
        <v>1705</v>
      </c>
      <c r="CR265" s="2">
        <f t="shared" si="528"/>
        <v>7714</v>
      </c>
      <c r="CS265" s="2">
        <f>+CR265-CT265</f>
        <v>14</v>
      </c>
      <c r="CT265" s="2">
        <f>+E265*5%</f>
        <v>7700</v>
      </c>
      <c r="CU265" s="2">
        <v>0</v>
      </c>
      <c r="CV265" s="2">
        <f t="shared" si="530"/>
        <v>7700</v>
      </c>
      <c r="CW265" s="2">
        <v>0</v>
      </c>
      <c r="CX265" s="2">
        <f t="shared" si="531"/>
        <v>7700</v>
      </c>
      <c r="CY265" s="2">
        <v>0</v>
      </c>
      <c r="CZ265" s="2">
        <f t="shared" si="532"/>
        <v>7700</v>
      </c>
      <c r="DA265" s="2">
        <v>0</v>
      </c>
      <c r="DB265" s="2">
        <f t="shared" si="533"/>
        <v>7700</v>
      </c>
      <c r="DC265" s="2">
        <v>0</v>
      </c>
      <c r="DD265" s="2">
        <f t="shared" si="534"/>
        <v>7700</v>
      </c>
      <c r="DE265" s="2">
        <v>0</v>
      </c>
      <c r="DF265" s="2">
        <f t="shared" si="555"/>
        <v>7700</v>
      </c>
      <c r="DG265" s="2">
        <v>0</v>
      </c>
      <c r="DH265" s="2">
        <f t="shared" si="556"/>
        <v>7700</v>
      </c>
      <c r="DI265" s="2">
        <v>0</v>
      </c>
      <c r="DJ265" s="2">
        <f t="shared" si="557"/>
        <v>7700</v>
      </c>
      <c r="DK265" s="2">
        <v>0</v>
      </c>
      <c r="DL265" s="2">
        <f t="shared" si="558"/>
        <v>7700</v>
      </c>
      <c r="DM265" s="2">
        <v>0</v>
      </c>
      <c r="DN265" s="2">
        <f t="shared" si="559"/>
        <v>7700</v>
      </c>
      <c r="DO265" s="2">
        <v>0</v>
      </c>
      <c r="DP265" s="2">
        <f t="shared" si="560"/>
        <v>7700</v>
      </c>
      <c r="DQ265" s="2">
        <v>0</v>
      </c>
      <c r="DR265" s="2">
        <f t="shared" si="561"/>
        <v>7700</v>
      </c>
      <c r="DS265" s="2">
        <v>0</v>
      </c>
      <c r="DT265" s="2">
        <f t="shared" si="535"/>
        <v>7700</v>
      </c>
      <c r="DU265" s="2">
        <v>0</v>
      </c>
      <c r="DV265" s="2">
        <f t="shared" si="536"/>
        <v>7700</v>
      </c>
      <c r="DW265" s="266">
        <f t="shared" si="553"/>
        <v>7700</v>
      </c>
      <c r="DX265" s="441">
        <f>+DV265-DW265</f>
        <v>0</v>
      </c>
    </row>
    <row r="266" spans="1:128">
      <c r="A266" s="413">
        <v>107</v>
      </c>
      <c r="B266" s="537"/>
      <c r="C266" s="433" t="s">
        <v>518</v>
      </c>
      <c r="D266" s="468"/>
      <c r="E266" s="469">
        <v>481750</v>
      </c>
      <c r="F266" s="470" t="s">
        <v>1080</v>
      </c>
      <c r="G266" s="481">
        <v>43575</v>
      </c>
      <c r="H266" s="443">
        <f t="shared" ref="H266:H286" si="563">DATE(YEAR(G266)+I266,MONTH(G266),DAY(G266))-1</f>
        <v>49053</v>
      </c>
      <c r="I266" s="267">
        <v>15</v>
      </c>
      <c r="J266" s="267">
        <f t="shared" ref="J266:J290" si="564">IF(($BK$6-$G266+1)&gt;365,365,($BK$6-$G266+1))</f>
        <v>347</v>
      </c>
      <c r="K266" s="267">
        <f t="shared" si="513"/>
        <v>18</v>
      </c>
      <c r="L266" s="483"/>
      <c r="M266" s="433"/>
      <c r="N266" s="484"/>
      <c r="O266" s="484"/>
      <c r="P266" s="433"/>
      <c r="Q266" s="484"/>
      <c r="R266" s="484"/>
      <c r="S266" s="433"/>
      <c r="T266" s="484"/>
      <c r="U266" s="484"/>
      <c r="V266" s="433"/>
      <c r="W266" s="484"/>
      <c r="X266" s="484"/>
      <c r="Y266" s="433"/>
      <c r="Z266" s="484"/>
      <c r="AA266" s="484"/>
      <c r="AB266" s="433"/>
      <c r="AC266" s="484"/>
      <c r="AD266" s="484"/>
      <c r="AE266" s="484"/>
      <c r="AF266" s="484"/>
      <c r="AG266" s="484"/>
      <c r="AH266" s="484"/>
      <c r="AI266" s="439">
        <v>15</v>
      </c>
      <c r="AJ266" s="436">
        <f t="shared" si="562"/>
        <v>15</v>
      </c>
      <c r="AK266" s="440">
        <f t="shared" si="514"/>
        <v>0.18103627252208465</v>
      </c>
      <c r="AL266" s="484"/>
      <c r="AM266" s="484"/>
      <c r="AN266" s="484"/>
      <c r="AO266" s="484"/>
      <c r="AP266" s="484"/>
      <c r="AQ266" s="484"/>
      <c r="AR266" s="433"/>
      <c r="AS266" s="484"/>
      <c r="AT266" s="319"/>
      <c r="AU266" s="319"/>
      <c r="AV266" s="319"/>
      <c r="AW266" s="319"/>
      <c r="AX266" s="319"/>
      <c r="AY266" s="319"/>
      <c r="AZ266" s="319"/>
      <c r="BA266" s="319"/>
      <c r="BB266" s="319"/>
      <c r="BC266" s="319"/>
      <c r="BD266" s="319"/>
      <c r="BE266" s="319"/>
      <c r="BF266" s="319"/>
      <c r="BG266" s="319"/>
      <c r="BH266" s="319"/>
      <c r="BI266" s="2"/>
      <c r="BJ266" s="2"/>
      <c r="BK266" s="2">
        <f t="shared" ref="BK266:BK287" si="565">+ROUND((E266*J266*AK266)/365,0)</f>
        <v>82913</v>
      </c>
      <c r="BL266" s="331">
        <f t="shared" ref="BL266:BL287" si="566">+E266-BK266</f>
        <v>398837</v>
      </c>
      <c r="BM266" s="331"/>
      <c r="BN266" s="2">
        <f t="shared" si="551"/>
        <v>398837</v>
      </c>
      <c r="BO266" s="2">
        <f t="shared" si="537"/>
        <v>72204</v>
      </c>
      <c r="BP266" s="2">
        <f t="shared" si="515"/>
        <v>326633</v>
      </c>
      <c r="BQ266" s="2"/>
      <c r="BR266" s="2">
        <f t="shared" si="552"/>
        <v>326633</v>
      </c>
      <c r="BS266" s="2">
        <f t="shared" si="538"/>
        <v>59132</v>
      </c>
      <c r="BT266" s="2">
        <f t="shared" si="516"/>
        <v>267501</v>
      </c>
      <c r="BU266" s="2">
        <f t="shared" si="539"/>
        <v>48427</v>
      </c>
      <c r="BV266" s="2">
        <f t="shared" si="517"/>
        <v>219074</v>
      </c>
      <c r="BW266" s="2">
        <f t="shared" si="540"/>
        <v>39660</v>
      </c>
      <c r="BX266" s="2">
        <f t="shared" si="518"/>
        <v>179414</v>
      </c>
      <c r="BY266" s="2">
        <f t="shared" si="541"/>
        <v>32480</v>
      </c>
      <c r="BZ266" s="2">
        <f t="shared" si="519"/>
        <v>146934</v>
      </c>
      <c r="CA266" s="2">
        <f t="shared" si="542"/>
        <v>26600</v>
      </c>
      <c r="CB266" s="2">
        <f t="shared" si="520"/>
        <v>120334</v>
      </c>
      <c r="CC266" s="2">
        <f t="shared" si="543"/>
        <v>21785</v>
      </c>
      <c r="CD266" s="2">
        <f t="shared" si="521"/>
        <v>98549</v>
      </c>
      <c r="CE266" s="2">
        <f t="shared" si="544"/>
        <v>17841</v>
      </c>
      <c r="CF266" s="2">
        <f t="shared" si="522"/>
        <v>80708</v>
      </c>
      <c r="CG266" s="2">
        <f t="shared" si="545"/>
        <v>14611</v>
      </c>
      <c r="CH266" s="2">
        <f t="shared" si="523"/>
        <v>66097</v>
      </c>
      <c r="CI266" s="2">
        <f t="shared" si="546"/>
        <v>11966</v>
      </c>
      <c r="CJ266" s="2">
        <f t="shared" si="524"/>
        <v>54131</v>
      </c>
      <c r="CK266" s="2">
        <f t="shared" si="547"/>
        <v>9800</v>
      </c>
      <c r="CL266" s="2">
        <f t="shared" si="525"/>
        <v>44331</v>
      </c>
      <c r="CM266" s="2">
        <f t="shared" si="548"/>
        <v>8026</v>
      </c>
      <c r="CN266" s="2">
        <f t="shared" si="526"/>
        <v>36305</v>
      </c>
      <c r="CO266" s="2">
        <f t="shared" si="549"/>
        <v>6573</v>
      </c>
      <c r="CP266" s="2">
        <f t="shared" si="527"/>
        <v>29732</v>
      </c>
      <c r="CQ266" s="2">
        <f t="shared" ref="CQ266:CQ287" si="567">ROUND(+CP266*$AK266,0)</f>
        <v>5383</v>
      </c>
      <c r="CR266" s="2">
        <f t="shared" si="528"/>
        <v>24349</v>
      </c>
      <c r="CS266" s="2">
        <f t="shared" ref="CS266:CS287" si="568">+CR266-CT266</f>
        <v>261.5</v>
      </c>
      <c r="CT266" s="2">
        <f t="shared" ref="CT266:CT287" si="569">+E266*5%</f>
        <v>24087.5</v>
      </c>
      <c r="CU266" s="2">
        <v>0</v>
      </c>
      <c r="CV266" s="2">
        <f t="shared" si="530"/>
        <v>24087.5</v>
      </c>
      <c r="CW266" s="2">
        <v>0</v>
      </c>
      <c r="CX266" s="2">
        <f t="shared" si="531"/>
        <v>24087.5</v>
      </c>
      <c r="CY266" s="2">
        <v>0</v>
      </c>
      <c r="CZ266" s="2">
        <f t="shared" si="532"/>
        <v>24087.5</v>
      </c>
      <c r="DA266" s="2">
        <v>0</v>
      </c>
      <c r="DB266" s="2">
        <f t="shared" si="533"/>
        <v>24087.5</v>
      </c>
      <c r="DC266" s="2">
        <v>0</v>
      </c>
      <c r="DD266" s="2">
        <f t="shared" si="534"/>
        <v>24087.5</v>
      </c>
      <c r="DE266" s="2">
        <v>0</v>
      </c>
      <c r="DF266" s="2">
        <f t="shared" si="555"/>
        <v>24087.5</v>
      </c>
      <c r="DG266" s="2">
        <v>0</v>
      </c>
      <c r="DH266" s="2">
        <f t="shared" si="556"/>
        <v>24087.5</v>
      </c>
      <c r="DI266" s="2">
        <v>0</v>
      </c>
      <c r="DJ266" s="2">
        <f t="shared" si="557"/>
        <v>24087.5</v>
      </c>
      <c r="DK266" s="2">
        <v>0</v>
      </c>
      <c r="DL266" s="2">
        <f t="shared" si="558"/>
        <v>24087.5</v>
      </c>
      <c r="DM266" s="2">
        <v>0</v>
      </c>
      <c r="DN266" s="2">
        <f t="shared" si="559"/>
        <v>24087.5</v>
      </c>
      <c r="DO266" s="2">
        <v>0</v>
      </c>
      <c r="DP266" s="2">
        <f t="shared" si="560"/>
        <v>24087.5</v>
      </c>
      <c r="DQ266" s="2">
        <v>0</v>
      </c>
      <c r="DR266" s="2">
        <f t="shared" si="561"/>
        <v>24087.5</v>
      </c>
      <c r="DS266" s="2">
        <v>0</v>
      </c>
      <c r="DT266" s="2">
        <f t="shared" si="535"/>
        <v>24087.5</v>
      </c>
      <c r="DU266" s="2">
        <v>0</v>
      </c>
      <c r="DV266" s="2">
        <f t="shared" si="536"/>
        <v>24087.5</v>
      </c>
      <c r="DW266" s="266">
        <f t="shared" si="553"/>
        <v>24087.5</v>
      </c>
      <c r="DX266" s="441">
        <f t="shared" ref="DX266:DX287" si="570">+DV266-DW266</f>
        <v>0</v>
      </c>
    </row>
    <row r="267" spans="1:128">
      <c r="A267" s="413">
        <v>108</v>
      </c>
      <c r="B267" s="537"/>
      <c r="C267" s="433" t="s">
        <v>518</v>
      </c>
      <c r="D267" s="468"/>
      <c r="E267" s="469">
        <v>251700</v>
      </c>
      <c r="F267" s="470" t="s">
        <v>1080</v>
      </c>
      <c r="G267" s="481">
        <v>43682</v>
      </c>
      <c r="H267" s="443">
        <f t="shared" si="563"/>
        <v>49160</v>
      </c>
      <c r="I267" s="267">
        <v>15</v>
      </c>
      <c r="J267" s="267">
        <f t="shared" si="564"/>
        <v>240</v>
      </c>
      <c r="K267" s="267">
        <f t="shared" ref="K267:K290" si="571">365-J267</f>
        <v>125</v>
      </c>
      <c r="L267" s="483"/>
      <c r="M267" s="433"/>
      <c r="N267" s="484"/>
      <c r="O267" s="484"/>
      <c r="P267" s="433"/>
      <c r="Q267" s="484"/>
      <c r="R267" s="484"/>
      <c r="S267" s="433"/>
      <c r="T267" s="484"/>
      <c r="U267" s="484"/>
      <c r="V267" s="433"/>
      <c r="W267" s="484"/>
      <c r="X267" s="484"/>
      <c r="Y267" s="433"/>
      <c r="Z267" s="484"/>
      <c r="AA267" s="484"/>
      <c r="AB267" s="433"/>
      <c r="AC267" s="484"/>
      <c r="AD267" s="484"/>
      <c r="AE267" s="484"/>
      <c r="AF267" s="484"/>
      <c r="AG267" s="484"/>
      <c r="AH267" s="484"/>
      <c r="AI267" s="439">
        <v>15</v>
      </c>
      <c r="AJ267" s="436">
        <f t="shared" si="562"/>
        <v>15</v>
      </c>
      <c r="AK267" s="440">
        <f t="shared" ref="AK267:AK299" si="572">1-((E267*5%)/E267)^(1/I267)</f>
        <v>0.18103627252208465</v>
      </c>
      <c r="AL267" s="484"/>
      <c r="AM267" s="484"/>
      <c r="AN267" s="484"/>
      <c r="AO267" s="484"/>
      <c r="AP267" s="484"/>
      <c r="AQ267" s="484"/>
      <c r="AR267" s="433"/>
      <c r="AS267" s="484"/>
      <c r="AT267" s="319"/>
      <c r="AU267" s="319"/>
      <c r="AV267" s="319"/>
      <c r="AW267" s="319"/>
      <c r="AX267" s="319"/>
      <c r="AY267" s="319"/>
      <c r="AZ267" s="319"/>
      <c r="BA267" s="319"/>
      <c r="BB267" s="319"/>
      <c r="BC267" s="319"/>
      <c r="BD267" s="319"/>
      <c r="BE267" s="319"/>
      <c r="BF267" s="319"/>
      <c r="BG267" s="319"/>
      <c r="BH267" s="319"/>
      <c r="BI267" s="2"/>
      <c r="BJ267" s="2"/>
      <c r="BK267" s="2">
        <f t="shared" si="565"/>
        <v>29962</v>
      </c>
      <c r="BL267" s="331">
        <f t="shared" si="566"/>
        <v>221738</v>
      </c>
      <c r="BM267" s="331"/>
      <c r="BN267" s="2">
        <f t="shared" si="551"/>
        <v>221738</v>
      </c>
      <c r="BO267" s="2">
        <f t="shared" si="537"/>
        <v>40143</v>
      </c>
      <c r="BP267" s="2">
        <f t="shared" ref="BP267:BP287" si="573">+BL267-BO267</f>
        <v>181595</v>
      </c>
      <c r="BQ267" s="2"/>
      <c r="BR267" s="2">
        <f t="shared" si="552"/>
        <v>181595</v>
      </c>
      <c r="BS267" s="2">
        <f t="shared" si="538"/>
        <v>32875</v>
      </c>
      <c r="BT267" s="2">
        <f t="shared" ref="BT267:BT287" si="574">+BP267-BS267</f>
        <v>148720</v>
      </c>
      <c r="BU267" s="2">
        <f t="shared" si="539"/>
        <v>26924</v>
      </c>
      <c r="BV267" s="2">
        <f t="shared" ref="BV267:BV287" si="575">+BT267-BU267</f>
        <v>121796</v>
      </c>
      <c r="BW267" s="2">
        <f t="shared" si="540"/>
        <v>22049</v>
      </c>
      <c r="BX267" s="2">
        <f t="shared" ref="BX267:BX287" si="576">+BV267-BW267</f>
        <v>99747</v>
      </c>
      <c r="BY267" s="2">
        <f t="shared" si="541"/>
        <v>18058</v>
      </c>
      <c r="BZ267" s="2">
        <f t="shared" ref="BZ267:BZ287" si="577">+BX267-BY267</f>
        <v>81689</v>
      </c>
      <c r="CA267" s="2">
        <f t="shared" si="542"/>
        <v>14789</v>
      </c>
      <c r="CB267" s="2">
        <f t="shared" ref="CB267:CB287" si="578">+BZ267-CA267</f>
        <v>66900</v>
      </c>
      <c r="CC267" s="2">
        <f t="shared" si="543"/>
        <v>12111</v>
      </c>
      <c r="CD267" s="2">
        <f t="shared" ref="CD267:CD287" si="579">+CB267-CC267</f>
        <v>54789</v>
      </c>
      <c r="CE267" s="2">
        <f t="shared" si="544"/>
        <v>9919</v>
      </c>
      <c r="CF267" s="2">
        <f t="shared" ref="CF267:CF287" si="580">+CD267-CE267</f>
        <v>44870</v>
      </c>
      <c r="CG267" s="2">
        <f t="shared" si="545"/>
        <v>8123</v>
      </c>
      <c r="CH267" s="2">
        <f t="shared" ref="CH267:CH287" si="581">+CF267-CG267</f>
        <v>36747</v>
      </c>
      <c r="CI267" s="2">
        <f t="shared" si="546"/>
        <v>6653</v>
      </c>
      <c r="CJ267" s="2">
        <f t="shared" ref="CJ267:CJ287" si="582">+CH267-CI267</f>
        <v>30094</v>
      </c>
      <c r="CK267" s="2">
        <f t="shared" si="547"/>
        <v>5448</v>
      </c>
      <c r="CL267" s="2">
        <f t="shared" ref="CL267:CL287" si="583">+CJ267-CK267</f>
        <v>24646</v>
      </c>
      <c r="CM267" s="2">
        <f t="shared" si="548"/>
        <v>4462</v>
      </c>
      <c r="CN267" s="2">
        <f t="shared" ref="CN267:CN287" si="584">+CL267-CM267</f>
        <v>20184</v>
      </c>
      <c r="CO267" s="2">
        <f t="shared" si="549"/>
        <v>3654</v>
      </c>
      <c r="CP267" s="2">
        <f t="shared" ref="CP267:CP287" si="585">+CN267-CO267</f>
        <v>16530</v>
      </c>
      <c r="CQ267" s="2">
        <f t="shared" si="567"/>
        <v>2993</v>
      </c>
      <c r="CR267" s="2">
        <f t="shared" ref="CR267:CR287" si="586">+CP267-CQ267</f>
        <v>13537</v>
      </c>
      <c r="CS267" s="2">
        <f t="shared" si="568"/>
        <v>952</v>
      </c>
      <c r="CT267" s="2">
        <f t="shared" si="569"/>
        <v>12585</v>
      </c>
      <c r="CU267" s="2">
        <v>0</v>
      </c>
      <c r="CV267" s="2">
        <f t="shared" ref="CV267:CV287" si="587">+CT267-CU267</f>
        <v>12585</v>
      </c>
      <c r="CW267" s="2">
        <v>0</v>
      </c>
      <c r="CX267" s="2">
        <f t="shared" ref="CX267:CX287" si="588">+CV267-CW267</f>
        <v>12585</v>
      </c>
      <c r="CY267" s="2">
        <v>0</v>
      </c>
      <c r="CZ267" s="2">
        <f t="shared" ref="CZ267:CZ287" si="589">+CX267-CY267</f>
        <v>12585</v>
      </c>
      <c r="DA267" s="2">
        <v>0</v>
      </c>
      <c r="DB267" s="2">
        <f t="shared" ref="DB267:DB287" si="590">+CZ267-DA267</f>
        <v>12585</v>
      </c>
      <c r="DC267" s="2">
        <v>0</v>
      </c>
      <c r="DD267" s="2">
        <f t="shared" ref="DD267:DD286" si="591">+DB267-DC267</f>
        <v>12585</v>
      </c>
      <c r="DE267" s="2">
        <v>0</v>
      </c>
      <c r="DF267" s="2">
        <f t="shared" si="555"/>
        <v>12585</v>
      </c>
      <c r="DG267" s="2">
        <v>0</v>
      </c>
      <c r="DH267" s="2">
        <f t="shared" si="556"/>
        <v>12585</v>
      </c>
      <c r="DI267" s="2">
        <v>0</v>
      </c>
      <c r="DJ267" s="2">
        <f t="shared" si="557"/>
        <v>12585</v>
      </c>
      <c r="DK267" s="2">
        <v>0</v>
      </c>
      <c r="DL267" s="2">
        <f t="shared" si="558"/>
        <v>12585</v>
      </c>
      <c r="DM267" s="2">
        <v>0</v>
      </c>
      <c r="DN267" s="2">
        <f t="shared" si="559"/>
        <v>12585</v>
      </c>
      <c r="DO267" s="2">
        <v>0</v>
      </c>
      <c r="DP267" s="2">
        <f t="shared" si="560"/>
        <v>12585</v>
      </c>
      <c r="DQ267" s="2">
        <v>0</v>
      </c>
      <c r="DR267" s="2">
        <f t="shared" si="561"/>
        <v>12585</v>
      </c>
      <c r="DS267" s="2">
        <v>0</v>
      </c>
      <c r="DT267" s="2">
        <f t="shared" ref="DT267:DT286" si="592">+DR267-DS267</f>
        <v>12585</v>
      </c>
      <c r="DU267" s="2">
        <v>0</v>
      </c>
      <c r="DV267" s="2">
        <f t="shared" ref="DV267:DV286" si="593">+DT267-DU267</f>
        <v>12585</v>
      </c>
      <c r="DW267" s="266">
        <f t="shared" si="553"/>
        <v>12585</v>
      </c>
      <c r="DX267" s="441">
        <f t="shared" si="570"/>
        <v>0</v>
      </c>
    </row>
    <row r="268" spans="1:128">
      <c r="A268" s="413">
        <v>109</v>
      </c>
      <c r="B268" s="537"/>
      <c r="C268" s="433" t="s">
        <v>518</v>
      </c>
      <c r="D268" s="468"/>
      <c r="E268" s="469">
        <v>686480</v>
      </c>
      <c r="F268" s="470" t="s">
        <v>1080</v>
      </c>
      <c r="G268" s="481">
        <v>43690</v>
      </c>
      <c r="H268" s="443">
        <f t="shared" si="563"/>
        <v>49168</v>
      </c>
      <c r="I268" s="267">
        <v>15</v>
      </c>
      <c r="J268" s="267">
        <f t="shared" si="564"/>
        <v>232</v>
      </c>
      <c r="K268" s="267">
        <f t="shared" si="571"/>
        <v>133</v>
      </c>
      <c r="L268" s="483"/>
      <c r="M268" s="433"/>
      <c r="N268" s="484"/>
      <c r="O268" s="484"/>
      <c r="P268" s="433"/>
      <c r="Q268" s="484"/>
      <c r="R268" s="484"/>
      <c r="S268" s="433"/>
      <c r="T268" s="484"/>
      <c r="U268" s="484"/>
      <c r="V268" s="433"/>
      <c r="W268" s="484"/>
      <c r="X268" s="484"/>
      <c r="Y268" s="433"/>
      <c r="Z268" s="484"/>
      <c r="AA268" s="484"/>
      <c r="AB268" s="433"/>
      <c r="AC268" s="484"/>
      <c r="AD268" s="484"/>
      <c r="AE268" s="484"/>
      <c r="AF268" s="484"/>
      <c r="AG268" s="484"/>
      <c r="AH268" s="484"/>
      <c r="AI268" s="439">
        <v>15</v>
      </c>
      <c r="AJ268" s="436">
        <f t="shared" si="562"/>
        <v>15</v>
      </c>
      <c r="AK268" s="440">
        <f t="shared" si="572"/>
        <v>0.18103627252208465</v>
      </c>
      <c r="AL268" s="484"/>
      <c r="AM268" s="484"/>
      <c r="AN268" s="484"/>
      <c r="AO268" s="484"/>
      <c r="AP268" s="484"/>
      <c r="AQ268" s="484"/>
      <c r="AR268" s="433"/>
      <c r="AS268" s="484"/>
      <c r="AT268" s="319"/>
      <c r="AU268" s="319"/>
      <c r="AV268" s="319"/>
      <c r="AW268" s="319"/>
      <c r="AX268" s="319"/>
      <c r="AY268" s="319"/>
      <c r="AZ268" s="319"/>
      <c r="BA268" s="319"/>
      <c r="BB268" s="319"/>
      <c r="BC268" s="319"/>
      <c r="BD268" s="319"/>
      <c r="BE268" s="319"/>
      <c r="BF268" s="319"/>
      <c r="BG268" s="319"/>
      <c r="BH268" s="319"/>
      <c r="BI268" s="2"/>
      <c r="BJ268" s="2"/>
      <c r="BK268" s="2">
        <f t="shared" si="565"/>
        <v>78993</v>
      </c>
      <c r="BL268" s="331">
        <f t="shared" si="566"/>
        <v>607487</v>
      </c>
      <c r="BM268" s="331"/>
      <c r="BN268" s="2">
        <f t="shared" si="551"/>
        <v>607487</v>
      </c>
      <c r="BO268" s="2">
        <f t="shared" si="537"/>
        <v>109977</v>
      </c>
      <c r="BP268" s="2">
        <f t="shared" si="573"/>
        <v>497510</v>
      </c>
      <c r="BQ268" s="2"/>
      <c r="BR268" s="2">
        <f t="shared" si="552"/>
        <v>497510</v>
      </c>
      <c r="BS268" s="2">
        <f t="shared" si="538"/>
        <v>90067</v>
      </c>
      <c r="BT268" s="2">
        <f t="shared" si="574"/>
        <v>407443</v>
      </c>
      <c r="BU268" s="2">
        <f t="shared" si="539"/>
        <v>73762</v>
      </c>
      <c r="BV268" s="2">
        <f t="shared" si="575"/>
        <v>333681</v>
      </c>
      <c r="BW268" s="2">
        <f t="shared" si="540"/>
        <v>60408</v>
      </c>
      <c r="BX268" s="2">
        <f t="shared" si="576"/>
        <v>273273</v>
      </c>
      <c r="BY268" s="2">
        <f t="shared" si="541"/>
        <v>49472</v>
      </c>
      <c r="BZ268" s="2">
        <f t="shared" si="577"/>
        <v>223801</v>
      </c>
      <c r="CA268" s="2">
        <f t="shared" si="542"/>
        <v>40516</v>
      </c>
      <c r="CB268" s="2">
        <f t="shared" si="578"/>
        <v>183285</v>
      </c>
      <c r="CC268" s="2">
        <f t="shared" si="543"/>
        <v>33181</v>
      </c>
      <c r="CD268" s="2">
        <f t="shared" si="579"/>
        <v>150104</v>
      </c>
      <c r="CE268" s="2">
        <f t="shared" si="544"/>
        <v>27174</v>
      </c>
      <c r="CF268" s="2">
        <f t="shared" si="580"/>
        <v>122930</v>
      </c>
      <c r="CG268" s="2">
        <f t="shared" si="545"/>
        <v>22255</v>
      </c>
      <c r="CH268" s="2">
        <f t="shared" si="581"/>
        <v>100675</v>
      </c>
      <c r="CI268" s="2">
        <f t="shared" si="546"/>
        <v>18226</v>
      </c>
      <c r="CJ268" s="2">
        <f t="shared" si="582"/>
        <v>82449</v>
      </c>
      <c r="CK268" s="2">
        <f t="shared" si="547"/>
        <v>14926</v>
      </c>
      <c r="CL268" s="2">
        <f t="shared" si="583"/>
        <v>67523</v>
      </c>
      <c r="CM268" s="2">
        <f t="shared" si="548"/>
        <v>12224</v>
      </c>
      <c r="CN268" s="2">
        <f t="shared" si="584"/>
        <v>55299</v>
      </c>
      <c r="CO268" s="2">
        <f t="shared" si="549"/>
        <v>10011</v>
      </c>
      <c r="CP268" s="2">
        <f t="shared" si="585"/>
        <v>45288</v>
      </c>
      <c r="CQ268" s="2">
        <f t="shared" si="567"/>
        <v>8199</v>
      </c>
      <c r="CR268" s="2">
        <f t="shared" si="586"/>
        <v>37089</v>
      </c>
      <c r="CS268" s="2">
        <f t="shared" si="568"/>
        <v>2765</v>
      </c>
      <c r="CT268" s="2">
        <f t="shared" si="569"/>
        <v>34324</v>
      </c>
      <c r="CU268" s="2">
        <v>0</v>
      </c>
      <c r="CV268" s="2">
        <f t="shared" si="587"/>
        <v>34324</v>
      </c>
      <c r="CW268" s="2">
        <v>0</v>
      </c>
      <c r="CX268" s="2">
        <f t="shared" si="588"/>
        <v>34324</v>
      </c>
      <c r="CY268" s="2">
        <v>0</v>
      </c>
      <c r="CZ268" s="2">
        <f t="shared" si="589"/>
        <v>34324</v>
      </c>
      <c r="DA268" s="2">
        <v>0</v>
      </c>
      <c r="DB268" s="2">
        <f t="shared" si="590"/>
        <v>34324</v>
      </c>
      <c r="DC268" s="2">
        <v>0</v>
      </c>
      <c r="DD268" s="2">
        <f t="shared" si="591"/>
        <v>34324</v>
      </c>
      <c r="DE268" s="2">
        <v>0</v>
      </c>
      <c r="DF268" s="2">
        <f t="shared" si="555"/>
        <v>34324</v>
      </c>
      <c r="DG268" s="2">
        <v>0</v>
      </c>
      <c r="DH268" s="2">
        <f t="shared" si="556"/>
        <v>34324</v>
      </c>
      <c r="DI268" s="2">
        <v>0</v>
      </c>
      <c r="DJ268" s="2">
        <f t="shared" si="557"/>
        <v>34324</v>
      </c>
      <c r="DK268" s="2">
        <v>0</v>
      </c>
      <c r="DL268" s="2">
        <f t="shared" si="558"/>
        <v>34324</v>
      </c>
      <c r="DM268" s="2">
        <v>0</v>
      </c>
      <c r="DN268" s="2">
        <f t="shared" si="559"/>
        <v>34324</v>
      </c>
      <c r="DO268" s="2">
        <v>0</v>
      </c>
      <c r="DP268" s="2">
        <f t="shared" si="560"/>
        <v>34324</v>
      </c>
      <c r="DQ268" s="2">
        <v>0</v>
      </c>
      <c r="DR268" s="2">
        <f t="shared" si="561"/>
        <v>34324</v>
      </c>
      <c r="DS268" s="2">
        <v>0</v>
      </c>
      <c r="DT268" s="2">
        <f t="shared" si="592"/>
        <v>34324</v>
      </c>
      <c r="DU268" s="2">
        <v>0</v>
      </c>
      <c r="DV268" s="2">
        <f t="shared" si="593"/>
        <v>34324</v>
      </c>
      <c r="DW268" s="266">
        <f t="shared" si="553"/>
        <v>34324</v>
      </c>
      <c r="DX268" s="441">
        <f t="shared" si="570"/>
        <v>0</v>
      </c>
    </row>
    <row r="269" spans="1:128">
      <c r="A269" s="413">
        <v>110</v>
      </c>
      <c r="B269" s="537"/>
      <c r="C269" s="433" t="s">
        <v>518</v>
      </c>
      <c r="D269" s="468"/>
      <c r="E269" s="469">
        <v>354490</v>
      </c>
      <c r="F269" s="470" t="s">
        <v>1080</v>
      </c>
      <c r="G269" s="481">
        <v>43696</v>
      </c>
      <c r="H269" s="443">
        <f t="shared" si="563"/>
        <v>49174</v>
      </c>
      <c r="I269" s="267">
        <v>15</v>
      </c>
      <c r="J269" s="267">
        <f t="shared" si="564"/>
        <v>226</v>
      </c>
      <c r="K269" s="267">
        <f t="shared" si="571"/>
        <v>139</v>
      </c>
      <c r="L269" s="483"/>
      <c r="M269" s="433"/>
      <c r="N269" s="484"/>
      <c r="O269" s="484"/>
      <c r="P269" s="433"/>
      <c r="Q269" s="484"/>
      <c r="R269" s="484"/>
      <c r="S269" s="433"/>
      <c r="T269" s="484"/>
      <c r="U269" s="484"/>
      <c r="V269" s="433"/>
      <c r="W269" s="484"/>
      <c r="X269" s="484"/>
      <c r="Y269" s="433"/>
      <c r="Z269" s="484"/>
      <c r="AA269" s="484"/>
      <c r="AB269" s="433"/>
      <c r="AC269" s="484"/>
      <c r="AD269" s="484"/>
      <c r="AE269" s="484"/>
      <c r="AF269" s="484"/>
      <c r="AG269" s="484"/>
      <c r="AH269" s="484"/>
      <c r="AI269" s="439">
        <v>15</v>
      </c>
      <c r="AJ269" s="436">
        <f t="shared" si="562"/>
        <v>15</v>
      </c>
      <c r="AK269" s="440">
        <f t="shared" si="572"/>
        <v>0.18103627252208465</v>
      </c>
      <c r="AL269" s="484"/>
      <c r="AM269" s="484"/>
      <c r="AN269" s="484"/>
      <c r="AO269" s="484"/>
      <c r="AP269" s="484"/>
      <c r="AQ269" s="484"/>
      <c r="AR269" s="433"/>
      <c r="AS269" s="484"/>
      <c r="AT269" s="319"/>
      <c r="AU269" s="319"/>
      <c r="AV269" s="319"/>
      <c r="AW269" s="319"/>
      <c r="AX269" s="319"/>
      <c r="AY269" s="319"/>
      <c r="AZ269" s="319"/>
      <c r="BA269" s="319"/>
      <c r="BB269" s="319"/>
      <c r="BC269" s="319"/>
      <c r="BD269" s="319"/>
      <c r="BE269" s="319"/>
      <c r="BF269" s="319"/>
      <c r="BG269" s="319"/>
      <c r="BH269" s="319"/>
      <c r="BI269" s="2"/>
      <c r="BJ269" s="2"/>
      <c r="BK269" s="2">
        <f t="shared" si="565"/>
        <v>39736</v>
      </c>
      <c r="BL269" s="331">
        <f t="shared" si="566"/>
        <v>314754</v>
      </c>
      <c r="BM269" s="331"/>
      <c r="BN269" s="2">
        <f t="shared" si="551"/>
        <v>314754</v>
      </c>
      <c r="BO269" s="2">
        <f t="shared" si="537"/>
        <v>56982</v>
      </c>
      <c r="BP269" s="2">
        <f t="shared" si="573"/>
        <v>257772</v>
      </c>
      <c r="BQ269" s="2"/>
      <c r="BR269" s="2">
        <f t="shared" si="552"/>
        <v>257772</v>
      </c>
      <c r="BS269" s="2">
        <f t="shared" si="538"/>
        <v>46666</v>
      </c>
      <c r="BT269" s="2">
        <f t="shared" si="574"/>
        <v>211106</v>
      </c>
      <c r="BU269" s="2">
        <f t="shared" si="539"/>
        <v>38218</v>
      </c>
      <c r="BV269" s="2">
        <f t="shared" si="575"/>
        <v>172888</v>
      </c>
      <c r="BW269" s="2">
        <f t="shared" si="540"/>
        <v>31299</v>
      </c>
      <c r="BX269" s="2">
        <f t="shared" si="576"/>
        <v>141589</v>
      </c>
      <c r="BY269" s="2">
        <f t="shared" si="541"/>
        <v>25633</v>
      </c>
      <c r="BZ269" s="2">
        <f t="shared" si="577"/>
        <v>115956</v>
      </c>
      <c r="CA269" s="2">
        <f t="shared" si="542"/>
        <v>20992</v>
      </c>
      <c r="CB269" s="2">
        <f t="shared" si="578"/>
        <v>94964</v>
      </c>
      <c r="CC269" s="2">
        <f t="shared" si="543"/>
        <v>17192</v>
      </c>
      <c r="CD269" s="2">
        <f t="shared" si="579"/>
        <v>77772</v>
      </c>
      <c r="CE269" s="2">
        <f t="shared" si="544"/>
        <v>14080</v>
      </c>
      <c r="CF269" s="2">
        <f t="shared" si="580"/>
        <v>63692</v>
      </c>
      <c r="CG269" s="2">
        <f t="shared" si="545"/>
        <v>11531</v>
      </c>
      <c r="CH269" s="2">
        <f t="shared" si="581"/>
        <v>52161</v>
      </c>
      <c r="CI269" s="2">
        <f t="shared" si="546"/>
        <v>9443</v>
      </c>
      <c r="CJ269" s="2">
        <f t="shared" si="582"/>
        <v>42718</v>
      </c>
      <c r="CK269" s="2">
        <f t="shared" si="547"/>
        <v>7734</v>
      </c>
      <c r="CL269" s="2">
        <f t="shared" si="583"/>
        <v>34984</v>
      </c>
      <c r="CM269" s="2">
        <f t="shared" si="548"/>
        <v>6333</v>
      </c>
      <c r="CN269" s="2">
        <f t="shared" si="584"/>
        <v>28651</v>
      </c>
      <c r="CO269" s="2">
        <f t="shared" si="549"/>
        <v>5187</v>
      </c>
      <c r="CP269" s="2">
        <f t="shared" si="585"/>
        <v>23464</v>
      </c>
      <c r="CQ269" s="2">
        <f t="shared" si="567"/>
        <v>4248</v>
      </c>
      <c r="CR269" s="2">
        <f t="shared" si="586"/>
        <v>19216</v>
      </c>
      <c r="CS269" s="2">
        <f t="shared" si="568"/>
        <v>1491.5</v>
      </c>
      <c r="CT269" s="2">
        <f t="shared" si="569"/>
        <v>17724.5</v>
      </c>
      <c r="CU269" s="2">
        <v>0</v>
      </c>
      <c r="CV269" s="2">
        <f t="shared" si="587"/>
        <v>17724.5</v>
      </c>
      <c r="CW269" s="2">
        <v>0</v>
      </c>
      <c r="CX269" s="2">
        <f t="shared" si="588"/>
        <v>17724.5</v>
      </c>
      <c r="CY269" s="2">
        <v>0</v>
      </c>
      <c r="CZ269" s="2">
        <f t="shared" si="589"/>
        <v>17724.5</v>
      </c>
      <c r="DA269" s="2">
        <v>0</v>
      </c>
      <c r="DB269" s="2">
        <f t="shared" si="590"/>
        <v>17724.5</v>
      </c>
      <c r="DC269" s="2">
        <v>0</v>
      </c>
      <c r="DD269" s="2">
        <f t="shared" si="591"/>
        <v>17724.5</v>
      </c>
      <c r="DE269" s="2">
        <v>0</v>
      </c>
      <c r="DF269" s="2">
        <f t="shared" si="555"/>
        <v>17724.5</v>
      </c>
      <c r="DG269" s="2">
        <v>0</v>
      </c>
      <c r="DH269" s="2">
        <f t="shared" si="556"/>
        <v>17724.5</v>
      </c>
      <c r="DI269" s="2">
        <v>0</v>
      </c>
      <c r="DJ269" s="2">
        <f t="shared" si="557"/>
        <v>17724.5</v>
      </c>
      <c r="DK269" s="2">
        <v>0</v>
      </c>
      <c r="DL269" s="2">
        <f t="shared" si="558"/>
        <v>17724.5</v>
      </c>
      <c r="DM269" s="2">
        <v>0</v>
      </c>
      <c r="DN269" s="2">
        <f t="shared" si="559"/>
        <v>17724.5</v>
      </c>
      <c r="DO269" s="2">
        <v>0</v>
      </c>
      <c r="DP269" s="2">
        <f t="shared" si="560"/>
        <v>17724.5</v>
      </c>
      <c r="DQ269" s="2">
        <v>0</v>
      </c>
      <c r="DR269" s="2">
        <f t="shared" si="561"/>
        <v>17724.5</v>
      </c>
      <c r="DS269" s="2">
        <v>0</v>
      </c>
      <c r="DT269" s="2">
        <f t="shared" si="592"/>
        <v>17724.5</v>
      </c>
      <c r="DU269" s="2">
        <v>0</v>
      </c>
      <c r="DV269" s="2">
        <f t="shared" si="593"/>
        <v>17724.5</v>
      </c>
      <c r="DW269" s="266">
        <f t="shared" si="553"/>
        <v>17724.5</v>
      </c>
      <c r="DX269" s="441">
        <f t="shared" si="570"/>
        <v>0</v>
      </c>
    </row>
    <row r="270" spans="1:128">
      <c r="A270" s="413">
        <v>111</v>
      </c>
      <c r="B270" s="537"/>
      <c r="C270" s="433" t="s">
        <v>518</v>
      </c>
      <c r="D270" s="468"/>
      <c r="E270" s="469">
        <v>6846186</v>
      </c>
      <c r="F270" s="470" t="s">
        <v>1080</v>
      </c>
      <c r="G270" s="481">
        <v>43697</v>
      </c>
      <c r="H270" s="443">
        <f t="shared" si="563"/>
        <v>49175</v>
      </c>
      <c r="I270" s="267">
        <v>15</v>
      </c>
      <c r="J270" s="267">
        <f t="shared" si="564"/>
        <v>225</v>
      </c>
      <c r="K270" s="267">
        <f t="shared" si="571"/>
        <v>140</v>
      </c>
      <c r="L270" s="483"/>
      <c r="M270" s="433"/>
      <c r="N270" s="484"/>
      <c r="O270" s="484"/>
      <c r="P270" s="433"/>
      <c r="Q270" s="484"/>
      <c r="R270" s="484"/>
      <c r="S270" s="433"/>
      <c r="T270" s="484"/>
      <c r="U270" s="484"/>
      <c r="V270" s="433"/>
      <c r="W270" s="484"/>
      <c r="X270" s="484"/>
      <c r="Y270" s="433"/>
      <c r="Z270" s="484"/>
      <c r="AA270" s="484"/>
      <c r="AB270" s="433"/>
      <c r="AC270" s="484"/>
      <c r="AD270" s="484"/>
      <c r="AE270" s="484"/>
      <c r="AF270" s="484"/>
      <c r="AG270" s="484"/>
      <c r="AH270" s="484"/>
      <c r="AI270" s="439">
        <v>15</v>
      </c>
      <c r="AJ270" s="436">
        <f t="shared" si="562"/>
        <v>15</v>
      </c>
      <c r="AK270" s="440">
        <f t="shared" si="572"/>
        <v>0.18103627252208465</v>
      </c>
      <c r="AL270" s="484"/>
      <c r="AM270" s="484"/>
      <c r="AN270" s="484"/>
      <c r="AO270" s="484"/>
      <c r="AP270" s="484"/>
      <c r="AQ270" s="484"/>
      <c r="AR270" s="433"/>
      <c r="AS270" s="484"/>
      <c r="AT270" s="319"/>
      <c r="AU270" s="319"/>
      <c r="AV270" s="319"/>
      <c r="AW270" s="319"/>
      <c r="AX270" s="319"/>
      <c r="AY270" s="319"/>
      <c r="AZ270" s="319"/>
      <c r="BA270" s="319"/>
      <c r="BB270" s="319"/>
      <c r="BC270" s="319"/>
      <c r="BD270" s="319"/>
      <c r="BE270" s="319"/>
      <c r="BF270" s="319"/>
      <c r="BG270" s="319"/>
      <c r="BH270" s="319"/>
      <c r="BI270" s="2"/>
      <c r="BJ270" s="2"/>
      <c r="BK270" s="2">
        <f t="shared" si="565"/>
        <v>764019</v>
      </c>
      <c r="BL270" s="331">
        <f t="shared" si="566"/>
        <v>6082167</v>
      </c>
      <c r="BM270" s="331"/>
      <c r="BN270" s="2">
        <f t="shared" si="551"/>
        <v>6082167</v>
      </c>
      <c r="BO270" s="2">
        <f t="shared" si="537"/>
        <v>1101093</v>
      </c>
      <c r="BP270" s="2">
        <f t="shared" si="573"/>
        <v>4981074</v>
      </c>
      <c r="BQ270" s="2"/>
      <c r="BR270" s="2">
        <f t="shared" si="552"/>
        <v>4981074</v>
      </c>
      <c r="BS270" s="2">
        <f t="shared" si="538"/>
        <v>901755</v>
      </c>
      <c r="BT270" s="2">
        <f t="shared" si="574"/>
        <v>4079319</v>
      </c>
      <c r="BU270" s="2">
        <f t="shared" si="539"/>
        <v>738505</v>
      </c>
      <c r="BV270" s="2">
        <f t="shared" si="575"/>
        <v>3340814</v>
      </c>
      <c r="BW270" s="2">
        <f t="shared" si="540"/>
        <v>604809</v>
      </c>
      <c r="BX270" s="2">
        <f t="shared" si="576"/>
        <v>2736005</v>
      </c>
      <c r="BY270" s="2">
        <f t="shared" si="541"/>
        <v>495316</v>
      </c>
      <c r="BZ270" s="2">
        <f t="shared" si="577"/>
        <v>2240689</v>
      </c>
      <c r="CA270" s="2">
        <f t="shared" si="542"/>
        <v>405646</v>
      </c>
      <c r="CB270" s="2">
        <f t="shared" si="578"/>
        <v>1835043</v>
      </c>
      <c r="CC270" s="2">
        <f t="shared" si="543"/>
        <v>332209</v>
      </c>
      <c r="CD270" s="2">
        <f t="shared" si="579"/>
        <v>1502834</v>
      </c>
      <c r="CE270" s="2">
        <f t="shared" si="544"/>
        <v>272067</v>
      </c>
      <c r="CF270" s="2">
        <f t="shared" si="580"/>
        <v>1230767</v>
      </c>
      <c r="CG270" s="2">
        <f t="shared" si="545"/>
        <v>222813</v>
      </c>
      <c r="CH270" s="2">
        <f t="shared" si="581"/>
        <v>1007954</v>
      </c>
      <c r="CI270" s="2">
        <f t="shared" si="546"/>
        <v>182476</v>
      </c>
      <c r="CJ270" s="2">
        <f t="shared" si="582"/>
        <v>825478</v>
      </c>
      <c r="CK270" s="2">
        <f t="shared" si="547"/>
        <v>149441</v>
      </c>
      <c r="CL270" s="2">
        <f t="shared" si="583"/>
        <v>676037</v>
      </c>
      <c r="CM270" s="2">
        <f t="shared" si="548"/>
        <v>122387</v>
      </c>
      <c r="CN270" s="2">
        <f t="shared" si="584"/>
        <v>553650</v>
      </c>
      <c r="CO270" s="2">
        <f t="shared" si="549"/>
        <v>100231</v>
      </c>
      <c r="CP270" s="2">
        <f t="shared" si="585"/>
        <v>453419</v>
      </c>
      <c r="CQ270" s="2">
        <f t="shared" si="567"/>
        <v>82085</v>
      </c>
      <c r="CR270" s="2">
        <f t="shared" si="586"/>
        <v>371334</v>
      </c>
      <c r="CS270" s="2">
        <f t="shared" si="568"/>
        <v>29024.699999999953</v>
      </c>
      <c r="CT270" s="2">
        <f t="shared" si="569"/>
        <v>342309.30000000005</v>
      </c>
      <c r="CU270" s="2">
        <v>0</v>
      </c>
      <c r="CV270" s="2">
        <f t="shared" si="587"/>
        <v>342309.30000000005</v>
      </c>
      <c r="CW270" s="2">
        <v>0</v>
      </c>
      <c r="CX270" s="2">
        <f t="shared" si="588"/>
        <v>342309.30000000005</v>
      </c>
      <c r="CY270" s="2">
        <v>0</v>
      </c>
      <c r="CZ270" s="2">
        <f t="shared" si="589"/>
        <v>342309.30000000005</v>
      </c>
      <c r="DA270" s="2">
        <v>0</v>
      </c>
      <c r="DB270" s="2">
        <f t="shared" si="590"/>
        <v>342309.30000000005</v>
      </c>
      <c r="DC270" s="2">
        <v>0</v>
      </c>
      <c r="DD270" s="2">
        <f t="shared" si="591"/>
        <v>342309.30000000005</v>
      </c>
      <c r="DE270" s="2">
        <v>0</v>
      </c>
      <c r="DF270" s="2">
        <f t="shared" si="555"/>
        <v>342309.30000000005</v>
      </c>
      <c r="DG270" s="2">
        <v>0</v>
      </c>
      <c r="DH270" s="2">
        <f t="shared" si="556"/>
        <v>342309.30000000005</v>
      </c>
      <c r="DI270" s="2">
        <v>0</v>
      </c>
      <c r="DJ270" s="2">
        <f t="shared" si="557"/>
        <v>342309.30000000005</v>
      </c>
      <c r="DK270" s="2">
        <v>0</v>
      </c>
      <c r="DL270" s="2">
        <f t="shared" si="558"/>
        <v>342309.30000000005</v>
      </c>
      <c r="DM270" s="2">
        <v>0</v>
      </c>
      <c r="DN270" s="2">
        <f t="shared" si="559"/>
        <v>342309.30000000005</v>
      </c>
      <c r="DO270" s="2">
        <v>0</v>
      </c>
      <c r="DP270" s="2">
        <f t="shared" si="560"/>
        <v>342309.30000000005</v>
      </c>
      <c r="DQ270" s="2">
        <v>0</v>
      </c>
      <c r="DR270" s="2">
        <f t="shared" si="561"/>
        <v>342309.30000000005</v>
      </c>
      <c r="DS270" s="2">
        <v>0</v>
      </c>
      <c r="DT270" s="2">
        <f t="shared" si="592"/>
        <v>342309.30000000005</v>
      </c>
      <c r="DU270" s="2">
        <v>0</v>
      </c>
      <c r="DV270" s="2">
        <f t="shared" si="593"/>
        <v>342309.30000000005</v>
      </c>
      <c r="DW270" s="266">
        <f t="shared" si="553"/>
        <v>342309.30000000005</v>
      </c>
      <c r="DX270" s="441">
        <f t="shared" si="570"/>
        <v>0</v>
      </c>
    </row>
    <row r="271" spans="1:128">
      <c r="A271" s="413">
        <v>112</v>
      </c>
      <c r="B271" s="537"/>
      <c r="C271" s="433" t="s">
        <v>518</v>
      </c>
      <c r="D271" s="468"/>
      <c r="E271" s="469">
        <v>95000</v>
      </c>
      <c r="F271" s="470" t="s">
        <v>1080</v>
      </c>
      <c r="G271" s="481">
        <v>43708</v>
      </c>
      <c r="H271" s="443">
        <f t="shared" si="563"/>
        <v>49186</v>
      </c>
      <c r="I271" s="267">
        <v>15</v>
      </c>
      <c r="J271" s="267">
        <f t="shared" si="564"/>
        <v>214</v>
      </c>
      <c r="K271" s="267">
        <f t="shared" si="571"/>
        <v>151</v>
      </c>
      <c r="L271" s="483"/>
      <c r="M271" s="433"/>
      <c r="N271" s="484"/>
      <c r="O271" s="484"/>
      <c r="P271" s="433"/>
      <c r="Q271" s="484"/>
      <c r="R271" s="484"/>
      <c r="S271" s="433"/>
      <c r="T271" s="484"/>
      <c r="U271" s="484"/>
      <c r="V271" s="433"/>
      <c r="W271" s="484"/>
      <c r="X271" s="484"/>
      <c r="Y271" s="433"/>
      <c r="Z271" s="484"/>
      <c r="AA271" s="484"/>
      <c r="AB271" s="433"/>
      <c r="AC271" s="484"/>
      <c r="AD271" s="484"/>
      <c r="AE271" s="484"/>
      <c r="AF271" s="484"/>
      <c r="AG271" s="484"/>
      <c r="AH271" s="484"/>
      <c r="AI271" s="439">
        <v>15</v>
      </c>
      <c r="AJ271" s="436">
        <f t="shared" si="562"/>
        <v>15</v>
      </c>
      <c r="AK271" s="440">
        <f t="shared" si="572"/>
        <v>0.18103627252208465</v>
      </c>
      <c r="AL271" s="484"/>
      <c r="AM271" s="484"/>
      <c r="AN271" s="484"/>
      <c r="AO271" s="484"/>
      <c r="AP271" s="484"/>
      <c r="AQ271" s="484"/>
      <c r="AR271" s="433"/>
      <c r="AS271" s="484"/>
      <c r="AT271" s="319"/>
      <c r="AU271" s="319"/>
      <c r="AV271" s="319"/>
      <c r="AW271" s="319"/>
      <c r="AX271" s="319"/>
      <c r="AY271" s="319"/>
      <c r="AZ271" s="319"/>
      <c r="BA271" s="319"/>
      <c r="BB271" s="319"/>
      <c r="BC271" s="319"/>
      <c r="BD271" s="319"/>
      <c r="BE271" s="319"/>
      <c r="BF271" s="319"/>
      <c r="BG271" s="319"/>
      <c r="BH271" s="319"/>
      <c r="BI271" s="2"/>
      <c r="BJ271" s="2"/>
      <c r="BK271" s="2">
        <f t="shared" si="565"/>
        <v>10083</v>
      </c>
      <c r="BL271" s="331">
        <f t="shared" si="566"/>
        <v>84917</v>
      </c>
      <c r="BM271" s="331"/>
      <c r="BN271" s="2">
        <f t="shared" si="551"/>
        <v>84917</v>
      </c>
      <c r="BO271" s="2">
        <f t="shared" si="537"/>
        <v>15373</v>
      </c>
      <c r="BP271" s="2">
        <f t="shared" si="573"/>
        <v>69544</v>
      </c>
      <c r="BQ271" s="2"/>
      <c r="BR271" s="2">
        <f t="shared" si="552"/>
        <v>69544</v>
      </c>
      <c r="BS271" s="2">
        <f t="shared" si="538"/>
        <v>12590</v>
      </c>
      <c r="BT271" s="2">
        <f t="shared" si="574"/>
        <v>56954</v>
      </c>
      <c r="BU271" s="2">
        <f t="shared" si="539"/>
        <v>10311</v>
      </c>
      <c r="BV271" s="2">
        <f t="shared" si="575"/>
        <v>46643</v>
      </c>
      <c r="BW271" s="2">
        <f t="shared" si="540"/>
        <v>8444</v>
      </c>
      <c r="BX271" s="2">
        <f t="shared" si="576"/>
        <v>38199</v>
      </c>
      <c r="BY271" s="2">
        <f t="shared" si="541"/>
        <v>6915</v>
      </c>
      <c r="BZ271" s="2">
        <f t="shared" si="577"/>
        <v>31284</v>
      </c>
      <c r="CA271" s="2">
        <f t="shared" si="542"/>
        <v>5664</v>
      </c>
      <c r="CB271" s="2">
        <f t="shared" si="578"/>
        <v>25620</v>
      </c>
      <c r="CC271" s="2">
        <f t="shared" si="543"/>
        <v>4638</v>
      </c>
      <c r="CD271" s="2">
        <f t="shared" si="579"/>
        <v>20982</v>
      </c>
      <c r="CE271" s="2">
        <f t="shared" si="544"/>
        <v>3799</v>
      </c>
      <c r="CF271" s="2">
        <f t="shared" si="580"/>
        <v>17183</v>
      </c>
      <c r="CG271" s="2">
        <f t="shared" si="545"/>
        <v>3111</v>
      </c>
      <c r="CH271" s="2">
        <f t="shared" si="581"/>
        <v>14072</v>
      </c>
      <c r="CI271" s="2">
        <f t="shared" si="546"/>
        <v>2548</v>
      </c>
      <c r="CJ271" s="2">
        <f t="shared" si="582"/>
        <v>11524</v>
      </c>
      <c r="CK271" s="2">
        <f t="shared" si="547"/>
        <v>2086</v>
      </c>
      <c r="CL271" s="2">
        <f t="shared" si="583"/>
        <v>9438</v>
      </c>
      <c r="CM271" s="2">
        <f t="shared" si="548"/>
        <v>1709</v>
      </c>
      <c r="CN271" s="2">
        <f t="shared" si="584"/>
        <v>7729</v>
      </c>
      <c r="CO271" s="2">
        <f t="shared" si="549"/>
        <v>1399</v>
      </c>
      <c r="CP271" s="2">
        <f t="shared" si="585"/>
        <v>6330</v>
      </c>
      <c r="CQ271" s="2">
        <f t="shared" si="567"/>
        <v>1146</v>
      </c>
      <c r="CR271" s="2">
        <f t="shared" si="586"/>
        <v>5184</v>
      </c>
      <c r="CS271" s="2">
        <f t="shared" si="568"/>
        <v>434</v>
      </c>
      <c r="CT271" s="2">
        <f t="shared" si="569"/>
        <v>4750</v>
      </c>
      <c r="CU271" s="2">
        <v>0</v>
      </c>
      <c r="CV271" s="2">
        <f t="shared" si="587"/>
        <v>4750</v>
      </c>
      <c r="CW271" s="2">
        <v>0</v>
      </c>
      <c r="CX271" s="2">
        <f t="shared" si="588"/>
        <v>4750</v>
      </c>
      <c r="CY271" s="2">
        <v>0</v>
      </c>
      <c r="CZ271" s="2">
        <f t="shared" si="589"/>
        <v>4750</v>
      </c>
      <c r="DA271" s="2">
        <v>0</v>
      </c>
      <c r="DB271" s="2">
        <f t="shared" si="590"/>
        <v>4750</v>
      </c>
      <c r="DC271" s="2">
        <v>0</v>
      </c>
      <c r="DD271" s="2">
        <f t="shared" si="591"/>
        <v>4750</v>
      </c>
      <c r="DE271" s="2">
        <v>0</v>
      </c>
      <c r="DF271" s="2">
        <f t="shared" si="555"/>
        <v>4750</v>
      </c>
      <c r="DG271" s="2">
        <v>0</v>
      </c>
      <c r="DH271" s="2">
        <f t="shared" si="556"/>
        <v>4750</v>
      </c>
      <c r="DI271" s="2">
        <v>0</v>
      </c>
      <c r="DJ271" s="2">
        <f t="shared" si="557"/>
        <v>4750</v>
      </c>
      <c r="DK271" s="2">
        <v>0</v>
      </c>
      <c r="DL271" s="2">
        <f t="shared" si="558"/>
        <v>4750</v>
      </c>
      <c r="DM271" s="2">
        <v>0</v>
      </c>
      <c r="DN271" s="2">
        <f t="shared" si="559"/>
        <v>4750</v>
      </c>
      <c r="DO271" s="2">
        <v>0</v>
      </c>
      <c r="DP271" s="2">
        <f t="shared" si="560"/>
        <v>4750</v>
      </c>
      <c r="DQ271" s="2">
        <v>0</v>
      </c>
      <c r="DR271" s="2">
        <f t="shared" si="561"/>
        <v>4750</v>
      </c>
      <c r="DS271" s="2">
        <v>0</v>
      </c>
      <c r="DT271" s="2">
        <f t="shared" si="592"/>
        <v>4750</v>
      </c>
      <c r="DU271" s="2">
        <v>0</v>
      </c>
      <c r="DV271" s="2">
        <f t="shared" si="593"/>
        <v>4750</v>
      </c>
      <c r="DW271" s="266">
        <f t="shared" si="553"/>
        <v>4750</v>
      </c>
      <c r="DX271" s="441">
        <f t="shared" si="570"/>
        <v>0</v>
      </c>
    </row>
    <row r="272" spans="1:128">
      <c r="A272" s="413">
        <v>113</v>
      </c>
      <c r="B272" s="537"/>
      <c r="C272" s="433" t="s">
        <v>518</v>
      </c>
      <c r="D272" s="468"/>
      <c r="E272" s="469">
        <v>46200</v>
      </c>
      <c r="F272" s="470" t="s">
        <v>1080</v>
      </c>
      <c r="G272" s="481">
        <v>43709</v>
      </c>
      <c r="H272" s="443">
        <f t="shared" si="563"/>
        <v>49187</v>
      </c>
      <c r="I272" s="267">
        <v>15</v>
      </c>
      <c r="J272" s="267">
        <f t="shared" si="564"/>
        <v>213</v>
      </c>
      <c r="K272" s="267">
        <f t="shared" si="571"/>
        <v>152</v>
      </c>
      <c r="L272" s="483"/>
      <c r="M272" s="433"/>
      <c r="N272" s="484"/>
      <c r="O272" s="484"/>
      <c r="P272" s="433"/>
      <c r="Q272" s="484"/>
      <c r="R272" s="484"/>
      <c r="S272" s="433"/>
      <c r="T272" s="484"/>
      <c r="U272" s="484"/>
      <c r="V272" s="433"/>
      <c r="W272" s="484"/>
      <c r="X272" s="484"/>
      <c r="Y272" s="433"/>
      <c r="Z272" s="484"/>
      <c r="AA272" s="484"/>
      <c r="AB272" s="433"/>
      <c r="AC272" s="484"/>
      <c r="AD272" s="484"/>
      <c r="AE272" s="484"/>
      <c r="AF272" s="484"/>
      <c r="AG272" s="484"/>
      <c r="AH272" s="484"/>
      <c r="AI272" s="439">
        <v>15</v>
      </c>
      <c r="AJ272" s="436">
        <f t="shared" si="562"/>
        <v>15</v>
      </c>
      <c r="AK272" s="440">
        <f t="shared" si="572"/>
        <v>0.18103627252208465</v>
      </c>
      <c r="AL272" s="484"/>
      <c r="AM272" s="484"/>
      <c r="AN272" s="484"/>
      <c r="AO272" s="484"/>
      <c r="AP272" s="484"/>
      <c r="AQ272" s="484"/>
      <c r="AR272" s="433"/>
      <c r="AS272" s="484"/>
      <c r="AT272" s="319"/>
      <c r="AU272" s="319"/>
      <c r="AV272" s="319"/>
      <c r="AW272" s="319"/>
      <c r="AX272" s="319"/>
      <c r="AY272" s="319"/>
      <c r="AZ272" s="319"/>
      <c r="BA272" s="319"/>
      <c r="BB272" s="319"/>
      <c r="BC272" s="319"/>
      <c r="BD272" s="319"/>
      <c r="BE272" s="319"/>
      <c r="BF272" s="319"/>
      <c r="BG272" s="319"/>
      <c r="BH272" s="319"/>
      <c r="BI272" s="2"/>
      <c r="BJ272" s="2"/>
      <c r="BK272" s="2">
        <f t="shared" si="565"/>
        <v>4881</v>
      </c>
      <c r="BL272" s="331">
        <f t="shared" si="566"/>
        <v>41319</v>
      </c>
      <c r="BM272" s="331"/>
      <c r="BN272" s="2">
        <f t="shared" si="551"/>
        <v>41319</v>
      </c>
      <c r="BO272" s="2">
        <f t="shared" si="537"/>
        <v>7480</v>
      </c>
      <c r="BP272" s="2">
        <f t="shared" si="573"/>
        <v>33839</v>
      </c>
      <c r="BQ272" s="2"/>
      <c r="BR272" s="2">
        <f t="shared" si="552"/>
        <v>33839</v>
      </c>
      <c r="BS272" s="2">
        <f t="shared" si="538"/>
        <v>6126</v>
      </c>
      <c r="BT272" s="2">
        <f t="shared" si="574"/>
        <v>27713</v>
      </c>
      <c r="BU272" s="2">
        <f t="shared" si="539"/>
        <v>5017</v>
      </c>
      <c r="BV272" s="2">
        <f t="shared" si="575"/>
        <v>22696</v>
      </c>
      <c r="BW272" s="2">
        <f t="shared" si="540"/>
        <v>4109</v>
      </c>
      <c r="BX272" s="2">
        <f t="shared" si="576"/>
        <v>18587</v>
      </c>
      <c r="BY272" s="2">
        <f t="shared" si="541"/>
        <v>3365</v>
      </c>
      <c r="BZ272" s="2">
        <f t="shared" si="577"/>
        <v>15222</v>
      </c>
      <c r="CA272" s="2">
        <f t="shared" si="542"/>
        <v>2756</v>
      </c>
      <c r="CB272" s="2">
        <f t="shared" si="578"/>
        <v>12466</v>
      </c>
      <c r="CC272" s="2">
        <f t="shared" si="543"/>
        <v>2257</v>
      </c>
      <c r="CD272" s="2">
        <f t="shared" si="579"/>
        <v>10209</v>
      </c>
      <c r="CE272" s="2">
        <f t="shared" si="544"/>
        <v>1848</v>
      </c>
      <c r="CF272" s="2">
        <f t="shared" si="580"/>
        <v>8361</v>
      </c>
      <c r="CG272" s="2">
        <f t="shared" si="545"/>
        <v>1514</v>
      </c>
      <c r="CH272" s="2">
        <f t="shared" si="581"/>
        <v>6847</v>
      </c>
      <c r="CI272" s="2">
        <f t="shared" si="546"/>
        <v>1240</v>
      </c>
      <c r="CJ272" s="2">
        <f t="shared" si="582"/>
        <v>5607</v>
      </c>
      <c r="CK272" s="2">
        <f t="shared" si="547"/>
        <v>1015</v>
      </c>
      <c r="CL272" s="2">
        <f t="shared" si="583"/>
        <v>4592</v>
      </c>
      <c r="CM272" s="2">
        <f t="shared" si="548"/>
        <v>831</v>
      </c>
      <c r="CN272" s="2">
        <f t="shared" si="584"/>
        <v>3761</v>
      </c>
      <c r="CO272" s="2">
        <f t="shared" si="549"/>
        <v>681</v>
      </c>
      <c r="CP272" s="2">
        <f t="shared" si="585"/>
        <v>3080</v>
      </c>
      <c r="CQ272" s="2">
        <f t="shared" si="567"/>
        <v>558</v>
      </c>
      <c r="CR272" s="2">
        <f t="shared" si="586"/>
        <v>2522</v>
      </c>
      <c r="CS272" s="2">
        <f t="shared" si="568"/>
        <v>212</v>
      </c>
      <c r="CT272" s="2">
        <f t="shared" si="569"/>
        <v>2310</v>
      </c>
      <c r="CU272" s="2">
        <v>0</v>
      </c>
      <c r="CV272" s="2">
        <f t="shared" si="587"/>
        <v>2310</v>
      </c>
      <c r="CW272" s="2">
        <v>0</v>
      </c>
      <c r="CX272" s="2">
        <f t="shared" si="588"/>
        <v>2310</v>
      </c>
      <c r="CY272" s="2">
        <v>0</v>
      </c>
      <c r="CZ272" s="2">
        <f t="shared" si="589"/>
        <v>2310</v>
      </c>
      <c r="DA272" s="2">
        <v>0</v>
      </c>
      <c r="DB272" s="2">
        <f t="shared" si="590"/>
        <v>2310</v>
      </c>
      <c r="DC272" s="2">
        <v>0</v>
      </c>
      <c r="DD272" s="2">
        <f t="shared" si="591"/>
        <v>2310</v>
      </c>
      <c r="DE272" s="2">
        <v>0</v>
      </c>
      <c r="DF272" s="2">
        <f t="shared" si="555"/>
        <v>2310</v>
      </c>
      <c r="DG272" s="2">
        <v>0</v>
      </c>
      <c r="DH272" s="2">
        <f t="shared" si="556"/>
        <v>2310</v>
      </c>
      <c r="DI272" s="2">
        <v>0</v>
      </c>
      <c r="DJ272" s="2">
        <f t="shared" si="557"/>
        <v>2310</v>
      </c>
      <c r="DK272" s="2">
        <v>0</v>
      </c>
      <c r="DL272" s="2">
        <f t="shared" si="558"/>
        <v>2310</v>
      </c>
      <c r="DM272" s="2">
        <v>0</v>
      </c>
      <c r="DN272" s="2">
        <f t="shared" si="559"/>
        <v>2310</v>
      </c>
      <c r="DO272" s="2">
        <v>0</v>
      </c>
      <c r="DP272" s="2">
        <f t="shared" si="560"/>
        <v>2310</v>
      </c>
      <c r="DQ272" s="2">
        <v>0</v>
      </c>
      <c r="DR272" s="2">
        <f t="shared" si="561"/>
        <v>2310</v>
      </c>
      <c r="DS272" s="2">
        <v>0</v>
      </c>
      <c r="DT272" s="2">
        <f t="shared" si="592"/>
        <v>2310</v>
      </c>
      <c r="DU272" s="2">
        <v>0</v>
      </c>
      <c r="DV272" s="2">
        <f t="shared" si="593"/>
        <v>2310</v>
      </c>
      <c r="DW272" s="266">
        <f t="shared" si="553"/>
        <v>2310</v>
      </c>
      <c r="DX272" s="441">
        <f t="shared" si="570"/>
        <v>0</v>
      </c>
    </row>
    <row r="273" spans="1:128">
      <c r="A273" s="413">
        <v>114</v>
      </c>
      <c r="B273" s="537"/>
      <c r="C273" s="433" t="s">
        <v>518</v>
      </c>
      <c r="D273" s="468"/>
      <c r="E273" s="469">
        <v>55000</v>
      </c>
      <c r="F273" s="470" t="s">
        <v>1080</v>
      </c>
      <c r="G273" s="481">
        <v>43773</v>
      </c>
      <c r="H273" s="443">
        <f t="shared" si="563"/>
        <v>49251</v>
      </c>
      <c r="I273" s="267">
        <v>15</v>
      </c>
      <c r="J273" s="267">
        <f t="shared" si="564"/>
        <v>149</v>
      </c>
      <c r="K273" s="267">
        <f t="shared" si="571"/>
        <v>216</v>
      </c>
      <c r="L273" s="483"/>
      <c r="M273" s="433"/>
      <c r="N273" s="484"/>
      <c r="O273" s="484"/>
      <c r="P273" s="433"/>
      <c r="Q273" s="484"/>
      <c r="R273" s="484"/>
      <c r="S273" s="433"/>
      <c r="T273" s="484"/>
      <c r="U273" s="484"/>
      <c r="V273" s="433"/>
      <c r="W273" s="484"/>
      <c r="X273" s="484"/>
      <c r="Y273" s="433"/>
      <c r="Z273" s="484"/>
      <c r="AA273" s="484"/>
      <c r="AB273" s="433"/>
      <c r="AC273" s="484"/>
      <c r="AD273" s="484"/>
      <c r="AE273" s="484"/>
      <c r="AF273" s="484"/>
      <c r="AG273" s="484"/>
      <c r="AH273" s="484"/>
      <c r="AI273" s="439">
        <v>15</v>
      </c>
      <c r="AJ273" s="436">
        <f t="shared" si="562"/>
        <v>15</v>
      </c>
      <c r="AK273" s="440">
        <f t="shared" si="572"/>
        <v>0.18103627252208465</v>
      </c>
      <c r="AL273" s="484"/>
      <c r="AM273" s="484"/>
      <c r="AN273" s="484"/>
      <c r="AO273" s="484"/>
      <c r="AP273" s="484"/>
      <c r="AQ273" s="484"/>
      <c r="AR273" s="433"/>
      <c r="AS273" s="484"/>
      <c r="AT273" s="319"/>
      <c r="AU273" s="319"/>
      <c r="AV273" s="319"/>
      <c r="AW273" s="319"/>
      <c r="AX273" s="319"/>
      <c r="AY273" s="319"/>
      <c r="AZ273" s="319"/>
      <c r="BA273" s="319"/>
      <c r="BB273" s="319"/>
      <c r="BC273" s="319"/>
      <c r="BD273" s="319"/>
      <c r="BE273" s="319"/>
      <c r="BF273" s="319"/>
      <c r="BG273" s="319"/>
      <c r="BH273" s="319"/>
      <c r="BI273" s="2"/>
      <c r="BJ273" s="2"/>
      <c r="BK273" s="2">
        <f t="shared" si="565"/>
        <v>4065</v>
      </c>
      <c r="BL273" s="331">
        <f t="shared" si="566"/>
        <v>50935</v>
      </c>
      <c r="BM273" s="331"/>
      <c r="BN273" s="2">
        <f t="shared" si="551"/>
        <v>50935</v>
      </c>
      <c r="BO273" s="2">
        <f t="shared" si="537"/>
        <v>9221</v>
      </c>
      <c r="BP273" s="2">
        <f t="shared" si="573"/>
        <v>41714</v>
      </c>
      <c r="BQ273" s="2"/>
      <c r="BR273" s="2">
        <f t="shared" si="552"/>
        <v>41714</v>
      </c>
      <c r="BS273" s="2">
        <f t="shared" si="538"/>
        <v>7552</v>
      </c>
      <c r="BT273" s="2">
        <f t="shared" si="574"/>
        <v>34162</v>
      </c>
      <c r="BU273" s="2">
        <f t="shared" si="539"/>
        <v>6185</v>
      </c>
      <c r="BV273" s="2">
        <f t="shared" si="575"/>
        <v>27977</v>
      </c>
      <c r="BW273" s="2">
        <f t="shared" si="540"/>
        <v>5065</v>
      </c>
      <c r="BX273" s="2">
        <f t="shared" si="576"/>
        <v>22912</v>
      </c>
      <c r="BY273" s="2">
        <f t="shared" si="541"/>
        <v>4148</v>
      </c>
      <c r="BZ273" s="2">
        <f t="shared" si="577"/>
        <v>18764</v>
      </c>
      <c r="CA273" s="2">
        <f t="shared" si="542"/>
        <v>3397</v>
      </c>
      <c r="CB273" s="2">
        <f t="shared" si="578"/>
        <v>15367</v>
      </c>
      <c r="CC273" s="2">
        <f t="shared" si="543"/>
        <v>2782</v>
      </c>
      <c r="CD273" s="2">
        <f t="shared" si="579"/>
        <v>12585</v>
      </c>
      <c r="CE273" s="2">
        <f t="shared" si="544"/>
        <v>2278</v>
      </c>
      <c r="CF273" s="2">
        <f t="shared" si="580"/>
        <v>10307</v>
      </c>
      <c r="CG273" s="2">
        <f t="shared" si="545"/>
        <v>1866</v>
      </c>
      <c r="CH273" s="2">
        <f t="shared" si="581"/>
        <v>8441</v>
      </c>
      <c r="CI273" s="2">
        <f t="shared" si="546"/>
        <v>1528</v>
      </c>
      <c r="CJ273" s="2">
        <f t="shared" si="582"/>
        <v>6913</v>
      </c>
      <c r="CK273" s="2">
        <f t="shared" si="547"/>
        <v>1252</v>
      </c>
      <c r="CL273" s="2">
        <f t="shared" si="583"/>
        <v>5661</v>
      </c>
      <c r="CM273" s="2">
        <f t="shared" si="548"/>
        <v>1025</v>
      </c>
      <c r="CN273" s="2">
        <f t="shared" si="584"/>
        <v>4636</v>
      </c>
      <c r="CO273" s="2">
        <f t="shared" si="549"/>
        <v>839</v>
      </c>
      <c r="CP273" s="2">
        <f t="shared" si="585"/>
        <v>3797</v>
      </c>
      <c r="CQ273" s="2">
        <f t="shared" si="567"/>
        <v>687</v>
      </c>
      <c r="CR273" s="2">
        <f t="shared" si="586"/>
        <v>3110</v>
      </c>
      <c r="CS273" s="2">
        <f t="shared" si="568"/>
        <v>360</v>
      </c>
      <c r="CT273" s="2">
        <f t="shared" si="569"/>
        <v>2750</v>
      </c>
      <c r="CU273" s="2">
        <v>0</v>
      </c>
      <c r="CV273" s="2">
        <f t="shared" si="587"/>
        <v>2750</v>
      </c>
      <c r="CW273" s="2">
        <v>0</v>
      </c>
      <c r="CX273" s="2">
        <f t="shared" si="588"/>
        <v>2750</v>
      </c>
      <c r="CY273" s="2">
        <v>0</v>
      </c>
      <c r="CZ273" s="2">
        <f t="shared" si="589"/>
        <v>2750</v>
      </c>
      <c r="DA273" s="2">
        <v>0</v>
      </c>
      <c r="DB273" s="2">
        <f t="shared" si="590"/>
        <v>2750</v>
      </c>
      <c r="DC273" s="2">
        <v>0</v>
      </c>
      <c r="DD273" s="2">
        <f t="shared" si="591"/>
        <v>2750</v>
      </c>
      <c r="DE273" s="2">
        <v>0</v>
      </c>
      <c r="DF273" s="2">
        <f t="shared" si="555"/>
        <v>2750</v>
      </c>
      <c r="DG273" s="2">
        <v>0</v>
      </c>
      <c r="DH273" s="2">
        <f t="shared" si="556"/>
        <v>2750</v>
      </c>
      <c r="DI273" s="2">
        <v>0</v>
      </c>
      <c r="DJ273" s="2">
        <f t="shared" si="557"/>
        <v>2750</v>
      </c>
      <c r="DK273" s="2">
        <v>0</v>
      </c>
      <c r="DL273" s="2">
        <f t="shared" si="558"/>
        <v>2750</v>
      </c>
      <c r="DM273" s="2">
        <v>0</v>
      </c>
      <c r="DN273" s="2">
        <f t="shared" si="559"/>
        <v>2750</v>
      </c>
      <c r="DO273" s="2">
        <v>0</v>
      </c>
      <c r="DP273" s="2">
        <f t="shared" si="560"/>
        <v>2750</v>
      </c>
      <c r="DQ273" s="2">
        <v>0</v>
      </c>
      <c r="DR273" s="2">
        <f t="shared" si="561"/>
        <v>2750</v>
      </c>
      <c r="DS273" s="2">
        <v>0</v>
      </c>
      <c r="DT273" s="2">
        <f t="shared" si="592"/>
        <v>2750</v>
      </c>
      <c r="DU273" s="2">
        <v>0</v>
      </c>
      <c r="DV273" s="2">
        <f t="shared" si="593"/>
        <v>2750</v>
      </c>
      <c r="DW273" s="266">
        <f t="shared" si="553"/>
        <v>2750</v>
      </c>
      <c r="DX273" s="441">
        <f t="shared" si="570"/>
        <v>0</v>
      </c>
    </row>
    <row r="274" spans="1:128">
      <c r="A274" s="413">
        <v>115</v>
      </c>
      <c r="B274" s="537"/>
      <c r="C274" s="433" t="s">
        <v>518</v>
      </c>
      <c r="D274" s="468"/>
      <c r="E274" s="469">
        <v>528000</v>
      </c>
      <c r="F274" s="470" t="s">
        <v>1080</v>
      </c>
      <c r="G274" s="481">
        <v>43774</v>
      </c>
      <c r="H274" s="443">
        <f t="shared" si="563"/>
        <v>49252</v>
      </c>
      <c r="I274" s="267">
        <v>15</v>
      </c>
      <c r="J274" s="267">
        <f t="shared" si="564"/>
        <v>148</v>
      </c>
      <c r="K274" s="267">
        <f t="shared" si="571"/>
        <v>217</v>
      </c>
      <c r="L274" s="483"/>
      <c r="M274" s="433"/>
      <c r="N274" s="484"/>
      <c r="O274" s="484"/>
      <c r="P274" s="433"/>
      <c r="Q274" s="484"/>
      <c r="R274" s="484"/>
      <c r="S274" s="433"/>
      <c r="T274" s="484"/>
      <c r="U274" s="484"/>
      <c r="V274" s="433"/>
      <c r="W274" s="484"/>
      <c r="X274" s="484"/>
      <c r="Y274" s="433"/>
      <c r="Z274" s="484"/>
      <c r="AA274" s="484"/>
      <c r="AB274" s="433"/>
      <c r="AC274" s="484"/>
      <c r="AD274" s="484"/>
      <c r="AE274" s="484"/>
      <c r="AF274" s="484"/>
      <c r="AG274" s="484"/>
      <c r="AH274" s="484"/>
      <c r="AI274" s="439">
        <v>15</v>
      </c>
      <c r="AJ274" s="436">
        <f t="shared" si="562"/>
        <v>15</v>
      </c>
      <c r="AK274" s="440">
        <f t="shared" si="572"/>
        <v>0.18103627252208465</v>
      </c>
      <c r="AL274" s="484"/>
      <c r="AM274" s="484"/>
      <c r="AN274" s="484"/>
      <c r="AO274" s="484"/>
      <c r="AP274" s="484"/>
      <c r="AQ274" s="484"/>
      <c r="AR274" s="433"/>
      <c r="AS274" s="484"/>
      <c r="AT274" s="319"/>
      <c r="AU274" s="319"/>
      <c r="AV274" s="319"/>
      <c r="AW274" s="319"/>
      <c r="AX274" s="319"/>
      <c r="AY274" s="319"/>
      <c r="AZ274" s="319"/>
      <c r="BA274" s="319"/>
      <c r="BB274" s="319"/>
      <c r="BC274" s="319"/>
      <c r="BD274" s="319"/>
      <c r="BE274" s="319"/>
      <c r="BF274" s="319"/>
      <c r="BG274" s="319"/>
      <c r="BH274" s="319"/>
      <c r="BI274" s="2"/>
      <c r="BJ274" s="2"/>
      <c r="BK274" s="2">
        <f t="shared" si="565"/>
        <v>38759</v>
      </c>
      <c r="BL274" s="331">
        <f t="shared" si="566"/>
        <v>489241</v>
      </c>
      <c r="BM274" s="331"/>
      <c r="BN274" s="2">
        <f t="shared" si="551"/>
        <v>489241</v>
      </c>
      <c r="BO274" s="2">
        <f t="shared" si="537"/>
        <v>88570</v>
      </c>
      <c r="BP274" s="2">
        <f t="shared" si="573"/>
        <v>400671</v>
      </c>
      <c r="BQ274" s="2"/>
      <c r="BR274" s="2">
        <f t="shared" si="552"/>
        <v>400671</v>
      </c>
      <c r="BS274" s="2">
        <f t="shared" si="538"/>
        <v>72536</v>
      </c>
      <c r="BT274" s="2">
        <f t="shared" si="574"/>
        <v>328135</v>
      </c>
      <c r="BU274" s="2">
        <f t="shared" si="539"/>
        <v>59404</v>
      </c>
      <c r="BV274" s="2">
        <f t="shared" si="575"/>
        <v>268731</v>
      </c>
      <c r="BW274" s="2">
        <f t="shared" si="540"/>
        <v>48650</v>
      </c>
      <c r="BX274" s="2">
        <f t="shared" si="576"/>
        <v>220081</v>
      </c>
      <c r="BY274" s="2">
        <f t="shared" si="541"/>
        <v>39843</v>
      </c>
      <c r="BZ274" s="2">
        <f t="shared" si="577"/>
        <v>180238</v>
      </c>
      <c r="CA274" s="2">
        <f t="shared" si="542"/>
        <v>32630</v>
      </c>
      <c r="CB274" s="2">
        <f t="shared" si="578"/>
        <v>147608</v>
      </c>
      <c r="CC274" s="2">
        <f t="shared" si="543"/>
        <v>26722</v>
      </c>
      <c r="CD274" s="2">
        <f t="shared" si="579"/>
        <v>120886</v>
      </c>
      <c r="CE274" s="2">
        <f t="shared" si="544"/>
        <v>21885</v>
      </c>
      <c r="CF274" s="2">
        <f t="shared" si="580"/>
        <v>99001</v>
      </c>
      <c r="CG274" s="2">
        <f t="shared" si="545"/>
        <v>17923</v>
      </c>
      <c r="CH274" s="2">
        <f t="shared" si="581"/>
        <v>81078</v>
      </c>
      <c r="CI274" s="2">
        <f t="shared" si="546"/>
        <v>14678</v>
      </c>
      <c r="CJ274" s="2">
        <f t="shared" si="582"/>
        <v>66400</v>
      </c>
      <c r="CK274" s="2">
        <f t="shared" si="547"/>
        <v>12021</v>
      </c>
      <c r="CL274" s="2">
        <f t="shared" si="583"/>
        <v>54379</v>
      </c>
      <c r="CM274" s="2">
        <f t="shared" si="548"/>
        <v>9845</v>
      </c>
      <c r="CN274" s="2">
        <f t="shared" si="584"/>
        <v>44534</v>
      </c>
      <c r="CO274" s="2">
        <f t="shared" si="549"/>
        <v>8062</v>
      </c>
      <c r="CP274" s="2">
        <f t="shared" si="585"/>
        <v>36472</v>
      </c>
      <c r="CQ274" s="2">
        <f t="shared" si="567"/>
        <v>6603</v>
      </c>
      <c r="CR274" s="2">
        <f t="shared" si="586"/>
        <v>29869</v>
      </c>
      <c r="CS274" s="2">
        <f t="shared" si="568"/>
        <v>3469</v>
      </c>
      <c r="CT274" s="2">
        <f t="shared" si="569"/>
        <v>26400</v>
      </c>
      <c r="CU274" s="2">
        <v>0</v>
      </c>
      <c r="CV274" s="2">
        <f t="shared" si="587"/>
        <v>26400</v>
      </c>
      <c r="CW274" s="2">
        <v>0</v>
      </c>
      <c r="CX274" s="2">
        <f t="shared" si="588"/>
        <v>26400</v>
      </c>
      <c r="CY274" s="2">
        <v>0</v>
      </c>
      <c r="CZ274" s="2">
        <f t="shared" si="589"/>
        <v>26400</v>
      </c>
      <c r="DA274" s="2">
        <v>0</v>
      </c>
      <c r="DB274" s="2">
        <f t="shared" si="590"/>
        <v>26400</v>
      </c>
      <c r="DC274" s="2">
        <v>0</v>
      </c>
      <c r="DD274" s="2">
        <f t="shared" si="591"/>
        <v>26400</v>
      </c>
      <c r="DE274" s="2">
        <v>0</v>
      </c>
      <c r="DF274" s="2">
        <f t="shared" si="555"/>
        <v>26400</v>
      </c>
      <c r="DG274" s="2">
        <v>0</v>
      </c>
      <c r="DH274" s="2">
        <f t="shared" si="556"/>
        <v>26400</v>
      </c>
      <c r="DI274" s="2">
        <v>0</v>
      </c>
      <c r="DJ274" s="2">
        <f t="shared" si="557"/>
        <v>26400</v>
      </c>
      <c r="DK274" s="2">
        <v>0</v>
      </c>
      <c r="DL274" s="2">
        <f t="shared" si="558"/>
        <v>26400</v>
      </c>
      <c r="DM274" s="2">
        <v>0</v>
      </c>
      <c r="DN274" s="2">
        <f t="shared" si="559"/>
        <v>26400</v>
      </c>
      <c r="DO274" s="2">
        <v>0</v>
      </c>
      <c r="DP274" s="2">
        <f t="shared" si="560"/>
        <v>26400</v>
      </c>
      <c r="DQ274" s="2">
        <v>0</v>
      </c>
      <c r="DR274" s="2">
        <f t="shared" si="561"/>
        <v>26400</v>
      </c>
      <c r="DS274" s="2">
        <v>0</v>
      </c>
      <c r="DT274" s="2">
        <f t="shared" si="592"/>
        <v>26400</v>
      </c>
      <c r="DU274" s="2">
        <v>0</v>
      </c>
      <c r="DV274" s="2">
        <f t="shared" si="593"/>
        <v>26400</v>
      </c>
      <c r="DW274" s="266">
        <f t="shared" si="553"/>
        <v>26400</v>
      </c>
      <c r="DX274" s="441">
        <f t="shared" si="570"/>
        <v>0</v>
      </c>
    </row>
    <row r="275" spans="1:128">
      <c r="A275" s="413">
        <v>116</v>
      </c>
      <c r="B275" s="537"/>
      <c r="C275" s="433" t="s">
        <v>518</v>
      </c>
      <c r="D275" s="468"/>
      <c r="E275" s="469">
        <v>24000000</v>
      </c>
      <c r="F275" s="470" t="s">
        <v>1080</v>
      </c>
      <c r="G275" s="481">
        <v>43776</v>
      </c>
      <c r="H275" s="443">
        <f t="shared" si="563"/>
        <v>49254</v>
      </c>
      <c r="I275" s="267">
        <v>15</v>
      </c>
      <c r="J275" s="267">
        <f t="shared" si="564"/>
        <v>146</v>
      </c>
      <c r="K275" s="267">
        <f t="shared" si="571"/>
        <v>219</v>
      </c>
      <c r="L275" s="483"/>
      <c r="M275" s="433"/>
      <c r="N275" s="484"/>
      <c r="O275" s="484"/>
      <c r="P275" s="433"/>
      <c r="Q275" s="484"/>
      <c r="R275" s="484"/>
      <c r="S275" s="433"/>
      <c r="T275" s="484"/>
      <c r="U275" s="484"/>
      <c r="V275" s="433"/>
      <c r="W275" s="484"/>
      <c r="X275" s="484"/>
      <c r="Y275" s="433"/>
      <c r="Z275" s="484"/>
      <c r="AA275" s="484"/>
      <c r="AB275" s="433"/>
      <c r="AC275" s="484"/>
      <c r="AD275" s="484"/>
      <c r="AE275" s="484"/>
      <c r="AF275" s="484"/>
      <c r="AG275" s="484"/>
      <c r="AH275" s="484"/>
      <c r="AI275" s="439">
        <v>15</v>
      </c>
      <c r="AJ275" s="436">
        <f t="shared" si="562"/>
        <v>15</v>
      </c>
      <c r="AK275" s="440">
        <f t="shared" si="572"/>
        <v>0.18103627252208465</v>
      </c>
      <c r="AL275" s="484"/>
      <c r="AM275" s="484"/>
      <c r="AN275" s="484"/>
      <c r="AO275" s="484"/>
      <c r="AP275" s="484"/>
      <c r="AQ275" s="484"/>
      <c r="AR275" s="433"/>
      <c r="AS275" s="484"/>
      <c r="AT275" s="319"/>
      <c r="AU275" s="319"/>
      <c r="AV275" s="319"/>
      <c r="AW275" s="319"/>
      <c r="AX275" s="319"/>
      <c r="AY275" s="319"/>
      <c r="AZ275" s="319"/>
      <c r="BA275" s="319"/>
      <c r="BB275" s="319"/>
      <c r="BC275" s="319"/>
      <c r="BD275" s="319"/>
      <c r="BE275" s="319"/>
      <c r="BF275" s="319"/>
      <c r="BG275" s="319"/>
      <c r="BH275" s="319"/>
      <c r="BI275" s="2"/>
      <c r="BJ275" s="2"/>
      <c r="BK275" s="2">
        <f t="shared" si="565"/>
        <v>1737948</v>
      </c>
      <c r="BL275" s="331">
        <f t="shared" si="566"/>
        <v>22262052</v>
      </c>
      <c r="BM275" s="331">
        <v>4500000</v>
      </c>
      <c r="BN275" s="2">
        <f t="shared" si="551"/>
        <v>17762052</v>
      </c>
      <c r="BO275" s="2">
        <f>ROUND(+BN275*$AK275,0)</f>
        <v>3215576</v>
      </c>
      <c r="BP275" s="2">
        <f>+BN275-BO275</f>
        <v>14546476</v>
      </c>
      <c r="BQ275" s="2">
        <v>1500000</v>
      </c>
      <c r="BR275" s="2">
        <f>BP275-BQ275</f>
        <v>13046476</v>
      </c>
      <c r="BS275" s="2">
        <f>+BR275*AK275</f>
        <v>2361885.3845888367</v>
      </c>
      <c r="BT275" s="2">
        <f>+BR275-BS275</f>
        <v>10684590.615411162</v>
      </c>
      <c r="BU275" s="2">
        <f t="shared" si="539"/>
        <v>1934298</v>
      </c>
      <c r="BV275" s="2">
        <f t="shared" si="575"/>
        <v>8750292.6154111624</v>
      </c>
      <c r="BW275" s="2">
        <f t="shared" si="540"/>
        <v>1584120</v>
      </c>
      <c r="BX275" s="2">
        <f t="shared" si="576"/>
        <v>7166172.6154111624</v>
      </c>
      <c r="BY275" s="2">
        <f t="shared" si="541"/>
        <v>1297337</v>
      </c>
      <c r="BZ275" s="2">
        <f t="shared" si="577"/>
        <v>5868835.6154111624</v>
      </c>
      <c r="CA275" s="2">
        <f t="shared" si="542"/>
        <v>1062472</v>
      </c>
      <c r="CB275" s="2">
        <f t="shared" si="578"/>
        <v>4806363.6154111624</v>
      </c>
      <c r="CC275" s="2">
        <f t="shared" si="543"/>
        <v>870126</v>
      </c>
      <c r="CD275" s="2">
        <f t="shared" si="579"/>
        <v>3936237.6154111624</v>
      </c>
      <c r="CE275" s="2">
        <f t="shared" si="544"/>
        <v>712602</v>
      </c>
      <c r="CF275" s="2">
        <f t="shared" si="580"/>
        <v>3223635.6154111624</v>
      </c>
      <c r="CG275" s="2">
        <f t="shared" si="545"/>
        <v>583595</v>
      </c>
      <c r="CH275" s="2">
        <f t="shared" si="581"/>
        <v>2640040.6154111624</v>
      </c>
      <c r="CI275" s="2">
        <f t="shared" si="546"/>
        <v>477943</v>
      </c>
      <c r="CJ275" s="2">
        <f t="shared" si="582"/>
        <v>2162097.6154111624</v>
      </c>
      <c r="CK275" s="2">
        <f t="shared" si="547"/>
        <v>391418</v>
      </c>
      <c r="CL275" s="2">
        <f t="shared" si="583"/>
        <v>1770679.6154111624</v>
      </c>
      <c r="CM275" s="2">
        <f t="shared" si="548"/>
        <v>320557</v>
      </c>
      <c r="CN275" s="2">
        <f t="shared" si="584"/>
        <v>1450122.6154111624</v>
      </c>
      <c r="CO275" s="2">
        <f t="shared" si="549"/>
        <v>262525</v>
      </c>
      <c r="CP275" s="2">
        <f t="shared" si="585"/>
        <v>1187597.6154111624</v>
      </c>
      <c r="CQ275" s="2">
        <f t="shared" si="567"/>
        <v>214998</v>
      </c>
      <c r="CR275" s="2">
        <f t="shared" si="586"/>
        <v>972599.61541116238</v>
      </c>
      <c r="CS275" s="2">
        <f t="shared" si="568"/>
        <v>-227400.38458883762</v>
      </c>
      <c r="CT275" s="2">
        <f t="shared" si="569"/>
        <v>1200000</v>
      </c>
      <c r="CU275" s="2">
        <v>0</v>
      </c>
      <c r="CV275" s="2">
        <f t="shared" si="587"/>
        <v>1200000</v>
      </c>
      <c r="CW275" s="2">
        <v>0</v>
      </c>
      <c r="CX275" s="2">
        <f t="shared" si="588"/>
        <v>1200000</v>
      </c>
      <c r="CY275" s="2">
        <v>0</v>
      </c>
      <c r="CZ275" s="2">
        <f t="shared" si="589"/>
        <v>1200000</v>
      </c>
      <c r="DA275" s="2">
        <v>0</v>
      </c>
      <c r="DB275" s="2">
        <f t="shared" si="590"/>
        <v>1200000</v>
      </c>
      <c r="DC275" s="2">
        <v>0</v>
      </c>
      <c r="DD275" s="2">
        <f t="shared" si="591"/>
        <v>1200000</v>
      </c>
      <c r="DE275" s="2">
        <v>0</v>
      </c>
      <c r="DF275" s="2">
        <f t="shared" si="555"/>
        <v>1200000</v>
      </c>
      <c r="DG275" s="2">
        <v>0</v>
      </c>
      <c r="DH275" s="2">
        <f t="shared" si="556"/>
        <v>1200000</v>
      </c>
      <c r="DI275" s="2">
        <v>0</v>
      </c>
      <c r="DJ275" s="2">
        <f t="shared" si="557"/>
        <v>1200000</v>
      </c>
      <c r="DK275" s="2">
        <v>0</v>
      </c>
      <c r="DL275" s="2">
        <f t="shared" si="558"/>
        <v>1200000</v>
      </c>
      <c r="DM275" s="2">
        <v>0</v>
      </c>
      <c r="DN275" s="2">
        <f t="shared" si="559"/>
        <v>1200000</v>
      </c>
      <c r="DO275" s="2">
        <v>0</v>
      </c>
      <c r="DP275" s="2">
        <f t="shared" si="560"/>
        <v>1200000</v>
      </c>
      <c r="DQ275" s="2">
        <v>0</v>
      </c>
      <c r="DR275" s="2">
        <f t="shared" si="561"/>
        <v>1200000</v>
      </c>
      <c r="DS275" s="2">
        <v>0</v>
      </c>
      <c r="DT275" s="2">
        <f t="shared" si="592"/>
        <v>1200000</v>
      </c>
      <c r="DU275" s="2">
        <v>0</v>
      </c>
      <c r="DV275" s="2">
        <f t="shared" si="593"/>
        <v>1200000</v>
      </c>
      <c r="DW275" s="266">
        <f t="shared" si="553"/>
        <v>1200000</v>
      </c>
      <c r="DX275" s="441">
        <f t="shared" si="570"/>
        <v>0</v>
      </c>
    </row>
    <row r="276" spans="1:128">
      <c r="A276" s="413">
        <v>117</v>
      </c>
      <c r="B276" s="537"/>
      <c r="C276" s="433" t="s">
        <v>518</v>
      </c>
      <c r="D276" s="468"/>
      <c r="E276" s="469">
        <v>60000</v>
      </c>
      <c r="F276" s="470" t="s">
        <v>1080</v>
      </c>
      <c r="G276" s="481">
        <v>43787</v>
      </c>
      <c r="H276" s="443">
        <f t="shared" si="563"/>
        <v>49265</v>
      </c>
      <c r="I276" s="267">
        <v>15</v>
      </c>
      <c r="J276" s="267">
        <f t="shared" si="564"/>
        <v>135</v>
      </c>
      <c r="K276" s="267">
        <f t="shared" si="571"/>
        <v>230</v>
      </c>
      <c r="L276" s="483"/>
      <c r="M276" s="433"/>
      <c r="N276" s="484"/>
      <c r="O276" s="484"/>
      <c r="P276" s="433"/>
      <c r="Q276" s="484"/>
      <c r="R276" s="484"/>
      <c r="S276" s="433"/>
      <c r="T276" s="484"/>
      <c r="U276" s="484"/>
      <c r="V276" s="433"/>
      <c r="W276" s="484"/>
      <c r="X276" s="484"/>
      <c r="Y276" s="433"/>
      <c r="Z276" s="484"/>
      <c r="AA276" s="484"/>
      <c r="AB276" s="433"/>
      <c r="AC276" s="484"/>
      <c r="AD276" s="484"/>
      <c r="AE276" s="484"/>
      <c r="AF276" s="484"/>
      <c r="AG276" s="484"/>
      <c r="AH276" s="484"/>
      <c r="AI276" s="439">
        <v>15</v>
      </c>
      <c r="AJ276" s="436">
        <f t="shared" si="562"/>
        <v>15</v>
      </c>
      <c r="AK276" s="440">
        <f t="shared" si="572"/>
        <v>0.18103627252208465</v>
      </c>
      <c r="AL276" s="484"/>
      <c r="AM276" s="484"/>
      <c r="AN276" s="484"/>
      <c r="AO276" s="484"/>
      <c r="AP276" s="484"/>
      <c r="AQ276" s="484"/>
      <c r="AR276" s="433"/>
      <c r="AS276" s="484"/>
      <c r="AT276" s="319"/>
      <c r="AU276" s="319"/>
      <c r="AV276" s="319"/>
      <c r="AW276" s="319"/>
      <c r="AX276" s="319"/>
      <c r="AY276" s="319"/>
      <c r="AZ276" s="319"/>
      <c r="BA276" s="319"/>
      <c r="BB276" s="319"/>
      <c r="BC276" s="319"/>
      <c r="BD276" s="319"/>
      <c r="BE276" s="319"/>
      <c r="BF276" s="319"/>
      <c r="BG276" s="319"/>
      <c r="BH276" s="319"/>
      <c r="BI276" s="2"/>
      <c r="BJ276" s="2"/>
      <c r="BK276" s="2">
        <f t="shared" si="565"/>
        <v>4018</v>
      </c>
      <c r="BL276" s="331">
        <f t="shared" si="566"/>
        <v>55982</v>
      </c>
      <c r="BM276" s="331"/>
      <c r="BN276" s="2">
        <f t="shared" si="551"/>
        <v>55982</v>
      </c>
      <c r="BO276" s="2">
        <f t="shared" si="537"/>
        <v>10135</v>
      </c>
      <c r="BP276" s="2">
        <f t="shared" si="573"/>
        <v>45847</v>
      </c>
      <c r="BQ276" s="2"/>
      <c r="BR276" s="2">
        <f t="shared" ref="BR276:BR298" si="594">BP276-BQ276</f>
        <v>45847</v>
      </c>
      <c r="BS276" s="2">
        <f t="shared" si="538"/>
        <v>8300</v>
      </c>
      <c r="BT276" s="2">
        <f t="shared" si="574"/>
        <v>37547</v>
      </c>
      <c r="BU276" s="2">
        <f t="shared" si="539"/>
        <v>6797</v>
      </c>
      <c r="BV276" s="2">
        <f t="shared" si="575"/>
        <v>30750</v>
      </c>
      <c r="BW276" s="2">
        <f t="shared" si="540"/>
        <v>5567</v>
      </c>
      <c r="BX276" s="2">
        <f t="shared" si="576"/>
        <v>25183</v>
      </c>
      <c r="BY276" s="2">
        <f t="shared" si="541"/>
        <v>4559</v>
      </c>
      <c r="BZ276" s="2">
        <f t="shared" si="577"/>
        <v>20624</v>
      </c>
      <c r="CA276" s="2">
        <f t="shared" si="542"/>
        <v>3734</v>
      </c>
      <c r="CB276" s="2">
        <f t="shared" si="578"/>
        <v>16890</v>
      </c>
      <c r="CC276" s="2">
        <f t="shared" si="543"/>
        <v>3058</v>
      </c>
      <c r="CD276" s="2">
        <f t="shared" si="579"/>
        <v>13832</v>
      </c>
      <c r="CE276" s="2">
        <f t="shared" si="544"/>
        <v>2504</v>
      </c>
      <c r="CF276" s="2">
        <f t="shared" si="580"/>
        <v>11328</v>
      </c>
      <c r="CG276" s="2">
        <f t="shared" si="545"/>
        <v>2051</v>
      </c>
      <c r="CH276" s="2">
        <f t="shared" si="581"/>
        <v>9277</v>
      </c>
      <c r="CI276" s="2">
        <f t="shared" si="546"/>
        <v>1679</v>
      </c>
      <c r="CJ276" s="2">
        <f t="shared" si="582"/>
        <v>7598</v>
      </c>
      <c r="CK276" s="2">
        <f t="shared" si="547"/>
        <v>1376</v>
      </c>
      <c r="CL276" s="2">
        <f t="shared" si="583"/>
        <v>6222</v>
      </c>
      <c r="CM276" s="2">
        <f t="shared" si="548"/>
        <v>1126</v>
      </c>
      <c r="CN276" s="2">
        <f t="shared" si="584"/>
        <v>5096</v>
      </c>
      <c r="CO276" s="2">
        <f t="shared" si="549"/>
        <v>923</v>
      </c>
      <c r="CP276" s="2">
        <f t="shared" si="585"/>
        <v>4173</v>
      </c>
      <c r="CQ276" s="2">
        <f t="shared" si="567"/>
        <v>755</v>
      </c>
      <c r="CR276" s="2">
        <f t="shared" si="586"/>
        <v>3418</v>
      </c>
      <c r="CS276" s="2">
        <f t="shared" si="568"/>
        <v>418</v>
      </c>
      <c r="CT276" s="2">
        <f t="shared" si="569"/>
        <v>3000</v>
      </c>
      <c r="CU276" s="2">
        <v>0</v>
      </c>
      <c r="CV276" s="2">
        <f t="shared" si="587"/>
        <v>3000</v>
      </c>
      <c r="CW276" s="2">
        <v>0</v>
      </c>
      <c r="CX276" s="2">
        <f t="shared" si="588"/>
        <v>3000</v>
      </c>
      <c r="CY276" s="2">
        <v>0</v>
      </c>
      <c r="CZ276" s="2">
        <f t="shared" si="589"/>
        <v>3000</v>
      </c>
      <c r="DA276" s="2">
        <v>0</v>
      </c>
      <c r="DB276" s="2">
        <f t="shared" si="590"/>
        <v>3000</v>
      </c>
      <c r="DC276" s="2">
        <v>0</v>
      </c>
      <c r="DD276" s="2">
        <f t="shared" si="591"/>
        <v>3000</v>
      </c>
      <c r="DE276" s="2">
        <v>0</v>
      </c>
      <c r="DF276" s="2">
        <f t="shared" si="555"/>
        <v>3000</v>
      </c>
      <c r="DG276" s="2">
        <v>0</v>
      </c>
      <c r="DH276" s="2">
        <f t="shared" si="556"/>
        <v>3000</v>
      </c>
      <c r="DI276" s="2">
        <v>0</v>
      </c>
      <c r="DJ276" s="2">
        <f t="shared" si="557"/>
        <v>3000</v>
      </c>
      <c r="DK276" s="2">
        <v>0</v>
      </c>
      <c r="DL276" s="2">
        <f t="shared" si="558"/>
        <v>3000</v>
      </c>
      <c r="DM276" s="2">
        <v>0</v>
      </c>
      <c r="DN276" s="2">
        <f t="shared" si="559"/>
        <v>3000</v>
      </c>
      <c r="DO276" s="2">
        <v>0</v>
      </c>
      <c r="DP276" s="2">
        <f t="shared" si="560"/>
        <v>3000</v>
      </c>
      <c r="DQ276" s="2">
        <v>0</v>
      </c>
      <c r="DR276" s="2">
        <f t="shared" si="561"/>
        <v>3000</v>
      </c>
      <c r="DS276" s="2">
        <v>0</v>
      </c>
      <c r="DT276" s="2">
        <f t="shared" si="592"/>
        <v>3000</v>
      </c>
      <c r="DU276" s="2">
        <v>0</v>
      </c>
      <c r="DV276" s="2">
        <f t="shared" si="593"/>
        <v>3000</v>
      </c>
      <c r="DW276" s="266">
        <f t="shared" si="553"/>
        <v>3000</v>
      </c>
      <c r="DX276" s="441">
        <f t="shared" si="570"/>
        <v>0</v>
      </c>
    </row>
    <row r="277" spans="1:128">
      <c r="A277" s="413">
        <v>118</v>
      </c>
      <c r="B277" s="537"/>
      <c r="C277" s="433" t="s">
        <v>518</v>
      </c>
      <c r="D277" s="468"/>
      <c r="E277" s="469">
        <v>7500</v>
      </c>
      <c r="F277" s="470" t="s">
        <v>1080</v>
      </c>
      <c r="G277" s="481">
        <v>43788</v>
      </c>
      <c r="H277" s="443">
        <f t="shared" si="563"/>
        <v>49266</v>
      </c>
      <c r="I277" s="267">
        <v>15</v>
      </c>
      <c r="J277" s="267">
        <f t="shared" si="564"/>
        <v>134</v>
      </c>
      <c r="K277" s="267">
        <f t="shared" si="571"/>
        <v>231</v>
      </c>
      <c r="L277" s="483"/>
      <c r="M277" s="433"/>
      <c r="N277" s="484"/>
      <c r="O277" s="484"/>
      <c r="P277" s="433"/>
      <c r="Q277" s="484"/>
      <c r="R277" s="484"/>
      <c r="S277" s="433"/>
      <c r="T277" s="484"/>
      <c r="U277" s="484"/>
      <c r="V277" s="433"/>
      <c r="W277" s="484"/>
      <c r="X277" s="484"/>
      <c r="Y277" s="433"/>
      <c r="Z277" s="484"/>
      <c r="AA277" s="484"/>
      <c r="AB277" s="433"/>
      <c r="AC277" s="484"/>
      <c r="AD277" s="484"/>
      <c r="AE277" s="484"/>
      <c r="AF277" s="484"/>
      <c r="AG277" s="484"/>
      <c r="AH277" s="484"/>
      <c r="AI277" s="439">
        <v>15</v>
      </c>
      <c r="AJ277" s="436">
        <f t="shared" si="562"/>
        <v>15</v>
      </c>
      <c r="AK277" s="440">
        <f t="shared" si="572"/>
        <v>0.18103627252208465</v>
      </c>
      <c r="AL277" s="484"/>
      <c r="AM277" s="484"/>
      <c r="AN277" s="484"/>
      <c r="AO277" s="484"/>
      <c r="AP277" s="484"/>
      <c r="AQ277" s="484"/>
      <c r="AR277" s="433"/>
      <c r="AS277" s="484"/>
      <c r="AT277" s="319"/>
      <c r="AU277" s="319"/>
      <c r="AV277" s="319"/>
      <c r="AW277" s="319"/>
      <c r="AX277" s="319"/>
      <c r="AY277" s="319"/>
      <c r="AZ277" s="319"/>
      <c r="BA277" s="319"/>
      <c r="BB277" s="319"/>
      <c r="BC277" s="319"/>
      <c r="BD277" s="319"/>
      <c r="BE277" s="319"/>
      <c r="BF277" s="319"/>
      <c r="BG277" s="319"/>
      <c r="BH277" s="319"/>
      <c r="BI277" s="2"/>
      <c r="BJ277" s="2"/>
      <c r="BK277" s="2">
        <f t="shared" si="565"/>
        <v>498</v>
      </c>
      <c r="BL277" s="331">
        <f t="shared" si="566"/>
        <v>7002</v>
      </c>
      <c r="BM277" s="331"/>
      <c r="BN277" s="2">
        <f t="shared" si="551"/>
        <v>7002</v>
      </c>
      <c r="BO277" s="2">
        <f t="shared" si="537"/>
        <v>1268</v>
      </c>
      <c r="BP277" s="2">
        <f t="shared" si="573"/>
        <v>5734</v>
      </c>
      <c r="BQ277" s="2"/>
      <c r="BR277" s="2">
        <f t="shared" si="594"/>
        <v>5734</v>
      </c>
      <c r="BS277" s="2">
        <f t="shared" si="538"/>
        <v>1038</v>
      </c>
      <c r="BT277" s="2">
        <f t="shared" si="574"/>
        <v>4696</v>
      </c>
      <c r="BU277" s="2">
        <f t="shared" si="539"/>
        <v>850</v>
      </c>
      <c r="BV277" s="2">
        <f t="shared" si="575"/>
        <v>3846</v>
      </c>
      <c r="BW277" s="2">
        <f t="shared" si="540"/>
        <v>696</v>
      </c>
      <c r="BX277" s="2">
        <f t="shared" si="576"/>
        <v>3150</v>
      </c>
      <c r="BY277" s="2">
        <f t="shared" si="541"/>
        <v>570</v>
      </c>
      <c r="BZ277" s="2">
        <f t="shared" si="577"/>
        <v>2580</v>
      </c>
      <c r="CA277" s="2">
        <f t="shared" si="542"/>
        <v>467</v>
      </c>
      <c r="CB277" s="2">
        <f t="shared" si="578"/>
        <v>2113</v>
      </c>
      <c r="CC277" s="2">
        <f t="shared" si="543"/>
        <v>383</v>
      </c>
      <c r="CD277" s="2">
        <f t="shared" si="579"/>
        <v>1730</v>
      </c>
      <c r="CE277" s="2">
        <f t="shared" si="544"/>
        <v>313</v>
      </c>
      <c r="CF277" s="2">
        <f t="shared" si="580"/>
        <v>1417</v>
      </c>
      <c r="CG277" s="2">
        <f t="shared" si="545"/>
        <v>257</v>
      </c>
      <c r="CH277" s="2">
        <f t="shared" si="581"/>
        <v>1160</v>
      </c>
      <c r="CI277" s="2">
        <f t="shared" si="546"/>
        <v>210</v>
      </c>
      <c r="CJ277" s="2">
        <f t="shared" si="582"/>
        <v>950</v>
      </c>
      <c r="CK277" s="2">
        <f t="shared" si="547"/>
        <v>172</v>
      </c>
      <c r="CL277" s="2">
        <f t="shared" si="583"/>
        <v>778</v>
      </c>
      <c r="CM277" s="2">
        <f t="shared" si="548"/>
        <v>141</v>
      </c>
      <c r="CN277" s="2">
        <f t="shared" si="584"/>
        <v>637</v>
      </c>
      <c r="CO277" s="2">
        <f t="shared" si="549"/>
        <v>115</v>
      </c>
      <c r="CP277" s="2">
        <f t="shared" si="585"/>
        <v>522</v>
      </c>
      <c r="CQ277" s="2">
        <f t="shared" si="567"/>
        <v>95</v>
      </c>
      <c r="CR277" s="2">
        <f t="shared" si="586"/>
        <v>427</v>
      </c>
      <c r="CS277" s="2">
        <f t="shared" si="568"/>
        <v>52</v>
      </c>
      <c r="CT277" s="2">
        <f t="shared" si="569"/>
        <v>375</v>
      </c>
      <c r="CU277" s="2">
        <v>0</v>
      </c>
      <c r="CV277" s="2">
        <f t="shared" si="587"/>
        <v>375</v>
      </c>
      <c r="CW277" s="2">
        <v>0</v>
      </c>
      <c r="CX277" s="2">
        <f t="shared" si="588"/>
        <v>375</v>
      </c>
      <c r="CY277" s="2">
        <v>0</v>
      </c>
      <c r="CZ277" s="2">
        <f t="shared" si="589"/>
        <v>375</v>
      </c>
      <c r="DA277" s="2">
        <v>0</v>
      </c>
      <c r="DB277" s="2">
        <f t="shared" si="590"/>
        <v>375</v>
      </c>
      <c r="DC277" s="2">
        <v>0</v>
      </c>
      <c r="DD277" s="2">
        <f t="shared" si="591"/>
        <v>375</v>
      </c>
      <c r="DE277" s="2">
        <v>0</v>
      </c>
      <c r="DF277" s="2">
        <f t="shared" si="555"/>
        <v>375</v>
      </c>
      <c r="DG277" s="2">
        <v>0</v>
      </c>
      <c r="DH277" s="2">
        <f t="shared" si="556"/>
        <v>375</v>
      </c>
      <c r="DI277" s="2">
        <v>0</v>
      </c>
      <c r="DJ277" s="2">
        <f t="shared" si="557"/>
        <v>375</v>
      </c>
      <c r="DK277" s="2">
        <v>0</v>
      </c>
      <c r="DL277" s="2">
        <f t="shared" si="558"/>
        <v>375</v>
      </c>
      <c r="DM277" s="2">
        <v>0</v>
      </c>
      <c r="DN277" s="2">
        <f t="shared" si="559"/>
        <v>375</v>
      </c>
      <c r="DO277" s="2">
        <v>0</v>
      </c>
      <c r="DP277" s="2">
        <f t="shared" si="560"/>
        <v>375</v>
      </c>
      <c r="DQ277" s="2">
        <v>0</v>
      </c>
      <c r="DR277" s="2">
        <f t="shared" si="561"/>
        <v>375</v>
      </c>
      <c r="DS277" s="2">
        <v>0</v>
      </c>
      <c r="DT277" s="2">
        <f t="shared" si="592"/>
        <v>375</v>
      </c>
      <c r="DU277" s="2">
        <v>0</v>
      </c>
      <c r="DV277" s="2">
        <f t="shared" si="593"/>
        <v>375</v>
      </c>
      <c r="DW277" s="266">
        <f t="shared" si="553"/>
        <v>375</v>
      </c>
      <c r="DX277" s="441">
        <f t="shared" si="570"/>
        <v>0</v>
      </c>
    </row>
    <row r="278" spans="1:128">
      <c r="A278" s="413">
        <v>119</v>
      </c>
      <c r="B278" s="537"/>
      <c r="C278" s="433" t="s">
        <v>518</v>
      </c>
      <c r="D278" s="468"/>
      <c r="E278" s="469">
        <v>392000</v>
      </c>
      <c r="F278" s="470" t="s">
        <v>1080</v>
      </c>
      <c r="G278" s="481">
        <v>43791</v>
      </c>
      <c r="H278" s="443">
        <f t="shared" si="563"/>
        <v>49269</v>
      </c>
      <c r="I278" s="267">
        <v>15</v>
      </c>
      <c r="J278" s="267">
        <f t="shared" si="564"/>
        <v>131</v>
      </c>
      <c r="K278" s="267">
        <f t="shared" si="571"/>
        <v>234</v>
      </c>
      <c r="L278" s="483"/>
      <c r="M278" s="433"/>
      <c r="N278" s="484"/>
      <c r="O278" s="484"/>
      <c r="P278" s="433"/>
      <c r="Q278" s="484"/>
      <c r="R278" s="484"/>
      <c r="S278" s="433"/>
      <c r="T278" s="484"/>
      <c r="U278" s="484"/>
      <c r="V278" s="433"/>
      <c r="W278" s="484"/>
      <c r="X278" s="484"/>
      <c r="Y278" s="433"/>
      <c r="Z278" s="484"/>
      <c r="AA278" s="484"/>
      <c r="AB278" s="433"/>
      <c r="AC278" s="484"/>
      <c r="AD278" s="484"/>
      <c r="AE278" s="484"/>
      <c r="AF278" s="484"/>
      <c r="AG278" s="484"/>
      <c r="AH278" s="484"/>
      <c r="AI278" s="439">
        <v>15</v>
      </c>
      <c r="AJ278" s="436">
        <f t="shared" si="562"/>
        <v>15</v>
      </c>
      <c r="AK278" s="440">
        <f t="shared" si="572"/>
        <v>0.18103627252208465</v>
      </c>
      <c r="AL278" s="484"/>
      <c r="AM278" s="484"/>
      <c r="AN278" s="484"/>
      <c r="AO278" s="484"/>
      <c r="AP278" s="484"/>
      <c r="AQ278" s="484"/>
      <c r="AR278" s="433"/>
      <c r="AS278" s="484"/>
      <c r="AT278" s="319"/>
      <c r="AU278" s="319"/>
      <c r="AV278" s="319"/>
      <c r="AW278" s="319"/>
      <c r="AX278" s="319"/>
      <c r="AY278" s="319"/>
      <c r="AZ278" s="319"/>
      <c r="BA278" s="319"/>
      <c r="BB278" s="319"/>
      <c r="BC278" s="319"/>
      <c r="BD278" s="319"/>
      <c r="BE278" s="319"/>
      <c r="BF278" s="319"/>
      <c r="BG278" s="319"/>
      <c r="BH278" s="319"/>
      <c r="BI278" s="2"/>
      <c r="BJ278" s="2"/>
      <c r="BK278" s="2">
        <f t="shared" si="565"/>
        <v>25470</v>
      </c>
      <c r="BL278" s="331">
        <f t="shared" si="566"/>
        <v>366530</v>
      </c>
      <c r="BM278" s="331"/>
      <c r="BN278" s="2">
        <f t="shared" si="551"/>
        <v>366530</v>
      </c>
      <c r="BO278" s="2">
        <f t="shared" si="537"/>
        <v>66355</v>
      </c>
      <c r="BP278" s="2">
        <f t="shared" si="573"/>
        <v>300175</v>
      </c>
      <c r="BQ278" s="2"/>
      <c r="BR278" s="2">
        <f t="shared" si="594"/>
        <v>300175</v>
      </c>
      <c r="BS278" s="2">
        <f t="shared" si="538"/>
        <v>54343</v>
      </c>
      <c r="BT278" s="2">
        <f t="shared" si="574"/>
        <v>245832</v>
      </c>
      <c r="BU278" s="2">
        <f t="shared" si="539"/>
        <v>44505</v>
      </c>
      <c r="BV278" s="2">
        <f t="shared" si="575"/>
        <v>201327</v>
      </c>
      <c r="BW278" s="2">
        <f t="shared" si="540"/>
        <v>36447</v>
      </c>
      <c r="BX278" s="2">
        <f t="shared" si="576"/>
        <v>164880</v>
      </c>
      <c r="BY278" s="2">
        <f t="shared" si="541"/>
        <v>29849</v>
      </c>
      <c r="BZ278" s="2">
        <f t="shared" si="577"/>
        <v>135031</v>
      </c>
      <c r="CA278" s="2">
        <f t="shared" si="542"/>
        <v>24446</v>
      </c>
      <c r="CB278" s="2">
        <f t="shared" si="578"/>
        <v>110585</v>
      </c>
      <c r="CC278" s="2">
        <f t="shared" si="543"/>
        <v>20020</v>
      </c>
      <c r="CD278" s="2">
        <f t="shared" si="579"/>
        <v>90565</v>
      </c>
      <c r="CE278" s="2">
        <f t="shared" si="544"/>
        <v>16396</v>
      </c>
      <c r="CF278" s="2">
        <f t="shared" si="580"/>
        <v>74169</v>
      </c>
      <c r="CG278" s="2">
        <f t="shared" si="545"/>
        <v>13427</v>
      </c>
      <c r="CH278" s="2">
        <f t="shared" si="581"/>
        <v>60742</v>
      </c>
      <c r="CI278" s="2">
        <f t="shared" si="546"/>
        <v>10997</v>
      </c>
      <c r="CJ278" s="2">
        <f t="shared" si="582"/>
        <v>49745</v>
      </c>
      <c r="CK278" s="2">
        <f t="shared" si="547"/>
        <v>9006</v>
      </c>
      <c r="CL278" s="2">
        <f t="shared" si="583"/>
        <v>40739</v>
      </c>
      <c r="CM278" s="2">
        <f t="shared" si="548"/>
        <v>7375</v>
      </c>
      <c r="CN278" s="2">
        <f t="shared" si="584"/>
        <v>33364</v>
      </c>
      <c r="CO278" s="2">
        <f t="shared" si="549"/>
        <v>6040</v>
      </c>
      <c r="CP278" s="2">
        <f t="shared" si="585"/>
        <v>27324</v>
      </c>
      <c r="CQ278" s="2">
        <f t="shared" si="567"/>
        <v>4947</v>
      </c>
      <c r="CR278" s="2">
        <f t="shared" si="586"/>
        <v>22377</v>
      </c>
      <c r="CS278" s="2">
        <f t="shared" si="568"/>
        <v>2777</v>
      </c>
      <c r="CT278" s="2">
        <f t="shared" si="569"/>
        <v>19600</v>
      </c>
      <c r="CU278" s="2">
        <v>0</v>
      </c>
      <c r="CV278" s="2">
        <f t="shared" si="587"/>
        <v>19600</v>
      </c>
      <c r="CW278" s="2">
        <v>0</v>
      </c>
      <c r="CX278" s="2">
        <f t="shared" si="588"/>
        <v>19600</v>
      </c>
      <c r="CY278" s="2">
        <v>0</v>
      </c>
      <c r="CZ278" s="2">
        <f t="shared" si="589"/>
        <v>19600</v>
      </c>
      <c r="DA278" s="2">
        <v>0</v>
      </c>
      <c r="DB278" s="2">
        <f t="shared" si="590"/>
        <v>19600</v>
      </c>
      <c r="DC278" s="2">
        <v>0</v>
      </c>
      <c r="DD278" s="2">
        <f t="shared" si="591"/>
        <v>19600</v>
      </c>
      <c r="DE278" s="2">
        <v>0</v>
      </c>
      <c r="DF278" s="2">
        <f t="shared" si="555"/>
        <v>19600</v>
      </c>
      <c r="DG278" s="2">
        <v>0</v>
      </c>
      <c r="DH278" s="2">
        <f t="shared" si="556"/>
        <v>19600</v>
      </c>
      <c r="DI278" s="2">
        <v>0</v>
      </c>
      <c r="DJ278" s="2">
        <f t="shared" si="557"/>
        <v>19600</v>
      </c>
      <c r="DK278" s="2">
        <v>0</v>
      </c>
      <c r="DL278" s="2">
        <f t="shared" si="558"/>
        <v>19600</v>
      </c>
      <c r="DM278" s="2">
        <v>0</v>
      </c>
      <c r="DN278" s="2">
        <f t="shared" si="559"/>
        <v>19600</v>
      </c>
      <c r="DO278" s="2">
        <v>0</v>
      </c>
      <c r="DP278" s="2">
        <f t="shared" si="560"/>
        <v>19600</v>
      </c>
      <c r="DQ278" s="2">
        <v>0</v>
      </c>
      <c r="DR278" s="2">
        <f t="shared" si="561"/>
        <v>19600</v>
      </c>
      <c r="DS278" s="2">
        <v>0</v>
      </c>
      <c r="DT278" s="2">
        <f t="shared" si="592"/>
        <v>19600</v>
      </c>
      <c r="DU278" s="2">
        <v>0</v>
      </c>
      <c r="DV278" s="2">
        <f t="shared" si="593"/>
        <v>19600</v>
      </c>
      <c r="DW278" s="266">
        <f t="shared" si="553"/>
        <v>19600</v>
      </c>
      <c r="DX278" s="441">
        <f t="shared" si="570"/>
        <v>0</v>
      </c>
    </row>
    <row r="279" spans="1:128">
      <c r="A279" s="413">
        <v>120</v>
      </c>
      <c r="B279" s="537"/>
      <c r="C279" s="433" t="s">
        <v>518</v>
      </c>
      <c r="D279" s="468"/>
      <c r="E279" s="469">
        <v>72000</v>
      </c>
      <c r="F279" s="470" t="s">
        <v>1080</v>
      </c>
      <c r="G279" s="481">
        <v>43829</v>
      </c>
      <c r="H279" s="443">
        <f t="shared" si="563"/>
        <v>49307</v>
      </c>
      <c r="I279" s="267">
        <v>15</v>
      </c>
      <c r="J279" s="267">
        <f t="shared" si="564"/>
        <v>93</v>
      </c>
      <c r="K279" s="267">
        <f t="shared" si="571"/>
        <v>272</v>
      </c>
      <c r="L279" s="483"/>
      <c r="M279" s="433"/>
      <c r="N279" s="484"/>
      <c r="O279" s="484"/>
      <c r="P279" s="433"/>
      <c r="Q279" s="484"/>
      <c r="R279" s="484"/>
      <c r="S279" s="433"/>
      <c r="T279" s="484"/>
      <c r="U279" s="484"/>
      <c r="V279" s="433"/>
      <c r="W279" s="484"/>
      <c r="X279" s="484"/>
      <c r="Y279" s="433"/>
      <c r="Z279" s="484"/>
      <c r="AA279" s="484"/>
      <c r="AB279" s="433"/>
      <c r="AC279" s="484"/>
      <c r="AD279" s="484"/>
      <c r="AE279" s="484"/>
      <c r="AF279" s="484"/>
      <c r="AG279" s="484"/>
      <c r="AH279" s="484"/>
      <c r="AI279" s="439">
        <v>15</v>
      </c>
      <c r="AJ279" s="436">
        <f t="shared" si="562"/>
        <v>15</v>
      </c>
      <c r="AK279" s="440">
        <f t="shared" si="572"/>
        <v>0.18103627252208465</v>
      </c>
      <c r="AL279" s="484"/>
      <c r="AM279" s="484"/>
      <c r="AN279" s="484"/>
      <c r="AO279" s="484"/>
      <c r="AP279" s="484"/>
      <c r="AQ279" s="484"/>
      <c r="AR279" s="433"/>
      <c r="AS279" s="484"/>
      <c r="AT279" s="319"/>
      <c r="AU279" s="319"/>
      <c r="AV279" s="319"/>
      <c r="AW279" s="319"/>
      <c r="AX279" s="319"/>
      <c r="AY279" s="319"/>
      <c r="AZ279" s="319"/>
      <c r="BA279" s="319"/>
      <c r="BB279" s="319"/>
      <c r="BC279" s="319"/>
      <c r="BD279" s="319"/>
      <c r="BE279" s="319"/>
      <c r="BF279" s="319"/>
      <c r="BG279" s="319"/>
      <c r="BH279" s="319"/>
      <c r="BI279" s="2"/>
      <c r="BJ279" s="2"/>
      <c r="BK279" s="2">
        <f t="shared" si="565"/>
        <v>3321</v>
      </c>
      <c r="BL279" s="331">
        <f t="shared" si="566"/>
        <v>68679</v>
      </c>
      <c r="BM279" s="331"/>
      <c r="BN279" s="2">
        <f t="shared" si="551"/>
        <v>68679</v>
      </c>
      <c r="BO279" s="2">
        <f t="shared" si="537"/>
        <v>12433</v>
      </c>
      <c r="BP279" s="2">
        <f t="shared" si="573"/>
        <v>56246</v>
      </c>
      <c r="BQ279" s="2"/>
      <c r="BR279" s="2">
        <f t="shared" si="594"/>
        <v>56246</v>
      </c>
      <c r="BS279" s="2">
        <f t="shared" si="538"/>
        <v>10183</v>
      </c>
      <c r="BT279" s="2">
        <f t="shared" si="574"/>
        <v>46063</v>
      </c>
      <c r="BU279" s="2">
        <f t="shared" si="539"/>
        <v>8339</v>
      </c>
      <c r="BV279" s="2">
        <f t="shared" si="575"/>
        <v>37724</v>
      </c>
      <c r="BW279" s="2">
        <f t="shared" si="540"/>
        <v>6829</v>
      </c>
      <c r="BX279" s="2">
        <f t="shared" si="576"/>
        <v>30895</v>
      </c>
      <c r="BY279" s="2">
        <f t="shared" si="541"/>
        <v>5593</v>
      </c>
      <c r="BZ279" s="2">
        <f t="shared" si="577"/>
        <v>25302</v>
      </c>
      <c r="CA279" s="2">
        <f t="shared" si="542"/>
        <v>4581</v>
      </c>
      <c r="CB279" s="2">
        <f t="shared" si="578"/>
        <v>20721</v>
      </c>
      <c r="CC279" s="2">
        <f t="shared" si="543"/>
        <v>3751</v>
      </c>
      <c r="CD279" s="2">
        <f t="shared" si="579"/>
        <v>16970</v>
      </c>
      <c r="CE279" s="2">
        <f t="shared" si="544"/>
        <v>3072</v>
      </c>
      <c r="CF279" s="2">
        <f t="shared" si="580"/>
        <v>13898</v>
      </c>
      <c r="CG279" s="2">
        <f t="shared" si="545"/>
        <v>2516</v>
      </c>
      <c r="CH279" s="2">
        <f t="shared" si="581"/>
        <v>11382</v>
      </c>
      <c r="CI279" s="2">
        <f t="shared" si="546"/>
        <v>2061</v>
      </c>
      <c r="CJ279" s="2">
        <f t="shared" si="582"/>
        <v>9321</v>
      </c>
      <c r="CK279" s="2">
        <f t="shared" si="547"/>
        <v>1687</v>
      </c>
      <c r="CL279" s="2">
        <f t="shared" si="583"/>
        <v>7634</v>
      </c>
      <c r="CM279" s="2">
        <f t="shared" si="548"/>
        <v>1382</v>
      </c>
      <c r="CN279" s="2">
        <f t="shared" si="584"/>
        <v>6252</v>
      </c>
      <c r="CO279" s="2">
        <f t="shared" si="549"/>
        <v>1132</v>
      </c>
      <c r="CP279" s="2">
        <f t="shared" si="585"/>
        <v>5120</v>
      </c>
      <c r="CQ279" s="2">
        <f t="shared" si="567"/>
        <v>927</v>
      </c>
      <c r="CR279" s="2">
        <f t="shared" si="586"/>
        <v>4193</v>
      </c>
      <c r="CS279" s="2">
        <f t="shared" si="568"/>
        <v>593</v>
      </c>
      <c r="CT279" s="2">
        <f t="shared" si="569"/>
        <v>3600</v>
      </c>
      <c r="CU279" s="2">
        <v>0</v>
      </c>
      <c r="CV279" s="2">
        <f t="shared" si="587"/>
        <v>3600</v>
      </c>
      <c r="CW279" s="2"/>
      <c r="CX279" s="2">
        <f t="shared" si="588"/>
        <v>3600</v>
      </c>
      <c r="CY279" s="2"/>
      <c r="CZ279" s="2">
        <f t="shared" si="589"/>
        <v>3600</v>
      </c>
      <c r="DA279" s="2"/>
      <c r="DB279" s="2"/>
      <c r="DC279" s="2"/>
      <c r="DD279" s="2"/>
      <c r="DE279" s="2"/>
      <c r="DF279" s="2"/>
      <c r="DG279" s="2"/>
      <c r="DH279" s="2"/>
      <c r="DI279" s="2"/>
      <c r="DJ279" s="2"/>
      <c r="DK279" s="2"/>
      <c r="DL279" s="2"/>
      <c r="DM279" s="2"/>
      <c r="DN279" s="2"/>
      <c r="DO279" s="2"/>
      <c r="DP279" s="2"/>
      <c r="DQ279" s="2"/>
      <c r="DR279" s="2"/>
      <c r="DS279" s="2"/>
      <c r="DT279" s="2"/>
      <c r="DU279" s="2"/>
      <c r="DV279" s="2"/>
      <c r="DW279" s="266"/>
      <c r="DX279" s="441"/>
    </row>
    <row r="280" spans="1:128">
      <c r="A280" s="413">
        <v>121</v>
      </c>
      <c r="B280" s="537"/>
      <c r="C280" s="433" t="s">
        <v>518</v>
      </c>
      <c r="D280" s="468"/>
      <c r="E280" s="469">
        <v>45500</v>
      </c>
      <c r="F280" s="470" t="s">
        <v>1080</v>
      </c>
      <c r="G280" s="481">
        <v>43791</v>
      </c>
      <c r="H280" s="443">
        <f t="shared" si="563"/>
        <v>49269</v>
      </c>
      <c r="I280" s="267">
        <v>15</v>
      </c>
      <c r="J280" s="267">
        <f t="shared" si="564"/>
        <v>131</v>
      </c>
      <c r="K280" s="267">
        <f t="shared" si="571"/>
        <v>234</v>
      </c>
      <c r="L280" s="483"/>
      <c r="M280" s="433"/>
      <c r="N280" s="484"/>
      <c r="O280" s="484"/>
      <c r="P280" s="433"/>
      <c r="Q280" s="484"/>
      <c r="R280" s="484"/>
      <c r="S280" s="433"/>
      <c r="T280" s="484"/>
      <c r="U280" s="484"/>
      <c r="V280" s="433"/>
      <c r="W280" s="484"/>
      <c r="X280" s="484"/>
      <c r="Y280" s="433"/>
      <c r="Z280" s="484"/>
      <c r="AA280" s="484"/>
      <c r="AB280" s="433"/>
      <c r="AC280" s="484"/>
      <c r="AD280" s="484"/>
      <c r="AE280" s="484"/>
      <c r="AF280" s="484"/>
      <c r="AG280" s="484"/>
      <c r="AH280" s="484"/>
      <c r="AI280" s="439">
        <v>15</v>
      </c>
      <c r="AJ280" s="436">
        <f t="shared" si="562"/>
        <v>15</v>
      </c>
      <c r="AK280" s="440">
        <f t="shared" si="572"/>
        <v>0.18103627252208465</v>
      </c>
      <c r="AL280" s="484"/>
      <c r="AM280" s="484"/>
      <c r="AN280" s="484"/>
      <c r="AO280" s="484"/>
      <c r="AP280" s="484"/>
      <c r="AQ280" s="484"/>
      <c r="AR280" s="433"/>
      <c r="AS280" s="484"/>
      <c r="AT280" s="319"/>
      <c r="AU280" s="319"/>
      <c r="AV280" s="319"/>
      <c r="AW280" s="319"/>
      <c r="AX280" s="319"/>
      <c r="AY280" s="319"/>
      <c r="AZ280" s="319"/>
      <c r="BA280" s="319"/>
      <c r="BB280" s="319"/>
      <c r="BC280" s="319"/>
      <c r="BD280" s="319"/>
      <c r="BE280" s="319"/>
      <c r="BF280" s="319"/>
      <c r="BG280" s="319"/>
      <c r="BH280" s="319"/>
      <c r="BI280" s="2"/>
      <c r="BJ280" s="2"/>
      <c r="BK280" s="2">
        <f t="shared" si="565"/>
        <v>2956</v>
      </c>
      <c r="BL280" s="331">
        <f t="shared" si="566"/>
        <v>42544</v>
      </c>
      <c r="BM280" s="331"/>
      <c r="BN280" s="2">
        <f t="shared" si="551"/>
        <v>42544</v>
      </c>
      <c r="BO280" s="2">
        <f t="shared" si="537"/>
        <v>7702</v>
      </c>
      <c r="BP280" s="2">
        <f t="shared" si="573"/>
        <v>34842</v>
      </c>
      <c r="BQ280" s="2"/>
      <c r="BR280" s="2">
        <f t="shared" si="594"/>
        <v>34842</v>
      </c>
      <c r="BS280" s="2">
        <f t="shared" si="538"/>
        <v>6308</v>
      </c>
      <c r="BT280" s="2">
        <f t="shared" si="574"/>
        <v>28534</v>
      </c>
      <c r="BU280" s="2">
        <f t="shared" si="539"/>
        <v>5166</v>
      </c>
      <c r="BV280" s="2">
        <f t="shared" si="575"/>
        <v>23368</v>
      </c>
      <c r="BW280" s="2">
        <f t="shared" si="540"/>
        <v>4230</v>
      </c>
      <c r="BX280" s="2">
        <f t="shared" si="576"/>
        <v>19138</v>
      </c>
      <c r="BY280" s="2">
        <f t="shared" si="541"/>
        <v>3465</v>
      </c>
      <c r="BZ280" s="2">
        <f t="shared" si="577"/>
        <v>15673</v>
      </c>
      <c r="CA280" s="2">
        <f t="shared" si="542"/>
        <v>2837</v>
      </c>
      <c r="CB280" s="2">
        <f t="shared" si="578"/>
        <v>12836</v>
      </c>
      <c r="CC280" s="2">
        <f t="shared" si="543"/>
        <v>2324</v>
      </c>
      <c r="CD280" s="2">
        <f t="shared" si="579"/>
        <v>10512</v>
      </c>
      <c r="CE280" s="2">
        <f t="shared" si="544"/>
        <v>1903</v>
      </c>
      <c r="CF280" s="2">
        <f t="shared" si="580"/>
        <v>8609</v>
      </c>
      <c r="CG280" s="2">
        <f t="shared" si="545"/>
        <v>1559</v>
      </c>
      <c r="CH280" s="2">
        <f t="shared" si="581"/>
        <v>7050</v>
      </c>
      <c r="CI280" s="2">
        <f t="shared" si="546"/>
        <v>1276</v>
      </c>
      <c r="CJ280" s="2">
        <f t="shared" si="582"/>
        <v>5774</v>
      </c>
      <c r="CK280" s="2">
        <f t="shared" si="547"/>
        <v>1045</v>
      </c>
      <c r="CL280" s="2">
        <f t="shared" si="583"/>
        <v>4729</v>
      </c>
      <c r="CM280" s="2">
        <f t="shared" si="548"/>
        <v>856</v>
      </c>
      <c r="CN280" s="2">
        <f t="shared" si="584"/>
        <v>3873</v>
      </c>
      <c r="CO280" s="2">
        <f t="shared" si="549"/>
        <v>701</v>
      </c>
      <c r="CP280" s="2">
        <f t="shared" si="585"/>
        <v>3172</v>
      </c>
      <c r="CQ280" s="2">
        <f t="shared" si="567"/>
        <v>574</v>
      </c>
      <c r="CR280" s="2">
        <f t="shared" si="586"/>
        <v>2598</v>
      </c>
      <c r="CS280" s="2">
        <f t="shared" si="568"/>
        <v>323</v>
      </c>
      <c r="CT280" s="2">
        <f t="shared" si="569"/>
        <v>2275</v>
      </c>
      <c r="CU280" s="2">
        <v>0</v>
      </c>
      <c r="CV280" s="2">
        <f t="shared" si="587"/>
        <v>2275</v>
      </c>
      <c r="CW280" s="2">
        <v>0</v>
      </c>
      <c r="CX280" s="2">
        <f t="shared" si="588"/>
        <v>2275</v>
      </c>
      <c r="CY280" s="2">
        <v>0</v>
      </c>
      <c r="CZ280" s="2">
        <f t="shared" si="589"/>
        <v>2275</v>
      </c>
      <c r="DA280" s="2">
        <v>0</v>
      </c>
      <c r="DB280" s="2">
        <f t="shared" si="590"/>
        <v>2275</v>
      </c>
      <c r="DC280" s="2">
        <v>0</v>
      </c>
      <c r="DD280" s="2">
        <f t="shared" si="591"/>
        <v>2275</v>
      </c>
      <c r="DE280" s="2">
        <v>0</v>
      </c>
      <c r="DF280" s="2">
        <f t="shared" si="555"/>
        <v>2275</v>
      </c>
      <c r="DG280" s="2">
        <v>0</v>
      </c>
      <c r="DH280" s="2">
        <f t="shared" si="556"/>
        <v>2275</v>
      </c>
      <c r="DI280" s="2">
        <v>0</v>
      </c>
      <c r="DJ280" s="2">
        <f t="shared" si="557"/>
        <v>2275</v>
      </c>
      <c r="DK280" s="2">
        <v>0</v>
      </c>
      <c r="DL280" s="2">
        <f t="shared" si="558"/>
        <v>2275</v>
      </c>
      <c r="DM280" s="2">
        <v>0</v>
      </c>
      <c r="DN280" s="2">
        <f t="shared" si="559"/>
        <v>2275</v>
      </c>
      <c r="DO280" s="2">
        <v>0</v>
      </c>
      <c r="DP280" s="2">
        <f t="shared" si="560"/>
        <v>2275</v>
      </c>
      <c r="DQ280" s="2">
        <v>0</v>
      </c>
      <c r="DR280" s="2">
        <f t="shared" si="561"/>
        <v>2275</v>
      </c>
      <c r="DS280" s="2">
        <v>0</v>
      </c>
      <c r="DT280" s="2">
        <f t="shared" si="592"/>
        <v>2275</v>
      </c>
      <c r="DU280" s="2">
        <v>0</v>
      </c>
      <c r="DV280" s="2">
        <f t="shared" si="593"/>
        <v>2275</v>
      </c>
      <c r="DW280" s="266">
        <f t="shared" si="553"/>
        <v>2275</v>
      </c>
      <c r="DX280" s="441">
        <f t="shared" si="570"/>
        <v>0</v>
      </c>
    </row>
    <row r="281" spans="1:128">
      <c r="A281" s="413">
        <v>122</v>
      </c>
      <c r="B281" s="537"/>
      <c r="C281" s="433" t="s">
        <v>518</v>
      </c>
      <c r="D281" s="468"/>
      <c r="E281" s="469">
        <v>98062</v>
      </c>
      <c r="F281" s="470" t="s">
        <v>1080</v>
      </c>
      <c r="G281" s="481">
        <v>43794</v>
      </c>
      <c r="H281" s="443">
        <f t="shared" si="563"/>
        <v>49272</v>
      </c>
      <c r="I281" s="267">
        <v>15</v>
      </c>
      <c r="J281" s="267">
        <f t="shared" si="564"/>
        <v>128</v>
      </c>
      <c r="K281" s="267">
        <f t="shared" si="571"/>
        <v>237</v>
      </c>
      <c r="L281" s="483"/>
      <c r="M281" s="433"/>
      <c r="N281" s="484"/>
      <c r="O281" s="484"/>
      <c r="P281" s="433"/>
      <c r="Q281" s="484"/>
      <c r="R281" s="484"/>
      <c r="S281" s="433"/>
      <c r="T281" s="484"/>
      <c r="U281" s="484"/>
      <c r="V281" s="433"/>
      <c r="W281" s="484"/>
      <c r="X281" s="484"/>
      <c r="Y281" s="433"/>
      <c r="Z281" s="484"/>
      <c r="AA281" s="484"/>
      <c r="AB281" s="433"/>
      <c r="AC281" s="484"/>
      <c r="AD281" s="484"/>
      <c r="AE281" s="484"/>
      <c r="AF281" s="484"/>
      <c r="AG281" s="484"/>
      <c r="AH281" s="484"/>
      <c r="AI281" s="439">
        <v>15</v>
      </c>
      <c r="AJ281" s="436">
        <f t="shared" si="562"/>
        <v>15</v>
      </c>
      <c r="AK281" s="440">
        <f t="shared" si="572"/>
        <v>0.18103627252208465</v>
      </c>
      <c r="AL281" s="484"/>
      <c r="AM281" s="484"/>
      <c r="AN281" s="484"/>
      <c r="AO281" s="484"/>
      <c r="AP281" s="484"/>
      <c r="AQ281" s="484"/>
      <c r="AR281" s="433"/>
      <c r="AS281" s="484"/>
      <c r="AT281" s="319"/>
      <c r="AU281" s="319"/>
      <c r="AV281" s="319"/>
      <c r="AW281" s="319"/>
      <c r="AX281" s="319"/>
      <c r="AY281" s="319"/>
      <c r="AZ281" s="319"/>
      <c r="BA281" s="319"/>
      <c r="BB281" s="319"/>
      <c r="BC281" s="319"/>
      <c r="BD281" s="319"/>
      <c r="BE281" s="319"/>
      <c r="BF281" s="319"/>
      <c r="BG281" s="319"/>
      <c r="BH281" s="319"/>
      <c r="BI281" s="2"/>
      <c r="BJ281" s="2"/>
      <c r="BK281" s="2">
        <f t="shared" si="565"/>
        <v>6226</v>
      </c>
      <c r="BL281" s="331">
        <f t="shared" si="566"/>
        <v>91836</v>
      </c>
      <c r="BM281" s="331"/>
      <c r="BN281" s="2">
        <f t="shared" si="551"/>
        <v>91836</v>
      </c>
      <c r="BO281" s="2">
        <f t="shared" si="537"/>
        <v>16626</v>
      </c>
      <c r="BP281" s="2">
        <f t="shared" si="573"/>
        <v>75210</v>
      </c>
      <c r="BQ281" s="2"/>
      <c r="BR281" s="2">
        <f t="shared" si="594"/>
        <v>75210</v>
      </c>
      <c r="BS281" s="2">
        <f t="shared" si="538"/>
        <v>13616</v>
      </c>
      <c r="BT281" s="2">
        <f t="shared" si="574"/>
        <v>61594</v>
      </c>
      <c r="BU281" s="2">
        <f t="shared" si="539"/>
        <v>11151</v>
      </c>
      <c r="BV281" s="2">
        <f t="shared" si="575"/>
        <v>50443</v>
      </c>
      <c r="BW281" s="2">
        <f t="shared" si="540"/>
        <v>9132</v>
      </c>
      <c r="BX281" s="2">
        <f t="shared" si="576"/>
        <v>41311</v>
      </c>
      <c r="BY281" s="2">
        <f t="shared" si="541"/>
        <v>7479</v>
      </c>
      <c r="BZ281" s="2">
        <f t="shared" si="577"/>
        <v>33832</v>
      </c>
      <c r="CA281" s="2">
        <f t="shared" si="542"/>
        <v>6125</v>
      </c>
      <c r="CB281" s="2">
        <f t="shared" si="578"/>
        <v>27707</v>
      </c>
      <c r="CC281" s="2">
        <f t="shared" si="543"/>
        <v>5016</v>
      </c>
      <c r="CD281" s="2">
        <f t="shared" si="579"/>
        <v>22691</v>
      </c>
      <c r="CE281" s="2">
        <f t="shared" si="544"/>
        <v>4108</v>
      </c>
      <c r="CF281" s="2">
        <f t="shared" si="580"/>
        <v>18583</v>
      </c>
      <c r="CG281" s="2">
        <f t="shared" si="545"/>
        <v>3364</v>
      </c>
      <c r="CH281" s="2">
        <f t="shared" si="581"/>
        <v>15219</v>
      </c>
      <c r="CI281" s="2">
        <f t="shared" si="546"/>
        <v>2755</v>
      </c>
      <c r="CJ281" s="2">
        <f t="shared" si="582"/>
        <v>12464</v>
      </c>
      <c r="CK281" s="2">
        <f t="shared" si="547"/>
        <v>2256</v>
      </c>
      <c r="CL281" s="2">
        <f t="shared" si="583"/>
        <v>10208</v>
      </c>
      <c r="CM281" s="2">
        <f t="shared" si="548"/>
        <v>1848</v>
      </c>
      <c r="CN281" s="2">
        <f t="shared" si="584"/>
        <v>8360</v>
      </c>
      <c r="CO281" s="2">
        <f t="shared" si="549"/>
        <v>1513</v>
      </c>
      <c r="CP281" s="2">
        <f t="shared" si="585"/>
        <v>6847</v>
      </c>
      <c r="CQ281" s="2">
        <f t="shared" si="567"/>
        <v>1240</v>
      </c>
      <c r="CR281" s="2">
        <f t="shared" si="586"/>
        <v>5607</v>
      </c>
      <c r="CS281" s="2">
        <f t="shared" si="568"/>
        <v>703.89999999999964</v>
      </c>
      <c r="CT281" s="2">
        <f t="shared" si="569"/>
        <v>4903.1000000000004</v>
      </c>
      <c r="CU281" s="2">
        <v>0</v>
      </c>
      <c r="CV281" s="2">
        <f t="shared" si="587"/>
        <v>4903.1000000000004</v>
      </c>
      <c r="CW281" s="2">
        <v>0</v>
      </c>
      <c r="CX281" s="2">
        <f t="shared" si="588"/>
        <v>4903.1000000000004</v>
      </c>
      <c r="CY281" s="2">
        <v>0</v>
      </c>
      <c r="CZ281" s="2">
        <f t="shared" si="589"/>
        <v>4903.1000000000004</v>
      </c>
      <c r="DA281" s="2">
        <v>0</v>
      </c>
      <c r="DB281" s="2">
        <f t="shared" si="590"/>
        <v>4903.1000000000004</v>
      </c>
      <c r="DC281" s="2">
        <v>0</v>
      </c>
      <c r="DD281" s="2">
        <f t="shared" si="591"/>
        <v>4903.1000000000004</v>
      </c>
      <c r="DE281" s="2">
        <v>0</v>
      </c>
      <c r="DF281" s="2">
        <f t="shared" si="555"/>
        <v>4903.1000000000004</v>
      </c>
      <c r="DG281" s="2">
        <v>0</v>
      </c>
      <c r="DH281" s="2">
        <f t="shared" si="556"/>
        <v>4903.1000000000004</v>
      </c>
      <c r="DI281" s="2">
        <v>0</v>
      </c>
      <c r="DJ281" s="2">
        <f t="shared" si="557"/>
        <v>4903.1000000000004</v>
      </c>
      <c r="DK281" s="2">
        <v>0</v>
      </c>
      <c r="DL281" s="2">
        <f t="shared" si="558"/>
        <v>4903.1000000000004</v>
      </c>
      <c r="DM281" s="2">
        <v>0</v>
      </c>
      <c r="DN281" s="2">
        <f t="shared" si="559"/>
        <v>4903.1000000000004</v>
      </c>
      <c r="DO281" s="2">
        <v>0</v>
      </c>
      <c r="DP281" s="2">
        <f t="shared" si="560"/>
        <v>4903.1000000000004</v>
      </c>
      <c r="DQ281" s="2">
        <v>0</v>
      </c>
      <c r="DR281" s="2">
        <f t="shared" si="561"/>
        <v>4903.1000000000004</v>
      </c>
      <c r="DS281" s="2">
        <v>0</v>
      </c>
      <c r="DT281" s="2">
        <f t="shared" si="592"/>
        <v>4903.1000000000004</v>
      </c>
      <c r="DU281" s="2">
        <v>0</v>
      </c>
      <c r="DV281" s="2">
        <f t="shared" si="593"/>
        <v>4903.1000000000004</v>
      </c>
      <c r="DW281" s="266">
        <f t="shared" si="553"/>
        <v>4903.1000000000004</v>
      </c>
      <c r="DX281" s="441">
        <f t="shared" si="570"/>
        <v>0</v>
      </c>
    </row>
    <row r="282" spans="1:128">
      <c r="A282" s="413">
        <v>123</v>
      </c>
      <c r="B282" s="537"/>
      <c r="C282" s="433" t="s">
        <v>518</v>
      </c>
      <c r="D282" s="468"/>
      <c r="E282" s="469">
        <v>26000</v>
      </c>
      <c r="F282" s="470" t="s">
        <v>1080</v>
      </c>
      <c r="G282" s="481">
        <v>43805</v>
      </c>
      <c r="H282" s="443">
        <f t="shared" si="563"/>
        <v>49283</v>
      </c>
      <c r="I282" s="267">
        <v>15</v>
      </c>
      <c r="J282" s="267">
        <f t="shared" si="564"/>
        <v>117</v>
      </c>
      <c r="K282" s="267">
        <f t="shared" si="571"/>
        <v>248</v>
      </c>
      <c r="L282" s="483"/>
      <c r="M282" s="433"/>
      <c r="N282" s="484"/>
      <c r="O282" s="484"/>
      <c r="P282" s="433"/>
      <c r="Q282" s="484"/>
      <c r="R282" s="484"/>
      <c r="S282" s="433"/>
      <c r="T282" s="484"/>
      <c r="U282" s="484"/>
      <c r="V282" s="433"/>
      <c r="W282" s="484"/>
      <c r="X282" s="484"/>
      <c r="Y282" s="433"/>
      <c r="Z282" s="484"/>
      <c r="AA282" s="484"/>
      <c r="AB282" s="433"/>
      <c r="AC282" s="484"/>
      <c r="AD282" s="484"/>
      <c r="AE282" s="484"/>
      <c r="AF282" s="484"/>
      <c r="AG282" s="484"/>
      <c r="AH282" s="484"/>
      <c r="AI282" s="439">
        <v>15</v>
      </c>
      <c r="AJ282" s="436">
        <f t="shared" si="562"/>
        <v>15</v>
      </c>
      <c r="AK282" s="440">
        <f t="shared" si="572"/>
        <v>0.18103627252208465</v>
      </c>
      <c r="AL282" s="484"/>
      <c r="AM282" s="484"/>
      <c r="AN282" s="484"/>
      <c r="AO282" s="484"/>
      <c r="AP282" s="484"/>
      <c r="AQ282" s="484"/>
      <c r="AR282" s="433"/>
      <c r="AS282" s="484"/>
      <c r="AT282" s="319"/>
      <c r="AU282" s="319"/>
      <c r="AV282" s="319"/>
      <c r="AW282" s="319"/>
      <c r="AX282" s="319"/>
      <c r="AY282" s="319"/>
      <c r="AZ282" s="319"/>
      <c r="BA282" s="319"/>
      <c r="BB282" s="319"/>
      <c r="BC282" s="319"/>
      <c r="BD282" s="319"/>
      <c r="BE282" s="319"/>
      <c r="BF282" s="319"/>
      <c r="BG282" s="319"/>
      <c r="BH282" s="319"/>
      <c r="BI282" s="2"/>
      <c r="BJ282" s="2"/>
      <c r="BK282" s="2">
        <f t="shared" si="565"/>
        <v>1509</v>
      </c>
      <c r="BL282" s="331">
        <f t="shared" si="566"/>
        <v>24491</v>
      </c>
      <c r="BM282" s="331"/>
      <c r="BN282" s="2">
        <f t="shared" si="551"/>
        <v>24491</v>
      </c>
      <c r="BO282" s="2">
        <f t="shared" ref="BO282:BO290" si="595">ROUND(+BL282*$AK282,0)</f>
        <v>4434</v>
      </c>
      <c r="BP282" s="2">
        <f t="shared" si="573"/>
        <v>20057</v>
      </c>
      <c r="BQ282" s="2"/>
      <c r="BR282" s="2">
        <f t="shared" si="594"/>
        <v>20057</v>
      </c>
      <c r="BS282" s="2">
        <f t="shared" ref="BS282:BS290" si="596">ROUND(+BP282*$AK282,0)</f>
        <v>3631</v>
      </c>
      <c r="BT282" s="2">
        <f t="shared" si="574"/>
        <v>16426</v>
      </c>
      <c r="BU282" s="2">
        <f t="shared" ref="BU282:BU299" si="597">ROUND(+BT282*$AK282,0)</f>
        <v>2974</v>
      </c>
      <c r="BV282" s="2">
        <f t="shared" si="575"/>
        <v>13452</v>
      </c>
      <c r="BW282" s="2">
        <f t="shared" ref="BW282:BW290" si="598">ROUND(+BV282*$AK282,0)</f>
        <v>2435</v>
      </c>
      <c r="BX282" s="2">
        <f t="shared" si="576"/>
        <v>11017</v>
      </c>
      <c r="BY282" s="2">
        <f t="shared" ref="BY282:BY290" si="599">ROUND(+BX282*$AK282,0)</f>
        <v>1994</v>
      </c>
      <c r="BZ282" s="2">
        <f t="shared" si="577"/>
        <v>9023</v>
      </c>
      <c r="CA282" s="2">
        <f t="shared" ref="CA282:CA290" si="600">ROUND(+BZ282*$AK282,0)</f>
        <v>1633</v>
      </c>
      <c r="CB282" s="2">
        <f t="shared" si="578"/>
        <v>7390</v>
      </c>
      <c r="CC282" s="2">
        <f t="shared" ref="CC282:CC290" si="601">ROUND(+CB282*$AK282,0)</f>
        <v>1338</v>
      </c>
      <c r="CD282" s="2">
        <f t="shared" si="579"/>
        <v>6052</v>
      </c>
      <c r="CE282" s="2">
        <f t="shared" ref="CE282:CE291" si="602">ROUND(+CD282*$AK282,0)</f>
        <v>1096</v>
      </c>
      <c r="CF282" s="2">
        <f t="shared" si="580"/>
        <v>4956</v>
      </c>
      <c r="CG282" s="2">
        <f t="shared" ref="CG282:CG291" si="603">ROUND(+CF282*$AK282,0)</f>
        <v>897</v>
      </c>
      <c r="CH282" s="2">
        <f t="shared" si="581"/>
        <v>4059</v>
      </c>
      <c r="CI282" s="2">
        <f t="shared" ref="CI282:CI291" si="604">ROUND(+CH282*$AK282,0)</f>
        <v>735</v>
      </c>
      <c r="CJ282" s="2">
        <f t="shared" si="582"/>
        <v>3324</v>
      </c>
      <c r="CK282" s="2">
        <f t="shared" ref="CK282:CK290" si="605">ROUND(+CJ282*$AK282,0)</f>
        <v>602</v>
      </c>
      <c r="CL282" s="2">
        <f t="shared" si="583"/>
        <v>2722</v>
      </c>
      <c r="CM282" s="2">
        <f t="shared" ref="CM282:CM290" si="606">ROUND(+CL282*$AK282,0)</f>
        <v>493</v>
      </c>
      <c r="CN282" s="2">
        <f t="shared" si="584"/>
        <v>2229</v>
      </c>
      <c r="CO282" s="2">
        <f t="shared" ref="CO282:CO290" si="607">ROUND(+CN282*$AK282,0)</f>
        <v>404</v>
      </c>
      <c r="CP282" s="2">
        <f t="shared" si="585"/>
        <v>1825</v>
      </c>
      <c r="CQ282" s="2">
        <f t="shared" si="567"/>
        <v>330</v>
      </c>
      <c r="CR282" s="2">
        <f t="shared" si="586"/>
        <v>1495</v>
      </c>
      <c r="CS282" s="2">
        <f t="shared" si="568"/>
        <v>195</v>
      </c>
      <c r="CT282" s="2">
        <f t="shared" si="569"/>
        <v>1300</v>
      </c>
      <c r="CU282" s="2">
        <v>0</v>
      </c>
      <c r="CV282" s="2">
        <f t="shared" si="587"/>
        <v>1300</v>
      </c>
      <c r="CW282" s="2">
        <v>0</v>
      </c>
      <c r="CX282" s="2">
        <f t="shared" si="588"/>
        <v>1300</v>
      </c>
      <c r="CY282" s="2">
        <v>0</v>
      </c>
      <c r="CZ282" s="2">
        <f t="shared" si="589"/>
        <v>1300</v>
      </c>
      <c r="DA282" s="2">
        <v>0</v>
      </c>
      <c r="DB282" s="2">
        <f t="shared" si="590"/>
        <v>1300</v>
      </c>
      <c r="DC282" s="2">
        <v>0</v>
      </c>
      <c r="DD282" s="2">
        <f t="shared" si="591"/>
        <v>1300</v>
      </c>
      <c r="DE282" s="2">
        <v>0</v>
      </c>
      <c r="DF282" s="2">
        <f t="shared" si="555"/>
        <v>1300</v>
      </c>
      <c r="DG282" s="2">
        <v>0</v>
      </c>
      <c r="DH282" s="2">
        <f t="shared" si="556"/>
        <v>1300</v>
      </c>
      <c r="DI282" s="2">
        <v>0</v>
      </c>
      <c r="DJ282" s="2">
        <f t="shared" si="557"/>
        <v>1300</v>
      </c>
      <c r="DK282" s="2">
        <v>0</v>
      </c>
      <c r="DL282" s="2">
        <f t="shared" si="558"/>
        <v>1300</v>
      </c>
      <c r="DM282" s="2">
        <v>0</v>
      </c>
      <c r="DN282" s="2">
        <f t="shared" si="559"/>
        <v>1300</v>
      </c>
      <c r="DO282" s="2">
        <v>0</v>
      </c>
      <c r="DP282" s="2">
        <f t="shared" si="560"/>
        <v>1300</v>
      </c>
      <c r="DQ282" s="2">
        <v>0</v>
      </c>
      <c r="DR282" s="2">
        <f t="shared" si="561"/>
        <v>1300</v>
      </c>
      <c r="DS282" s="2">
        <v>0</v>
      </c>
      <c r="DT282" s="2">
        <f t="shared" si="592"/>
        <v>1300</v>
      </c>
      <c r="DU282" s="2">
        <v>0</v>
      </c>
      <c r="DV282" s="2">
        <f t="shared" si="593"/>
        <v>1300</v>
      </c>
      <c r="DW282" s="266">
        <f t="shared" si="553"/>
        <v>1300</v>
      </c>
      <c r="DX282" s="441">
        <f t="shared" si="570"/>
        <v>0</v>
      </c>
    </row>
    <row r="283" spans="1:128">
      <c r="A283" s="413">
        <v>124</v>
      </c>
      <c r="B283" s="537"/>
      <c r="C283" s="433" t="s">
        <v>518</v>
      </c>
      <c r="D283" s="468"/>
      <c r="E283" s="469">
        <v>31000</v>
      </c>
      <c r="F283" s="470" t="s">
        <v>1080</v>
      </c>
      <c r="G283" s="481">
        <v>43806</v>
      </c>
      <c r="H283" s="443">
        <f t="shared" si="563"/>
        <v>49284</v>
      </c>
      <c r="I283" s="267">
        <v>15</v>
      </c>
      <c r="J283" s="267">
        <f t="shared" si="564"/>
        <v>116</v>
      </c>
      <c r="K283" s="267">
        <f t="shared" si="571"/>
        <v>249</v>
      </c>
      <c r="L283" s="483"/>
      <c r="M283" s="433"/>
      <c r="N283" s="484"/>
      <c r="O283" s="484"/>
      <c r="P283" s="433"/>
      <c r="Q283" s="484"/>
      <c r="R283" s="484"/>
      <c r="S283" s="433"/>
      <c r="T283" s="484"/>
      <c r="U283" s="484"/>
      <c r="V283" s="433"/>
      <c r="W283" s="484"/>
      <c r="X283" s="484"/>
      <c r="Y283" s="433"/>
      <c r="Z283" s="484"/>
      <c r="AA283" s="484"/>
      <c r="AB283" s="433"/>
      <c r="AC283" s="484"/>
      <c r="AD283" s="484"/>
      <c r="AE283" s="484"/>
      <c r="AF283" s="484"/>
      <c r="AG283" s="484"/>
      <c r="AH283" s="484"/>
      <c r="AI283" s="439">
        <v>15</v>
      </c>
      <c r="AJ283" s="436">
        <f t="shared" si="562"/>
        <v>15</v>
      </c>
      <c r="AK283" s="440">
        <f t="shared" si="572"/>
        <v>0.18103627252208465</v>
      </c>
      <c r="AL283" s="484"/>
      <c r="AM283" s="484"/>
      <c r="AN283" s="484"/>
      <c r="AO283" s="484"/>
      <c r="AP283" s="484"/>
      <c r="AQ283" s="484"/>
      <c r="AR283" s="433"/>
      <c r="AS283" s="484"/>
      <c r="AT283" s="319"/>
      <c r="AU283" s="319"/>
      <c r="AV283" s="319"/>
      <c r="AW283" s="319"/>
      <c r="AX283" s="319"/>
      <c r="AY283" s="319"/>
      <c r="AZ283" s="319"/>
      <c r="BA283" s="319"/>
      <c r="BB283" s="319"/>
      <c r="BC283" s="319"/>
      <c r="BD283" s="319"/>
      <c r="BE283" s="319"/>
      <c r="BF283" s="319"/>
      <c r="BG283" s="319"/>
      <c r="BH283" s="319"/>
      <c r="BI283" s="2"/>
      <c r="BJ283" s="2"/>
      <c r="BK283" s="2">
        <f t="shared" si="565"/>
        <v>1784</v>
      </c>
      <c r="BL283" s="331">
        <f t="shared" si="566"/>
        <v>29216</v>
      </c>
      <c r="BM283" s="331"/>
      <c r="BN283" s="2">
        <f t="shared" si="551"/>
        <v>29216</v>
      </c>
      <c r="BO283" s="2">
        <f t="shared" si="595"/>
        <v>5289</v>
      </c>
      <c r="BP283" s="2">
        <f t="shared" si="573"/>
        <v>23927</v>
      </c>
      <c r="BQ283" s="2"/>
      <c r="BR283" s="2">
        <f t="shared" si="594"/>
        <v>23927</v>
      </c>
      <c r="BS283" s="2">
        <f t="shared" si="596"/>
        <v>4332</v>
      </c>
      <c r="BT283" s="2">
        <f t="shared" si="574"/>
        <v>19595</v>
      </c>
      <c r="BU283" s="2">
        <f t="shared" si="597"/>
        <v>3547</v>
      </c>
      <c r="BV283" s="2">
        <f t="shared" si="575"/>
        <v>16048</v>
      </c>
      <c r="BW283" s="2">
        <f t="shared" si="598"/>
        <v>2905</v>
      </c>
      <c r="BX283" s="2">
        <f t="shared" si="576"/>
        <v>13143</v>
      </c>
      <c r="BY283" s="2">
        <f t="shared" si="599"/>
        <v>2379</v>
      </c>
      <c r="BZ283" s="2">
        <f t="shared" si="577"/>
        <v>10764</v>
      </c>
      <c r="CA283" s="2">
        <f t="shared" si="600"/>
        <v>1949</v>
      </c>
      <c r="CB283" s="2">
        <f t="shared" si="578"/>
        <v>8815</v>
      </c>
      <c r="CC283" s="2">
        <f t="shared" si="601"/>
        <v>1596</v>
      </c>
      <c r="CD283" s="2">
        <f t="shared" si="579"/>
        <v>7219</v>
      </c>
      <c r="CE283" s="2">
        <f t="shared" si="602"/>
        <v>1307</v>
      </c>
      <c r="CF283" s="2">
        <f t="shared" si="580"/>
        <v>5912</v>
      </c>
      <c r="CG283" s="2">
        <f t="shared" si="603"/>
        <v>1070</v>
      </c>
      <c r="CH283" s="2">
        <f t="shared" si="581"/>
        <v>4842</v>
      </c>
      <c r="CI283" s="2">
        <f t="shared" si="604"/>
        <v>877</v>
      </c>
      <c r="CJ283" s="2">
        <f t="shared" si="582"/>
        <v>3965</v>
      </c>
      <c r="CK283" s="2">
        <f t="shared" si="605"/>
        <v>718</v>
      </c>
      <c r="CL283" s="2">
        <f t="shared" si="583"/>
        <v>3247</v>
      </c>
      <c r="CM283" s="2">
        <f t="shared" si="606"/>
        <v>588</v>
      </c>
      <c r="CN283" s="2">
        <f t="shared" si="584"/>
        <v>2659</v>
      </c>
      <c r="CO283" s="2">
        <f t="shared" si="607"/>
        <v>481</v>
      </c>
      <c r="CP283" s="2">
        <f t="shared" si="585"/>
        <v>2178</v>
      </c>
      <c r="CQ283" s="2">
        <f t="shared" si="567"/>
        <v>394</v>
      </c>
      <c r="CR283" s="2">
        <f t="shared" si="586"/>
        <v>1784</v>
      </c>
      <c r="CS283" s="2">
        <f t="shared" si="568"/>
        <v>234</v>
      </c>
      <c r="CT283" s="2">
        <f t="shared" si="569"/>
        <v>1550</v>
      </c>
      <c r="CU283" s="2">
        <v>0</v>
      </c>
      <c r="CV283" s="2">
        <f t="shared" si="587"/>
        <v>1550</v>
      </c>
      <c r="CW283" s="2">
        <v>0</v>
      </c>
      <c r="CX283" s="2">
        <f t="shared" si="588"/>
        <v>1550</v>
      </c>
      <c r="CY283" s="2">
        <v>0</v>
      </c>
      <c r="CZ283" s="2">
        <f t="shared" si="589"/>
        <v>1550</v>
      </c>
      <c r="DA283" s="2">
        <v>0</v>
      </c>
      <c r="DB283" s="2">
        <f t="shared" si="590"/>
        <v>1550</v>
      </c>
      <c r="DC283" s="2">
        <v>0</v>
      </c>
      <c r="DD283" s="2">
        <f t="shared" si="591"/>
        <v>1550</v>
      </c>
      <c r="DE283" s="2">
        <v>0</v>
      </c>
      <c r="DF283" s="2">
        <f t="shared" si="555"/>
        <v>1550</v>
      </c>
      <c r="DG283" s="2">
        <v>0</v>
      </c>
      <c r="DH283" s="2">
        <f t="shared" si="556"/>
        <v>1550</v>
      </c>
      <c r="DI283" s="2">
        <v>0</v>
      </c>
      <c r="DJ283" s="2">
        <f t="shared" si="557"/>
        <v>1550</v>
      </c>
      <c r="DK283" s="2">
        <v>0</v>
      </c>
      <c r="DL283" s="2">
        <f t="shared" si="558"/>
        <v>1550</v>
      </c>
      <c r="DM283" s="2">
        <v>0</v>
      </c>
      <c r="DN283" s="2">
        <f t="shared" si="559"/>
        <v>1550</v>
      </c>
      <c r="DO283" s="2">
        <v>0</v>
      </c>
      <c r="DP283" s="2">
        <f t="shared" si="560"/>
        <v>1550</v>
      </c>
      <c r="DQ283" s="2">
        <v>0</v>
      </c>
      <c r="DR283" s="2">
        <f t="shared" si="561"/>
        <v>1550</v>
      </c>
      <c r="DS283" s="2">
        <v>0</v>
      </c>
      <c r="DT283" s="2">
        <f t="shared" si="592"/>
        <v>1550</v>
      </c>
      <c r="DU283" s="2">
        <v>0</v>
      </c>
      <c r="DV283" s="2">
        <f t="shared" si="593"/>
        <v>1550</v>
      </c>
      <c r="DW283" s="266">
        <f t="shared" si="553"/>
        <v>1550</v>
      </c>
      <c r="DX283" s="441">
        <f t="shared" si="570"/>
        <v>0</v>
      </c>
    </row>
    <row r="284" spans="1:128">
      <c r="A284" s="413">
        <v>125</v>
      </c>
      <c r="B284" s="537"/>
      <c r="C284" s="433" t="s">
        <v>518</v>
      </c>
      <c r="D284" s="468"/>
      <c r="E284" s="469">
        <v>392000</v>
      </c>
      <c r="F284" s="470" t="s">
        <v>1080</v>
      </c>
      <c r="G284" s="481">
        <v>43812</v>
      </c>
      <c r="H284" s="443">
        <f t="shared" si="563"/>
        <v>49290</v>
      </c>
      <c r="I284" s="267">
        <v>15</v>
      </c>
      <c r="J284" s="267">
        <f t="shared" si="564"/>
        <v>110</v>
      </c>
      <c r="K284" s="267">
        <f t="shared" si="571"/>
        <v>255</v>
      </c>
      <c r="L284" s="483"/>
      <c r="M284" s="433"/>
      <c r="N284" s="484"/>
      <c r="O284" s="484"/>
      <c r="P284" s="433"/>
      <c r="Q284" s="484"/>
      <c r="R284" s="484"/>
      <c r="S284" s="433"/>
      <c r="T284" s="484"/>
      <c r="U284" s="484"/>
      <c r="V284" s="433"/>
      <c r="W284" s="484"/>
      <c r="X284" s="484"/>
      <c r="Y284" s="433"/>
      <c r="Z284" s="484"/>
      <c r="AA284" s="484"/>
      <c r="AB284" s="433"/>
      <c r="AC284" s="484"/>
      <c r="AD284" s="484"/>
      <c r="AE284" s="484"/>
      <c r="AF284" s="484"/>
      <c r="AG284" s="484"/>
      <c r="AH284" s="484"/>
      <c r="AI284" s="439">
        <v>15</v>
      </c>
      <c r="AJ284" s="436">
        <f t="shared" si="562"/>
        <v>15</v>
      </c>
      <c r="AK284" s="440">
        <f t="shared" si="572"/>
        <v>0.18103627252208465</v>
      </c>
      <c r="AL284" s="484"/>
      <c r="AM284" s="484"/>
      <c r="AN284" s="484"/>
      <c r="AO284" s="484"/>
      <c r="AP284" s="484"/>
      <c r="AQ284" s="484"/>
      <c r="AR284" s="433"/>
      <c r="AS284" s="484"/>
      <c r="AT284" s="319"/>
      <c r="AU284" s="319"/>
      <c r="AV284" s="319"/>
      <c r="AW284" s="319"/>
      <c r="AX284" s="319"/>
      <c r="AY284" s="319"/>
      <c r="AZ284" s="319"/>
      <c r="BA284" s="319"/>
      <c r="BB284" s="319"/>
      <c r="BC284" s="319"/>
      <c r="BD284" s="319"/>
      <c r="BE284" s="319"/>
      <c r="BF284" s="319"/>
      <c r="BG284" s="319"/>
      <c r="BH284" s="319"/>
      <c r="BI284" s="2"/>
      <c r="BJ284" s="2"/>
      <c r="BK284" s="2">
        <f t="shared" si="565"/>
        <v>21387</v>
      </c>
      <c r="BL284" s="331">
        <f t="shared" si="566"/>
        <v>370613</v>
      </c>
      <c r="BM284" s="331"/>
      <c r="BN284" s="2">
        <f t="shared" si="551"/>
        <v>370613</v>
      </c>
      <c r="BO284" s="2">
        <f t="shared" si="595"/>
        <v>67094</v>
      </c>
      <c r="BP284" s="2">
        <f t="shared" si="573"/>
        <v>303519</v>
      </c>
      <c r="BQ284" s="2"/>
      <c r="BR284" s="2">
        <f t="shared" si="594"/>
        <v>303519</v>
      </c>
      <c r="BS284" s="2">
        <f t="shared" si="596"/>
        <v>54948</v>
      </c>
      <c r="BT284" s="2">
        <f t="shared" si="574"/>
        <v>248571</v>
      </c>
      <c r="BU284" s="2">
        <f t="shared" si="597"/>
        <v>45000</v>
      </c>
      <c r="BV284" s="2">
        <f t="shared" si="575"/>
        <v>203571</v>
      </c>
      <c r="BW284" s="2">
        <f t="shared" si="598"/>
        <v>36854</v>
      </c>
      <c r="BX284" s="2">
        <f t="shared" si="576"/>
        <v>166717</v>
      </c>
      <c r="BY284" s="2">
        <f t="shared" si="599"/>
        <v>30182</v>
      </c>
      <c r="BZ284" s="2">
        <f t="shared" si="577"/>
        <v>136535</v>
      </c>
      <c r="CA284" s="2">
        <f t="shared" si="600"/>
        <v>24718</v>
      </c>
      <c r="CB284" s="2">
        <f t="shared" si="578"/>
        <v>111817</v>
      </c>
      <c r="CC284" s="2">
        <f t="shared" si="601"/>
        <v>20243</v>
      </c>
      <c r="CD284" s="2">
        <f t="shared" si="579"/>
        <v>91574</v>
      </c>
      <c r="CE284" s="2">
        <f t="shared" si="602"/>
        <v>16578</v>
      </c>
      <c r="CF284" s="2">
        <f t="shared" si="580"/>
        <v>74996</v>
      </c>
      <c r="CG284" s="2">
        <f t="shared" si="603"/>
        <v>13577</v>
      </c>
      <c r="CH284" s="2">
        <f t="shared" si="581"/>
        <v>61419</v>
      </c>
      <c r="CI284" s="2">
        <f t="shared" si="604"/>
        <v>11119</v>
      </c>
      <c r="CJ284" s="2">
        <f t="shared" si="582"/>
        <v>50300</v>
      </c>
      <c r="CK284" s="2">
        <f t="shared" si="605"/>
        <v>9106</v>
      </c>
      <c r="CL284" s="2">
        <f t="shared" si="583"/>
        <v>41194</v>
      </c>
      <c r="CM284" s="2">
        <f t="shared" si="606"/>
        <v>7458</v>
      </c>
      <c r="CN284" s="2">
        <f t="shared" si="584"/>
        <v>33736</v>
      </c>
      <c r="CO284" s="2">
        <f t="shared" si="607"/>
        <v>6107</v>
      </c>
      <c r="CP284" s="2">
        <f t="shared" si="585"/>
        <v>27629</v>
      </c>
      <c r="CQ284" s="2">
        <f t="shared" si="567"/>
        <v>5002</v>
      </c>
      <c r="CR284" s="2">
        <f t="shared" si="586"/>
        <v>22627</v>
      </c>
      <c r="CS284" s="2">
        <f t="shared" si="568"/>
        <v>3027</v>
      </c>
      <c r="CT284" s="2">
        <f t="shared" si="569"/>
        <v>19600</v>
      </c>
      <c r="CU284" s="2">
        <v>0</v>
      </c>
      <c r="CV284" s="2">
        <f t="shared" si="587"/>
        <v>19600</v>
      </c>
      <c r="CW284" s="2">
        <v>0</v>
      </c>
      <c r="CX284" s="2">
        <f t="shared" si="588"/>
        <v>19600</v>
      </c>
      <c r="CY284" s="2">
        <v>0</v>
      </c>
      <c r="CZ284" s="2">
        <f t="shared" si="589"/>
        <v>19600</v>
      </c>
      <c r="DA284" s="2">
        <v>0</v>
      </c>
      <c r="DB284" s="2">
        <f t="shared" si="590"/>
        <v>19600</v>
      </c>
      <c r="DC284" s="2">
        <v>0</v>
      </c>
      <c r="DD284" s="2">
        <f t="shared" si="591"/>
        <v>19600</v>
      </c>
      <c r="DE284" s="2">
        <v>0</v>
      </c>
      <c r="DF284" s="2">
        <f t="shared" si="555"/>
        <v>19600</v>
      </c>
      <c r="DG284" s="2">
        <v>0</v>
      </c>
      <c r="DH284" s="2">
        <f t="shared" si="556"/>
        <v>19600</v>
      </c>
      <c r="DI284" s="2">
        <v>0</v>
      </c>
      <c r="DJ284" s="2">
        <f t="shared" si="557"/>
        <v>19600</v>
      </c>
      <c r="DK284" s="2">
        <v>0</v>
      </c>
      <c r="DL284" s="2">
        <f t="shared" si="558"/>
        <v>19600</v>
      </c>
      <c r="DM284" s="2">
        <v>0</v>
      </c>
      <c r="DN284" s="2">
        <f t="shared" si="559"/>
        <v>19600</v>
      </c>
      <c r="DO284" s="2">
        <v>0</v>
      </c>
      <c r="DP284" s="2">
        <f t="shared" si="560"/>
        <v>19600</v>
      </c>
      <c r="DQ284" s="2">
        <v>0</v>
      </c>
      <c r="DR284" s="2">
        <f t="shared" si="561"/>
        <v>19600</v>
      </c>
      <c r="DS284" s="2">
        <v>0</v>
      </c>
      <c r="DT284" s="2">
        <f t="shared" si="592"/>
        <v>19600</v>
      </c>
      <c r="DU284" s="2">
        <v>0</v>
      </c>
      <c r="DV284" s="2">
        <f t="shared" si="593"/>
        <v>19600</v>
      </c>
      <c r="DW284" s="266">
        <f t="shared" si="553"/>
        <v>19600</v>
      </c>
      <c r="DX284" s="441">
        <f t="shared" si="570"/>
        <v>0</v>
      </c>
    </row>
    <row r="285" spans="1:128">
      <c r="A285" s="413">
        <v>126</v>
      </c>
      <c r="B285" s="537"/>
      <c r="C285" s="433" t="s">
        <v>518</v>
      </c>
      <c r="D285" s="468"/>
      <c r="E285" s="469">
        <v>104250</v>
      </c>
      <c r="F285" s="470" t="s">
        <v>1080</v>
      </c>
      <c r="G285" s="481">
        <v>43854</v>
      </c>
      <c r="H285" s="443">
        <f t="shared" si="563"/>
        <v>49332</v>
      </c>
      <c r="I285" s="267">
        <v>15</v>
      </c>
      <c r="J285" s="267">
        <f t="shared" si="564"/>
        <v>68</v>
      </c>
      <c r="K285" s="267">
        <f t="shared" si="571"/>
        <v>297</v>
      </c>
      <c r="L285" s="483"/>
      <c r="M285" s="433"/>
      <c r="N285" s="484"/>
      <c r="O285" s="484"/>
      <c r="P285" s="433"/>
      <c r="Q285" s="484"/>
      <c r="R285" s="484"/>
      <c r="S285" s="433"/>
      <c r="T285" s="484"/>
      <c r="U285" s="484"/>
      <c r="V285" s="433"/>
      <c r="W285" s="484"/>
      <c r="X285" s="484"/>
      <c r="Y285" s="433"/>
      <c r="Z285" s="484"/>
      <c r="AA285" s="484"/>
      <c r="AB285" s="433"/>
      <c r="AC285" s="484"/>
      <c r="AD285" s="484"/>
      <c r="AE285" s="484"/>
      <c r="AF285" s="484"/>
      <c r="AG285" s="484"/>
      <c r="AH285" s="484"/>
      <c r="AI285" s="439">
        <v>15</v>
      </c>
      <c r="AJ285" s="436">
        <f t="shared" si="562"/>
        <v>15</v>
      </c>
      <c r="AK285" s="440">
        <f t="shared" si="572"/>
        <v>0.18103627252208465</v>
      </c>
      <c r="AL285" s="484"/>
      <c r="AM285" s="484"/>
      <c r="AN285" s="484"/>
      <c r="AO285" s="484"/>
      <c r="AP285" s="484"/>
      <c r="AQ285" s="484"/>
      <c r="AR285" s="433"/>
      <c r="AS285" s="484"/>
      <c r="AT285" s="319"/>
      <c r="AU285" s="319"/>
      <c r="AV285" s="319"/>
      <c r="AW285" s="319"/>
      <c r="AX285" s="319"/>
      <c r="AY285" s="319"/>
      <c r="AZ285" s="319"/>
      <c r="BA285" s="319"/>
      <c r="BB285" s="319"/>
      <c r="BC285" s="319"/>
      <c r="BD285" s="319"/>
      <c r="BE285" s="319"/>
      <c r="BF285" s="319"/>
      <c r="BG285" s="319"/>
      <c r="BH285" s="319"/>
      <c r="BI285" s="2"/>
      <c r="BJ285" s="2"/>
      <c r="BK285" s="2">
        <f t="shared" si="565"/>
        <v>3516</v>
      </c>
      <c r="BL285" s="331">
        <f t="shared" si="566"/>
        <v>100734</v>
      </c>
      <c r="BM285" s="331"/>
      <c r="BN285" s="2">
        <f t="shared" si="551"/>
        <v>100734</v>
      </c>
      <c r="BO285" s="2">
        <f t="shared" si="595"/>
        <v>18237</v>
      </c>
      <c r="BP285" s="2">
        <f t="shared" si="573"/>
        <v>82497</v>
      </c>
      <c r="BQ285" s="2"/>
      <c r="BR285" s="2">
        <f t="shared" si="594"/>
        <v>82497</v>
      </c>
      <c r="BS285" s="2">
        <f t="shared" si="596"/>
        <v>14935</v>
      </c>
      <c r="BT285" s="2">
        <f t="shared" si="574"/>
        <v>67562</v>
      </c>
      <c r="BU285" s="2">
        <f t="shared" si="597"/>
        <v>12231</v>
      </c>
      <c r="BV285" s="2">
        <f t="shared" si="575"/>
        <v>55331</v>
      </c>
      <c r="BW285" s="2">
        <f t="shared" si="598"/>
        <v>10017</v>
      </c>
      <c r="BX285" s="2">
        <f t="shared" si="576"/>
        <v>45314</v>
      </c>
      <c r="BY285" s="2">
        <f t="shared" si="599"/>
        <v>8203</v>
      </c>
      <c r="BZ285" s="2">
        <f t="shared" si="577"/>
        <v>37111</v>
      </c>
      <c r="CA285" s="2">
        <f t="shared" si="600"/>
        <v>6718</v>
      </c>
      <c r="CB285" s="2">
        <f t="shared" si="578"/>
        <v>30393</v>
      </c>
      <c r="CC285" s="2">
        <f t="shared" si="601"/>
        <v>5502</v>
      </c>
      <c r="CD285" s="2">
        <f t="shared" si="579"/>
        <v>24891</v>
      </c>
      <c r="CE285" s="2">
        <f t="shared" si="602"/>
        <v>4506</v>
      </c>
      <c r="CF285" s="2">
        <f t="shared" si="580"/>
        <v>20385</v>
      </c>
      <c r="CG285" s="2">
        <f t="shared" si="603"/>
        <v>3690</v>
      </c>
      <c r="CH285" s="2">
        <f t="shared" si="581"/>
        <v>16695</v>
      </c>
      <c r="CI285" s="2">
        <f t="shared" si="604"/>
        <v>3022</v>
      </c>
      <c r="CJ285" s="2">
        <f t="shared" si="582"/>
        <v>13673</v>
      </c>
      <c r="CK285" s="2">
        <f t="shared" si="605"/>
        <v>2475</v>
      </c>
      <c r="CL285" s="2">
        <f t="shared" si="583"/>
        <v>11198</v>
      </c>
      <c r="CM285" s="2">
        <f t="shared" si="606"/>
        <v>2027</v>
      </c>
      <c r="CN285" s="2">
        <f t="shared" si="584"/>
        <v>9171</v>
      </c>
      <c r="CO285" s="2">
        <f t="shared" si="607"/>
        <v>1660</v>
      </c>
      <c r="CP285" s="2">
        <f t="shared" si="585"/>
        <v>7511</v>
      </c>
      <c r="CQ285" s="2">
        <f t="shared" si="567"/>
        <v>1360</v>
      </c>
      <c r="CR285" s="2">
        <f t="shared" si="586"/>
        <v>6151</v>
      </c>
      <c r="CS285" s="2">
        <f t="shared" si="568"/>
        <v>938.5</v>
      </c>
      <c r="CT285" s="2">
        <f t="shared" si="569"/>
        <v>5212.5</v>
      </c>
      <c r="CU285" s="2">
        <v>0</v>
      </c>
      <c r="CV285" s="2">
        <f t="shared" si="587"/>
        <v>5212.5</v>
      </c>
      <c r="CW285" s="2">
        <v>0</v>
      </c>
      <c r="CX285" s="2">
        <f t="shared" si="588"/>
        <v>5212.5</v>
      </c>
      <c r="CY285" s="2">
        <v>0</v>
      </c>
      <c r="CZ285" s="2">
        <f t="shared" si="589"/>
        <v>5212.5</v>
      </c>
      <c r="DA285" s="2">
        <v>0</v>
      </c>
      <c r="DB285" s="2">
        <f t="shared" si="590"/>
        <v>5212.5</v>
      </c>
      <c r="DC285" s="2">
        <v>0</v>
      </c>
      <c r="DD285" s="2">
        <f t="shared" si="591"/>
        <v>5212.5</v>
      </c>
      <c r="DE285" s="2">
        <v>0</v>
      </c>
      <c r="DF285" s="2">
        <f t="shared" si="555"/>
        <v>5212.5</v>
      </c>
      <c r="DG285" s="2">
        <v>0</v>
      </c>
      <c r="DH285" s="2">
        <f t="shared" si="556"/>
        <v>5212.5</v>
      </c>
      <c r="DI285" s="2">
        <v>0</v>
      </c>
      <c r="DJ285" s="2">
        <f t="shared" si="557"/>
        <v>5212.5</v>
      </c>
      <c r="DK285" s="2">
        <v>0</v>
      </c>
      <c r="DL285" s="2">
        <f t="shared" si="558"/>
        <v>5212.5</v>
      </c>
      <c r="DM285" s="2">
        <v>0</v>
      </c>
      <c r="DN285" s="2">
        <f t="shared" si="559"/>
        <v>5212.5</v>
      </c>
      <c r="DO285" s="2">
        <v>0</v>
      </c>
      <c r="DP285" s="2">
        <f t="shared" si="560"/>
        <v>5212.5</v>
      </c>
      <c r="DQ285" s="2">
        <v>0</v>
      </c>
      <c r="DR285" s="2">
        <f t="shared" si="561"/>
        <v>5212.5</v>
      </c>
      <c r="DS285" s="2">
        <v>0</v>
      </c>
      <c r="DT285" s="2">
        <f t="shared" si="592"/>
        <v>5212.5</v>
      </c>
      <c r="DU285" s="2">
        <v>0</v>
      </c>
      <c r="DV285" s="2">
        <f t="shared" si="593"/>
        <v>5212.5</v>
      </c>
      <c r="DW285" s="266">
        <f t="shared" si="553"/>
        <v>5212.5</v>
      </c>
      <c r="DX285" s="441">
        <f t="shared" si="570"/>
        <v>0</v>
      </c>
    </row>
    <row r="286" spans="1:128">
      <c r="A286" s="413">
        <v>127</v>
      </c>
      <c r="B286" s="537"/>
      <c r="C286" s="433" t="s">
        <v>518</v>
      </c>
      <c r="D286" s="468"/>
      <c r="E286" s="469">
        <v>225000</v>
      </c>
      <c r="F286" s="470" t="s">
        <v>1080</v>
      </c>
      <c r="G286" s="481">
        <v>43855</v>
      </c>
      <c r="H286" s="443">
        <f t="shared" si="563"/>
        <v>49333</v>
      </c>
      <c r="I286" s="267">
        <v>15</v>
      </c>
      <c r="J286" s="267">
        <f t="shared" si="564"/>
        <v>67</v>
      </c>
      <c r="K286" s="267">
        <f t="shared" si="571"/>
        <v>298</v>
      </c>
      <c r="L286" s="483"/>
      <c r="M286" s="433"/>
      <c r="N286" s="484"/>
      <c r="O286" s="484"/>
      <c r="P286" s="433"/>
      <c r="Q286" s="484"/>
      <c r="R286" s="484"/>
      <c r="S286" s="433"/>
      <c r="T286" s="484"/>
      <c r="U286" s="484"/>
      <c r="V286" s="433"/>
      <c r="W286" s="484"/>
      <c r="X286" s="484"/>
      <c r="Y286" s="433"/>
      <c r="Z286" s="484"/>
      <c r="AA286" s="484"/>
      <c r="AB286" s="433"/>
      <c r="AC286" s="484"/>
      <c r="AD286" s="484"/>
      <c r="AE286" s="484"/>
      <c r="AF286" s="484"/>
      <c r="AG286" s="484"/>
      <c r="AH286" s="484"/>
      <c r="AI286" s="439">
        <v>15</v>
      </c>
      <c r="AJ286" s="436">
        <f t="shared" si="562"/>
        <v>15</v>
      </c>
      <c r="AK286" s="440">
        <f t="shared" si="572"/>
        <v>0.18103627252208465</v>
      </c>
      <c r="AL286" s="484"/>
      <c r="AM286" s="484"/>
      <c r="AN286" s="484"/>
      <c r="AO286" s="484"/>
      <c r="AP286" s="484"/>
      <c r="AQ286" s="484"/>
      <c r="AR286" s="433"/>
      <c r="AS286" s="484"/>
      <c r="AT286" s="319"/>
      <c r="AU286" s="319"/>
      <c r="AV286" s="319"/>
      <c r="AW286" s="319"/>
      <c r="AX286" s="319"/>
      <c r="AY286" s="319"/>
      <c r="AZ286" s="319"/>
      <c r="BA286" s="319"/>
      <c r="BB286" s="319"/>
      <c r="BC286" s="319"/>
      <c r="BD286" s="319"/>
      <c r="BE286" s="319"/>
      <c r="BF286" s="319"/>
      <c r="BG286" s="319"/>
      <c r="BH286" s="319"/>
      <c r="BI286" s="2"/>
      <c r="BJ286" s="2"/>
      <c r="BK286" s="2">
        <f t="shared" si="565"/>
        <v>7477</v>
      </c>
      <c r="BL286" s="331">
        <f t="shared" si="566"/>
        <v>217523</v>
      </c>
      <c r="BM286" s="331"/>
      <c r="BN286" s="2">
        <f t="shared" si="551"/>
        <v>217523</v>
      </c>
      <c r="BO286" s="2">
        <f t="shared" si="595"/>
        <v>39380</v>
      </c>
      <c r="BP286" s="2">
        <f t="shared" si="573"/>
        <v>178143</v>
      </c>
      <c r="BQ286" s="2"/>
      <c r="BR286" s="2">
        <f t="shared" si="594"/>
        <v>178143</v>
      </c>
      <c r="BS286" s="2">
        <f t="shared" si="596"/>
        <v>32250</v>
      </c>
      <c r="BT286" s="2">
        <f t="shared" si="574"/>
        <v>145893</v>
      </c>
      <c r="BU286" s="2">
        <f t="shared" si="597"/>
        <v>26412</v>
      </c>
      <c r="BV286" s="2">
        <f t="shared" si="575"/>
        <v>119481</v>
      </c>
      <c r="BW286" s="2">
        <f t="shared" si="598"/>
        <v>21630</v>
      </c>
      <c r="BX286" s="2">
        <f t="shared" si="576"/>
        <v>97851</v>
      </c>
      <c r="BY286" s="2">
        <f t="shared" si="599"/>
        <v>17715</v>
      </c>
      <c r="BZ286" s="2">
        <f t="shared" si="577"/>
        <v>80136</v>
      </c>
      <c r="CA286" s="2">
        <f t="shared" si="600"/>
        <v>14508</v>
      </c>
      <c r="CB286" s="2">
        <f t="shared" si="578"/>
        <v>65628</v>
      </c>
      <c r="CC286" s="2">
        <f t="shared" si="601"/>
        <v>11881</v>
      </c>
      <c r="CD286" s="2">
        <f t="shared" si="579"/>
        <v>53747</v>
      </c>
      <c r="CE286" s="2">
        <f t="shared" si="602"/>
        <v>9730</v>
      </c>
      <c r="CF286" s="2">
        <f t="shared" si="580"/>
        <v>44017</v>
      </c>
      <c r="CG286" s="2">
        <f t="shared" si="603"/>
        <v>7969</v>
      </c>
      <c r="CH286" s="2">
        <f t="shared" si="581"/>
        <v>36048</v>
      </c>
      <c r="CI286" s="2">
        <f t="shared" si="604"/>
        <v>6526</v>
      </c>
      <c r="CJ286" s="2">
        <f t="shared" si="582"/>
        <v>29522</v>
      </c>
      <c r="CK286" s="2">
        <f t="shared" si="605"/>
        <v>5345</v>
      </c>
      <c r="CL286" s="2">
        <f t="shared" si="583"/>
        <v>24177</v>
      </c>
      <c r="CM286" s="2">
        <f t="shared" si="606"/>
        <v>4377</v>
      </c>
      <c r="CN286" s="2">
        <f t="shared" si="584"/>
        <v>19800</v>
      </c>
      <c r="CO286" s="2">
        <f t="shared" si="607"/>
        <v>3585</v>
      </c>
      <c r="CP286" s="2">
        <f t="shared" si="585"/>
        <v>16215</v>
      </c>
      <c r="CQ286" s="2">
        <f t="shared" si="567"/>
        <v>2936</v>
      </c>
      <c r="CR286" s="2">
        <f t="shared" si="586"/>
        <v>13279</v>
      </c>
      <c r="CS286" s="2">
        <f t="shared" si="568"/>
        <v>2029</v>
      </c>
      <c r="CT286" s="2">
        <f t="shared" si="569"/>
        <v>11250</v>
      </c>
      <c r="CU286" s="2">
        <v>0</v>
      </c>
      <c r="CV286" s="2">
        <f t="shared" si="587"/>
        <v>11250</v>
      </c>
      <c r="CW286" s="2">
        <v>0</v>
      </c>
      <c r="CX286" s="2">
        <f t="shared" si="588"/>
        <v>11250</v>
      </c>
      <c r="CY286" s="2">
        <v>0</v>
      </c>
      <c r="CZ286" s="2">
        <f t="shared" si="589"/>
        <v>11250</v>
      </c>
      <c r="DA286" s="2">
        <v>0</v>
      </c>
      <c r="DB286" s="2">
        <f t="shared" si="590"/>
        <v>11250</v>
      </c>
      <c r="DC286" s="2">
        <v>0</v>
      </c>
      <c r="DD286" s="2">
        <f t="shared" si="591"/>
        <v>11250</v>
      </c>
      <c r="DE286" s="2">
        <v>0</v>
      </c>
      <c r="DF286" s="2">
        <f t="shared" si="555"/>
        <v>11250</v>
      </c>
      <c r="DG286" s="2">
        <v>0</v>
      </c>
      <c r="DH286" s="2">
        <f t="shared" si="556"/>
        <v>11250</v>
      </c>
      <c r="DI286" s="2">
        <v>0</v>
      </c>
      <c r="DJ286" s="2">
        <f t="shared" si="557"/>
        <v>11250</v>
      </c>
      <c r="DK286" s="2">
        <v>0</v>
      </c>
      <c r="DL286" s="2">
        <f t="shared" si="558"/>
        <v>11250</v>
      </c>
      <c r="DM286" s="2">
        <v>0</v>
      </c>
      <c r="DN286" s="2">
        <f t="shared" si="559"/>
        <v>11250</v>
      </c>
      <c r="DO286" s="2">
        <v>0</v>
      </c>
      <c r="DP286" s="2">
        <f t="shared" si="560"/>
        <v>11250</v>
      </c>
      <c r="DQ286" s="2">
        <v>0</v>
      </c>
      <c r="DR286" s="2">
        <f t="shared" si="561"/>
        <v>11250</v>
      </c>
      <c r="DS286" s="2">
        <v>0</v>
      </c>
      <c r="DT286" s="2">
        <f t="shared" si="592"/>
        <v>11250</v>
      </c>
      <c r="DU286" s="2">
        <v>0</v>
      </c>
      <c r="DV286" s="2">
        <f t="shared" si="593"/>
        <v>11250</v>
      </c>
      <c r="DW286" s="266">
        <f t="shared" si="553"/>
        <v>11250</v>
      </c>
      <c r="DX286" s="441">
        <f t="shared" si="570"/>
        <v>0</v>
      </c>
    </row>
    <row r="287" spans="1:128">
      <c r="A287" s="413">
        <v>128</v>
      </c>
      <c r="B287" s="537"/>
      <c r="C287" s="433" t="s">
        <v>518</v>
      </c>
      <c r="D287" s="468"/>
      <c r="E287" s="469">
        <f>840000</f>
        <v>840000</v>
      </c>
      <c r="F287" s="470" t="s">
        <v>1080</v>
      </c>
      <c r="G287" s="481">
        <v>43862</v>
      </c>
      <c r="H287" s="443">
        <f>DATE(YEAR(G287)+I287,MONTH(G287),DAY(G287))-1</f>
        <v>49340</v>
      </c>
      <c r="I287" s="267">
        <v>15</v>
      </c>
      <c r="J287" s="267">
        <f t="shared" si="564"/>
        <v>60</v>
      </c>
      <c r="K287" s="267">
        <f t="shared" si="571"/>
        <v>305</v>
      </c>
      <c r="L287" s="483"/>
      <c r="M287" s="433"/>
      <c r="N287" s="484"/>
      <c r="O287" s="484"/>
      <c r="P287" s="433"/>
      <c r="Q287" s="484"/>
      <c r="R287" s="484"/>
      <c r="S287" s="433"/>
      <c r="T287" s="484"/>
      <c r="U287" s="484"/>
      <c r="V287" s="433"/>
      <c r="W287" s="484"/>
      <c r="X287" s="484"/>
      <c r="Y287" s="433"/>
      <c r="Z287" s="484"/>
      <c r="AA287" s="484"/>
      <c r="AB287" s="433"/>
      <c r="AC287" s="484"/>
      <c r="AD287" s="484"/>
      <c r="AE287" s="484"/>
      <c r="AF287" s="484"/>
      <c r="AG287" s="484"/>
      <c r="AH287" s="484"/>
      <c r="AI287" s="439">
        <v>15</v>
      </c>
      <c r="AJ287" s="436">
        <f t="shared" si="562"/>
        <v>15</v>
      </c>
      <c r="AK287" s="440">
        <f t="shared" si="572"/>
        <v>0.18103627252208465</v>
      </c>
      <c r="AL287" s="484"/>
      <c r="AM287" s="484"/>
      <c r="AN287" s="484"/>
      <c r="AO287" s="484"/>
      <c r="AP287" s="484"/>
      <c r="AQ287" s="484"/>
      <c r="AR287" s="433"/>
      <c r="AS287" s="484"/>
      <c r="AT287" s="319"/>
      <c r="AU287" s="319"/>
      <c r="AV287" s="319"/>
      <c r="AW287" s="319"/>
      <c r="AX287" s="319"/>
      <c r="AY287" s="319"/>
      <c r="AZ287" s="319"/>
      <c r="BA287" s="319"/>
      <c r="BB287" s="319"/>
      <c r="BC287" s="319"/>
      <c r="BD287" s="319"/>
      <c r="BE287" s="319"/>
      <c r="BF287" s="319"/>
      <c r="BG287" s="319"/>
      <c r="BH287" s="319"/>
      <c r="BI287" s="2"/>
      <c r="BJ287" s="2"/>
      <c r="BK287" s="2">
        <f t="shared" si="565"/>
        <v>24998</v>
      </c>
      <c r="BL287" s="331">
        <f t="shared" si="566"/>
        <v>815002</v>
      </c>
      <c r="BM287" s="331"/>
      <c r="BN287" s="2">
        <f t="shared" si="551"/>
        <v>815002</v>
      </c>
      <c r="BO287" s="2">
        <f t="shared" si="595"/>
        <v>147545</v>
      </c>
      <c r="BP287" s="2">
        <f t="shared" si="573"/>
        <v>667457</v>
      </c>
      <c r="BQ287" s="2"/>
      <c r="BR287" s="2">
        <f t="shared" si="594"/>
        <v>667457</v>
      </c>
      <c r="BS287" s="2">
        <f t="shared" si="596"/>
        <v>120834</v>
      </c>
      <c r="BT287" s="2">
        <f t="shared" si="574"/>
        <v>546623</v>
      </c>
      <c r="BU287" s="2">
        <f t="shared" si="597"/>
        <v>98959</v>
      </c>
      <c r="BV287" s="2">
        <f t="shared" si="575"/>
        <v>447664</v>
      </c>
      <c r="BW287" s="2">
        <f t="shared" si="598"/>
        <v>81043</v>
      </c>
      <c r="BX287" s="2">
        <f t="shared" si="576"/>
        <v>366621</v>
      </c>
      <c r="BY287" s="2">
        <f t="shared" si="599"/>
        <v>66372</v>
      </c>
      <c r="BZ287" s="2">
        <f t="shared" si="577"/>
        <v>300249</v>
      </c>
      <c r="CA287" s="2">
        <f t="shared" si="600"/>
        <v>54356</v>
      </c>
      <c r="CB287" s="2">
        <f t="shared" si="578"/>
        <v>245893</v>
      </c>
      <c r="CC287" s="2">
        <f t="shared" si="601"/>
        <v>44516</v>
      </c>
      <c r="CD287" s="2">
        <f t="shared" si="579"/>
        <v>201377</v>
      </c>
      <c r="CE287" s="2">
        <f t="shared" si="602"/>
        <v>36457</v>
      </c>
      <c r="CF287" s="2">
        <f t="shared" si="580"/>
        <v>164920</v>
      </c>
      <c r="CG287" s="2">
        <f t="shared" si="603"/>
        <v>29857</v>
      </c>
      <c r="CH287" s="2">
        <f t="shared" si="581"/>
        <v>135063</v>
      </c>
      <c r="CI287" s="2">
        <f t="shared" si="604"/>
        <v>24451</v>
      </c>
      <c r="CJ287" s="2">
        <f t="shared" si="582"/>
        <v>110612</v>
      </c>
      <c r="CK287" s="2">
        <f t="shared" si="605"/>
        <v>20025</v>
      </c>
      <c r="CL287" s="2">
        <f t="shared" si="583"/>
        <v>90587</v>
      </c>
      <c r="CM287" s="2">
        <f t="shared" si="606"/>
        <v>16400</v>
      </c>
      <c r="CN287" s="2">
        <f t="shared" si="584"/>
        <v>74187</v>
      </c>
      <c r="CO287" s="2">
        <f t="shared" si="607"/>
        <v>13431</v>
      </c>
      <c r="CP287" s="2">
        <f t="shared" si="585"/>
        <v>60756</v>
      </c>
      <c r="CQ287" s="2">
        <f t="shared" si="567"/>
        <v>10999</v>
      </c>
      <c r="CR287" s="2">
        <f t="shared" si="586"/>
        <v>49757</v>
      </c>
      <c r="CS287" s="2">
        <f t="shared" si="568"/>
        <v>7757</v>
      </c>
      <c r="CT287" s="2">
        <f t="shared" si="569"/>
        <v>42000</v>
      </c>
      <c r="CU287" s="2">
        <v>0</v>
      </c>
      <c r="CV287" s="2">
        <f t="shared" si="587"/>
        <v>42000</v>
      </c>
      <c r="CW287" s="2">
        <v>0</v>
      </c>
      <c r="CX287" s="2">
        <f t="shared" si="588"/>
        <v>42000</v>
      </c>
      <c r="CY287" s="2">
        <v>0</v>
      </c>
      <c r="CZ287" s="2">
        <f t="shared" si="589"/>
        <v>42000</v>
      </c>
      <c r="DA287" s="2">
        <v>0</v>
      </c>
      <c r="DB287" s="2">
        <f t="shared" si="590"/>
        <v>42000</v>
      </c>
      <c r="DC287" s="2">
        <v>0</v>
      </c>
      <c r="DD287" s="2">
        <f>+DB287-DC287</f>
        <v>42000</v>
      </c>
      <c r="DE287" s="2">
        <v>0</v>
      </c>
      <c r="DF287" s="2">
        <f>+DD287-DE287</f>
        <v>42000</v>
      </c>
      <c r="DG287" s="2">
        <v>0</v>
      </c>
      <c r="DH287" s="2">
        <f>+DF287-DG287</f>
        <v>42000</v>
      </c>
      <c r="DI287" s="2">
        <v>0</v>
      </c>
      <c r="DJ287" s="2">
        <f>+DH287-DI287</f>
        <v>42000</v>
      </c>
      <c r="DK287" s="2">
        <v>0</v>
      </c>
      <c r="DL287" s="2">
        <f>+DJ287-DK287</f>
        <v>42000</v>
      </c>
      <c r="DM287" s="2">
        <v>0</v>
      </c>
      <c r="DN287" s="2">
        <f>+DL287-DM287</f>
        <v>42000</v>
      </c>
      <c r="DO287" s="2">
        <v>0</v>
      </c>
      <c r="DP287" s="2">
        <f>+DN287-DO287</f>
        <v>42000</v>
      </c>
      <c r="DQ287" s="2">
        <v>0</v>
      </c>
      <c r="DR287" s="2">
        <f>+DP287-DQ287</f>
        <v>42000</v>
      </c>
      <c r="DS287" s="2">
        <v>0</v>
      </c>
      <c r="DT287" s="2">
        <f>+DR287-DS287</f>
        <v>42000</v>
      </c>
      <c r="DU287" s="2">
        <v>0</v>
      </c>
      <c r="DV287" s="2">
        <f>+DT287-DU287</f>
        <v>42000</v>
      </c>
      <c r="DW287" s="266">
        <f t="shared" si="553"/>
        <v>42000</v>
      </c>
      <c r="DX287" s="441">
        <f t="shared" si="570"/>
        <v>0</v>
      </c>
    </row>
    <row r="288" spans="1:128">
      <c r="A288" s="413">
        <v>129</v>
      </c>
      <c r="B288" s="537"/>
      <c r="C288" s="433" t="s">
        <v>518</v>
      </c>
      <c r="D288" s="468"/>
      <c r="E288" s="469">
        <v>384000</v>
      </c>
      <c r="F288" s="470" t="s">
        <v>1080</v>
      </c>
      <c r="G288" s="481">
        <v>43874</v>
      </c>
      <c r="H288" s="443">
        <f>DATE(YEAR(G288)+I288,MONTH(G288),DAY(G288))-1</f>
        <v>49352</v>
      </c>
      <c r="I288" s="267">
        <v>15</v>
      </c>
      <c r="J288" s="267">
        <f t="shared" si="564"/>
        <v>48</v>
      </c>
      <c r="K288" s="267">
        <f t="shared" si="571"/>
        <v>317</v>
      </c>
      <c r="L288" s="483"/>
      <c r="M288" s="433"/>
      <c r="N288" s="484"/>
      <c r="O288" s="484"/>
      <c r="P288" s="433"/>
      <c r="Q288" s="484"/>
      <c r="R288" s="484"/>
      <c r="S288" s="433"/>
      <c r="T288" s="484"/>
      <c r="U288" s="484"/>
      <c r="V288" s="433"/>
      <c r="W288" s="484"/>
      <c r="X288" s="484"/>
      <c r="Y288" s="433"/>
      <c r="Z288" s="484"/>
      <c r="AA288" s="484"/>
      <c r="AB288" s="433"/>
      <c r="AC288" s="484"/>
      <c r="AD288" s="484"/>
      <c r="AE288" s="484"/>
      <c r="AF288" s="484"/>
      <c r="AG288" s="484"/>
      <c r="AH288" s="484"/>
      <c r="AI288" s="439">
        <v>15</v>
      </c>
      <c r="AJ288" s="436">
        <f t="shared" si="562"/>
        <v>15</v>
      </c>
      <c r="AK288" s="440">
        <f t="shared" si="572"/>
        <v>0.18103627252208465</v>
      </c>
      <c r="AL288" s="484"/>
      <c r="AM288" s="484"/>
      <c r="AN288" s="484"/>
      <c r="AO288" s="484"/>
      <c r="AP288" s="484"/>
      <c r="AQ288" s="484"/>
      <c r="AR288" s="484"/>
      <c r="AS288" s="484"/>
      <c r="AT288" s="484"/>
      <c r="AU288" s="484"/>
      <c r="AV288" s="484"/>
      <c r="AW288" s="484"/>
      <c r="AX288" s="484"/>
      <c r="AY288" s="484"/>
      <c r="AZ288" s="484"/>
      <c r="BA288" s="484"/>
      <c r="BB288" s="484"/>
      <c r="BC288" s="484"/>
      <c r="BD288" s="484"/>
      <c r="BE288" s="484"/>
      <c r="BF288" s="484"/>
      <c r="BG288" s="484"/>
      <c r="BH288" s="484"/>
      <c r="BI288" s="484"/>
      <c r="BJ288" s="484"/>
      <c r="BK288" s="2">
        <f>+ROUND((E288*J288*AK288)/365,0)</f>
        <v>9142</v>
      </c>
      <c r="BL288" s="331">
        <f>+E288-BK288</f>
        <v>374858</v>
      </c>
      <c r="BM288" s="331"/>
      <c r="BN288" s="2">
        <f>BL288-BM288</f>
        <v>374858</v>
      </c>
      <c r="BO288" s="2">
        <f t="shared" si="595"/>
        <v>67863</v>
      </c>
      <c r="BP288" s="2">
        <f>+BL288-BO288</f>
        <v>306995</v>
      </c>
      <c r="BQ288" s="2"/>
      <c r="BR288" s="2">
        <f t="shared" si="594"/>
        <v>306995</v>
      </c>
      <c r="BS288" s="2">
        <f t="shared" si="596"/>
        <v>55577</v>
      </c>
      <c r="BT288" s="2">
        <f>+BP288-BS288</f>
        <v>251418</v>
      </c>
      <c r="BU288" s="2">
        <f t="shared" si="597"/>
        <v>45516</v>
      </c>
      <c r="BV288" s="2">
        <f>+BT288-BU288</f>
        <v>205902</v>
      </c>
      <c r="BW288" s="2">
        <f t="shared" si="598"/>
        <v>37276</v>
      </c>
      <c r="BX288" s="2">
        <f>+BV288-BW288</f>
        <v>168626</v>
      </c>
      <c r="BY288" s="2">
        <f t="shared" si="599"/>
        <v>30527</v>
      </c>
      <c r="BZ288" s="2">
        <f>+BX288-BY288</f>
        <v>138099</v>
      </c>
      <c r="CA288" s="2">
        <f t="shared" si="600"/>
        <v>25001</v>
      </c>
      <c r="CB288" s="2">
        <f>+BZ288-CA288</f>
        <v>113098</v>
      </c>
      <c r="CC288" s="2">
        <f t="shared" si="601"/>
        <v>20475</v>
      </c>
      <c r="CD288" s="2">
        <f>+CB288-CC288</f>
        <v>92623</v>
      </c>
      <c r="CE288" s="2">
        <f t="shared" si="602"/>
        <v>16768</v>
      </c>
      <c r="CF288" s="2">
        <f>+CD288-CE288</f>
        <v>75855</v>
      </c>
      <c r="CG288" s="2">
        <f t="shared" si="603"/>
        <v>13733</v>
      </c>
      <c r="CH288" s="2">
        <f>+CF288-CG288</f>
        <v>62122</v>
      </c>
      <c r="CI288" s="2">
        <f t="shared" si="604"/>
        <v>11246</v>
      </c>
      <c r="CJ288" s="2">
        <f>+CH288-CI288</f>
        <v>50876</v>
      </c>
      <c r="CK288" s="2">
        <f t="shared" si="605"/>
        <v>9210</v>
      </c>
      <c r="CL288" s="2">
        <f>+CJ288-CK288</f>
        <v>41666</v>
      </c>
      <c r="CM288" s="2">
        <f t="shared" si="606"/>
        <v>7543</v>
      </c>
      <c r="CN288" s="2">
        <f>+CL288-CM288</f>
        <v>34123</v>
      </c>
      <c r="CO288" s="2">
        <f t="shared" si="607"/>
        <v>6178</v>
      </c>
      <c r="CP288" s="2">
        <f>+CN288-CO288</f>
        <v>27945</v>
      </c>
      <c r="CQ288" s="2">
        <f>ROUND(+CP288*$AK288,0)</f>
        <v>5059</v>
      </c>
      <c r="CR288" s="2">
        <f>+CP288-CQ288</f>
        <v>22886</v>
      </c>
      <c r="CS288" s="2">
        <f>+CR288-CT288</f>
        <v>3686</v>
      </c>
      <c r="CT288" s="2">
        <f>+E288*5%</f>
        <v>19200</v>
      </c>
      <c r="CU288" s="2">
        <v>0</v>
      </c>
      <c r="CV288" s="2">
        <f>+CT288-CU288</f>
        <v>19200</v>
      </c>
      <c r="CW288" s="2">
        <v>0</v>
      </c>
      <c r="CX288" s="2">
        <f>+CV288-CW288</f>
        <v>19200</v>
      </c>
      <c r="CY288" s="2">
        <v>0</v>
      </c>
      <c r="CZ288" s="2">
        <f>+CX288-CY288</f>
        <v>19200</v>
      </c>
      <c r="DA288" s="2">
        <v>0</v>
      </c>
      <c r="DB288" s="2">
        <f>+CZ288-DA288</f>
        <v>19200</v>
      </c>
      <c r="DC288" s="2">
        <v>0</v>
      </c>
      <c r="DD288" s="2">
        <f>+DB288-DC288</f>
        <v>19200</v>
      </c>
      <c r="DE288" s="2">
        <v>0</v>
      </c>
      <c r="DF288" s="2">
        <f>+DD288-DE288</f>
        <v>19200</v>
      </c>
      <c r="DG288" s="2">
        <v>0</v>
      </c>
      <c r="DH288" s="2">
        <f>+DF288-DG288</f>
        <v>19200</v>
      </c>
      <c r="DI288" s="2">
        <v>0</v>
      </c>
      <c r="DJ288" s="2">
        <f>+DH288-DI288</f>
        <v>19200</v>
      </c>
      <c r="DK288" s="2">
        <v>0</v>
      </c>
      <c r="DL288" s="2">
        <f>+DJ288-DK288</f>
        <v>19200</v>
      </c>
      <c r="DM288" s="2">
        <v>0</v>
      </c>
      <c r="DN288" s="2">
        <f>+DL288-DM288</f>
        <v>19200</v>
      </c>
      <c r="DO288" s="2">
        <v>0</v>
      </c>
      <c r="DP288" s="2">
        <f>+DN288-DO288</f>
        <v>19200</v>
      </c>
      <c r="DQ288" s="2">
        <v>0</v>
      </c>
      <c r="DR288" s="2">
        <f>+DP288-DQ288</f>
        <v>19200</v>
      </c>
      <c r="DS288" s="2">
        <v>0</v>
      </c>
      <c r="DT288" s="2">
        <f>+DR288-DS288</f>
        <v>19200</v>
      </c>
      <c r="DU288" s="2">
        <v>0</v>
      </c>
      <c r="DV288" s="2">
        <f>+DT288-DU288</f>
        <v>19200</v>
      </c>
      <c r="DW288" s="266">
        <f>+E288*5%</f>
        <v>19200</v>
      </c>
      <c r="DX288" s="441">
        <f>+DV288-DW288</f>
        <v>0</v>
      </c>
    </row>
    <row r="289" spans="1:128">
      <c r="A289" s="413">
        <v>130</v>
      </c>
      <c r="B289" s="537"/>
      <c r="C289" s="433" t="s">
        <v>518</v>
      </c>
      <c r="D289" s="468"/>
      <c r="E289" s="442">
        <v>28400</v>
      </c>
      <c r="F289" s="470" t="s">
        <v>1080</v>
      </c>
      <c r="G289" s="481">
        <v>43874</v>
      </c>
      <c r="H289" s="443">
        <f>DATE(YEAR(G289)+I289,MONTH(G289),DAY(G289))-1</f>
        <v>49352</v>
      </c>
      <c r="I289" s="267">
        <v>15</v>
      </c>
      <c r="J289" s="267">
        <f t="shared" si="564"/>
        <v>48</v>
      </c>
      <c r="K289" s="267">
        <f t="shared" si="571"/>
        <v>317</v>
      </c>
      <c r="L289" s="483"/>
      <c r="M289" s="433"/>
      <c r="N289" s="484"/>
      <c r="O289" s="484"/>
      <c r="P289" s="433"/>
      <c r="Q289" s="484"/>
      <c r="R289" s="484"/>
      <c r="S289" s="433"/>
      <c r="T289" s="484"/>
      <c r="U289" s="484"/>
      <c r="V289" s="433"/>
      <c r="W289" s="484"/>
      <c r="X289" s="484"/>
      <c r="Y289" s="433"/>
      <c r="Z289" s="484"/>
      <c r="AA289" s="484"/>
      <c r="AB289" s="433"/>
      <c r="AC289" s="484"/>
      <c r="AD289" s="484"/>
      <c r="AE289" s="484"/>
      <c r="AF289" s="484"/>
      <c r="AG289" s="484"/>
      <c r="AH289" s="484"/>
      <c r="AI289" s="439">
        <v>15</v>
      </c>
      <c r="AJ289" s="436">
        <f t="shared" si="562"/>
        <v>15</v>
      </c>
      <c r="AK289" s="440">
        <f t="shared" si="572"/>
        <v>0.18103627252208465</v>
      </c>
      <c r="AL289" s="484"/>
      <c r="AM289" s="484"/>
      <c r="AN289" s="484"/>
      <c r="AO289" s="484"/>
      <c r="AP289" s="484"/>
      <c r="AQ289" s="484"/>
      <c r="AR289" s="484"/>
      <c r="AS289" s="484"/>
      <c r="AT289" s="484"/>
      <c r="AU289" s="484"/>
      <c r="AV289" s="484"/>
      <c r="AW289" s="484"/>
      <c r="AX289" s="484"/>
      <c r="AY289" s="484"/>
      <c r="AZ289" s="484"/>
      <c r="BA289" s="484"/>
      <c r="BB289" s="484"/>
      <c r="BC289" s="484"/>
      <c r="BD289" s="484"/>
      <c r="BE289" s="484"/>
      <c r="BF289" s="484"/>
      <c r="BG289" s="484"/>
      <c r="BH289" s="484"/>
      <c r="BI289" s="484"/>
      <c r="BJ289" s="484"/>
      <c r="BK289" s="2">
        <f>+ROUND((E289*J289*AK289)/365,0)</f>
        <v>676</v>
      </c>
      <c r="BL289" s="331">
        <f>+E289-BK289</f>
        <v>27724</v>
      </c>
      <c r="BM289" s="331"/>
      <c r="BN289" s="2">
        <f>BL289-BM289</f>
        <v>27724</v>
      </c>
      <c r="BO289" s="2">
        <f t="shared" si="595"/>
        <v>5019</v>
      </c>
      <c r="BP289" s="2">
        <f>+BL289-BO289</f>
        <v>22705</v>
      </c>
      <c r="BQ289" s="2"/>
      <c r="BR289" s="2">
        <f t="shared" si="594"/>
        <v>22705</v>
      </c>
      <c r="BS289" s="2">
        <f t="shared" si="596"/>
        <v>4110</v>
      </c>
      <c r="BT289" s="2">
        <f>+BP289-BS289</f>
        <v>18595</v>
      </c>
      <c r="BU289" s="2">
        <f t="shared" si="597"/>
        <v>3366</v>
      </c>
      <c r="BV289" s="2">
        <f>+BT289-BU289</f>
        <v>15229</v>
      </c>
      <c r="BW289" s="2">
        <f t="shared" si="598"/>
        <v>2757</v>
      </c>
      <c r="BX289" s="2">
        <f>+BV289-BW289</f>
        <v>12472</v>
      </c>
      <c r="BY289" s="2">
        <f t="shared" si="599"/>
        <v>2258</v>
      </c>
      <c r="BZ289" s="2">
        <f>+BX289-BY289</f>
        <v>10214</v>
      </c>
      <c r="CA289" s="2">
        <f t="shared" si="600"/>
        <v>1849</v>
      </c>
      <c r="CB289" s="2">
        <f>+BZ289-CA289</f>
        <v>8365</v>
      </c>
      <c r="CC289" s="2">
        <f t="shared" si="601"/>
        <v>1514</v>
      </c>
      <c r="CD289" s="2">
        <f>+CB289-CC289</f>
        <v>6851</v>
      </c>
      <c r="CE289" s="2">
        <f t="shared" si="602"/>
        <v>1240</v>
      </c>
      <c r="CF289" s="2">
        <f>+CD289-CE289</f>
        <v>5611</v>
      </c>
      <c r="CG289" s="2">
        <f t="shared" si="603"/>
        <v>1016</v>
      </c>
      <c r="CH289" s="2">
        <f>+CF289-CG289</f>
        <v>4595</v>
      </c>
      <c r="CI289" s="2">
        <f t="shared" si="604"/>
        <v>832</v>
      </c>
      <c r="CJ289" s="2">
        <f>+CH289-CI289</f>
        <v>3763</v>
      </c>
      <c r="CK289" s="2">
        <f t="shared" si="605"/>
        <v>681</v>
      </c>
      <c r="CL289" s="2">
        <f>+CJ289-CK289</f>
        <v>3082</v>
      </c>
      <c r="CM289" s="2">
        <f t="shared" si="606"/>
        <v>558</v>
      </c>
      <c r="CN289" s="2">
        <f>+CL289-CM289</f>
        <v>2524</v>
      </c>
      <c r="CO289" s="2">
        <f t="shared" si="607"/>
        <v>457</v>
      </c>
      <c r="CP289" s="2">
        <f>+CN289-CO289</f>
        <v>2067</v>
      </c>
      <c r="CQ289" s="2">
        <f>ROUND(+CP289*$AK289,0)</f>
        <v>374</v>
      </c>
      <c r="CR289" s="2">
        <f>+CP289-CQ289</f>
        <v>1693</v>
      </c>
      <c r="CS289" s="2">
        <f>+CR289-CT289</f>
        <v>273</v>
      </c>
      <c r="CT289" s="2">
        <f>+E289*5%</f>
        <v>1420</v>
      </c>
      <c r="CU289" s="2">
        <v>0</v>
      </c>
      <c r="CV289" s="2">
        <f>+CT289-CU289</f>
        <v>1420</v>
      </c>
      <c r="CW289" s="2">
        <v>0</v>
      </c>
      <c r="CX289" s="2">
        <f>+CV289-CW289</f>
        <v>1420</v>
      </c>
      <c r="CY289" s="2">
        <v>0</v>
      </c>
      <c r="CZ289" s="2">
        <f>+CX289-CY289</f>
        <v>1420</v>
      </c>
      <c r="DA289" s="2">
        <v>0</v>
      </c>
      <c r="DB289" s="2">
        <f>+CZ289-DA289</f>
        <v>1420</v>
      </c>
      <c r="DC289" s="2">
        <v>0</v>
      </c>
      <c r="DD289" s="2">
        <f>+DB289-DC289</f>
        <v>1420</v>
      </c>
      <c r="DE289" s="2">
        <v>0</v>
      </c>
      <c r="DF289" s="2">
        <f>+DD289-DE289</f>
        <v>1420</v>
      </c>
      <c r="DG289" s="2">
        <v>0</v>
      </c>
      <c r="DH289" s="2">
        <f>+DF289-DG289</f>
        <v>1420</v>
      </c>
      <c r="DI289" s="2">
        <v>0</v>
      </c>
      <c r="DJ289" s="2">
        <f>+DH289-DI289</f>
        <v>1420</v>
      </c>
      <c r="DK289" s="2">
        <v>0</v>
      </c>
      <c r="DL289" s="2">
        <f>+DJ289-DK289</f>
        <v>1420</v>
      </c>
      <c r="DM289" s="2">
        <v>0</v>
      </c>
      <c r="DN289" s="2">
        <f>+DL289-DM289</f>
        <v>1420</v>
      </c>
      <c r="DO289" s="2">
        <v>0</v>
      </c>
      <c r="DP289" s="2">
        <f>+DN289-DO289</f>
        <v>1420</v>
      </c>
      <c r="DQ289" s="2">
        <v>0</v>
      </c>
      <c r="DR289" s="2">
        <f>+DP289-DQ289</f>
        <v>1420</v>
      </c>
      <c r="DS289" s="2">
        <v>0</v>
      </c>
      <c r="DT289" s="2">
        <f>+DR289-DS289</f>
        <v>1420</v>
      </c>
      <c r="DU289" s="2">
        <v>0</v>
      </c>
      <c r="DV289" s="2">
        <f>+DT289-DU289</f>
        <v>1420</v>
      </c>
      <c r="DW289" s="266">
        <f>+E289*5%</f>
        <v>1420</v>
      </c>
      <c r="DX289" s="441">
        <f>+DV289-DW289</f>
        <v>0</v>
      </c>
    </row>
    <row r="290" spans="1:128">
      <c r="A290" s="413">
        <v>131</v>
      </c>
      <c r="B290" s="537"/>
      <c r="C290" s="433" t="s">
        <v>518</v>
      </c>
      <c r="D290" s="468"/>
      <c r="E290" s="442">
        <v>193000</v>
      </c>
      <c r="F290" s="470" t="s">
        <v>1080</v>
      </c>
      <c r="G290" s="538">
        <v>43878</v>
      </c>
      <c r="H290" s="443">
        <f>DATE(YEAR(G290)+I290,MONTH(G290),DAY(G290))-1</f>
        <v>49356</v>
      </c>
      <c r="I290" s="267">
        <v>15</v>
      </c>
      <c r="J290" s="267">
        <f t="shared" si="564"/>
        <v>44</v>
      </c>
      <c r="K290" s="267">
        <f t="shared" si="571"/>
        <v>321</v>
      </c>
      <c r="L290" s="485"/>
      <c r="M290" s="450"/>
      <c r="N290" s="486"/>
      <c r="O290" s="486"/>
      <c r="P290" s="450"/>
      <c r="Q290" s="486"/>
      <c r="R290" s="486"/>
      <c r="S290" s="450"/>
      <c r="T290" s="486"/>
      <c r="U290" s="486"/>
      <c r="V290" s="450"/>
      <c r="W290" s="486"/>
      <c r="X290" s="486"/>
      <c r="Y290" s="450"/>
      <c r="Z290" s="486"/>
      <c r="AA290" s="486"/>
      <c r="AB290" s="450"/>
      <c r="AC290" s="486"/>
      <c r="AD290" s="484"/>
      <c r="AE290" s="484"/>
      <c r="AF290" s="484"/>
      <c r="AG290" s="484"/>
      <c r="AH290" s="484"/>
      <c r="AI290" s="439">
        <v>15</v>
      </c>
      <c r="AJ290" s="436">
        <f t="shared" si="562"/>
        <v>15</v>
      </c>
      <c r="AK290" s="440">
        <f t="shared" si="572"/>
        <v>0.18103627252208465</v>
      </c>
      <c r="AL290" s="484"/>
      <c r="AM290" s="484"/>
      <c r="AN290" s="484"/>
      <c r="AO290" s="484"/>
      <c r="AP290" s="484"/>
      <c r="AQ290" s="484"/>
      <c r="AR290" s="484"/>
      <c r="AS290" s="484"/>
      <c r="AT290" s="484"/>
      <c r="AU290" s="484"/>
      <c r="AV290" s="484"/>
      <c r="AW290" s="484"/>
      <c r="AX290" s="484"/>
      <c r="AY290" s="484"/>
      <c r="AZ290" s="484"/>
      <c r="BA290" s="484"/>
      <c r="BB290" s="484"/>
      <c r="BC290" s="484"/>
      <c r="BD290" s="484"/>
      <c r="BE290" s="484"/>
      <c r="BF290" s="484"/>
      <c r="BG290" s="484"/>
      <c r="BH290" s="484"/>
      <c r="BI290" s="484"/>
      <c r="BJ290" s="484"/>
      <c r="BK290" s="2">
        <f>+ROUND((E290*J290*AK290)/365,0)</f>
        <v>4212</v>
      </c>
      <c r="BL290" s="331">
        <f>+E290-BK290</f>
        <v>188788</v>
      </c>
      <c r="BM290" s="331"/>
      <c r="BN290" s="2">
        <f>BL290-BM290</f>
        <v>188788</v>
      </c>
      <c r="BO290" s="2">
        <f t="shared" si="595"/>
        <v>34177</v>
      </c>
      <c r="BP290" s="2">
        <f>+BL290-BO290</f>
        <v>154611</v>
      </c>
      <c r="BQ290" s="2"/>
      <c r="BR290" s="2">
        <f t="shared" si="594"/>
        <v>154611</v>
      </c>
      <c r="BS290" s="2">
        <f t="shared" si="596"/>
        <v>27990</v>
      </c>
      <c r="BT290" s="2">
        <f>+BP290-BS290</f>
        <v>126621</v>
      </c>
      <c r="BU290" s="2">
        <f t="shared" si="597"/>
        <v>22923</v>
      </c>
      <c r="BV290" s="2">
        <f>+BT290-BU290</f>
        <v>103698</v>
      </c>
      <c r="BW290" s="2">
        <f t="shared" si="598"/>
        <v>18773</v>
      </c>
      <c r="BX290" s="2">
        <f>+BV290-BW290</f>
        <v>84925</v>
      </c>
      <c r="BY290" s="2">
        <f t="shared" si="599"/>
        <v>15375</v>
      </c>
      <c r="BZ290" s="2">
        <f>+BX290-BY290</f>
        <v>69550</v>
      </c>
      <c r="CA290" s="2">
        <f t="shared" si="600"/>
        <v>12591</v>
      </c>
      <c r="CB290" s="2">
        <f>+BZ290-CA290</f>
        <v>56959</v>
      </c>
      <c r="CC290" s="2">
        <f t="shared" si="601"/>
        <v>10312</v>
      </c>
      <c r="CD290" s="2">
        <f>+CB290-CC290</f>
        <v>46647</v>
      </c>
      <c r="CE290" s="2">
        <f t="shared" si="602"/>
        <v>8445</v>
      </c>
      <c r="CF290" s="2">
        <f>+CD290-CE290</f>
        <v>38202</v>
      </c>
      <c r="CG290" s="2">
        <f t="shared" si="603"/>
        <v>6916</v>
      </c>
      <c r="CH290" s="2">
        <f>+CF290-CG290</f>
        <v>31286</v>
      </c>
      <c r="CI290" s="2">
        <f t="shared" si="604"/>
        <v>5664</v>
      </c>
      <c r="CJ290" s="2">
        <f>+CH290-CI290</f>
        <v>25622</v>
      </c>
      <c r="CK290" s="2">
        <f t="shared" si="605"/>
        <v>4639</v>
      </c>
      <c r="CL290" s="2">
        <f>+CJ290-CK290</f>
        <v>20983</v>
      </c>
      <c r="CM290" s="2">
        <f t="shared" si="606"/>
        <v>3799</v>
      </c>
      <c r="CN290" s="2">
        <f>+CL290-CM290</f>
        <v>17184</v>
      </c>
      <c r="CO290" s="2">
        <f t="shared" si="607"/>
        <v>3111</v>
      </c>
      <c r="CP290" s="2">
        <f>+CN290-CO290</f>
        <v>14073</v>
      </c>
      <c r="CQ290" s="2">
        <f>ROUND(+CP290*$AK290,0)</f>
        <v>2548</v>
      </c>
      <c r="CR290" s="2">
        <f>+CP290-CQ290</f>
        <v>11525</v>
      </c>
      <c r="CS290" s="2">
        <f>+CR290-CT290</f>
        <v>1875</v>
      </c>
      <c r="CT290" s="2">
        <f>+E290*5%</f>
        <v>9650</v>
      </c>
      <c r="CU290" s="2">
        <v>0</v>
      </c>
      <c r="CV290" s="2">
        <f>+CT290-CU290</f>
        <v>9650</v>
      </c>
      <c r="CW290" s="2">
        <v>0</v>
      </c>
      <c r="CX290" s="2">
        <f>+CV290-CW290</f>
        <v>9650</v>
      </c>
      <c r="CY290" s="2">
        <v>0</v>
      </c>
      <c r="CZ290" s="2">
        <f>+CX290-CY290</f>
        <v>9650</v>
      </c>
      <c r="DA290" s="2">
        <v>0</v>
      </c>
      <c r="DB290" s="2">
        <f>+CZ290-DA290</f>
        <v>9650</v>
      </c>
      <c r="DC290" s="2">
        <v>0</v>
      </c>
      <c r="DD290" s="2">
        <f>+DB290-DC290</f>
        <v>9650</v>
      </c>
      <c r="DE290" s="2">
        <v>0</v>
      </c>
      <c r="DF290" s="2">
        <f>+DD290-DE290</f>
        <v>9650</v>
      </c>
      <c r="DG290" s="2">
        <v>0</v>
      </c>
      <c r="DH290" s="2">
        <f>+DF290-DG290</f>
        <v>9650</v>
      </c>
      <c r="DI290" s="2">
        <v>0</v>
      </c>
      <c r="DJ290" s="2">
        <f>+DH290-DI290</f>
        <v>9650</v>
      </c>
      <c r="DK290" s="2">
        <v>0</v>
      </c>
      <c r="DL290" s="2">
        <f>+DJ290-DK290</f>
        <v>9650</v>
      </c>
      <c r="DM290" s="2">
        <v>0</v>
      </c>
      <c r="DN290" s="2">
        <f>+DL290-DM290</f>
        <v>9650</v>
      </c>
      <c r="DO290" s="2">
        <v>0</v>
      </c>
      <c r="DP290" s="2">
        <f>+DN290-DO290</f>
        <v>9650</v>
      </c>
      <c r="DQ290" s="2">
        <v>0</v>
      </c>
      <c r="DR290" s="2">
        <f>+DP290-DQ290</f>
        <v>9650</v>
      </c>
      <c r="DS290" s="2">
        <v>0</v>
      </c>
      <c r="DT290" s="2">
        <f>+DR290-DS290</f>
        <v>9650</v>
      </c>
      <c r="DU290" s="2">
        <v>0</v>
      </c>
      <c r="DV290" s="2">
        <f>+DT290-DU290</f>
        <v>9650</v>
      </c>
      <c r="DW290" s="266">
        <f>+E290*5%</f>
        <v>9650</v>
      </c>
      <c r="DX290" s="441">
        <f>+DV290-DW290</f>
        <v>0</v>
      </c>
    </row>
    <row r="291" spans="1:128">
      <c r="A291" s="413">
        <v>132</v>
      </c>
      <c r="B291" s="413" t="s">
        <v>1191</v>
      </c>
      <c r="C291" s="433" t="s">
        <v>518</v>
      </c>
      <c r="D291" s="468"/>
      <c r="E291" s="442">
        <v>-4500000</v>
      </c>
      <c r="F291" s="470" t="s">
        <v>1188</v>
      </c>
      <c r="G291" s="538"/>
      <c r="H291" s="443"/>
      <c r="I291" s="267">
        <v>15</v>
      </c>
      <c r="J291" s="485"/>
      <c r="K291" s="485"/>
      <c r="L291" s="485"/>
      <c r="M291" s="450"/>
      <c r="N291" s="486"/>
      <c r="O291" s="486"/>
      <c r="P291" s="450"/>
      <c r="Q291" s="486"/>
      <c r="R291" s="486"/>
      <c r="S291" s="450"/>
      <c r="T291" s="486"/>
      <c r="U291" s="486"/>
      <c r="V291" s="450"/>
      <c r="W291" s="486"/>
      <c r="X291" s="486"/>
      <c r="Y291" s="450"/>
      <c r="Z291" s="486"/>
      <c r="AA291" s="486"/>
      <c r="AB291" s="450"/>
      <c r="AC291" s="486"/>
      <c r="AD291" s="486"/>
      <c r="AE291" s="486"/>
      <c r="AF291" s="486"/>
      <c r="AG291" s="486"/>
      <c r="AH291" s="486"/>
      <c r="AI291" s="439">
        <v>15</v>
      </c>
      <c r="AJ291" s="436">
        <f t="shared" si="562"/>
        <v>15</v>
      </c>
      <c r="AK291" s="440">
        <v>0.18099999999999999</v>
      </c>
      <c r="AL291" s="486"/>
      <c r="AM291" s="486"/>
      <c r="AN291" s="486"/>
      <c r="AO291" s="486"/>
      <c r="AP291" s="486"/>
      <c r="AQ291" s="486"/>
      <c r="AR291" s="450"/>
      <c r="AS291" s="486"/>
      <c r="AT291" s="403"/>
      <c r="AU291" s="403"/>
      <c r="AV291" s="403"/>
      <c r="AW291" s="403"/>
      <c r="AX291" s="403"/>
      <c r="AY291" s="403"/>
      <c r="AZ291" s="403"/>
      <c r="BA291" s="403"/>
      <c r="BB291" s="403"/>
      <c r="BC291" s="403"/>
      <c r="BD291" s="403"/>
      <c r="BE291" s="403"/>
      <c r="BF291" s="403"/>
      <c r="BG291" s="403"/>
      <c r="BH291" s="403"/>
      <c r="BI291" s="403"/>
      <c r="BJ291" s="403"/>
      <c r="BK291" s="403"/>
      <c r="BL291" s="331"/>
      <c r="BM291" s="331"/>
      <c r="BN291" s="331"/>
      <c r="BO291" s="2"/>
      <c r="BP291" s="2"/>
      <c r="BQ291" s="2"/>
      <c r="BR291" s="2">
        <f t="shared" si="594"/>
        <v>0</v>
      </c>
      <c r="BS291" s="2"/>
      <c r="BT291" s="2"/>
      <c r="BU291" s="2"/>
      <c r="BV291" s="2"/>
      <c r="BW291" s="2"/>
      <c r="BX291" s="2"/>
      <c r="BY291" s="2"/>
      <c r="BZ291" s="2"/>
      <c r="CA291" s="2"/>
      <c r="CB291" s="2"/>
      <c r="CC291" s="2"/>
      <c r="CD291" s="2"/>
      <c r="CE291" s="2">
        <f t="shared" si="602"/>
        <v>0</v>
      </c>
      <c r="CF291" s="2">
        <f>+CD291-CE291</f>
        <v>0</v>
      </c>
      <c r="CG291" s="2">
        <f t="shared" si="603"/>
        <v>0</v>
      </c>
      <c r="CH291" s="2">
        <f>+CF291-CG291</f>
        <v>0</v>
      </c>
      <c r="CI291" s="2">
        <f t="shared" si="604"/>
        <v>0</v>
      </c>
      <c r="CJ291" s="2">
        <f>+CH291-CI291</f>
        <v>0</v>
      </c>
      <c r="CK291" s="403"/>
      <c r="CL291" s="403"/>
      <c r="CM291" s="403"/>
      <c r="CN291" s="403"/>
      <c r="CO291" s="403"/>
      <c r="CP291" s="403"/>
      <c r="CQ291" s="403"/>
      <c r="CR291" s="403"/>
      <c r="CS291" s="403"/>
      <c r="CT291" s="403">
        <f>+E291*5%</f>
        <v>-225000</v>
      </c>
      <c r="CU291" s="403"/>
      <c r="CV291" s="403"/>
      <c r="CW291" s="403"/>
      <c r="CX291" s="403"/>
      <c r="CY291" s="403"/>
      <c r="CZ291" s="403"/>
      <c r="DA291" s="403"/>
      <c r="DB291" s="403"/>
      <c r="DC291" s="403"/>
      <c r="DD291" s="403"/>
      <c r="DE291" s="403"/>
      <c r="DF291" s="403"/>
      <c r="DG291" s="403"/>
      <c r="DH291" s="403"/>
      <c r="DI291" s="403"/>
      <c r="DJ291" s="403"/>
      <c r="DK291" s="403"/>
      <c r="DL291" s="403"/>
      <c r="DM291" s="403"/>
      <c r="DN291" s="403"/>
      <c r="DO291" s="403"/>
      <c r="DP291" s="403"/>
      <c r="DQ291" s="403"/>
      <c r="DR291" s="403"/>
      <c r="DS291" s="403"/>
      <c r="DT291" s="403"/>
      <c r="DU291" s="403"/>
      <c r="DV291" s="403"/>
      <c r="DW291" s="3">
        <f>+E291*5%</f>
        <v>-225000</v>
      </c>
    </row>
    <row r="292" spans="1:128">
      <c r="A292" s="413">
        <v>133</v>
      </c>
      <c r="C292" s="433" t="s">
        <v>518</v>
      </c>
      <c r="D292" s="468"/>
      <c r="E292" s="442">
        <f>'FA Additions'!F20</f>
        <v>528000</v>
      </c>
      <c r="F292" s="470" t="s">
        <v>1392</v>
      </c>
      <c r="G292" s="538">
        <f>'FA Additions'!D20</f>
        <v>44469</v>
      </c>
      <c r="H292" s="443">
        <f>DATE(YEAR(G292)+I292,MONTH(G292),DAY(G292))-1</f>
        <v>49947</v>
      </c>
      <c r="I292" s="267">
        <v>15</v>
      </c>
      <c r="J292" s="267">
        <f>IF(($BS$6-$G292+1)&gt;365,365,($BS$6-$G292+1))</f>
        <v>183</v>
      </c>
      <c r="K292" s="485"/>
      <c r="L292" s="485"/>
      <c r="M292" s="450"/>
      <c r="N292" s="486"/>
      <c r="O292" s="486"/>
      <c r="P292" s="450"/>
      <c r="Q292" s="486"/>
      <c r="R292" s="486"/>
      <c r="S292" s="450"/>
      <c r="T292" s="486"/>
      <c r="U292" s="486"/>
      <c r="V292" s="450"/>
      <c r="W292" s="486"/>
      <c r="X292" s="486"/>
      <c r="Y292" s="450"/>
      <c r="Z292" s="486"/>
      <c r="AA292" s="486"/>
      <c r="AB292" s="450"/>
      <c r="AC292" s="486"/>
      <c r="AD292" s="486"/>
      <c r="AE292" s="486"/>
      <c r="AF292" s="486"/>
      <c r="AG292" s="486"/>
      <c r="AH292" s="486"/>
      <c r="AI292" s="439">
        <v>15</v>
      </c>
      <c r="AJ292" s="436">
        <f t="shared" si="562"/>
        <v>15</v>
      </c>
      <c r="AK292" s="440">
        <f t="shared" si="572"/>
        <v>0.18103627252208465</v>
      </c>
      <c r="AL292" s="486"/>
      <c r="AM292" s="486"/>
      <c r="AN292" s="486"/>
      <c r="AO292" s="486"/>
      <c r="AP292" s="486"/>
      <c r="AQ292" s="486"/>
      <c r="AR292" s="450"/>
      <c r="AS292" s="486"/>
      <c r="AT292" s="403"/>
      <c r="AU292" s="403"/>
      <c r="AV292" s="403"/>
      <c r="AW292" s="403"/>
      <c r="AX292" s="403"/>
      <c r="AY292" s="403"/>
      <c r="AZ292" s="403"/>
      <c r="BA292" s="403"/>
      <c r="BB292" s="403"/>
      <c r="BC292" s="403"/>
      <c r="BD292" s="403"/>
      <c r="BE292" s="403"/>
      <c r="BF292" s="403"/>
      <c r="BG292" s="403"/>
      <c r="BH292" s="403"/>
      <c r="BI292" s="403"/>
      <c r="BJ292" s="403"/>
      <c r="BK292" s="403"/>
      <c r="BL292" s="574"/>
      <c r="BM292" s="574"/>
      <c r="BN292" s="574"/>
      <c r="BO292" s="575"/>
      <c r="BP292" s="575"/>
      <c r="BQ292" s="575"/>
      <c r="BR292" s="2">
        <f t="shared" si="594"/>
        <v>0</v>
      </c>
      <c r="BS292" s="575">
        <f>E292*J292/365*AK292</f>
        <v>47924.517249791526</v>
      </c>
      <c r="BT292" s="2">
        <f>E292-BS292</f>
        <v>480075.48275020847</v>
      </c>
      <c r="BU292" s="2">
        <f t="shared" si="597"/>
        <v>86911</v>
      </c>
      <c r="BV292" s="2">
        <f>+BT292-BU292</f>
        <v>393164.48275020847</v>
      </c>
      <c r="BW292" s="575"/>
      <c r="BX292" s="575"/>
      <c r="BY292" s="575"/>
      <c r="BZ292" s="575"/>
      <c r="CA292" s="575"/>
      <c r="CB292" s="575"/>
      <c r="CC292" s="575"/>
      <c r="CD292" s="575"/>
      <c r="CE292" s="575"/>
      <c r="CF292" s="575"/>
      <c r="CG292" s="575"/>
      <c r="CH292" s="575"/>
      <c r="CI292" s="575"/>
      <c r="CJ292" s="575"/>
      <c r="CK292" s="403"/>
      <c r="CL292" s="403"/>
      <c r="CM292" s="403"/>
      <c r="CN292" s="403"/>
      <c r="CO292" s="403"/>
      <c r="CP292" s="403"/>
      <c r="CQ292" s="403"/>
      <c r="CR292" s="403"/>
      <c r="CS292" s="403"/>
      <c r="CT292" s="403"/>
      <c r="CU292" s="403"/>
      <c r="CV292" s="403"/>
      <c r="CW292" s="403"/>
      <c r="CX292" s="403"/>
      <c r="CY292" s="403"/>
      <c r="CZ292" s="403"/>
      <c r="DA292" s="403"/>
      <c r="DB292" s="403"/>
      <c r="DC292" s="403"/>
      <c r="DD292" s="403"/>
      <c r="DE292" s="403"/>
      <c r="DF292" s="403"/>
      <c r="DG292" s="403"/>
      <c r="DH292" s="403"/>
      <c r="DI292" s="403"/>
      <c r="DJ292" s="403"/>
      <c r="DK292" s="403"/>
      <c r="DL292" s="403"/>
      <c r="DM292" s="403"/>
      <c r="DN292" s="403"/>
      <c r="DO292" s="403"/>
      <c r="DP292" s="403"/>
      <c r="DQ292" s="403"/>
      <c r="DR292" s="403"/>
      <c r="DS292" s="403"/>
      <c r="DT292" s="403"/>
      <c r="DU292" s="403"/>
      <c r="DV292" s="403"/>
      <c r="DW292" s="3"/>
    </row>
    <row r="293" spans="1:128">
      <c r="A293" s="413">
        <v>134</v>
      </c>
      <c r="C293" s="433" t="s">
        <v>518</v>
      </c>
      <c r="D293" s="468"/>
      <c r="E293" s="442">
        <f>'FA Additions'!F21</f>
        <v>64500</v>
      </c>
      <c r="F293" s="470" t="s">
        <v>1392</v>
      </c>
      <c r="G293" s="538">
        <f>'FA Additions'!D21</f>
        <v>44573</v>
      </c>
      <c r="H293" s="443">
        <f>DATE(YEAR(G293)+I293,MONTH(G293),DAY(G293))-1</f>
        <v>50051</v>
      </c>
      <c r="I293" s="267">
        <v>15</v>
      </c>
      <c r="J293" s="267">
        <f t="shared" ref="J293:J298" si="608">IF(($BS$6-$G293+1)&gt;365,365,($BS$6-$G293+1))</f>
        <v>79</v>
      </c>
      <c r="K293" s="485"/>
      <c r="L293" s="485"/>
      <c r="M293" s="450"/>
      <c r="N293" s="486"/>
      <c r="O293" s="486"/>
      <c r="P293" s="450"/>
      <c r="Q293" s="486"/>
      <c r="R293" s="486"/>
      <c r="S293" s="450"/>
      <c r="T293" s="486"/>
      <c r="U293" s="486"/>
      <c r="V293" s="450"/>
      <c r="W293" s="486"/>
      <c r="X293" s="486"/>
      <c r="Y293" s="450"/>
      <c r="Z293" s="486"/>
      <c r="AA293" s="486"/>
      <c r="AB293" s="450"/>
      <c r="AC293" s="486"/>
      <c r="AD293" s="486"/>
      <c r="AE293" s="486"/>
      <c r="AF293" s="486"/>
      <c r="AG293" s="486"/>
      <c r="AH293" s="486"/>
      <c r="AI293" s="439">
        <v>15</v>
      </c>
      <c r="AJ293" s="436">
        <f t="shared" si="562"/>
        <v>15</v>
      </c>
      <c r="AK293" s="440">
        <f t="shared" si="572"/>
        <v>0.18103627252208465</v>
      </c>
      <c r="AL293" s="486"/>
      <c r="AM293" s="486"/>
      <c r="AN293" s="486"/>
      <c r="AO293" s="486"/>
      <c r="AP293" s="486"/>
      <c r="AQ293" s="486"/>
      <c r="AR293" s="450"/>
      <c r="AS293" s="486"/>
      <c r="AT293" s="403"/>
      <c r="AU293" s="403"/>
      <c r="AV293" s="403"/>
      <c r="AW293" s="403"/>
      <c r="AX293" s="403"/>
      <c r="AY293" s="403"/>
      <c r="AZ293" s="403"/>
      <c r="BA293" s="403"/>
      <c r="BB293" s="403"/>
      <c r="BC293" s="403"/>
      <c r="BD293" s="403"/>
      <c r="BE293" s="403"/>
      <c r="BF293" s="403"/>
      <c r="BG293" s="403"/>
      <c r="BH293" s="403"/>
      <c r="BI293" s="403"/>
      <c r="BJ293" s="403"/>
      <c r="BK293" s="403"/>
      <c r="BL293" s="574"/>
      <c r="BM293" s="574"/>
      <c r="BN293" s="574"/>
      <c r="BO293" s="575"/>
      <c r="BP293" s="575"/>
      <c r="BQ293" s="575"/>
      <c r="BR293" s="2">
        <f t="shared" si="594"/>
        <v>0</v>
      </c>
      <c r="BS293" s="575">
        <f t="shared" ref="BS293:BS299" si="609">E293*J293/365*AK293</f>
        <v>2527.315963387075</v>
      </c>
      <c r="BT293" s="2">
        <f t="shared" ref="BT293:BT298" si="610">E293-BS293</f>
        <v>61972.684036612925</v>
      </c>
      <c r="BU293" s="2">
        <f t="shared" si="597"/>
        <v>11219</v>
      </c>
      <c r="BV293" s="2">
        <f t="shared" ref="BV293:BV299" si="611">+BT293-BU293</f>
        <v>50753.684036612925</v>
      </c>
      <c r="BW293" s="575"/>
      <c r="BX293" s="575"/>
      <c r="BY293" s="575"/>
      <c r="BZ293" s="575"/>
      <c r="CA293" s="575"/>
      <c r="CB293" s="575"/>
      <c r="CC293" s="575"/>
      <c r="CD293" s="575"/>
      <c r="CE293" s="575"/>
      <c r="CF293" s="575"/>
      <c r="CG293" s="575"/>
      <c r="CH293" s="575"/>
      <c r="CI293" s="575"/>
      <c r="CJ293" s="575"/>
      <c r="CK293" s="403"/>
      <c r="CL293" s="403"/>
      <c r="CM293" s="403"/>
      <c r="CN293" s="403"/>
      <c r="CO293" s="403"/>
      <c r="CP293" s="403"/>
      <c r="CQ293" s="403"/>
      <c r="CR293" s="403"/>
      <c r="CS293" s="403"/>
      <c r="CT293" s="403"/>
      <c r="CU293" s="403"/>
      <c r="CV293" s="403"/>
      <c r="CW293" s="403"/>
      <c r="CX293" s="403"/>
      <c r="CY293" s="403"/>
      <c r="CZ293" s="403"/>
      <c r="DA293" s="403"/>
      <c r="DB293" s="403"/>
      <c r="DC293" s="403"/>
      <c r="DD293" s="403"/>
      <c r="DE293" s="403"/>
      <c r="DF293" s="403"/>
      <c r="DG293" s="403"/>
      <c r="DH293" s="403"/>
      <c r="DI293" s="403"/>
      <c r="DJ293" s="403"/>
      <c r="DK293" s="403"/>
      <c r="DL293" s="403"/>
      <c r="DM293" s="403"/>
      <c r="DN293" s="403"/>
      <c r="DO293" s="403"/>
      <c r="DP293" s="403"/>
      <c r="DQ293" s="403"/>
      <c r="DR293" s="403"/>
      <c r="DS293" s="403"/>
      <c r="DT293" s="403"/>
      <c r="DU293" s="403"/>
      <c r="DV293" s="403"/>
      <c r="DW293" s="3"/>
    </row>
    <row r="294" spans="1:128">
      <c r="A294" s="413">
        <v>135</v>
      </c>
      <c r="C294" s="433" t="s">
        <v>518</v>
      </c>
      <c r="D294" s="468"/>
      <c r="E294" s="442">
        <f>'FA Additions'!F22</f>
        <v>900000</v>
      </c>
      <c r="F294" s="470" t="s">
        <v>1392</v>
      </c>
      <c r="G294" s="538">
        <f>'FA Additions'!D22</f>
        <v>44608</v>
      </c>
      <c r="H294" s="443">
        <f>DATE(YEAR(G294)+I294,MONTH(G294),DAY(G294))-1</f>
        <v>50086</v>
      </c>
      <c r="I294" s="267">
        <v>15</v>
      </c>
      <c r="J294" s="267">
        <f t="shared" si="608"/>
        <v>44</v>
      </c>
      <c r="K294" s="485"/>
      <c r="L294" s="485"/>
      <c r="M294" s="450"/>
      <c r="N294" s="486"/>
      <c r="O294" s="486"/>
      <c r="P294" s="450"/>
      <c r="Q294" s="486"/>
      <c r="R294" s="486"/>
      <c r="S294" s="450"/>
      <c r="T294" s="486"/>
      <c r="U294" s="486"/>
      <c r="V294" s="450"/>
      <c r="W294" s="486"/>
      <c r="X294" s="486"/>
      <c r="Y294" s="450"/>
      <c r="Z294" s="486"/>
      <c r="AA294" s="486"/>
      <c r="AB294" s="450"/>
      <c r="AC294" s="486"/>
      <c r="AD294" s="486"/>
      <c r="AE294" s="486"/>
      <c r="AF294" s="486"/>
      <c r="AG294" s="486"/>
      <c r="AH294" s="486"/>
      <c r="AI294" s="439">
        <v>15</v>
      </c>
      <c r="AJ294" s="436">
        <f t="shared" si="562"/>
        <v>15</v>
      </c>
      <c r="AK294" s="440">
        <f t="shared" si="572"/>
        <v>0.18103627252208465</v>
      </c>
      <c r="AL294" s="486"/>
      <c r="AM294" s="486"/>
      <c r="AN294" s="486"/>
      <c r="AO294" s="486"/>
      <c r="AP294" s="486"/>
      <c r="AQ294" s="486"/>
      <c r="AR294" s="450"/>
      <c r="AS294" s="486"/>
      <c r="AT294" s="403"/>
      <c r="AU294" s="403"/>
      <c r="AV294" s="403"/>
      <c r="AW294" s="403"/>
      <c r="AX294" s="403"/>
      <c r="AY294" s="403"/>
      <c r="AZ294" s="403"/>
      <c r="BA294" s="403"/>
      <c r="BB294" s="403"/>
      <c r="BC294" s="403"/>
      <c r="BD294" s="403"/>
      <c r="BE294" s="403"/>
      <c r="BF294" s="403"/>
      <c r="BG294" s="403"/>
      <c r="BH294" s="403"/>
      <c r="BI294" s="403"/>
      <c r="BJ294" s="403"/>
      <c r="BK294" s="403"/>
      <c r="BL294" s="574"/>
      <c r="BM294" s="574"/>
      <c r="BN294" s="574"/>
      <c r="BO294" s="575"/>
      <c r="BP294" s="575"/>
      <c r="BQ294" s="575"/>
      <c r="BR294" s="2">
        <f t="shared" si="594"/>
        <v>0</v>
      </c>
      <c r="BS294" s="575">
        <f t="shared" si="609"/>
        <v>19641.195594176854</v>
      </c>
      <c r="BT294" s="2">
        <f t="shared" si="610"/>
        <v>880358.80440582312</v>
      </c>
      <c r="BU294" s="2">
        <f t="shared" si="597"/>
        <v>159377</v>
      </c>
      <c r="BV294" s="2">
        <f t="shared" si="611"/>
        <v>720981.80440582312</v>
      </c>
      <c r="BW294" s="575"/>
      <c r="BX294" s="575"/>
      <c r="BY294" s="575"/>
      <c r="BZ294" s="575"/>
      <c r="CA294" s="575"/>
      <c r="CB294" s="575"/>
      <c r="CC294" s="575"/>
      <c r="CD294" s="575"/>
      <c r="CE294" s="575"/>
      <c r="CF294" s="575"/>
      <c r="CG294" s="575"/>
      <c r="CH294" s="575"/>
      <c r="CI294" s="575"/>
      <c r="CJ294" s="575"/>
      <c r="CK294" s="403"/>
      <c r="CL294" s="403"/>
      <c r="CM294" s="403"/>
      <c r="CN294" s="403"/>
      <c r="CO294" s="403"/>
      <c r="CP294" s="403"/>
      <c r="CQ294" s="403"/>
      <c r="CR294" s="403"/>
      <c r="CS294" s="403"/>
      <c r="CT294" s="403"/>
      <c r="CU294" s="403"/>
      <c r="CV294" s="403"/>
      <c r="CW294" s="403"/>
      <c r="CX294" s="403"/>
      <c r="CY294" s="403"/>
      <c r="CZ294" s="403"/>
      <c r="DA294" s="403"/>
      <c r="DB294" s="403"/>
      <c r="DC294" s="403"/>
      <c r="DD294" s="403"/>
      <c r="DE294" s="403"/>
      <c r="DF294" s="403"/>
      <c r="DG294" s="403"/>
      <c r="DH294" s="403"/>
      <c r="DI294" s="403"/>
      <c r="DJ294" s="403"/>
      <c r="DK294" s="403"/>
      <c r="DL294" s="403"/>
      <c r="DM294" s="403"/>
      <c r="DN294" s="403"/>
      <c r="DO294" s="403"/>
      <c r="DP294" s="403"/>
      <c r="DQ294" s="403"/>
      <c r="DR294" s="403"/>
      <c r="DS294" s="403"/>
      <c r="DT294" s="403"/>
      <c r="DU294" s="403"/>
      <c r="DV294" s="403"/>
      <c r="DW294" s="3"/>
    </row>
    <row r="295" spans="1:128">
      <c r="A295" s="413">
        <f>A294+1</f>
        <v>136</v>
      </c>
      <c r="C295" s="433" t="s">
        <v>518</v>
      </c>
      <c r="D295" s="468"/>
      <c r="E295" s="442">
        <f>'FA Additions'!F23</f>
        <v>1700000</v>
      </c>
      <c r="F295" s="470" t="s">
        <v>1392</v>
      </c>
      <c r="G295" s="538">
        <v>44635</v>
      </c>
      <c r="H295" s="538">
        <v>50113</v>
      </c>
      <c r="I295" s="267">
        <v>15</v>
      </c>
      <c r="J295" s="267">
        <f t="shared" si="608"/>
        <v>17</v>
      </c>
      <c r="K295" s="485"/>
      <c r="L295" s="485"/>
      <c r="M295" s="450"/>
      <c r="N295" s="486"/>
      <c r="O295" s="486"/>
      <c r="P295" s="450"/>
      <c r="Q295" s="486"/>
      <c r="R295" s="486"/>
      <c r="S295" s="450"/>
      <c r="T295" s="486"/>
      <c r="U295" s="486"/>
      <c r="V295" s="450"/>
      <c r="W295" s="486"/>
      <c r="X295" s="486"/>
      <c r="Y295" s="450"/>
      <c r="Z295" s="486"/>
      <c r="AA295" s="486"/>
      <c r="AB295" s="450"/>
      <c r="AC295" s="486"/>
      <c r="AD295" s="486"/>
      <c r="AE295" s="486"/>
      <c r="AF295" s="486"/>
      <c r="AG295" s="486"/>
      <c r="AH295" s="486"/>
      <c r="AI295" s="439">
        <v>15</v>
      </c>
      <c r="AJ295" s="436">
        <f t="shared" si="562"/>
        <v>15</v>
      </c>
      <c r="AK295" s="440">
        <f t="shared" si="572"/>
        <v>0.18103627252208465</v>
      </c>
      <c r="AL295" s="486"/>
      <c r="AM295" s="486"/>
      <c r="AN295" s="486"/>
      <c r="AO295" s="486"/>
      <c r="AP295" s="486"/>
      <c r="AQ295" s="486"/>
      <c r="AR295" s="450"/>
      <c r="AS295" s="486"/>
      <c r="AT295" s="403"/>
      <c r="AU295" s="403"/>
      <c r="AV295" s="403"/>
      <c r="AW295" s="403"/>
      <c r="AX295" s="403"/>
      <c r="AY295" s="403"/>
      <c r="AZ295" s="403"/>
      <c r="BA295" s="403"/>
      <c r="BB295" s="403"/>
      <c r="BC295" s="403"/>
      <c r="BD295" s="403"/>
      <c r="BE295" s="403"/>
      <c r="BF295" s="403"/>
      <c r="BG295" s="403"/>
      <c r="BH295" s="403"/>
      <c r="BI295" s="403"/>
      <c r="BJ295" s="403"/>
      <c r="BK295" s="403"/>
      <c r="BL295" s="574"/>
      <c r="BM295" s="574"/>
      <c r="BN295" s="574"/>
      <c r="BO295" s="575"/>
      <c r="BP295" s="575"/>
      <c r="BQ295" s="575"/>
      <c r="BR295" s="2">
        <f t="shared" si="594"/>
        <v>0</v>
      </c>
      <c r="BS295" s="575">
        <f t="shared" si="609"/>
        <v>14334.104865447251</v>
      </c>
      <c r="BT295" s="2">
        <f t="shared" si="610"/>
        <v>1685665.8951345528</v>
      </c>
      <c r="BU295" s="2">
        <f t="shared" si="597"/>
        <v>305167</v>
      </c>
      <c r="BV295" s="2">
        <f t="shared" si="611"/>
        <v>1380498.8951345528</v>
      </c>
      <c r="BW295" s="575"/>
      <c r="BX295" s="575"/>
      <c r="BY295" s="575"/>
      <c r="BZ295" s="575"/>
      <c r="CA295" s="575"/>
      <c r="CB295" s="575"/>
      <c r="CC295" s="575"/>
      <c r="CD295" s="575"/>
      <c r="CE295" s="575"/>
      <c r="CF295" s="575"/>
      <c r="CG295" s="575"/>
      <c r="CH295" s="575"/>
      <c r="CI295" s="575"/>
      <c r="CJ295" s="575"/>
      <c r="CK295" s="403"/>
      <c r="CL295" s="403"/>
      <c r="CM295" s="403"/>
      <c r="CN295" s="403"/>
      <c r="CO295" s="403"/>
      <c r="CP295" s="403"/>
      <c r="CQ295" s="403"/>
      <c r="CR295" s="403"/>
      <c r="CS295" s="403"/>
      <c r="CT295" s="403"/>
      <c r="CU295" s="403"/>
      <c r="CV295" s="403"/>
      <c r="CW295" s="403"/>
      <c r="CX295" s="403"/>
      <c r="CY295" s="403"/>
      <c r="CZ295" s="403"/>
      <c r="DA295" s="403"/>
      <c r="DB295" s="403"/>
      <c r="DC295" s="403"/>
      <c r="DD295" s="403"/>
      <c r="DE295" s="403"/>
      <c r="DF295" s="403"/>
      <c r="DG295" s="403"/>
      <c r="DH295" s="403"/>
      <c r="DI295" s="403"/>
      <c r="DJ295" s="403"/>
      <c r="DK295" s="403"/>
      <c r="DL295" s="403"/>
      <c r="DM295" s="403"/>
      <c r="DN295" s="403"/>
      <c r="DO295" s="403"/>
      <c r="DP295" s="403"/>
      <c r="DQ295" s="403"/>
      <c r="DR295" s="403"/>
      <c r="DS295" s="403"/>
      <c r="DT295" s="403"/>
      <c r="DU295" s="403"/>
      <c r="DV295" s="403"/>
      <c r="DW295" s="3"/>
    </row>
    <row r="296" spans="1:128">
      <c r="A296" s="413">
        <f>A295+1</f>
        <v>137</v>
      </c>
      <c r="C296" s="433" t="s">
        <v>518</v>
      </c>
      <c r="D296" s="468"/>
      <c r="E296" s="442">
        <f>'FA Additions'!F24</f>
        <v>900000</v>
      </c>
      <c r="F296" s="470" t="s">
        <v>1392</v>
      </c>
      <c r="G296" s="538">
        <v>44635</v>
      </c>
      <c r="H296" s="538">
        <v>50113</v>
      </c>
      <c r="I296" s="267">
        <v>15</v>
      </c>
      <c r="J296" s="267">
        <f t="shared" si="608"/>
        <v>17</v>
      </c>
      <c r="K296" s="485"/>
      <c r="L296" s="485"/>
      <c r="M296" s="450"/>
      <c r="N296" s="486"/>
      <c r="O296" s="486"/>
      <c r="P296" s="450"/>
      <c r="Q296" s="486"/>
      <c r="R296" s="486"/>
      <c r="S296" s="450"/>
      <c r="T296" s="486"/>
      <c r="U296" s="486"/>
      <c r="V296" s="450"/>
      <c r="W296" s="486"/>
      <c r="X296" s="486"/>
      <c r="Y296" s="450"/>
      <c r="Z296" s="486"/>
      <c r="AA296" s="486"/>
      <c r="AB296" s="450"/>
      <c r="AC296" s="486"/>
      <c r="AD296" s="486"/>
      <c r="AE296" s="486"/>
      <c r="AF296" s="486"/>
      <c r="AG296" s="486"/>
      <c r="AH296" s="486"/>
      <c r="AI296" s="439">
        <v>15</v>
      </c>
      <c r="AJ296" s="436">
        <f t="shared" si="562"/>
        <v>15</v>
      </c>
      <c r="AK296" s="440">
        <f t="shared" si="572"/>
        <v>0.18103627252208465</v>
      </c>
      <c r="AL296" s="486"/>
      <c r="AM296" s="486"/>
      <c r="AN296" s="486"/>
      <c r="AO296" s="486"/>
      <c r="AP296" s="486"/>
      <c r="AQ296" s="486"/>
      <c r="AR296" s="450"/>
      <c r="AS296" s="486"/>
      <c r="AT296" s="403"/>
      <c r="AU296" s="403"/>
      <c r="AV296" s="403"/>
      <c r="AW296" s="403"/>
      <c r="AX296" s="403"/>
      <c r="AY296" s="403"/>
      <c r="AZ296" s="403"/>
      <c r="BA296" s="403"/>
      <c r="BB296" s="403"/>
      <c r="BC296" s="403"/>
      <c r="BD296" s="403"/>
      <c r="BE296" s="403"/>
      <c r="BF296" s="403"/>
      <c r="BG296" s="403"/>
      <c r="BH296" s="403"/>
      <c r="BI296" s="403"/>
      <c r="BJ296" s="403"/>
      <c r="BK296" s="403"/>
      <c r="BL296" s="574"/>
      <c r="BM296" s="574"/>
      <c r="BN296" s="574"/>
      <c r="BO296" s="575"/>
      <c r="BP296" s="575"/>
      <c r="BQ296" s="575"/>
      <c r="BR296" s="2">
        <f t="shared" si="594"/>
        <v>0</v>
      </c>
      <c r="BS296" s="575">
        <f t="shared" si="609"/>
        <v>7588.6437522956039</v>
      </c>
      <c r="BT296" s="2">
        <f t="shared" si="610"/>
        <v>892411.35624770436</v>
      </c>
      <c r="BU296" s="2">
        <f t="shared" si="597"/>
        <v>161559</v>
      </c>
      <c r="BV296" s="2">
        <f t="shared" si="611"/>
        <v>730852.35624770436</v>
      </c>
      <c r="BW296" s="575"/>
      <c r="BX296" s="575"/>
      <c r="BY296" s="575"/>
      <c r="BZ296" s="575"/>
      <c r="CA296" s="575"/>
      <c r="CB296" s="575"/>
      <c r="CC296" s="575"/>
      <c r="CD296" s="575"/>
      <c r="CE296" s="575"/>
      <c r="CF296" s="575"/>
      <c r="CG296" s="575"/>
      <c r="CH296" s="575"/>
      <c r="CI296" s="575"/>
      <c r="CJ296" s="575"/>
      <c r="CK296" s="403"/>
      <c r="CL296" s="403"/>
      <c r="CM296" s="403"/>
      <c r="CN296" s="403"/>
      <c r="CO296" s="403"/>
      <c r="CP296" s="403"/>
      <c r="CQ296" s="403"/>
      <c r="CR296" s="403"/>
      <c r="CS296" s="403"/>
      <c r="CT296" s="403"/>
      <c r="CU296" s="403"/>
      <c r="CV296" s="403"/>
      <c r="CW296" s="403"/>
      <c r="CX296" s="403"/>
      <c r="CY296" s="403"/>
      <c r="CZ296" s="403"/>
      <c r="DA296" s="403"/>
      <c r="DB296" s="403"/>
      <c r="DC296" s="403"/>
      <c r="DD296" s="403"/>
      <c r="DE296" s="403"/>
      <c r="DF296" s="403"/>
      <c r="DG296" s="403"/>
      <c r="DH296" s="403"/>
      <c r="DI296" s="403"/>
      <c r="DJ296" s="403"/>
      <c r="DK296" s="403"/>
      <c r="DL296" s="403"/>
      <c r="DM296" s="403"/>
      <c r="DN296" s="403"/>
      <c r="DO296" s="403"/>
      <c r="DP296" s="403"/>
      <c r="DQ296" s="403"/>
      <c r="DR296" s="403"/>
      <c r="DS296" s="403"/>
      <c r="DT296" s="403"/>
      <c r="DU296" s="403"/>
      <c r="DV296" s="403"/>
      <c r="DW296" s="3"/>
    </row>
    <row r="297" spans="1:128">
      <c r="A297" s="413">
        <f>A296+1</f>
        <v>138</v>
      </c>
      <c r="C297" s="433" t="s">
        <v>518</v>
      </c>
      <c r="D297" s="468"/>
      <c r="E297" s="442">
        <f>'FA Additions'!F25+'FA Additions'!F26</f>
        <v>2725000</v>
      </c>
      <c r="F297" s="470" t="s">
        <v>1392</v>
      </c>
      <c r="G297" s="538">
        <v>44646</v>
      </c>
      <c r="H297" s="538">
        <v>50124</v>
      </c>
      <c r="I297" s="267">
        <v>15</v>
      </c>
      <c r="J297" s="267">
        <f t="shared" si="608"/>
        <v>6</v>
      </c>
      <c r="K297" s="485"/>
      <c r="L297" s="485"/>
      <c r="M297" s="450"/>
      <c r="N297" s="486"/>
      <c r="O297" s="486"/>
      <c r="P297" s="450"/>
      <c r="Q297" s="486"/>
      <c r="R297" s="486"/>
      <c r="S297" s="450"/>
      <c r="T297" s="486"/>
      <c r="U297" s="486"/>
      <c r="V297" s="450"/>
      <c r="W297" s="486"/>
      <c r="X297" s="486"/>
      <c r="Y297" s="450"/>
      <c r="Z297" s="486"/>
      <c r="AA297" s="486"/>
      <c r="AB297" s="450"/>
      <c r="AC297" s="486"/>
      <c r="AD297" s="486"/>
      <c r="AE297" s="486"/>
      <c r="AF297" s="486"/>
      <c r="AG297" s="486"/>
      <c r="AH297" s="486"/>
      <c r="AI297" s="439">
        <v>15</v>
      </c>
      <c r="AJ297" s="436">
        <f t="shared" si="562"/>
        <v>15</v>
      </c>
      <c r="AK297" s="440">
        <f t="shared" si="572"/>
        <v>0.18103627252208465</v>
      </c>
      <c r="AL297" s="486"/>
      <c r="AM297" s="486"/>
      <c r="AN297" s="486"/>
      <c r="AO297" s="486"/>
      <c r="AP297" s="486"/>
      <c r="AQ297" s="486"/>
      <c r="AR297" s="450"/>
      <c r="AS297" s="486"/>
      <c r="AT297" s="403"/>
      <c r="AU297" s="403"/>
      <c r="AV297" s="403"/>
      <c r="AW297" s="403"/>
      <c r="AX297" s="403"/>
      <c r="AY297" s="403"/>
      <c r="AZ297" s="403"/>
      <c r="BA297" s="403"/>
      <c r="BB297" s="403"/>
      <c r="BC297" s="403"/>
      <c r="BD297" s="403"/>
      <c r="BE297" s="403"/>
      <c r="BF297" s="403"/>
      <c r="BG297" s="403"/>
      <c r="BH297" s="403"/>
      <c r="BI297" s="403"/>
      <c r="BJ297" s="403"/>
      <c r="BK297" s="403"/>
      <c r="BL297" s="574"/>
      <c r="BM297" s="574"/>
      <c r="BN297" s="574"/>
      <c r="BO297" s="575"/>
      <c r="BP297" s="575"/>
      <c r="BQ297" s="575"/>
      <c r="BR297" s="2">
        <f t="shared" si="594"/>
        <v>0</v>
      </c>
      <c r="BS297" s="575">
        <f t="shared" si="609"/>
        <v>8109.433029413929</v>
      </c>
      <c r="BT297" s="2">
        <f t="shared" si="610"/>
        <v>2716890.5669705858</v>
      </c>
      <c r="BU297" s="2">
        <f t="shared" si="597"/>
        <v>491856</v>
      </c>
      <c r="BV297" s="2">
        <f t="shared" si="611"/>
        <v>2225034.5669705858</v>
      </c>
      <c r="BW297" s="575"/>
      <c r="BX297" s="575"/>
      <c r="BY297" s="575"/>
      <c r="BZ297" s="575"/>
      <c r="CA297" s="575"/>
      <c r="CB297" s="575"/>
      <c r="CC297" s="575"/>
      <c r="CD297" s="575"/>
      <c r="CE297" s="575"/>
      <c r="CF297" s="575"/>
      <c r="CG297" s="575"/>
      <c r="CH297" s="575"/>
      <c r="CI297" s="575"/>
      <c r="CJ297" s="575"/>
      <c r="CK297" s="403"/>
      <c r="CL297" s="403"/>
      <c r="CM297" s="403"/>
      <c r="CN297" s="403"/>
      <c r="CO297" s="403"/>
      <c r="CP297" s="403"/>
      <c r="CQ297" s="403"/>
      <c r="CR297" s="403"/>
      <c r="CS297" s="403"/>
      <c r="CT297" s="403"/>
      <c r="CU297" s="403"/>
      <c r="CV297" s="403"/>
      <c r="CW297" s="403"/>
      <c r="CX297" s="403"/>
      <c r="CY297" s="403"/>
      <c r="CZ297" s="403"/>
      <c r="DA297" s="403"/>
      <c r="DB297" s="403"/>
      <c r="DC297" s="403"/>
      <c r="DD297" s="403"/>
      <c r="DE297" s="403"/>
      <c r="DF297" s="403"/>
      <c r="DG297" s="403"/>
      <c r="DH297" s="403"/>
      <c r="DI297" s="403"/>
      <c r="DJ297" s="403"/>
      <c r="DK297" s="403"/>
      <c r="DL297" s="403"/>
      <c r="DM297" s="403"/>
      <c r="DN297" s="403"/>
      <c r="DO297" s="403"/>
      <c r="DP297" s="403"/>
      <c r="DQ297" s="403"/>
      <c r="DR297" s="403"/>
      <c r="DS297" s="403"/>
      <c r="DT297" s="403"/>
      <c r="DU297" s="403"/>
      <c r="DV297" s="403"/>
      <c r="DW297" s="3"/>
    </row>
    <row r="298" spans="1:128">
      <c r="A298" s="413">
        <f>A297+1</f>
        <v>139</v>
      </c>
      <c r="C298" s="433" t="s">
        <v>518</v>
      </c>
      <c r="D298" s="468"/>
      <c r="E298" s="442">
        <f>'FA Additions'!F27</f>
        <v>485000</v>
      </c>
      <c r="F298" s="470" t="s">
        <v>1392</v>
      </c>
      <c r="G298" s="538">
        <v>44651</v>
      </c>
      <c r="H298" s="538">
        <v>50129</v>
      </c>
      <c r="I298" s="267">
        <v>15</v>
      </c>
      <c r="J298" s="267">
        <f t="shared" si="608"/>
        <v>1</v>
      </c>
      <c r="K298" s="485"/>
      <c r="L298" s="485"/>
      <c r="M298" s="450"/>
      <c r="N298" s="486"/>
      <c r="O298" s="486"/>
      <c r="P298" s="450"/>
      <c r="Q298" s="486"/>
      <c r="R298" s="486"/>
      <c r="S298" s="450"/>
      <c r="T298" s="486"/>
      <c r="U298" s="486"/>
      <c r="V298" s="450"/>
      <c r="W298" s="486"/>
      <c r="X298" s="486"/>
      <c r="Y298" s="450"/>
      <c r="Z298" s="486"/>
      <c r="AA298" s="486"/>
      <c r="AB298" s="450"/>
      <c r="AC298" s="486"/>
      <c r="AD298" s="486"/>
      <c r="AE298" s="486"/>
      <c r="AF298" s="486"/>
      <c r="AG298" s="486"/>
      <c r="AH298" s="486"/>
      <c r="AI298" s="439">
        <v>15</v>
      </c>
      <c r="AJ298" s="436">
        <f t="shared" si="562"/>
        <v>15</v>
      </c>
      <c r="AK298" s="440">
        <f t="shared" si="572"/>
        <v>0.18103627252208465</v>
      </c>
      <c r="AL298" s="486"/>
      <c r="AM298" s="486"/>
      <c r="AN298" s="486"/>
      <c r="AO298" s="486"/>
      <c r="AP298" s="486"/>
      <c r="AQ298" s="486"/>
      <c r="AR298" s="450"/>
      <c r="AS298" s="486"/>
      <c r="AT298" s="403"/>
      <c r="AU298" s="403"/>
      <c r="AV298" s="403"/>
      <c r="AW298" s="403"/>
      <c r="AX298" s="403"/>
      <c r="AY298" s="403"/>
      <c r="AZ298" s="403"/>
      <c r="BA298" s="403"/>
      <c r="BB298" s="403"/>
      <c r="BC298" s="403"/>
      <c r="BD298" s="403"/>
      <c r="BE298" s="403"/>
      <c r="BF298" s="403"/>
      <c r="BG298" s="403"/>
      <c r="BH298" s="403"/>
      <c r="BI298" s="403"/>
      <c r="BJ298" s="403"/>
      <c r="BK298" s="403"/>
      <c r="BL298" s="574"/>
      <c r="BM298" s="574"/>
      <c r="BN298" s="574"/>
      <c r="BO298" s="575"/>
      <c r="BP298" s="575"/>
      <c r="BQ298" s="575"/>
      <c r="BR298" s="2">
        <f t="shared" si="594"/>
        <v>0</v>
      </c>
      <c r="BS298" s="575">
        <f t="shared" si="609"/>
        <v>240.55504704989329</v>
      </c>
      <c r="BT298" s="2">
        <f t="shared" si="610"/>
        <v>484759.44495295011</v>
      </c>
      <c r="BU298" s="2">
        <f t="shared" si="597"/>
        <v>87759</v>
      </c>
      <c r="BV298" s="2">
        <f t="shared" si="611"/>
        <v>397000.44495295011</v>
      </c>
      <c r="BW298" s="575"/>
      <c r="BX298" s="575"/>
      <c r="BY298" s="575"/>
      <c r="BZ298" s="575"/>
      <c r="CA298" s="575"/>
      <c r="CB298" s="575"/>
      <c r="CC298" s="575"/>
      <c r="CD298" s="575"/>
      <c r="CE298" s="575"/>
      <c r="CF298" s="575"/>
      <c r="CG298" s="575"/>
      <c r="CH298" s="575"/>
      <c r="CI298" s="575"/>
      <c r="CJ298" s="575"/>
      <c r="CK298" s="403"/>
      <c r="CL298" s="403"/>
      <c r="CM298" s="403"/>
      <c r="CN298" s="403"/>
      <c r="CO298" s="403"/>
      <c r="CP298" s="403"/>
      <c r="CQ298" s="403"/>
      <c r="CR298" s="403"/>
      <c r="CS298" s="403"/>
      <c r="CT298" s="403"/>
      <c r="CU298" s="403"/>
      <c r="CV298" s="403"/>
      <c r="CW298" s="403"/>
      <c r="CX298" s="403"/>
      <c r="CY298" s="403"/>
      <c r="CZ298" s="403"/>
      <c r="DA298" s="403"/>
      <c r="DB298" s="403"/>
      <c r="DC298" s="403"/>
      <c r="DD298" s="403"/>
      <c r="DE298" s="403"/>
      <c r="DF298" s="403"/>
      <c r="DG298" s="403"/>
      <c r="DH298" s="403"/>
      <c r="DI298" s="403"/>
      <c r="DJ298" s="403"/>
      <c r="DK298" s="403"/>
      <c r="DL298" s="403"/>
      <c r="DM298" s="403"/>
      <c r="DN298" s="403"/>
      <c r="DO298" s="403"/>
      <c r="DP298" s="403"/>
      <c r="DQ298" s="403"/>
      <c r="DR298" s="403"/>
      <c r="DS298" s="403"/>
      <c r="DT298" s="403"/>
      <c r="DU298" s="403"/>
      <c r="DV298" s="403"/>
      <c r="DW298" s="3"/>
    </row>
    <row r="299" spans="1:128">
      <c r="A299" s="413">
        <f>A298+1</f>
        <v>140</v>
      </c>
      <c r="B299" s="413" t="s">
        <v>1191</v>
      </c>
      <c r="C299" s="433" t="s">
        <v>518</v>
      </c>
      <c r="D299" s="468"/>
      <c r="E299" s="442">
        <v>-1500000</v>
      </c>
      <c r="F299" s="470" t="s">
        <v>1392</v>
      </c>
      <c r="G299" s="580"/>
      <c r="H299" s="485"/>
      <c r="I299" s="267">
        <v>15</v>
      </c>
      <c r="J299" s="485"/>
      <c r="K299" s="485"/>
      <c r="L299" s="485"/>
      <c r="M299" s="450"/>
      <c r="N299" s="486"/>
      <c r="O299" s="486"/>
      <c r="P299" s="450"/>
      <c r="Q299" s="486"/>
      <c r="R299" s="486"/>
      <c r="S299" s="450"/>
      <c r="T299" s="486"/>
      <c r="U299" s="486"/>
      <c r="V299" s="450"/>
      <c r="W299" s="486"/>
      <c r="X299" s="486"/>
      <c r="Y299" s="450"/>
      <c r="Z299" s="486"/>
      <c r="AA299" s="486"/>
      <c r="AB299" s="450"/>
      <c r="AC299" s="486"/>
      <c r="AD299" s="486"/>
      <c r="AE299" s="486"/>
      <c r="AF299" s="486"/>
      <c r="AG299" s="486"/>
      <c r="AH299" s="486"/>
      <c r="AI299" s="439">
        <v>15</v>
      </c>
      <c r="AJ299" s="436">
        <f t="shared" si="562"/>
        <v>15</v>
      </c>
      <c r="AK299" s="440">
        <f t="shared" si="572"/>
        <v>0.18103627252208465</v>
      </c>
      <c r="AL299" s="486"/>
      <c r="AM299" s="486"/>
      <c r="AN299" s="486"/>
      <c r="AO299" s="486"/>
      <c r="AP299" s="486"/>
      <c r="AQ299" s="486"/>
      <c r="AR299" s="450"/>
      <c r="AS299" s="486"/>
      <c r="AT299" s="403"/>
      <c r="AU299" s="403"/>
      <c r="AV299" s="403"/>
      <c r="AW299" s="403"/>
      <c r="AX299" s="403"/>
      <c r="AY299" s="403"/>
      <c r="AZ299" s="403"/>
      <c r="BA299" s="403"/>
      <c r="BB299" s="403"/>
      <c r="BC299" s="403"/>
      <c r="BD299" s="403"/>
      <c r="BE299" s="403"/>
      <c r="BF299" s="403"/>
      <c r="BG299" s="403"/>
      <c r="BH299" s="403"/>
      <c r="BI299" s="403"/>
      <c r="BJ299" s="403"/>
      <c r="BK299" s="403"/>
      <c r="BL299" s="403"/>
      <c r="BM299" s="403"/>
      <c r="BN299" s="403"/>
      <c r="BO299" s="403"/>
      <c r="BP299" s="403"/>
      <c r="BQ299" s="403"/>
      <c r="BR299" s="403"/>
      <c r="BS299" s="575">
        <f t="shared" si="609"/>
        <v>0</v>
      </c>
      <c r="BT299" s="2"/>
      <c r="BU299" s="403">
        <f t="shared" si="597"/>
        <v>0</v>
      </c>
      <c r="BV299" s="403">
        <f t="shared" si="611"/>
        <v>0</v>
      </c>
      <c r="BW299" s="403"/>
      <c r="BX299" s="403"/>
      <c r="BY299" s="403"/>
      <c r="BZ299" s="403"/>
      <c r="CA299" s="403"/>
      <c r="CB299" s="403"/>
      <c r="CC299" s="403"/>
      <c r="CD299" s="403"/>
      <c r="CE299" s="403"/>
      <c r="CF299" s="403"/>
      <c r="CG299" s="403"/>
      <c r="CH299" s="403"/>
      <c r="CI299" s="403"/>
      <c r="CJ299" s="403"/>
      <c r="CK299" s="403"/>
      <c r="CL299" s="403"/>
      <c r="CM299" s="403"/>
      <c r="CN299" s="403"/>
      <c r="CO299" s="403"/>
      <c r="CP299" s="403"/>
      <c r="CQ299" s="403"/>
      <c r="CR299" s="403"/>
      <c r="CS299" s="403"/>
      <c r="CT299" s="403"/>
      <c r="CU299" s="403"/>
      <c r="CV299" s="403"/>
      <c r="CW299" s="403"/>
      <c r="CX299" s="403"/>
      <c r="CY299" s="403"/>
      <c r="CZ299" s="403"/>
      <c r="DA299" s="403"/>
      <c r="DB299" s="403"/>
      <c r="DC299" s="403"/>
      <c r="DD299" s="403"/>
      <c r="DE299" s="403"/>
      <c r="DF299" s="403"/>
      <c r="DG299" s="403"/>
      <c r="DH299" s="403"/>
      <c r="DI299" s="403"/>
      <c r="DJ299" s="403"/>
      <c r="DK299" s="403"/>
      <c r="DL299" s="403"/>
      <c r="DM299" s="403"/>
      <c r="DN299" s="403"/>
      <c r="DO299" s="403"/>
      <c r="DP299" s="403"/>
      <c r="DQ299" s="403"/>
      <c r="DR299" s="403"/>
      <c r="DS299" s="403"/>
      <c r="DT299" s="403"/>
      <c r="DU299" s="403"/>
      <c r="DV299" s="403"/>
      <c r="DW299" s="3"/>
    </row>
    <row r="300" spans="1:128">
      <c r="D300" s="487"/>
      <c r="E300" s="486"/>
      <c r="F300" s="488"/>
      <c r="G300" s="485"/>
      <c r="H300" s="485"/>
      <c r="I300" s="485"/>
      <c r="J300" s="485"/>
      <c r="K300" s="485"/>
      <c r="L300" s="485"/>
      <c r="M300" s="450"/>
      <c r="N300" s="486"/>
      <c r="O300" s="486"/>
      <c r="P300" s="450"/>
      <c r="Q300" s="486"/>
      <c r="R300" s="486"/>
      <c r="S300" s="450"/>
      <c r="T300" s="486"/>
      <c r="U300" s="486"/>
      <c r="V300" s="450"/>
      <c r="W300" s="486"/>
      <c r="X300" s="486"/>
      <c r="Y300" s="450"/>
      <c r="Z300" s="486"/>
      <c r="AA300" s="486"/>
      <c r="AB300" s="450"/>
      <c r="AC300" s="486"/>
      <c r="AD300" s="486"/>
      <c r="AE300" s="486"/>
      <c r="AF300" s="486"/>
      <c r="AG300" s="486"/>
      <c r="AH300" s="486"/>
      <c r="AI300" s="439">
        <v>15</v>
      </c>
      <c r="AJ300" s="450"/>
      <c r="AK300" s="489"/>
      <c r="AL300" s="486"/>
      <c r="AM300" s="486"/>
      <c r="AN300" s="486"/>
      <c r="AO300" s="486"/>
      <c r="AP300" s="486"/>
      <c r="AQ300" s="486"/>
      <c r="AR300" s="450"/>
      <c r="AS300" s="486"/>
      <c r="AT300" s="403"/>
      <c r="AU300" s="403"/>
      <c r="AV300" s="403"/>
      <c r="AW300" s="403"/>
      <c r="AX300" s="403"/>
      <c r="AY300" s="403"/>
      <c r="AZ300" s="403"/>
      <c r="BA300" s="403"/>
      <c r="BB300" s="403"/>
      <c r="BC300" s="403"/>
      <c r="BD300" s="403"/>
      <c r="BE300" s="403"/>
      <c r="BF300" s="403"/>
      <c r="BG300" s="403"/>
      <c r="BH300" s="403"/>
      <c r="BI300" s="403"/>
      <c r="BJ300" s="403"/>
      <c r="BK300" s="403"/>
      <c r="BL300" s="403"/>
      <c r="BM300" s="403"/>
      <c r="BN300" s="403"/>
      <c r="BO300" s="403"/>
      <c r="BP300" s="403"/>
      <c r="BQ300" s="403"/>
      <c r="BR300" s="403"/>
      <c r="BS300" s="403"/>
      <c r="BT300" s="403"/>
      <c r="BU300" s="403"/>
      <c r="BV300" s="403"/>
      <c r="BW300" s="403"/>
      <c r="BX300" s="403"/>
      <c r="BY300" s="403"/>
      <c r="BZ300" s="403"/>
      <c r="CA300" s="403"/>
      <c r="CB300" s="403"/>
      <c r="CC300" s="403"/>
      <c r="CD300" s="403"/>
      <c r="CE300" s="403"/>
      <c r="CF300" s="403"/>
      <c r="CG300" s="403"/>
      <c r="CH300" s="403"/>
      <c r="CI300" s="403"/>
      <c r="CJ300" s="403"/>
      <c r="CK300" s="403"/>
      <c r="CL300" s="403"/>
      <c r="CM300" s="403"/>
      <c r="CN300" s="403"/>
      <c r="CO300" s="403"/>
      <c r="CP300" s="403"/>
      <c r="CQ300" s="403"/>
      <c r="CR300" s="403"/>
      <c r="CS300" s="403"/>
      <c r="CT300" s="403"/>
      <c r="CU300" s="403"/>
      <c r="CV300" s="403"/>
      <c r="CW300" s="403"/>
      <c r="CX300" s="403"/>
      <c r="CY300" s="403"/>
      <c r="CZ300" s="403"/>
      <c r="DA300" s="403"/>
      <c r="DB300" s="403"/>
      <c r="DC300" s="403"/>
      <c r="DD300" s="403"/>
      <c r="DE300" s="403"/>
      <c r="DF300" s="403"/>
      <c r="DG300" s="403"/>
      <c r="DH300" s="403"/>
      <c r="DI300" s="403"/>
      <c r="DJ300" s="403"/>
      <c r="DK300" s="403"/>
      <c r="DL300" s="403"/>
      <c r="DM300" s="403"/>
      <c r="DN300" s="403"/>
      <c r="DO300" s="403"/>
      <c r="DP300" s="403"/>
      <c r="DQ300" s="403"/>
      <c r="DR300" s="403"/>
      <c r="DS300" s="403"/>
      <c r="DT300" s="403"/>
      <c r="DU300" s="403"/>
      <c r="DV300" s="403"/>
      <c r="DW300" s="3"/>
    </row>
    <row r="301" spans="1:128">
      <c r="A301" s="474"/>
      <c r="B301" s="474"/>
      <c r="C301" s="475"/>
      <c r="D301" s="474"/>
      <c r="E301" s="490">
        <f>SUM(E160:E299)</f>
        <v>212126516.42000002</v>
      </c>
      <c r="F301" s="490">
        <f>SUM(F160:F294)</f>
        <v>0</v>
      </c>
      <c r="G301" s="490">
        <f>SUM(G160:G299)</f>
        <v>5903247</v>
      </c>
      <c r="H301" s="490">
        <f t="shared" ref="H301:AM301" si="612">SUM(H160:H294)</f>
        <v>4507369</v>
      </c>
      <c r="I301" s="490">
        <f t="shared" si="612"/>
        <v>1395</v>
      </c>
      <c r="J301" s="490">
        <f t="shared" si="612"/>
        <v>16563</v>
      </c>
      <c r="K301" s="490">
        <f t="shared" si="612"/>
        <v>16228</v>
      </c>
      <c r="L301" s="490">
        <f t="shared" si="612"/>
        <v>525</v>
      </c>
      <c r="M301" s="490">
        <f t="shared" si="612"/>
        <v>359</v>
      </c>
      <c r="N301" s="490">
        <f t="shared" si="612"/>
        <v>67418</v>
      </c>
      <c r="O301" s="490">
        <f t="shared" si="612"/>
        <v>425356</v>
      </c>
      <c r="P301" s="490">
        <f t="shared" si="612"/>
        <v>2439</v>
      </c>
      <c r="Q301" s="490">
        <f t="shared" si="612"/>
        <v>167844</v>
      </c>
      <c r="R301" s="490">
        <f t="shared" si="612"/>
        <v>3423790</v>
      </c>
      <c r="S301" s="490">
        <f t="shared" si="612"/>
        <v>7188</v>
      </c>
      <c r="T301" s="490">
        <f t="shared" si="612"/>
        <v>489834</v>
      </c>
      <c r="U301" s="490">
        <f t="shared" si="612"/>
        <v>3109354</v>
      </c>
      <c r="V301" s="490">
        <f t="shared" si="612"/>
        <v>7771</v>
      </c>
      <c r="W301" s="490">
        <f t="shared" si="612"/>
        <v>451144</v>
      </c>
      <c r="X301" s="490">
        <f t="shared" si="612"/>
        <v>3119460</v>
      </c>
      <c r="Y301" s="490">
        <f t="shared" si="612"/>
        <v>9073</v>
      </c>
      <c r="Z301" s="490">
        <f t="shared" si="612"/>
        <v>516297</v>
      </c>
      <c r="AA301" s="490">
        <f t="shared" si="612"/>
        <v>3969785</v>
      </c>
      <c r="AB301" s="490">
        <f t="shared" si="612"/>
        <v>10683</v>
      </c>
      <c r="AC301" s="490">
        <f t="shared" si="612"/>
        <v>565989</v>
      </c>
      <c r="AD301" s="490">
        <f t="shared" si="612"/>
        <v>3596503</v>
      </c>
      <c r="AE301" s="490">
        <f t="shared" si="612"/>
        <v>2258526</v>
      </c>
      <c r="AF301" s="490">
        <f t="shared" si="612"/>
        <v>3596503</v>
      </c>
      <c r="AG301" s="490">
        <f t="shared" si="612"/>
        <v>0</v>
      </c>
      <c r="AH301" s="490">
        <f t="shared" si="612"/>
        <v>102.73424657534245</v>
      </c>
      <c r="AI301" s="490">
        <f t="shared" si="612"/>
        <v>2025</v>
      </c>
      <c r="AJ301" s="490">
        <f t="shared" si="612"/>
        <v>1922.2657534246575</v>
      </c>
      <c r="AK301" s="490">
        <f t="shared" si="612"/>
        <v>24.753452562319133</v>
      </c>
      <c r="AL301" s="490">
        <f t="shared" si="612"/>
        <v>0</v>
      </c>
      <c r="AM301" s="490">
        <f t="shared" si="612"/>
        <v>12717</v>
      </c>
      <c r="AN301" s="490">
        <f t="shared" ref="AN301:BQ301" si="613">SUM(AN160:AN294)</f>
        <v>625703</v>
      </c>
      <c r="AO301" s="490">
        <f t="shared" si="613"/>
        <v>848938</v>
      </c>
      <c r="AP301" s="490">
        <f t="shared" si="613"/>
        <v>3672852</v>
      </c>
      <c r="AQ301" s="490">
        <f t="shared" si="613"/>
        <v>3672852</v>
      </c>
      <c r="AR301" s="490">
        <f t="shared" si="613"/>
        <v>0</v>
      </c>
      <c r="AS301" s="490">
        <f t="shared" si="613"/>
        <v>223235</v>
      </c>
      <c r="AT301" s="490">
        <f t="shared" si="613"/>
        <v>3896087</v>
      </c>
      <c r="AU301" s="490">
        <f t="shared" si="613"/>
        <v>3672852</v>
      </c>
      <c r="AV301" s="490">
        <f t="shared" si="613"/>
        <v>0</v>
      </c>
      <c r="AW301" s="490">
        <f t="shared" si="613"/>
        <v>13080</v>
      </c>
      <c r="AX301" s="490">
        <f t="shared" si="613"/>
        <v>727510.2843147926</v>
      </c>
      <c r="AY301" s="490">
        <f t="shared" si="613"/>
        <v>3846266.7156852069</v>
      </c>
      <c r="AZ301" s="490">
        <f t="shared" si="613"/>
        <v>14594</v>
      </c>
      <c r="BA301" s="490">
        <f t="shared" si="613"/>
        <v>718713.33053784631</v>
      </c>
      <c r="BB301" s="490">
        <f t="shared" si="613"/>
        <v>3127553.3851473616</v>
      </c>
      <c r="BC301" s="490">
        <f t="shared" si="613"/>
        <v>229950</v>
      </c>
      <c r="BD301" s="490">
        <f t="shared" si="613"/>
        <v>77890</v>
      </c>
      <c r="BE301" s="490">
        <f t="shared" si="613"/>
        <v>135993</v>
      </c>
      <c r="BF301" s="490">
        <f t="shared" si="613"/>
        <v>14805</v>
      </c>
      <c r="BG301" s="490">
        <f t="shared" si="613"/>
        <v>594536.1775980274</v>
      </c>
      <c r="BH301" s="490">
        <f t="shared" si="613"/>
        <v>2677236.2275493341</v>
      </c>
      <c r="BI301" s="490">
        <f t="shared" si="613"/>
        <v>15755031.87472989</v>
      </c>
      <c r="BJ301" s="490">
        <f t="shared" si="613"/>
        <v>153363942.75281945</v>
      </c>
      <c r="BK301" s="490">
        <f t="shared" si="613"/>
        <v>30712310.362065129</v>
      </c>
      <c r="BL301" s="490">
        <f t="shared" si="613"/>
        <v>159049150.39075431</v>
      </c>
      <c r="BM301" s="490">
        <f t="shared" si="613"/>
        <v>4500000</v>
      </c>
      <c r="BN301" s="490">
        <f t="shared" si="613"/>
        <v>154549150.39075431</v>
      </c>
      <c r="BO301" s="490">
        <f t="shared" si="613"/>
        <v>27988399.233601823</v>
      </c>
      <c r="BP301" s="490">
        <f t="shared" si="613"/>
        <v>126560751.15715249</v>
      </c>
      <c r="BQ301" s="490">
        <f t="shared" si="613"/>
        <v>1500000</v>
      </c>
      <c r="BR301" s="490">
        <f>SUM(BR160:BR298)</f>
        <v>125060751.15715249</v>
      </c>
      <c r="BS301" s="490">
        <f>SUM(BS160:BS299)</f>
        <v>22748460.846252304</v>
      </c>
      <c r="BT301" s="490">
        <f>SUM(BT160:BT299)</f>
        <v>109614790.31090018</v>
      </c>
      <c r="BU301" s="490">
        <f>SUM(BU160:BU299)</f>
        <v>19850328.144158725</v>
      </c>
      <c r="BV301" s="490">
        <f>SUM(BV160:BV299)</f>
        <v>89764462.166741461</v>
      </c>
      <c r="BW301" s="490">
        <f>SUM(BW160:BW299)</f>
        <v>15211211.336484626</v>
      </c>
      <c r="BX301" s="490">
        <f t="shared" ref="BX301:DC301" si="614">SUM(BX160:BX294)</f>
        <v>68654964.595758408</v>
      </c>
      <c r="BY301" s="490">
        <f t="shared" si="614"/>
        <v>12398122.922516217</v>
      </c>
      <c r="BZ301" s="490">
        <f t="shared" si="614"/>
        <v>56256841.673242182</v>
      </c>
      <c r="CA301" s="490">
        <f t="shared" si="614"/>
        <v>10152844.17904075</v>
      </c>
      <c r="CB301" s="490">
        <f t="shared" si="614"/>
        <v>46103997.494201429</v>
      </c>
      <c r="CC301" s="490">
        <f t="shared" si="614"/>
        <v>8315149.3431159183</v>
      </c>
      <c r="CD301" s="490">
        <f t="shared" si="614"/>
        <v>37788848.151085511</v>
      </c>
      <c r="CE301" s="490">
        <f t="shared" si="614"/>
        <v>6789475.2042408949</v>
      </c>
      <c r="CF301" s="490">
        <f t="shared" si="614"/>
        <v>30999372.946844622</v>
      </c>
      <c r="CG301" s="490">
        <f t="shared" si="614"/>
        <v>5557833.8037350085</v>
      </c>
      <c r="CH301" s="490">
        <f t="shared" si="614"/>
        <v>25441539.143109612</v>
      </c>
      <c r="CI301" s="490">
        <f t="shared" si="614"/>
        <v>4550866.0410530381</v>
      </c>
      <c r="CJ301" s="490">
        <f t="shared" si="614"/>
        <v>20890673.10205657</v>
      </c>
      <c r="CK301" s="490">
        <f t="shared" si="614"/>
        <v>3710997.4826328196</v>
      </c>
      <c r="CL301" s="490">
        <f t="shared" si="614"/>
        <v>17179675.619423755</v>
      </c>
      <c r="CM301" s="490">
        <f t="shared" si="614"/>
        <v>3039172.928276279</v>
      </c>
      <c r="CN301" s="490">
        <f t="shared" si="614"/>
        <v>14140502.691147475</v>
      </c>
      <c r="CO301" s="490">
        <f t="shared" si="614"/>
        <v>2488463.6747363121</v>
      </c>
      <c r="CP301" s="490">
        <f t="shared" si="614"/>
        <v>11652039.016411163</v>
      </c>
      <c r="CQ301" s="490">
        <f t="shared" si="614"/>
        <v>1274373.48</v>
      </c>
      <c r="CR301" s="490">
        <f t="shared" si="614"/>
        <v>10377665.536411159</v>
      </c>
      <c r="CS301" s="490">
        <f t="shared" si="614"/>
        <v>-163535.28458883768</v>
      </c>
      <c r="CT301" s="490">
        <f t="shared" si="614"/>
        <v>10316200.820999997</v>
      </c>
      <c r="CU301" s="490">
        <f t="shared" si="614"/>
        <v>0</v>
      </c>
      <c r="CV301" s="490">
        <f t="shared" si="614"/>
        <v>10541200.820999997</v>
      </c>
      <c r="CW301" s="490">
        <f t="shared" si="614"/>
        <v>0</v>
      </c>
      <c r="CX301" s="490">
        <f t="shared" si="614"/>
        <v>10541200.820999997</v>
      </c>
      <c r="CY301" s="490">
        <f t="shared" si="614"/>
        <v>0</v>
      </c>
      <c r="CZ301" s="490">
        <f t="shared" si="614"/>
        <v>10541200.820999997</v>
      </c>
      <c r="DA301" s="490">
        <f t="shared" si="614"/>
        <v>0</v>
      </c>
      <c r="DB301" s="490">
        <f t="shared" si="614"/>
        <v>10537600.820999997</v>
      </c>
      <c r="DC301" s="490">
        <f t="shared" si="614"/>
        <v>0</v>
      </c>
      <c r="DD301" s="490">
        <f t="shared" ref="DD301:DW301" si="615">SUM(DD160:DD294)</f>
        <v>10537600.820999997</v>
      </c>
      <c r="DE301" s="490">
        <f t="shared" si="615"/>
        <v>0</v>
      </c>
      <c r="DF301" s="490">
        <f t="shared" si="615"/>
        <v>10537600.820999997</v>
      </c>
      <c r="DG301" s="490">
        <f t="shared" si="615"/>
        <v>0</v>
      </c>
      <c r="DH301" s="490">
        <f t="shared" si="615"/>
        <v>10537600.820999997</v>
      </c>
      <c r="DI301" s="490">
        <f t="shared" si="615"/>
        <v>0</v>
      </c>
      <c r="DJ301" s="490">
        <f t="shared" si="615"/>
        <v>10537600.820999997</v>
      </c>
      <c r="DK301" s="490">
        <f t="shared" si="615"/>
        <v>0</v>
      </c>
      <c r="DL301" s="490">
        <f t="shared" si="615"/>
        <v>10537600.820999997</v>
      </c>
      <c r="DM301" s="490">
        <f t="shared" si="615"/>
        <v>0</v>
      </c>
      <c r="DN301" s="490">
        <f t="shared" si="615"/>
        <v>10537600.820999997</v>
      </c>
      <c r="DO301" s="490">
        <f t="shared" si="615"/>
        <v>0</v>
      </c>
      <c r="DP301" s="490">
        <f t="shared" si="615"/>
        <v>10537600.820999997</v>
      </c>
      <c r="DQ301" s="490">
        <f t="shared" si="615"/>
        <v>0</v>
      </c>
      <c r="DR301" s="490">
        <f t="shared" si="615"/>
        <v>10537600.820999997</v>
      </c>
      <c r="DS301" s="490">
        <f t="shared" si="615"/>
        <v>0</v>
      </c>
      <c r="DT301" s="490">
        <f t="shared" si="615"/>
        <v>10537600.820999997</v>
      </c>
      <c r="DU301" s="490">
        <f t="shared" si="615"/>
        <v>0</v>
      </c>
      <c r="DV301" s="490">
        <f t="shared" si="615"/>
        <v>10537600.820999997</v>
      </c>
      <c r="DW301" s="490">
        <f t="shared" si="615"/>
        <v>10312600.820999997</v>
      </c>
      <c r="DX301" s="490">
        <f>SUM(DX160:DX290)</f>
        <v>0</v>
      </c>
    </row>
    <row r="302" spans="1:128">
      <c r="A302" s="485"/>
      <c r="B302" s="483"/>
      <c r="C302" s="491"/>
      <c r="D302" s="483"/>
      <c r="E302" s="486"/>
      <c r="F302" s="492"/>
      <c r="G302" s="483"/>
      <c r="H302" s="483"/>
      <c r="I302" s="483"/>
      <c r="J302" s="483"/>
      <c r="K302" s="483"/>
      <c r="L302" s="483"/>
      <c r="M302" s="483"/>
      <c r="N302" s="484"/>
      <c r="O302" s="484"/>
      <c r="P302" s="483"/>
      <c r="Q302" s="484"/>
      <c r="R302" s="484"/>
      <c r="S302" s="483"/>
      <c r="T302" s="484"/>
      <c r="U302" s="484"/>
      <c r="V302" s="483"/>
      <c r="W302" s="484"/>
      <c r="X302" s="484"/>
      <c r="Y302" s="483"/>
      <c r="Z302" s="484"/>
      <c r="AA302" s="484"/>
      <c r="AB302" s="483"/>
      <c r="AC302" s="484"/>
      <c r="AD302" s="484"/>
      <c r="AE302" s="484"/>
      <c r="AF302" s="484"/>
      <c r="AG302" s="484"/>
      <c r="AH302" s="483"/>
      <c r="AI302" s="483"/>
      <c r="AJ302" s="483"/>
      <c r="AK302" s="483"/>
      <c r="AL302" s="484"/>
      <c r="AM302" s="483"/>
      <c r="AN302" s="484"/>
      <c r="AO302" s="484"/>
      <c r="AP302" s="484"/>
      <c r="AQ302" s="484"/>
      <c r="AR302" s="484"/>
      <c r="AS302" s="484"/>
      <c r="AT302" s="319"/>
      <c r="AU302" s="319"/>
      <c r="AV302" s="319"/>
      <c r="AW302" s="319"/>
      <c r="AX302" s="319"/>
      <c r="AY302" s="319"/>
      <c r="AZ302" s="319"/>
      <c r="BA302" s="319"/>
      <c r="BB302" s="319"/>
      <c r="BC302" s="319"/>
      <c r="BD302" s="319"/>
      <c r="BE302" s="319"/>
      <c r="BF302" s="319"/>
      <c r="BG302" s="319"/>
      <c r="BH302" s="320"/>
      <c r="BI302" s="320"/>
      <c r="BJ302" s="320"/>
      <c r="BK302" s="320"/>
      <c r="BL302" s="320"/>
      <c r="BM302" s="320"/>
      <c r="BN302" s="320"/>
      <c r="BO302" s="320"/>
      <c r="BP302" s="320"/>
      <c r="BQ302" s="320"/>
      <c r="BR302" s="320"/>
      <c r="BS302" s="320"/>
      <c r="BT302" s="320"/>
      <c r="BU302" s="320"/>
      <c r="BV302" s="320"/>
      <c r="BW302" s="320"/>
      <c r="BX302" s="320"/>
      <c r="BY302" s="320"/>
      <c r="BZ302" s="320"/>
      <c r="CA302" s="320"/>
      <c r="CB302" s="320"/>
      <c r="CC302" s="320"/>
      <c r="CD302" s="320"/>
      <c r="CE302" s="320"/>
      <c r="CF302" s="320"/>
      <c r="CG302" s="320"/>
      <c r="CH302" s="320"/>
      <c r="CI302" s="320"/>
      <c r="CJ302" s="320"/>
      <c r="CK302" s="320"/>
      <c r="CL302" s="320"/>
      <c r="CM302" s="320"/>
      <c r="CN302" s="320"/>
      <c r="CO302" s="320"/>
      <c r="CP302" s="320"/>
      <c r="CQ302" s="320"/>
      <c r="CR302" s="320"/>
      <c r="CS302" s="320"/>
      <c r="CT302" s="320"/>
      <c r="CU302" s="320"/>
      <c r="CV302" s="320"/>
      <c r="CW302" s="320"/>
      <c r="CX302" s="320"/>
      <c r="CY302" s="320"/>
      <c r="CZ302" s="320"/>
      <c r="DA302" s="320"/>
      <c r="DB302" s="320"/>
      <c r="DC302" s="320"/>
      <c r="DD302" s="320"/>
      <c r="DE302" s="320"/>
      <c r="DF302" s="320"/>
      <c r="DG302" s="320"/>
      <c r="DH302" s="320"/>
      <c r="DI302" s="320"/>
      <c r="DJ302" s="320"/>
      <c r="DK302" s="320"/>
      <c r="DL302" s="320"/>
      <c r="DM302" s="320"/>
      <c r="DN302" s="320"/>
      <c r="DO302" s="320"/>
      <c r="DP302" s="320"/>
      <c r="DQ302" s="320"/>
      <c r="DR302" s="320"/>
      <c r="DS302" s="320"/>
      <c r="DT302" s="320"/>
      <c r="DU302" s="320"/>
      <c r="DV302" s="320"/>
      <c r="DW302" s="320"/>
      <c r="DX302" s="321"/>
    </row>
    <row r="303" spans="1:128">
      <c r="A303" s="450">
        <v>1</v>
      </c>
      <c r="B303" s="433"/>
      <c r="C303" s="467" t="s">
        <v>581</v>
      </c>
      <c r="D303" s="468"/>
      <c r="E303" s="442">
        <v>12366</v>
      </c>
      <c r="F303" s="437" t="s">
        <v>1001</v>
      </c>
      <c r="G303" s="438">
        <v>42916</v>
      </c>
      <c r="H303" s="438"/>
      <c r="I303" s="438"/>
      <c r="J303" s="438"/>
      <c r="K303" s="438"/>
      <c r="L303" s="433">
        <f>365-BF303</f>
        <v>90</v>
      </c>
      <c r="M303" s="439"/>
      <c r="N303" s="436"/>
      <c r="O303" s="436"/>
      <c r="P303" s="439"/>
      <c r="Q303" s="436"/>
      <c r="R303" s="436"/>
      <c r="S303" s="433"/>
      <c r="T303" s="436"/>
      <c r="U303" s="436"/>
      <c r="V303" s="433"/>
      <c r="W303" s="436"/>
      <c r="X303" s="436"/>
      <c r="Y303" s="433"/>
      <c r="Z303" s="436"/>
      <c r="AA303" s="436"/>
      <c r="AB303" s="433"/>
      <c r="AC303" s="436"/>
      <c r="AD303" s="436"/>
      <c r="AE303" s="436"/>
      <c r="AF303" s="436"/>
      <c r="AG303" s="436"/>
      <c r="AH303" s="436"/>
      <c r="AI303" s="439">
        <v>10</v>
      </c>
      <c r="AJ303" s="436"/>
      <c r="AK303" s="440">
        <v>0.25890000000000002</v>
      </c>
      <c r="AL303" s="2"/>
      <c r="AM303" s="433"/>
      <c r="AN303" s="436"/>
      <c r="AO303" s="436"/>
      <c r="AP303" s="436"/>
      <c r="AQ303" s="436"/>
      <c r="AR303" s="436"/>
      <c r="AS303" s="436"/>
      <c r="AT303" s="2"/>
      <c r="AU303" s="2"/>
      <c r="AV303" s="2"/>
      <c r="AW303" s="433"/>
      <c r="AX303" s="2"/>
      <c r="AY303" s="2"/>
      <c r="AZ303" s="433"/>
      <c r="BA303" s="2"/>
      <c r="BB303" s="2"/>
      <c r="BC303" s="2"/>
      <c r="BD303" s="433"/>
      <c r="BE303" s="439"/>
      <c r="BF303" s="433">
        <f>IF(($BF$6-$G303+1)&gt;365,365,($BF$6-$G303+1))</f>
        <v>275</v>
      </c>
      <c r="BG303" s="2">
        <f>(+E303*AK303)*BF303/365</f>
        <v>2412.1322876712329</v>
      </c>
      <c r="BH303" s="5">
        <f>+E303-BG303</f>
        <v>9953.8677123287671</v>
      </c>
      <c r="BI303" s="5">
        <f>+BH303*AK303</f>
        <v>2577.0563507219181</v>
      </c>
      <c r="BJ303" s="5">
        <f>+BH303-BI303</f>
        <v>7376.8113616068495</v>
      </c>
      <c r="BK303" s="5">
        <f>+BJ303*AK303</f>
        <v>1909.8564615200135</v>
      </c>
      <c r="BL303" s="5">
        <f t="shared" ref="BL303:BL325" si="616">+BJ303-BK303</f>
        <v>5466.9549000868356</v>
      </c>
      <c r="BM303" s="5"/>
      <c r="BN303" s="2">
        <f t="shared" ref="BN303:BN327" si="617">BL303-BM303</f>
        <v>5466.9549000868356</v>
      </c>
      <c r="BO303" s="5">
        <f>+BL303*AK303</f>
        <v>1415.3946236324819</v>
      </c>
      <c r="BP303" s="5">
        <f>+BL303-BO303</f>
        <v>4051.5602764543537</v>
      </c>
      <c r="BQ303" s="5"/>
      <c r="BR303" s="2">
        <f t="shared" ref="BR303:BR327" si="618">BP303-BQ303</f>
        <v>4051.5602764543537</v>
      </c>
      <c r="BS303" s="5">
        <f>+BP303*AK303</f>
        <v>1048.9489555740322</v>
      </c>
      <c r="BT303" s="5">
        <f>+BP303-BS303</f>
        <v>3002.6113208803217</v>
      </c>
      <c r="BU303" s="5">
        <f>+BT303*AK303</f>
        <v>777.37607097591535</v>
      </c>
      <c r="BV303" s="5">
        <f>+BT303-BU303</f>
        <v>2225.2352499044064</v>
      </c>
      <c r="BW303" s="5">
        <f>+BV303*AK303</f>
        <v>576.11340620025089</v>
      </c>
      <c r="BX303" s="5">
        <f>+BV303-BW303</f>
        <v>1649.1218437041555</v>
      </c>
      <c r="BY303" s="5">
        <f>+BX303*AK303</f>
        <v>426.95764533500591</v>
      </c>
      <c r="BZ303" s="5">
        <f>+BX303-BY303</f>
        <v>1222.1641983691495</v>
      </c>
      <c r="CA303" s="5">
        <f>+BZ303*AK303</f>
        <v>316.41831095777286</v>
      </c>
      <c r="CB303" s="5">
        <f>+BZ303-CA303</f>
        <v>905.74588741137666</v>
      </c>
      <c r="CC303" s="5">
        <f>+CB303*AK303</f>
        <v>234.49761025080542</v>
      </c>
      <c r="CD303" s="5">
        <f>+CB303-CC303</f>
        <v>671.24827716057121</v>
      </c>
      <c r="CE303" s="5">
        <f>+CD303-E303*5%</f>
        <v>52.948277160571138</v>
      </c>
      <c r="CF303" s="5">
        <f>+CD303-CE303</f>
        <v>618.30000000000007</v>
      </c>
      <c r="CG303" s="5">
        <v>0</v>
      </c>
      <c r="CH303" s="5">
        <f>+CF303-CG303</f>
        <v>618.30000000000007</v>
      </c>
      <c r="CI303" s="5">
        <v>0</v>
      </c>
      <c r="CJ303" s="5">
        <f>+CH303-CI303</f>
        <v>618.30000000000007</v>
      </c>
      <c r="CK303" s="5">
        <v>0</v>
      </c>
      <c r="CL303" s="5">
        <f>+CJ303-CK303</f>
        <v>618.30000000000007</v>
      </c>
      <c r="CM303" s="5">
        <v>0</v>
      </c>
      <c r="CN303" s="5">
        <f>+CL303-CM303</f>
        <v>618.30000000000007</v>
      </c>
      <c r="CO303" s="5">
        <v>0</v>
      </c>
      <c r="CP303" s="5">
        <f>+CN303-CO303</f>
        <v>618.30000000000007</v>
      </c>
      <c r="CQ303" s="5">
        <v>0</v>
      </c>
      <c r="CR303" s="5">
        <f>+CP303-CQ303</f>
        <v>618.30000000000007</v>
      </c>
      <c r="CS303" s="5"/>
      <c r="CT303" s="5">
        <f>+CR303-CS303</f>
        <v>618.30000000000007</v>
      </c>
      <c r="CU303" s="5"/>
      <c r="CV303" s="5">
        <f>+CT303-CU303</f>
        <v>618.30000000000007</v>
      </c>
      <c r="CW303" s="5"/>
      <c r="CX303" s="5">
        <f>+CV303-CW303</f>
        <v>618.30000000000007</v>
      </c>
      <c r="CY303" s="5"/>
      <c r="CZ303" s="5">
        <f>+CX303-CY303</f>
        <v>618.30000000000007</v>
      </c>
      <c r="DA303" s="5"/>
      <c r="DB303" s="5">
        <f>+CZ303-DA303</f>
        <v>618.30000000000007</v>
      </c>
      <c r="DC303" s="5"/>
      <c r="DD303" s="5">
        <f>+DB303-DC303</f>
        <v>618.30000000000007</v>
      </c>
      <c r="DE303" s="5"/>
      <c r="DF303" s="5">
        <f>+DD303-DE303</f>
        <v>618.30000000000007</v>
      </c>
      <c r="DG303" s="5"/>
      <c r="DH303" s="5">
        <f>+DF303-DG303</f>
        <v>618.30000000000007</v>
      </c>
      <c r="DI303" s="5"/>
      <c r="DJ303" s="5">
        <f>+DH303-DI303</f>
        <v>618.30000000000007</v>
      </c>
      <c r="DK303" s="5"/>
      <c r="DL303" s="5">
        <f>+DJ303-DK303</f>
        <v>618.30000000000007</v>
      </c>
      <c r="DM303" s="5"/>
      <c r="DN303" s="5">
        <f>+DL303-DM303</f>
        <v>618.30000000000007</v>
      </c>
      <c r="DO303" s="5"/>
      <c r="DP303" s="5">
        <f>+DN303-DO303</f>
        <v>618.30000000000007</v>
      </c>
      <c r="DQ303" s="5"/>
      <c r="DR303" s="5">
        <f>+DP303-DQ303</f>
        <v>618.30000000000007</v>
      </c>
      <c r="DS303" s="5"/>
      <c r="DT303" s="5">
        <f>+DR303-DS303</f>
        <v>618.30000000000007</v>
      </c>
      <c r="DU303" s="5"/>
      <c r="DV303" s="5"/>
      <c r="DW303" s="316">
        <f t="shared" ref="DW303:DW325" si="619">+E303*5%</f>
        <v>618.30000000000007</v>
      </c>
      <c r="DX303" s="493">
        <f>+DW303-DR303</f>
        <v>0</v>
      </c>
    </row>
    <row r="304" spans="1:128">
      <c r="A304" s="450">
        <v>2</v>
      </c>
      <c r="B304" s="433"/>
      <c r="C304" s="467" t="s">
        <v>581</v>
      </c>
      <c r="D304" s="468"/>
      <c r="E304" s="442">
        <v>19083</v>
      </c>
      <c r="F304" s="437" t="s">
        <v>1001</v>
      </c>
      <c r="G304" s="438">
        <v>42916</v>
      </c>
      <c r="H304" s="438"/>
      <c r="I304" s="438"/>
      <c r="J304" s="438"/>
      <c r="K304" s="438"/>
      <c r="L304" s="433">
        <f>365-BF304</f>
        <v>90</v>
      </c>
      <c r="M304" s="433"/>
      <c r="N304" s="436"/>
      <c r="O304" s="436"/>
      <c r="P304" s="439"/>
      <c r="Q304" s="436"/>
      <c r="R304" s="436"/>
      <c r="S304" s="433"/>
      <c r="T304" s="436"/>
      <c r="U304" s="436"/>
      <c r="V304" s="433"/>
      <c r="W304" s="436"/>
      <c r="X304" s="436"/>
      <c r="Y304" s="433"/>
      <c r="Z304" s="436"/>
      <c r="AA304" s="436"/>
      <c r="AB304" s="433"/>
      <c r="AC304" s="436"/>
      <c r="AD304" s="436"/>
      <c r="AE304" s="436"/>
      <c r="AF304" s="436"/>
      <c r="AG304" s="436"/>
      <c r="AH304" s="436"/>
      <c r="AI304" s="439">
        <v>10</v>
      </c>
      <c r="AJ304" s="436"/>
      <c r="AK304" s="440">
        <v>0.25890000000000002</v>
      </c>
      <c r="AL304" s="2"/>
      <c r="AM304" s="433"/>
      <c r="AN304" s="436"/>
      <c r="AO304" s="436"/>
      <c r="AP304" s="436"/>
      <c r="AQ304" s="436"/>
      <c r="AR304" s="436"/>
      <c r="AS304" s="436"/>
      <c r="AT304" s="2"/>
      <c r="AU304" s="2"/>
      <c r="AV304" s="2"/>
      <c r="AW304" s="433"/>
      <c r="AX304" s="2"/>
      <c r="AY304" s="2"/>
      <c r="AZ304" s="433"/>
      <c r="BA304" s="2"/>
      <c r="BB304" s="2"/>
      <c r="BC304" s="2"/>
      <c r="BD304" s="433"/>
      <c r="BE304" s="439"/>
      <c r="BF304" s="433">
        <f>IF(($BF$6-$G304+1)&gt;365,365,($BF$6-$G304+1))</f>
        <v>275</v>
      </c>
      <c r="BG304" s="2">
        <f>(+E304*AK304)*BF304/365</f>
        <v>3722.3613493150688</v>
      </c>
      <c r="BH304" s="2">
        <f>+E304-BG304</f>
        <v>15360.63865068493</v>
      </c>
      <c r="BI304" s="2">
        <f>+BH304*AK304</f>
        <v>3976.8693466623286</v>
      </c>
      <c r="BJ304" s="2">
        <f>+BH304-BI304</f>
        <v>11383.769304022602</v>
      </c>
      <c r="BK304" s="2">
        <f>+BJ304*AK304</f>
        <v>2947.2578728114518</v>
      </c>
      <c r="BL304" s="2">
        <f t="shared" si="616"/>
        <v>8436.5114312111509</v>
      </c>
      <c r="BM304" s="2"/>
      <c r="BN304" s="2">
        <f t="shared" si="617"/>
        <v>8436.5114312111509</v>
      </c>
      <c r="BO304" s="2">
        <f>+BL304*AK304</f>
        <v>2184.2128095405669</v>
      </c>
      <c r="BP304" s="2">
        <f>+BL304-BO304</f>
        <v>6252.298621670584</v>
      </c>
      <c r="BQ304" s="2"/>
      <c r="BR304" s="2">
        <f t="shared" si="618"/>
        <v>6252.298621670584</v>
      </c>
      <c r="BS304" s="2">
        <f>+BP304*AK304</f>
        <v>1618.7201131505144</v>
      </c>
      <c r="BT304" s="2">
        <f>+BP304-BS304</f>
        <v>4633.5785085200696</v>
      </c>
      <c r="BU304" s="2">
        <f>+BT304*AK304</f>
        <v>1199.6334758558462</v>
      </c>
      <c r="BV304" s="2">
        <f>+BT304-BU304</f>
        <v>3433.9450326642236</v>
      </c>
      <c r="BW304" s="2">
        <f>+BV304*AK304</f>
        <v>889.0483689567676</v>
      </c>
      <c r="BX304" s="2">
        <f>+BV304-BW304</f>
        <v>2544.8966637074559</v>
      </c>
      <c r="BY304" s="2">
        <f>+BX304*AK304</f>
        <v>658.8737462338604</v>
      </c>
      <c r="BZ304" s="2">
        <f>+BX304-BY304</f>
        <v>1886.0229174735955</v>
      </c>
      <c r="CA304" s="2">
        <f>+BZ304*AK304</f>
        <v>488.29133333391388</v>
      </c>
      <c r="CB304" s="2">
        <f>+BZ304-CA304</f>
        <v>1397.7315841396817</v>
      </c>
      <c r="CC304" s="2">
        <f>+CB304*AK304</f>
        <v>361.87270713376358</v>
      </c>
      <c r="CD304" s="2">
        <f>+CB304-CC304</f>
        <v>1035.8588770059182</v>
      </c>
      <c r="CE304" s="2">
        <f>+CD304-E304*5%</f>
        <v>81.708877005918112</v>
      </c>
      <c r="CF304" s="2">
        <f>+CD304-CE304</f>
        <v>954.15000000000009</v>
      </c>
      <c r="CG304" s="2">
        <v>0</v>
      </c>
      <c r="CH304" s="2">
        <f>+CF304-CG304</f>
        <v>954.15000000000009</v>
      </c>
      <c r="CI304" s="2">
        <v>0</v>
      </c>
      <c r="CJ304" s="2">
        <f>+CH304-CI304</f>
        <v>954.15000000000009</v>
      </c>
      <c r="CK304" s="2">
        <v>0</v>
      </c>
      <c r="CL304" s="2">
        <f>+CJ304-CK304</f>
        <v>954.15000000000009</v>
      </c>
      <c r="CM304" s="2">
        <v>0</v>
      </c>
      <c r="CN304" s="2">
        <f>+CL304-CM304</f>
        <v>954.15000000000009</v>
      </c>
      <c r="CO304" s="2">
        <v>0</v>
      </c>
      <c r="CP304" s="2">
        <f>+CN304-CO304</f>
        <v>954.15000000000009</v>
      </c>
      <c r="CQ304" s="2">
        <v>0</v>
      </c>
      <c r="CR304" s="2">
        <f>+CP304-CQ304</f>
        <v>954.15000000000009</v>
      </c>
      <c r="CS304" s="2"/>
      <c r="CT304" s="2">
        <f t="shared" ref="CT304:DH319" si="620">+CR304-CS304</f>
        <v>954.15000000000009</v>
      </c>
      <c r="CU304" s="2"/>
      <c r="CV304" s="2">
        <f t="shared" si="620"/>
        <v>954.15000000000009</v>
      </c>
      <c r="CW304" s="2"/>
      <c r="CX304" s="2">
        <f t="shared" si="620"/>
        <v>954.15000000000009</v>
      </c>
      <c r="CY304" s="2"/>
      <c r="CZ304" s="2">
        <f t="shared" si="620"/>
        <v>954.15000000000009</v>
      </c>
      <c r="DA304" s="2"/>
      <c r="DB304" s="2">
        <f t="shared" si="620"/>
        <v>954.15000000000009</v>
      </c>
      <c r="DC304" s="2"/>
      <c r="DD304" s="2">
        <f t="shared" si="620"/>
        <v>954.15000000000009</v>
      </c>
      <c r="DE304" s="2"/>
      <c r="DF304" s="2">
        <f t="shared" si="620"/>
        <v>954.15000000000009</v>
      </c>
      <c r="DG304" s="2"/>
      <c r="DH304" s="2">
        <f t="shared" si="620"/>
        <v>954.15000000000009</v>
      </c>
      <c r="DI304" s="2"/>
      <c r="DJ304" s="2">
        <f t="shared" ref="DJ304:DR319" si="621">+DH304-DI304</f>
        <v>954.15000000000009</v>
      </c>
      <c r="DK304" s="2"/>
      <c r="DL304" s="2">
        <f t="shared" si="621"/>
        <v>954.15000000000009</v>
      </c>
      <c r="DM304" s="2"/>
      <c r="DN304" s="2">
        <f t="shared" si="621"/>
        <v>954.15000000000009</v>
      </c>
      <c r="DO304" s="2"/>
      <c r="DP304" s="2">
        <f t="shared" si="621"/>
        <v>954.15000000000009</v>
      </c>
      <c r="DQ304" s="2"/>
      <c r="DR304" s="2">
        <f t="shared" si="621"/>
        <v>954.15000000000009</v>
      </c>
      <c r="DS304" s="2"/>
      <c r="DT304" s="2">
        <f>+DR304-DS304</f>
        <v>954.15000000000009</v>
      </c>
      <c r="DU304" s="2"/>
      <c r="DV304" s="2"/>
      <c r="DW304" s="149">
        <f t="shared" si="619"/>
        <v>954.15000000000009</v>
      </c>
      <c r="DX304" s="494">
        <f>+DW304-DR304</f>
        <v>0</v>
      </c>
    </row>
    <row r="305" spans="1:128">
      <c r="A305" s="450">
        <v>3</v>
      </c>
      <c r="B305" s="433"/>
      <c r="C305" s="467" t="s">
        <v>581</v>
      </c>
      <c r="D305" s="468"/>
      <c r="E305" s="442">
        <v>62882.07</v>
      </c>
      <c r="F305" s="437" t="s">
        <v>1001</v>
      </c>
      <c r="G305" s="438">
        <v>42898</v>
      </c>
      <c r="H305" s="438"/>
      <c r="I305" s="438"/>
      <c r="J305" s="438"/>
      <c r="K305" s="438"/>
      <c r="L305" s="433">
        <f>365-BF305</f>
        <v>72</v>
      </c>
      <c r="M305" s="433"/>
      <c r="N305" s="436"/>
      <c r="O305" s="436"/>
      <c r="P305" s="439"/>
      <c r="Q305" s="436"/>
      <c r="R305" s="436"/>
      <c r="S305" s="433"/>
      <c r="T305" s="436"/>
      <c r="U305" s="436"/>
      <c r="V305" s="433"/>
      <c r="W305" s="436"/>
      <c r="X305" s="436"/>
      <c r="Y305" s="433"/>
      <c r="Z305" s="436"/>
      <c r="AA305" s="436"/>
      <c r="AB305" s="433"/>
      <c r="AC305" s="436"/>
      <c r="AD305" s="436"/>
      <c r="AE305" s="436"/>
      <c r="AF305" s="436"/>
      <c r="AG305" s="436"/>
      <c r="AH305" s="436"/>
      <c r="AI305" s="439">
        <v>10</v>
      </c>
      <c r="AJ305" s="436"/>
      <c r="AK305" s="440">
        <v>0.25890000000000002</v>
      </c>
      <c r="AL305" s="2"/>
      <c r="AM305" s="433"/>
      <c r="AN305" s="436"/>
      <c r="AO305" s="436"/>
      <c r="AP305" s="436"/>
      <c r="AQ305" s="436"/>
      <c r="AR305" s="436"/>
      <c r="AS305" s="436"/>
      <c r="AT305" s="2"/>
      <c r="AU305" s="2"/>
      <c r="AV305" s="2"/>
      <c r="AW305" s="433"/>
      <c r="AX305" s="2"/>
      <c r="AY305" s="2"/>
      <c r="AZ305" s="433"/>
      <c r="BA305" s="2"/>
      <c r="BB305" s="2"/>
      <c r="BC305" s="2"/>
      <c r="BD305" s="433"/>
      <c r="BE305" s="439"/>
      <c r="BF305" s="433">
        <f>IF(($BF$6-$G305+1)&gt;365,365,($BF$6-$G305+1))</f>
        <v>293</v>
      </c>
      <c r="BG305" s="2">
        <f>(+E305*AK305)*BF305/365</f>
        <v>13068.737538189043</v>
      </c>
      <c r="BH305" s="2">
        <f>+E305-BG305</f>
        <v>49813.332461810955</v>
      </c>
      <c r="BI305" s="2">
        <f>+BH305*AK305</f>
        <v>12896.671774362858</v>
      </c>
      <c r="BJ305" s="2">
        <f>+BH305-BI305</f>
        <v>36916.660687448093</v>
      </c>
      <c r="BK305" s="2">
        <f>+BJ305*AK305</f>
        <v>9557.7234519803114</v>
      </c>
      <c r="BL305" s="2">
        <f t="shared" si="616"/>
        <v>27358.937235467783</v>
      </c>
      <c r="BM305" s="2"/>
      <c r="BN305" s="2">
        <f t="shared" si="617"/>
        <v>27358.937235467783</v>
      </c>
      <c r="BO305" s="2">
        <f>+BL305*AK305</f>
        <v>7083.2288502626097</v>
      </c>
      <c r="BP305" s="2">
        <f>+BL305-BO305</f>
        <v>20275.708385205173</v>
      </c>
      <c r="BQ305" s="2"/>
      <c r="BR305" s="2">
        <f t="shared" si="618"/>
        <v>20275.708385205173</v>
      </c>
      <c r="BS305" s="2">
        <f>+BP305*AK305</f>
        <v>5249.3809009296192</v>
      </c>
      <c r="BT305" s="2">
        <f>+BP305-BS305</f>
        <v>15026.327484275553</v>
      </c>
      <c r="BU305" s="2">
        <f>+BT305*AK305</f>
        <v>3890.3161856789407</v>
      </c>
      <c r="BV305" s="2">
        <f>+BT305-BU305</f>
        <v>11136.011298596612</v>
      </c>
      <c r="BW305" s="2">
        <f>+BV305*AK305</f>
        <v>2883.1133252066629</v>
      </c>
      <c r="BX305" s="2">
        <f>+BV305-BW305</f>
        <v>8252.8979733899487</v>
      </c>
      <c r="BY305" s="2">
        <f>+BX305*AK305</f>
        <v>2136.6752853106577</v>
      </c>
      <c r="BZ305" s="2">
        <f>+BX305-BY305</f>
        <v>6116.2226880792914</v>
      </c>
      <c r="CA305" s="2">
        <f>+BZ305*AK305</f>
        <v>1583.4900539437288</v>
      </c>
      <c r="CB305" s="2">
        <f>+BZ305-CA305</f>
        <v>4532.7326341355629</v>
      </c>
      <c r="CC305" s="2">
        <f>+CB305*AK305</f>
        <v>1173.5244789776973</v>
      </c>
      <c r="CD305" s="2">
        <f>+CB305-CC305</f>
        <v>3359.2081551578658</v>
      </c>
      <c r="CE305" s="2">
        <f>+CD305-E305*5%</f>
        <v>215.10465515786564</v>
      </c>
      <c r="CF305" s="2">
        <f>+CD305-CE305</f>
        <v>3144.1035000000002</v>
      </c>
      <c r="CG305" s="2">
        <v>0</v>
      </c>
      <c r="CH305" s="2">
        <f>+CF305-CG305</f>
        <v>3144.1035000000002</v>
      </c>
      <c r="CI305" s="2">
        <v>0</v>
      </c>
      <c r="CJ305" s="2">
        <f>+CH305-CI305</f>
        <v>3144.1035000000002</v>
      </c>
      <c r="CK305" s="2">
        <v>0</v>
      </c>
      <c r="CL305" s="2">
        <f>+CJ305-CK305</f>
        <v>3144.1035000000002</v>
      </c>
      <c r="CM305" s="2">
        <v>0</v>
      </c>
      <c r="CN305" s="2">
        <f>+CL305-CM305</f>
        <v>3144.1035000000002</v>
      </c>
      <c r="CO305" s="2">
        <v>0</v>
      </c>
      <c r="CP305" s="2">
        <f>+CN305-CO305</f>
        <v>3144.1035000000002</v>
      </c>
      <c r="CQ305" s="2">
        <v>0</v>
      </c>
      <c r="CR305" s="2">
        <f>+CP305-CQ305</f>
        <v>3144.1035000000002</v>
      </c>
      <c r="CS305" s="2"/>
      <c r="CT305" s="2">
        <f t="shared" si="620"/>
        <v>3144.1035000000002</v>
      </c>
      <c r="CU305" s="2"/>
      <c r="CV305" s="2">
        <f t="shared" si="620"/>
        <v>3144.1035000000002</v>
      </c>
      <c r="CW305" s="2"/>
      <c r="CX305" s="2">
        <f t="shared" si="620"/>
        <v>3144.1035000000002</v>
      </c>
      <c r="CY305" s="2"/>
      <c r="CZ305" s="2">
        <f t="shared" si="620"/>
        <v>3144.1035000000002</v>
      </c>
      <c r="DA305" s="2"/>
      <c r="DB305" s="2">
        <f t="shared" si="620"/>
        <v>3144.1035000000002</v>
      </c>
      <c r="DC305" s="2"/>
      <c r="DD305" s="2">
        <f t="shared" si="620"/>
        <v>3144.1035000000002</v>
      </c>
      <c r="DE305" s="2"/>
      <c r="DF305" s="2">
        <f t="shared" si="620"/>
        <v>3144.1035000000002</v>
      </c>
      <c r="DG305" s="2"/>
      <c r="DH305" s="2">
        <f t="shared" si="620"/>
        <v>3144.1035000000002</v>
      </c>
      <c r="DI305" s="2"/>
      <c r="DJ305" s="2">
        <f t="shared" si="621"/>
        <v>3144.1035000000002</v>
      </c>
      <c r="DK305" s="2"/>
      <c r="DL305" s="2">
        <f t="shared" si="621"/>
        <v>3144.1035000000002</v>
      </c>
      <c r="DM305" s="2"/>
      <c r="DN305" s="2">
        <f t="shared" si="621"/>
        <v>3144.1035000000002</v>
      </c>
      <c r="DO305" s="2"/>
      <c r="DP305" s="2">
        <f t="shared" si="621"/>
        <v>3144.1035000000002</v>
      </c>
      <c r="DQ305" s="2"/>
      <c r="DR305" s="2">
        <f t="shared" si="621"/>
        <v>3144.1035000000002</v>
      </c>
      <c r="DS305" s="2"/>
      <c r="DT305" s="2">
        <f>+DR305-DS305</f>
        <v>3144.1035000000002</v>
      </c>
      <c r="DU305" s="2"/>
      <c r="DV305" s="2"/>
      <c r="DW305" s="149">
        <f t="shared" si="619"/>
        <v>3144.1035000000002</v>
      </c>
      <c r="DX305" s="494">
        <f>+DW305-DR305</f>
        <v>0</v>
      </c>
    </row>
    <row r="306" spans="1:128">
      <c r="A306" s="450">
        <v>4</v>
      </c>
      <c r="B306" s="433"/>
      <c r="C306" s="467" t="s">
        <v>581</v>
      </c>
      <c r="D306" s="468"/>
      <c r="E306" s="442">
        <v>82600</v>
      </c>
      <c r="F306" s="437" t="s">
        <v>1001</v>
      </c>
      <c r="G306" s="438">
        <v>42910</v>
      </c>
      <c r="H306" s="438"/>
      <c r="I306" s="438"/>
      <c r="J306" s="438"/>
      <c r="K306" s="438"/>
      <c r="L306" s="433">
        <f>365-BF306</f>
        <v>84</v>
      </c>
      <c r="M306" s="433"/>
      <c r="N306" s="436"/>
      <c r="O306" s="436"/>
      <c r="P306" s="433"/>
      <c r="Q306" s="436"/>
      <c r="R306" s="436"/>
      <c r="S306" s="433"/>
      <c r="T306" s="436"/>
      <c r="U306" s="436"/>
      <c r="V306" s="433"/>
      <c r="W306" s="436"/>
      <c r="X306" s="436"/>
      <c r="Y306" s="433"/>
      <c r="Z306" s="436"/>
      <c r="AA306" s="436"/>
      <c r="AB306" s="433"/>
      <c r="AC306" s="436"/>
      <c r="AD306" s="436"/>
      <c r="AE306" s="436"/>
      <c r="AF306" s="436"/>
      <c r="AG306" s="436"/>
      <c r="AH306" s="436"/>
      <c r="AI306" s="439">
        <v>10</v>
      </c>
      <c r="AJ306" s="436"/>
      <c r="AK306" s="440">
        <v>0.25890000000000002</v>
      </c>
      <c r="AL306" s="2"/>
      <c r="AM306" s="433"/>
      <c r="AN306" s="436"/>
      <c r="AO306" s="436"/>
      <c r="AP306" s="436"/>
      <c r="AQ306" s="436"/>
      <c r="AR306" s="436"/>
      <c r="AS306" s="436"/>
      <c r="AT306" s="2"/>
      <c r="AU306" s="2"/>
      <c r="AV306" s="2"/>
      <c r="AW306" s="433"/>
      <c r="AX306" s="2"/>
      <c r="AY306" s="2"/>
      <c r="AZ306" s="433"/>
      <c r="BA306" s="2"/>
      <c r="BB306" s="2"/>
      <c r="BC306" s="2"/>
      <c r="BD306" s="433"/>
      <c r="BE306" s="439"/>
      <c r="BF306" s="433">
        <f>IF(($BF$6-$G306+1)&gt;365,365,($BF$6-$G306+1))</f>
        <v>281</v>
      </c>
      <c r="BG306" s="2">
        <f>(+E306*AK306)*BF306/365</f>
        <v>16463.628328767125</v>
      </c>
      <c r="BH306" s="2">
        <f>+E306-BG306</f>
        <v>66136.371671232875</v>
      </c>
      <c r="BI306" s="2">
        <f>+BH306*AK306</f>
        <v>17122.706625682193</v>
      </c>
      <c r="BJ306" s="2">
        <f>+BH306-BI306</f>
        <v>49013.665045550682</v>
      </c>
      <c r="BK306" s="2">
        <f>+BJ306*AK306</f>
        <v>12689.637880293072</v>
      </c>
      <c r="BL306" s="2">
        <f t="shared" si="616"/>
        <v>36324.027165257612</v>
      </c>
      <c r="BM306" s="2"/>
      <c r="BN306" s="2">
        <f t="shared" si="617"/>
        <v>36324.027165257612</v>
      </c>
      <c r="BO306" s="2">
        <f>+BL306*AK306</f>
        <v>9404.2906330851965</v>
      </c>
      <c r="BP306" s="2">
        <f>+BL306-BO306</f>
        <v>26919.736532172414</v>
      </c>
      <c r="BQ306" s="2"/>
      <c r="BR306" s="2">
        <f t="shared" si="618"/>
        <v>26919.736532172414</v>
      </c>
      <c r="BS306" s="2">
        <f>+BP306*AK306</f>
        <v>6969.5197881794384</v>
      </c>
      <c r="BT306" s="2">
        <f>+BP306-BS306</f>
        <v>19950.216743992976</v>
      </c>
      <c r="BU306" s="2">
        <f>+BT306*AK306</f>
        <v>5165.1111150197821</v>
      </c>
      <c r="BV306" s="2">
        <f>+BT306-BU306</f>
        <v>14785.105628973193</v>
      </c>
      <c r="BW306" s="2">
        <f>+BV306*AK306</f>
        <v>3827.8638473411602</v>
      </c>
      <c r="BX306" s="2">
        <f>+BV306-BW306</f>
        <v>10957.241781632034</v>
      </c>
      <c r="BY306" s="2">
        <f>+BX306*AK306</f>
        <v>2836.8298972645339</v>
      </c>
      <c r="BZ306" s="2">
        <f>+BX306-BY306</f>
        <v>8120.4118843675005</v>
      </c>
      <c r="CA306" s="2">
        <f>+BZ306*AK306</f>
        <v>2102.3746368627462</v>
      </c>
      <c r="CB306" s="2">
        <f>+BZ306-CA306</f>
        <v>6018.0372475047543</v>
      </c>
      <c r="CC306" s="2">
        <f>+CB306*AK306</f>
        <v>1558.069843378981</v>
      </c>
      <c r="CD306" s="2">
        <f>+CB306-CC306</f>
        <v>4459.9674041257731</v>
      </c>
      <c r="CE306" s="2">
        <f>+CD306-E306*5%</f>
        <v>329.9674041257731</v>
      </c>
      <c r="CF306" s="2">
        <f>+CD306-CE306</f>
        <v>4130</v>
      </c>
      <c r="CG306" s="2">
        <v>0</v>
      </c>
      <c r="CH306" s="2">
        <f>+CF306-CG306</f>
        <v>4130</v>
      </c>
      <c r="CI306" s="2">
        <v>0</v>
      </c>
      <c r="CJ306" s="2">
        <f>+CH306-CI306</f>
        <v>4130</v>
      </c>
      <c r="CK306" s="2">
        <v>0</v>
      </c>
      <c r="CL306" s="2">
        <f>+CJ306-CK306</f>
        <v>4130</v>
      </c>
      <c r="CM306" s="2">
        <v>0</v>
      </c>
      <c r="CN306" s="2">
        <f>+CL306-CM306</f>
        <v>4130</v>
      </c>
      <c r="CO306" s="2">
        <v>0</v>
      </c>
      <c r="CP306" s="2">
        <f>+CN306-CO306</f>
        <v>4130</v>
      </c>
      <c r="CQ306" s="2">
        <v>0</v>
      </c>
      <c r="CR306" s="2">
        <f>+CP306-CQ306</f>
        <v>4130</v>
      </c>
      <c r="CS306" s="2"/>
      <c r="CT306" s="2">
        <f t="shared" si="620"/>
        <v>4130</v>
      </c>
      <c r="CU306" s="2"/>
      <c r="CV306" s="2">
        <f t="shared" si="620"/>
        <v>4130</v>
      </c>
      <c r="CW306" s="2"/>
      <c r="CX306" s="2">
        <f t="shared" si="620"/>
        <v>4130</v>
      </c>
      <c r="CY306" s="2"/>
      <c r="CZ306" s="2">
        <f t="shared" si="620"/>
        <v>4130</v>
      </c>
      <c r="DA306" s="2"/>
      <c r="DB306" s="2">
        <f t="shared" si="620"/>
        <v>4130</v>
      </c>
      <c r="DC306" s="2"/>
      <c r="DD306" s="2">
        <f t="shared" si="620"/>
        <v>4130</v>
      </c>
      <c r="DE306" s="2"/>
      <c r="DF306" s="2">
        <f t="shared" si="620"/>
        <v>4130</v>
      </c>
      <c r="DG306" s="2"/>
      <c r="DH306" s="2">
        <f t="shared" si="620"/>
        <v>4130</v>
      </c>
      <c r="DI306" s="2"/>
      <c r="DJ306" s="2">
        <f t="shared" si="621"/>
        <v>4130</v>
      </c>
      <c r="DK306" s="2"/>
      <c r="DL306" s="2">
        <f t="shared" si="621"/>
        <v>4130</v>
      </c>
      <c r="DM306" s="2"/>
      <c r="DN306" s="2">
        <f t="shared" si="621"/>
        <v>4130</v>
      </c>
      <c r="DO306" s="2"/>
      <c r="DP306" s="2">
        <f t="shared" si="621"/>
        <v>4130</v>
      </c>
      <c r="DQ306" s="2"/>
      <c r="DR306" s="2">
        <f t="shared" si="621"/>
        <v>4130</v>
      </c>
      <c r="DS306" s="2"/>
      <c r="DT306" s="2">
        <f>+DR306-DS306</f>
        <v>4130</v>
      </c>
      <c r="DU306" s="2"/>
      <c r="DV306" s="2"/>
      <c r="DW306" s="149">
        <f t="shared" si="619"/>
        <v>4130</v>
      </c>
      <c r="DX306" s="494">
        <f>+DW306-DR306</f>
        <v>0</v>
      </c>
    </row>
    <row r="307" spans="1:128">
      <c r="A307" s="450">
        <v>5</v>
      </c>
      <c r="B307" s="433"/>
      <c r="C307" s="467" t="s">
        <v>581</v>
      </c>
      <c r="D307" s="468"/>
      <c r="E307" s="442">
        <v>75499.199999999997</v>
      </c>
      <c r="F307" s="437" t="s">
        <v>1001</v>
      </c>
      <c r="G307" s="438">
        <v>43171</v>
      </c>
      <c r="H307" s="438"/>
      <c r="I307" s="438"/>
      <c r="J307" s="438"/>
      <c r="K307" s="438"/>
      <c r="L307" s="433">
        <f>365-BF307</f>
        <v>345</v>
      </c>
      <c r="M307" s="433"/>
      <c r="N307" s="436"/>
      <c r="O307" s="436"/>
      <c r="P307" s="439"/>
      <c r="Q307" s="436"/>
      <c r="R307" s="436"/>
      <c r="S307" s="433"/>
      <c r="T307" s="436"/>
      <c r="U307" s="436"/>
      <c r="V307" s="433"/>
      <c r="W307" s="436"/>
      <c r="X307" s="436"/>
      <c r="Y307" s="433"/>
      <c r="Z307" s="436"/>
      <c r="AA307" s="436"/>
      <c r="AB307" s="433"/>
      <c r="AC307" s="436"/>
      <c r="AD307" s="436"/>
      <c r="AE307" s="436"/>
      <c r="AF307" s="436"/>
      <c r="AG307" s="436"/>
      <c r="AH307" s="436"/>
      <c r="AI307" s="439">
        <v>10</v>
      </c>
      <c r="AJ307" s="436"/>
      <c r="AK307" s="440">
        <v>0.25890000000000002</v>
      </c>
      <c r="AL307" s="2"/>
      <c r="AM307" s="433"/>
      <c r="AN307" s="436"/>
      <c r="AO307" s="436"/>
      <c r="AP307" s="436"/>
      <c r="AQ307" s="436"/>
      <c r="AR307" s="436"/>
      <c r="AS307" s="436"/>
      <c r="AT307" s="2"/>
      <c r="AU307" s="2"/>
      <c r="AV307" s="2"/>
      <c r="AW307" s="433"/>
      <c r="AX307" s="2"/>
      <c r="AY307" s="2"/>
      <c r="AZ307" s="433"/>
      <c r="BA307" s="2"/>
      <c r="BB307" s="2"/>
      <c r="BC307" s="2"/>
      <c r="BD307" s="433"/>
      <c r="BE307" s="439"/>
      <c r="BF307" s="433">
        <f>IF(($BF$6-$G307+1)&gt;365,365,($BF$6-$G307+1))</f>
        <v>20</v>
      </c>
      <c r="BG307" s="2">
        <f>(+E307*AK307)*BF307/365</f>
        <v>1071.0544043835619</v>
      </c>
      <c r="BH307" s="2">
        <f>+E307-BG307</f>
        <v>74428.145595616428</v>
      </c>
      <c r="BI307" s="2">
        <f>+BH307*AK307</f>
        <v>19269.446894705095</v>
      </c>
      <c r="BJ307" s="2">
        <f>+BH307-BI307</f>
        <v>55158.698700911336</v>
      </c>
      <c r="BK307" s="2">
        <f>+BJ307*AK307</f>
        <v>14280.587093665947</v>
      </c>
      <c r="BL307" s="2">
        <f t="shared" si="616"/>
        <v>40878.111607245388</v>
      </c>
      <c r="BM307" s="2"/>
      <c r="BN307" s="2">
        <f t="shared" si="617"/>
        <v>40878.111607245388</v>
      </c>
      <c r="BO307" s="2">
        <f>+BL307*AK307</f>
        <v>10583.343095115832</v>
      </c>
      <c r="BP307" s="2">
        <f>+BL307-BO307</f>
        <v>30294.768512129558</v>
      </c>
      <c r="BQ307" s="2"/>
      <c r="BR307" s="2">
        <f t="shared" si="618"/>
        <v>30294.768512129558</v>
      </c>
      <c r="BS307" s="2">
        <f>+BP307*AK307</f>
        <v>7843.3155677903433</v>
      </c>
      <c r="BT307" s="2">
        <f>+BP307-BS307</f>
        <v>22451.452944339217</v>
      </c>
      <c r="BU307" s="2">
        <f>+BT307*AK307</f>
        <v>5812.6811672894237</v>
      </c>
      <c r="BV307" s="2">
        <f>+BT307-BU307</f>
        <v>16638.771777049791</v>
      </c>
      <c r="BW307" s="2">
        <f>+BV307*AK307</f>
        <v>4307.7780130781912</v>
      </c>
      <c r="BX307" s="2">
        <f>+BV307-BW307</f>
        <v>12330.993763971601</v>
      </c>
      <c r="BY307" s="2">
        <f>+BX307*AK307</f>
        <v>3192.4942854922479</v>
      </c>
      <c r="BZ307" s="2">
        <f>+BX307-BY307</f>
        <v>9138.4994784793525</v>
      </c>
      <c r="CA307" s="2">
        <f>+BZ307*AK307</f>
        <v>2365.9575149783045</v>
      </c>
      <c r="CB307" s="2">
        <f>+BZ307-CA307</f>
        <v>6772.5419635010476</v>
      </c>
      <c r="CC307" s="2">
        <f>+CB307*AK307</f>
        <v>1753.4111143504213</v>
      </c>
      <c r="CD307" s="2">
        <f>+CB307-CC307</f>
        <v>5019.1308491506261</v>
      </c>
      <c r="CE307" s="2">
        <f>+CD307-E307*5%</f>
        <v>1244.1708491506261</v>
      </c>
      <c r="CF307" s="2">
        <f>+CD307-CE307</f>
        <v>3774.96</v>
      </c>
      <c r="CG307" s="2">
        <v>0</v>
      </c>
      <c r="CH307" s="2">
        <f>+CF307-CG307</f>
        <v>3774.96</v>
      </c>
      <c r="CI307" s="2">
        <v>0</v>
      </c>
      <c r="CJ307" s="2">
        <f>+CH307-CI307</f>
        <v>3774.96</v>
      </c>
      <c r="CK307" s="2">
        <v>0</v>
      </c>
      <c r="CL307" s="2">
        <f>+CJ307-CK307</f>
        <v>3774.96</v>
      </c>
      <c r="CM307" s="2">
        <v>0</v>
      </c>
      <c r="CN307" s="2">
        <f>+CL307-CM307</f>
        <v>3774.96</v>
      </c>
      <c r="CO307" s="2">
        <v>0</v>
      </c>
      <c r="CP307" s="2">
        <f>+CN307-CO307</f>
        <v>3774.96</v>
      </c>
      <c r="CQ307" s="2">
        <v>0</v>
      </c>
      <c r="CR307" s="2">
        <f>+CP307-CQ307</f>
        <v>3774.96</v>
      </c>
      <c r="CS307" s="2"/>
      <c r="CT307" s="2">
        <f t="shared" si="620"/>
        <v>3774.96</v>
      </c>
      <c r="CU307" s="2"/>
      <c r="CV307" s="2">
        <f t="shared" si="620"/>
        <v>3774.96</v>
      </c>
      <c r="CW307" s="2"/>
      <c r="CX307" s="2">
        <f t="shared" si="620"/>
        <v>3774.96</v>
      </c>
      <c r="CY307" s="2"/>
      <c r="CZ307" s="2">
        <f t="shared" si="620"/>
        <v>3774.96</v>
      </c>
      <c r="DA307" s="2"/>
      <c r="DB307" s="2">
        <f t="shared" si="620"/>
        <v>3774.96</v>
      </c>
      <c r="DC307" s="2"/>
      <c r="DD307" s="2">
        <f t="shared" si="620"/>
        <v>3774.96</v>
      </c>
      <c r="DE307" s="2"/>
      <c r="DF307" s="2">
        <f t="shared" si="620"/>
        <v>3774.96</v>
      </c>
      <c r="DG307" s="2"/>
      <c r="DH307" s="2">
        <f t="shared" si="620"/>
        <v>3774.96</v>
      </c>
      <c r="DI307" s="2"/>
      <c r="DJ307" s="2">
        <f t="shared" si="621"/>
        <v>3774.96</v>
      </c>
      <c r="DK307" s="2"/>
      <c r="DL307" s="2">
        <f t="shared" si="621"/>
        <v>3774.96</v>
      </c>
      <c r="DM307" s="2"/>
      <c r="DN307" s="2">
        <f t="shared" si="621"/>
        <v>3774.96</v>
      </c>
      <c r="DO307" s="2"/>
      <c r="DP307" s="2">
        <f t="shared" si="621"/>
        <v>3774.96</v>
      </c>
      <c r="DQ307" s="2"/>
      <c r="DR307" s="2">
        <f t="shared" si="621"/>
        <v>3774.96</v>
      </c>
      <c r="DS307" s="2"/>
      <c r="DT307" s="2">
        <f>+DR307-DS307</f>
        <v>3774.96</v>
      </c>
      <c r="DU307" s="2"/>
      <c r="DV307" s="2"/>
      <c r="DW307" s="149">
        <f t="shared" si="619"/>
        <v>3774.96</v>
      </c>
      <c r="DX307" s="494">
        <f>+DW307-DR307</f>
        <v>0</v>
      </c>
    </row>
    <row r="308" spans="1:128">
      <c r="A308" s="450">
        <v>6</v>
      </c>
      <c r="B308" s="450" t="s">
        <v>849</v>
      </c>
      <c r="C308" s="467" t="s">
        <v>581</v>
      </c>
      <c r="D308" s="468"/>
      <c r="E308" s="469">
        <v>23293.200000000001</v>
      </c>
      <c r="F308" s="470" t="s">
        <v>921</v>
      </c>
      <c r="G308" s="443">
        <v>43234</v>
      </c>
      <c r="H308" s="443">
        <f t="shared" ref="H308:H328" si="622">DATE(YEAR(G308)+I308,MONTH(G308),DAY(G308))-1</f>
        <v>46886</v>
      </c>
      <c r="I308" s="267">
        <v>10</v>
      </c>
      <c r="J308" s="267">
        <f t="shared" ref="J308:J325" si="623">IF(($BI$6-$G308+1)&gt;365,365,($BI$6-$G308+1))</f>
        <v>322</v>
      </c>
      <c r="K308" s="267">
        <f>365-J308</f>
        <v>43</v>
      </c>
      <c r="L308" s="433"/>
      <c r="M308" s="433"/>
      <c r="N308" s="436"/>
      <c r="O308" s="436"/>
      <c r="P308" s="439"/>
      <c r="Q308" s="436"/>
      <c r="R308" s="436"/>
      <c r="S308" s="433"/>
      <c r="T308" s="436"/>
      <c r="U308" s="436"/>
      <c r="V308" s="433"/>
      <c r="W308" s="436"/>
      <c r="X308" s="436"/>
      <c r="Y308" s="433"/>
      <c r="Z308" s="436"/>
      <c r="AA308" s="436"/>
      <c r="AB308" s="433"/>
      <c r="AC308" s="436"/>
      <c r="AD308" s="436"/>
      <c r="AE308" s="436"/>
      <c r="AF308" s="436"/>
      <c r="AG308" s="436"/>
      <c r="AH308" s="436"/>
      <c r="AI308" s="439"/>
      <c r="AJ308" s="436"/>
      <c r="AK308" s="440">
        <f t="shared" ref="AK308:AK328" si="624">1-((E308*5%)/E308)^(1/I308)</f>
        <v>0.2588655508930523</v>
      </c>
      <c r="AL308" s="2"/>
      <c r="AM308" s="433"/>
      <c r="AN308" s="436"/>
      <c r="AO308" s="436"/>
      <c r="AP308" s="436"/>
      <c r="AQ308" s="436"/>
      <c r="AR308" s="436"/>
      <c r="AS308" s="436"/>
      <c r="AT308" s="2"/>
      <c r="AU308" s="2"/>
      <c r="AV308" s="2"/>
      <c r="AW308" s="2"/>
      <c r="AX308" s="2"/>
      <c r="AY308" s="2"/>
      <c r="AZ308" s="433"/>
      <c r="BA308" s="2"/>
      <c r="BB308" s="2"/>
      <c r="BC308" s="2"/>
      <c r="BD308" s="433"/>
      <c r="BE308" s="439"/>
      <c r="BF308" s="433"/>
      <c r="BG308" s="149"/>
      <c r="BH308" s="2"/>
      <c r="BI308" s="2">
        <f t="shared" ref="BI308:BI325" si="625">ROUND(+E308*AK308*J308/365,0)</f>
        <v>5319</v>
      </c>
      <c r="BJ308" s="2">
        <f t="shared" ref="BJ308:BJ325" si="626">+E308-BI308</f>
        <v>17974.2</v>
      </c>
      <c r="BK308" s="2">
        <f t="shared" ref="BK308:BK325" si="627">ROUND(+BJ308*$AK308,0)</f>
        <v>4653</v>
      </c>
      <c r="BL308" s="2">
        <f t="shared" si="616"/>
        <v>13321.2</v>
      </c>
      <c r="BM308" s="2"/>
      <c r="BN308" s="2">
        <f t="shared" si="617"/>
        <v>13321.2</v>
      </c>
      <c r="BO308" s="2">
        <f t="shared" ref="BO308:BO326" si="628">ROUND(+BL308*$AK308,0)</f>
        <v>3448</v>
      </c>
      <c r="BP308" s="2">
        <f t="shared" ref="BP308:BP326" si="629">+BL308-BO308</f>
        <v>9873.2000000000007</v>
      </c>
      <c r="BQ308" s="2"/>
      <c r="BR308" s="2">
        <f t="shared" si="618"/>
        <v>9873.2000000000007</v>
      </c>
      <c r="BS308" s="2">
        <f t="shared" ref="BS308:BS325" si="630">ROUND(+BP308*$AK308,0)</f>
        <v>2556</v>
      </c>
      <c r="BT308" s="2">
        <f t="shared" ref="BT308:BT325" si="631">+BP308-BS308</f>
        <v>7317.2000000000007</v>
      </c>
      <c r="BU308" s="2">
        <f t="shared" ref="BU308:BU325" si="632">ROUND(+BT308*$AK308,0)</f>
        <v>1894</v>
      </c>
      <c r="BV308" s="2">
        <f t="shared" ref="BV308:BV325" si="633">+BT308-BU308</f>
        <v>5423.2000000000007</v>
      </c>
      <c r="BW308" s="2">
        <f t="shared" ref="BW308:BW325" si="634">ROUND(+BV308*$AK308,0)</f>
        <v>1404</v>
      </c>
      <c r="BX308" s="2">
        <f t="shared" ref="BX308:BX325" si="635">+BV308-BW308</f>
        <v>4019.2000000000007</v>
      </c>
      <c r="BY308" s="2">
        <f t="shared" ref="BY308:BY325" si="636">ROUND(+BX308*$AK308,0)</f>
        <v>1040</v>
      </c>
      <c r="BZ308" s="2">
        <f t="shared" ref="BZ308:BZ325" si="637">+BX308-BY308</f>
        <v>2979.2000000000007</v>
      </c>
      <c r="CA308" s="2">
        <f t="shared" ref="CA308:CA325" si="638">ROUND(+BZ308*$AK308,0)</f>
        <v>771</v>
      </c>
      <c r="CB308" s="2">
        <f t="shared" ref="CB308:CB325" si="639">+BZ308-CA308</f>
        <v>2208.2000000000007</v>
      </c>
      <c r="CC308" s="2">
        <f t="shared" ref="CC308:CC325" si="640">ROUND(+CB308*$AK308,0)</f>
        <v>572</v>
      </c>
      <c r="CD308" s="2">
        <f t="shared" ref="CD308:CD325" si="641">+CB308-CC308</f>
        <v>1636.2000000000007</v>
      </c>
      <c r="CE308" s="2">
        <f t="shared" ref="CE308:CE325" si="642">ROUND(+CD308*$AK308,0)</f>
        <v>424</v>
      </c>
      <c r="CF308" s="2">
        <f t="shared" ref="CF308:CF325" si="643">+CD308-CE308</f>
        <v>1212.2000000000007</v>
      </c>
      <c r="CG308" s="317">
        <f t="shared" ref="CG308:CG325" si="644">+(1-($E308*5%)/CF308)*CF308</f>
        <v>47.540000000000639</v>
      </c>
      <c r="CH308" s="2">
        <f t="shared" ref="CH308:CH325" si="645">+CF308-CG308</f>
        <v>1164.6600000000001</v>
      </c>
      <c r="CI308" s="2"/>
      <c r="CJ308" s="2">
        <f t="shared" ref="CJ308:CJ325" si="646">+CH308-CI308</f>
        <v>1164.6600000000001</v>
      </c>
      <c r="CK308" s="2"/>
      <c r="CL308" s="2">
        <f t="shared" ref="CL308:CL326" si="647">+CJ308-CK308</f>
        <v>1164.6600000000001</v>
      </c>
      <c r="CM308" s="2"/>
      <c r="CN308" s="2">
        <f t="shared" ref="CN308:CN326" si="648">+CL308-CM308</f>
        <v>1164.6600000000001</v>
      </c>
      <c r="CO308" s="2"/>
      <c r="CP308" s="2">
        <f t="shared" ref="CP308:CP326" si="649">+CN308-CO308</f>
        <v>1164.6600000000001</v>
      </c>
      <c r="CQ308" s="2"/>
      <c r="CR308" s="2">
        <f t="shared" ref="CR308:CR326" si="650">+CP308-CQ308</f>
        <v>1164.6600000000001</v>
      </c>
      <c r="CS308" s="2"/>
      <c r="CT308" s="2">
        <f t="shared" si="620"/>
        <v>1164.6600000000001</v>
      </c>
      <c r="CU308" s="2"/>
      <c r="CV308" s="2">
        <f t="shared" si="620"/>
        <v>1164.6600000000001</v>
      </c>
      <c r="CW308" s="2"/>
      <c r="CX308" s="2">
        <f t="shared" si="620"/>
        <v>1164.6600000000001</v>
      </c>
      <c r="CY308" s="2"/>
      <c r="CZ308" s="2">
        <f t="shared" si="620"/>
        <v>1164.6600000000001</v>
      </c>
      <c r="DA308" s="2"/>
      <c r="DB308" s="2">
        <f t="shared" si="620"/>
        <v>1164.6600000000001</v>
      </c>
      <c r="DC308" s="2"/>
      <c r="DD308" s="2">
        <f t="shared" si="620"/>
        <v>1164.6600000000001</v>
      </c>
      <c r="DE308" s="2"/>
      <c r="DF308" s="2">
        <f t="shared" si="620"/>
        <v>1164.6600000000001</v>
      </c>
      <c r="DG308" s="2"/>
      <c r="DH308" s="2">
        <f t="shared" si="620"/>
        <v>1164.6600000000001</v>
      </c>
      <c r="DI308" s="2"/>
      <c r="DJ308" s="2">
        <f t="shared" si="621"/>
        <v>1164.6600000000001</v>
      </c>
      <c r="DK308" s="2"/>
      <c r="DL308" s="2">
        <f t="shared" si="621"/>
        <v>1164.6600000000001</v>
      </c>
      <c r="DM308" s="2"/>
      <c r="DN308" s="2">
        <f t="shared" si="621"/>
        <v>1164.6600000000001</v>
      </c>
      <c r="DO308" s="2"/>
      <c r="DP308" s="2">
        <f t="shared" si="621"/>
        <v>1164.6600000000001</v>
      </c>
      <c r="DQ308" s="2"/>
      <c r="DR308" s="2">
        <f t="shared" si="621"/>
        <v>1164.6600000000001</v>
      </c>
      <c r="DS308" s="2"/>
      <c r="DT308" s="2">
        <f t="shared" ref="DT308:DT326" si="651">+DR308-DS308</f>
        <v>1164.6600000000001</v>
      </c>
      <c r="DU308" s="2"/>
      <c r="DV308" s="2">
        <f t="shared" ref="DV308:DV326" si="652">+DT308-DU308</f>
        <v>1164.6600000000001</v>
      </c>
      <c r="DW308" s="149">
        <f t="shared" si="619"/>
        <v>1164.6600000000001</v>
      </c>
      <c r="DX308" s="494">
        <f t="shared" ref="DX308:DX326" si="653">+DW308-DV308</f>
        <v>0</v>
      </c>
    </row>
    <row r="309" spans="1:128">
      <c r="A309" s="450">
        <v>7</v>
      </c>
      <c r="B309" s="450" t="s">
        <v>850</v>
      </c>
      <c r="C309" s="467" t="s">
        <v>581</v>
      </c>
      <c r="D309" s="468"/>
      <c r="E309" s="469">
        <v>32497</v>
      </c>
      <c r="F309" s="470" t="s">
        <v>921</v>
      </c>
      <c r="G309" s="443">
        <v>43248</v>
      </c>
      <c r="H309" s="443">
        <f t="shared" si="622"/>
        <v>46900</v>
      </c>
      <c r="I309" s="267">
        <v>10</v>
      </c>
      <c r="J309" s="267">
        <f t="shared" si="623"/>
        <v>308</v>
      </c>
      <c r="K309" s="267">
        <f t="shared" ref="K309:K327" si="654">365-J309</f>
        <v>57</v>
      </c>
      <c r="L309" s="433"/>
      <c r="M309" s="433"/>
      <c r="N309" s="436"/>
      <c r="O309" s="436"/>
      <c r="P309" s="439"/>
      <c r="Q309" s="436"/>
      <c r="R309" s="436"/>
      <c r="S309" s="433"/>
      <c r="T309" s="436"/>
      <c r="U309" s="436"/>
      <c r="V309" s="433"/>
      <c r="W309" s="436"/>
      <c r="X309" s="436"/>
      <c r="Y309" s="433"/>
      <c r="Z309" s="436"/>
      <c r="AA309" s="436"/>
      <c r="AB309" s="433"/>
      <c r="AC309" s="436"/>
      <c r="AD309" s="436"/>
      <c r="AE309" s="436"/>
      <c r="AF309" s="436"/>
      <c r="AG309" s="436"/>
      <c r="AH309" s="436"/>
      <c r="AI309" s="439"/>
      <c r="AJ309" s="436"/>
      <c r="AK309" s="440">
        <f t="shared" si="624"/>
        <v>0.2588655508930523</v>
      </c>
      <c r="AL309" s="2"/>
      <c r="AM309" s="433"/>
      <c r="AN309" s="436"/>
      <c r="AO309" s="436"/>
      <c r="AP309" s="436"/>
      <c r="AQ309" s="436"/>
      <c r="AR309" s="436"/>
      <c r="AS309" s="436"/>
      <c r="AT309" s="2"/>
      <c r="AU309" s="2"/>
      <c r="AV309" s="2"/>
      <c r="AW309" s="2"/>
      <c r="AX309" s="2"/>
      <c r="AY309" s="2"/>
      <c r="AZ309" s="433"/>
      <c r="BA309" s="2"/>
      <c r="BB309" s="2"/>
      <c r="BC309" s="2"/>
      <c r="BD309" s="433"/>
      <c r="BE309" s="439"/>
      <c r="BF309" s="433"/>
      <c r="BG309" s="149"/>
      <c r="BH309" s="2"/>
      <c r="BI309" s="2">
        <f t="shared" si="625"/>
        <v>7099</v>
      </c>
      <c r="BJ309" s="2">
        <f t="shared" si="626"/>
        <v>25398</v>
      </c>
      <c r="BK309" s="2">
        <f t="shared" si="627"/>
        <v>6575</v>
      </c>
      <c r="BL309" s="2">
        <f t="shared" si="616"/>
        <v>18823</v>
      </c>
      <c r="BM309" s="2"/>
      <c r="BN309" s="2">
        <f t="shared" si="617"/>
        <v>18823</v>
      </c>
      <c r="BO309" s="2">
        <f t="shared" si="628"/>
        <v>4873</v>
      </c>
      <c r="BP309" s="2">
        <f t="shared" si="629"/>
        <v>13950</v>
      </c>
      <c r="BQ309" s="2"/>
      <c r="BR309" s="2">
        <f t="shared" si="618"/>
        <v>13950</v>
      </c>
      <c r="BS309" s="2">
        <f t="shared" si="630"/>
        <v>3611</v>
      </c>
      <c r="BT309" s="2">
        <f t="shared" si="631"/>
        <v>10339</v>
      </c>
      <c r="BU309" s="2">
        <f t="shared" si="632"/>
        <v>2676</v>
      </c>
      <c r="BV309" s="2">
        <f t="shared" si="633"/>
        <v>7663</v>
      </c>
      <c r="BW309" s="2">
        <f t="shared" si="634"/>
        <v>1984</v>
      </c>
      <c r="BX309" s="2">
        <f t="shared" si="635"/>
        <v>5679</v>
      </c>
      <c r="BY309" s="2">
        <f t="shared" si="636"/>
        <v>1470</v>
      </c>
      <c r="BZ309" s="2">
        <f t="shared" si="637"/>
        <v>4209</v>
      </c>
      <c r="CA309" s="2">
        <f t="shared" si="638"/>
        <v>1090</v>
      </c>
      <c r="CB309" s="2">
        <f t="shared" si="639"/>
        <v>3119</v>
      </c>
      <c r="CC309" s="2">
        <f t="shared" si="640"/>
        <v>807</v>
      </c>
      <c r="CD309" s="2">
        <f t="shared" si="641"/>
        <v>2312</v>
      </c>
      <c r="CE309" s="2">
        <f t="shared" si="642"/>
        <v>598</v>
      </c>
      <c r="CF309" s="2">
        <f t="shared" si="643"/>
        <v>1714</v>
      </c>
      <c r="CG309" s="317">
        <f t="shared" si="644"/>
        <v>89.149999999999949</v>
      </c>
      <c r="CH309" s="2">
        <f t="shared" si="645"/>
        <v>1624.8500000000001</v>
      </c>
      <c r="CI309" s="2"/>
      <c r="CJ309" s="2">
        <f t="shared" si="646"/>
        <v>1624.8500000000001</v>
      </c>
      <c r="CK309" s="2"/>
      <c r="CL309" s="2">
        <f t="shared" si="647"/>
        <v>1624.8500000000001</v>
      </c>
      <c r="CM309" s="2"/>
      <c r="CN309" s="2">
        <f t="shared" si="648"/>
        <v>1624.8500000000001</v>
      </c>
      <c r="CO309" s="2"/>
      <c r="CP309" s="2">
        <f t="shared" si="649"/>
        <v>1624.8500000000001</v>
      </c>
      <c r="CQ309" s="2"/>
      <c r="CR309" s="2">
        <f t="shared" si="650"/>
        <v>1624.8500000000001</v>
      </c>
      <c r="CS309" s="2"/>
      <c r="CT309" s="2">
        <f t="shared" si="620"/>
        <v>1624.8500000000001</v>
      </c>
      <c r="CU309" s="2"/>
      <c r="CV309" s="2">
        <f t="shared" si="620"/>
        <v>1624.8500000000001</v>
      </c>
      <c r="CW309" s="2"/>
      <c r="CX309" s="2">
        <f t="shared" si="620"/>
        <v>1624.8500000000001</v>
      </c>
      <c r="CY309" s="2"/>
      <c r="CZ309" s="2">
        <f t="shared" si="620"/>
        <v>1624.8500000000001</v>
      </c>
      <c r="DA309" s="2"/>
      <c r="DB309" s="2">
        <f t="shared" si="620"/>
        <v>1624.8500000000001</v>
      </c>
      <c r="DC309" s="2"/>
      <c r="DD309" s="2">
        <f t="shared" si="620"/>
        <v>1624.8500000000001</v>
      </c>
      <c r="DE309" s="2"/>
      <c r="DF309" s="2">
        <f t="shared" si="620"/>
        <v>1624.8500000000001</v>
      </c>
      <c r="DG309" s="2"/>
      <c r="DH309" s="2">
        <f t="shared" si="620"/>
        <v>1624.8500000000001</v>
      </c>
      <c r="DI309" s="2"/>
      <c r="DJ309" s="2">
        <f t="shared" si="621"/>
        <v>1624.8500000000001</v>
      </c>
      <c r="DK309" s="2"/>
      <c r="DL309" s="2">
        <f t="shared" si="621"/>
        <v>1624.8500000000001</v>
      </c>
      <c r="DM309" s="2"/>
      <c r="DN309" s="2">
        <f t="shared" si="621"/>
        <v>1624.8500000000001</v>
      </c>
      <c r="DO309" s="2"/>
      <c r="DP309" s="2">
        <f t="shared" si="621"/>
        <v>1624.8500000000001</v>
      </c>
      <c r="DQ309" s="2"/>
      <c r="DR309" s="2">
        <f t="shared" si="621"/>
        <v>1624.8500000000001</v>
      </c>
      <c r="DS309" s="2"/>
      <c r="DT309" s="2">
        <f t="shared" si="651"/>
        <v>1624.8500000000001</v>
      </c>
      <c r="DU309" s="2"/>
      <c r="DV309" s="2">
        <f t="shared" si="652"/>
        <v>1624.8500000000001</v>
      </c>
      <c r="DW309" s="149">
        <f t="shared" si="619"/>
        <v>1624.8500000000001</v>
      </c>
      <c r="DX309" s="494">
        <f t="shared" si="653"/>
        <v>0</v>
      </c>
    </row>
    <row r="310" spans="1:128">
      <c r="A310" s="450">
        <v>8</v>
      </c>
      <c r="B310" s="450" t="s">
        <v>851</v>
      </c>
      <c r="C310" s="467" t="s">
        <v>581</v>
      </c>
      <c r="D310" s="468"/>
      <c r="E310" s="469">
        <v>101480</v>
      </c>
      <c r="F310" s="470" t="s">
        <v>921</v>
      </c>
      <c r="G310" s="443">
        <v>43252</v>
      </c>
      <c r="H310" s="443">
        <f t="shared" si="622"/>
        <v>46904</v>
      </c>
      <c r="I310" s="267">
        <v>10</v>
      </c>
      <c r="J310" s="267">
        <f t="shared" si="623"/>
        <v>304</v>
      </c>
      <c r="K310" s="267">
        <f t="shared" si="654"/>
        <v>61</v>
      </c>
      <c r="L310" s="433"/>
      <c r="M310" s="433"/>
      <c r="N310" s="436"/>
      <c r="O310" s="436"/>
      <c r="P310" s="439"/>
      <c r="Q310" s="436"/>
      <c r="R310" s="436"/>
      <c r="S310" s="433"/>
      <c r="T310" s="436"/>
      <c r="U310" s="436"/>
      <c r="V310" s="433"/>
      <c r="W310" s="436"/>
      <c r="X310" s="436"/>
      <c r="Y310" s="433"/>
      <c r="Z310" s="436"/>
      <c r="AA310" s="436"/>
      <c r="AB310" s="433"/>
      <c r="AC310" s="436"/>
      <c r="AD310" s="436"/>
      <c r="AE310" s="436"/>
      <c r="AF310" s="436"/>
      <c r="AG310" s="436"/>
      <c r="AH310" s="436"/>
      <c r="AI310" s="439"/>
      <c r="AJ310" s="436"/>
      <c r="AK310" s="440">
        <f t="shared" si="624"/>
        <v>0.2588655508930523</v>
      </c>
      <c r="AL310" s="2"/>
      <c r="AM310" s="433"/>
      <c r="AN310" s="436"/>
      <c r="AO310" s="436"/>
      <c r="AP310" s="436"/>
      <c r="AQ310" s="436"/>
      <c r="AR310" s="436"/>
      <c r="AS310" s="436"/>
      <c r="AT310" s="2"/>
      <c r="AU310" s="2"/>
      <c r="AV310" s="2"/>
      <c r="AW310" s="2"/>
      <c r="AX310" s="2"/>
      <c r="AY310" s="2"/>
      <c r="AZ310" s="433"/>
      <c r="BA310" s="2"/>
      <c r="BB310" s="2"/>
      <c r="BC310" s="2"/>
      <c r="BD310" s="433"/>
      <c r="BE310" s="439"/>
      <c r="BF310" s="433"/>
      <c r="BG310" s="149"/>
      <c r="BH310" s="2"/>
      <c r="BI310" s="2">
        <f t="shared" si="625"/>
        <v>21879</v>
      </c>
      <c r="BJ310" s="2">
        <f t="shared" si="626"/>
        <v>79601</v>
      </c>
      <c r="BK310" s="2">
        <f t="shared" si="627"/>
        <v>20606</v>
      </c>
      <c r="BL310" s="2">
        <f t="shared" si="616"/>
        <v>58995</v>
      </c>
      <c r="BM310" s="2"/>
      <c r="BN310" s="2">
        <f t="shared" si="617"/>
        <v>58995</v>
      </c>
      <c r="BO310" s="2">
        <f t="shared" si="628"/>
        <v>15272</v>
      </c>
      <c r="BP310" s="2">
        <f t="shared" si="629"/>
        <v>43723</v>
      </c>
      <c r="BQ310" s="2"/>
      <c r="BR310" s="2">
        <f t="shared" si="618"/>
        <v>43723</v>
      </c>
      <c r="BS310" s="2">
        <f t="shared" si="630"/>
        <v>11318</v>
      </c>
      <c r="BT310" s="2">
        <f t="shared" si="631"/>
        <v>32405</v>
      </c>
      <c r="BU310" s="2">
        <f t="shared" si="632"/>
        <v>8389</v>
      </c>
      <c r="BV310" s="2">
        <f t="shared" si="633"/>
        <v>24016</v>
      </c>
      <c r="BW310" s="2">
        <f t="shared" si="634"/>
        <v>6217</v>
      </c>
      <c r="BX310" s="2">
        <f t="shared" si="635"/>
        <v>17799</v>
      </c>
      <c r="BY310" s="2">
        <f t="shared" si="636"/>
        <v>4608</v>
      </c>
      <c r="BZ310" s="2">
        <f t="shared" si="637"/>
        <v>13191</v>
      </c>
      <c r="CA310" s="2">
        <f t="shared" si="638"/>
        <v>3415</v>
      </c>
      <c r="CB310" s="2">
        <f t="shared" si="639"/>
        <v>9776</v>
      </c>
      <c r="CC310" s="2">
        <f t="shared" si="640"/>
        <v>2531</v>
      </c>
      <c r="CD310" s="2">
        <f t="shared" si="641"/>
        <v>7245</v>
      </c>
      <c r="CE310" s="2">
        <f t="shared" si="642"/>
        <v>1875</v>
      </c>
      <c r="CF310" s="2">
        <f t="shared" si="643"/>
        <v>5370</v>
      </c>
      <c r="CG310" s="317">
        <f t="shared" si="644"/>
        <v>296.00000000000028</v>
      </c>
      <c r="CH310" s="2">
        <f t="shared" si="645"/>
        <v>5074</v>
      </c>
      <c r="CI310" s="2"/>
      <c r="CJ310" s="2">
        <f t="shared" si="646"/>
        <v>5074</v>
      </c>
      <c r="CK310" s="2"/>
      <c r="CL310" s="2">
        <f t="shared" si="647"/>
        <v>5074</v>
      </c>
      <c r="CM310" s="2"/>
      <c r="CN310" s="2">
        <f t="shared" si="648"/>
        <v>5074</v>
      </c>
      <c r="CO310" s="2"/>
      <c r="CP310" s="2">
        <f t="shared" si="649"/>
        <v>5074</v>
      </c>
      <c r="CQ310" s="2"/>
      <c r="CR310" s="2">
        <f t="shared" si="650"/>
        <v>5074</v>
      </c>
      <c r="CS310" s="2"/>
      <c r="CT310" s="2">
        <f t="shared" si="620"/>
        <v>5074</v>
      </c>
      <c r="CU310" s="2"/>
      <c r="CV310" s="2">
        <f t="shared" si="620"/>
        <v>5074</v>
      </c>
      <c r="CW310" s="2"/>
      <c r="CX310" s="2">
        <f t="shared" si="620"/>
        <v>5074</v>
      </c>
      <c r="CY310" s="2"/>
      <c r="CZ310" s="2">
        <f t="shared" si="620"/>
        <v>5074</v>
      </c>
      <c r="DA310" s="2"/>
      <c r="DB310" s="2">
        <f t="shared" si="620"/>
        <v>5074</v>
      </c>
      <c r="DC310" s="2"/>
      <c r="DD310" s="2">
        <f t="shared" si="620"/>
        <v>5074</v>
      </c>
      <c r="DE310" s="2"/>
      <c r="DF310" s="2">
        <f t="shared" si="620"/>
        <v>5074</v>
      </c>
      <c r="DG310" s="2"/>
      <c r="DH310" s="2">
        <f t="shared" si="620"/>
        <v>5074</v>
      </c>
      <c r="DI310" s="2"/>
      <c r="DJ310" s="2">
        <f t="shared" si="621"/>
        <v>5074</v>
      </c>
      <c r="DK310" s="2"/>
      <c r="DL310" s="2">
        <f t="shared" si="621"/>
        <v>5074</v>
      </c>
      <c r="DM310" s="2"/>
      <c r="DN310" s="2">
        <f t="shared" si="621"/>
        <v>5074</v>
      </c>
      <c r="DO310" s="2"/>
      <c r="DP310" s="2">
        <f t="shared" si="621"/>
        <v>5074</v>
      </c>
      <c r="DQ310" s="2"/>
      <c r="DR310" s="2">
        <f t="shared" si="621"/>
        <v>5074</v>
      </c>
      <c r="DS310" s="2"/>
      <c r="DT310" s="2">
        <f t="shared" si="651"/>
        <v>5074</v>
      </c>
      <c r="DU310" s="2"/>
      <c r="DV310" s="2">
        <f t="shared" si="652"/>
        <v>5074</v>
      </c>
      <c r="DW310" s="149">
        <f t="shared" si="619"/>
        <v>5074</v>
      </c>
      <c r="DX310" s="494">
        <f t="shared" si="653"/>
        <v>0</v>
      </c>
    </row>
    <row r="311" spans="1:128">
      <c r="A311" s="450">
        <v>9</v>
      </c>
      <c r="B311" s="450" t="s">
        <v>852</v>
      </c>
      <c r="C311" s="467" t="s">
        <v>581</v>
      </c>
      <c r="D311" s="468"/>
      <c r="E311" s="469">
        <v>21240</v>
      </c>
      <c r="F311" s="470" t="s">
        <v>921</v>
      </c>
      <c r="G311" s="443">
        <v>43256</v>
      </c>
      <c r="H311" s="443">
        <f t="shared" si="622"/>
        <v>46908</v>
      </c>
      <c r="I311" s="267">
        <v>10</v>
      </c>
      <c r="J311" s="267">
        <f t="shared" si="623"/>
        <v>300</v>
      </c>
      <c r="K311" s="267">
        <f t="shared" si="654"/>
        <v>65</v>
      </c>
      <c r="L311" s="433"/>
      <c r="M311" s="433"/>
      <c r="N311" s="436"/>
      <c r="O311" s="436"/>
      <c r="P311" s="439"/>
      <c r="Q311" s="436"/>
      <c r="R311" s="436"/>
      <c r="S311" s="433"/>
      <c r="T311" s="436"/>
      <c r="U311" s="436"/>
      <c r="V311" s="433"/>
      <c r="W311" s="436"/>
      <c r="X311" s="436"/>
      <c r="Y311" s="433"/>
      <c r="Z311" s="436"/>
      <c r="AA311" s="436"/>
      <c r="AB311" s="433"/>
      <c r="AC311" s="436"/>
      <c r="AD311" s="436"/>
      <c r="AE311" s="436"/>
      <c r="AF311" s="436"/>
      <c r="AG311" s="436"/>
      <c r="AH311" s="436"/>
      <c r="AI311" s="439"/>
      <c r="AJ311" s="436"/>
      <c r="AK311" s="440">
        <f t="shared" si="624"/>
        <v>0.2588655508930523</v>
      </c>
      <c r="AL311" s="2"/>
      <c r="AM311" s="433"/>
      <c r="AN311" s="436"/>
      <c r="AO311" s="436"/>
      <c r="AP311" s="436"/>
      <c r="AQ311" s="436"/>
      <c r="AR311" s="436"/>
      <c r="AS311" s="436"/>
      <c r="AT311" s="2"/>
      <c r="AU311" s="2"/>
      <c r="AV311" s="2"/>
      <c r="AW311" s="2"/>
      <c r="AX311" s="2"/>
      <c r="AY311" s="2"/>
      <c r="AZ311" s="433"/>
      <c r="BA311" s="2"/>
      <c r="BB311" s="2"/>
      <c r="BC311" s="2"/>
      <c r="BD311" s="433"/>
      <c r="BE311" s="439"/>
      <c r="BF311" s="433"/>
      <c r="BG311" s="149"/>
      <c r="BH311" s="2"/>
      <c r="BI311" s="2">
        <f t="shared" si="625"/>
        <v>4519</v>
      </c>
      <c r="BJ311" s="2">
        <f t="shared" si="626"/>
        <v>16721</v>
      </c>
      <c r="BK311" s="2">
        <f t="shared" si="627"/>
        <v>4328</v>
      </c>
      <c r="BL311" s="2">
        <f t="shared" si="616"/>
        <v>12393</v>
      </c>
      <c r="BM311" s="2"/>
      <c r="BN311" s="2">
        <f t="shared" si="617"/>
        <v>12393</v>
      </c>
      <c r="BO311" s="2">
        <f t="shared" si="628"/>
        <v>3208</v>
      </c>
      <c r="BP311" s="2">
        <f t="shared" si="629"/>
        <v>9185</v>
      </c>
      <c r="BQ311" s="2"/>
      <c r="BR311" s="2">
        <f t="shared" si="618"/>
        <v>9185</v>
      </c>
      <c r="BS311" s="2">
        <f t="shared" si="630"/>
        <v>2378</v>
      </c>
      <c r="BT311" s="2">
        <f t="shared" si="631"/>
        <v>6807</v>
      </c>
      <c r="BU311" s="2">
        <f t="shared" si="632"/>
        <v>1762</v>
      </c>
      <c r="BV311" s="2">
        <f t="shared" si="633"/>
        <v>5045</v>
      </c>
      <c r="BW311" s="2">
        <f t="shared" si="634"/>
        <v>1306</v>
      </c>
      <c r="BX311" s="2">
        <f t="shared" si="635"/>
        <v>3739</v>
      </c>
      <c r="BY311" s="2">
        <f t="shared" si="636"/>
        <v>968</v>
      </c>
      <c r="BZ311" s="2">
        <f t="shared" si="637"/>
        <v>2771</v>
      </c>
      <c r="CA311" s="2">
        <f t="shared" si="638"/>
        <v>717</v>
      </c>
      <c r="CB311" s="2">
        <f t="shared" si="639"/>
        <v>2054</v>
      </c>
      <c r="CC311" s="2">
        <f t="shared" si="640"/>
        <v>532</v>
      </c>
      <c r="CD311" s="2">
        <f t="shared" si="641"/>
        <v>1522</v>
      </c>
      <c r="CE311" s="2">
        <f t="shared" si="642"/>
        <v>394</v>
      </c>
      <c r="CF311" s="2">
        <f t="shared" si="643"/>
        <v>1128</v>
      </c>
      <c r="CG311" s="317">
        <f t="shared" si="644"/>
        <v>65.999999999999943</v>
      </c>
      <c r="CH311" s="2">
        <f t="shared" si="645"/>
        <v>1062</v>
      </c>
      <c r="CI311" s="2"/>
      <c r="CJ311" s="2">
        <f t="shared" si="646"/>
        <v>1062</v>
      </c>
      <c r="CK311" s="2"/>
      <c r="CL311" s="2">
        <f t="shared" si="647"/>
        <v>1062</v>
      </c>
      <c r="CM311" s="2"/>
      <c r="CN311" s="2">
        <f t="shared" si="648"/>
        <v>1062</v>
      </c>
      <c r="CO311" s="2"/>
      <c r="CP311" s="2">
        <f t="shared" si="649"/>
        <v>1062</v>
      </c>
      <c r="CQ311" s="2"/>
      <c r="CR311" s="2">
        <f t="shared" si="650"/>
        <v>1062</v>
      </c>
      <c r="CS311" s="2"/>
      <c r="CT311" s="2">
        <f t="shared" si="620"/>
        <v>1062</v>
      </c>
      <c r="CU311" s="2"/>
      <c r="CV311" s="2">
        <f t="shared" si="620"/>
        <v>1062</v>
      </c>
      <c r="CW311" s="2"/>
      <c r="CX311" s="2">
        <f t="shared" si="620"/>
        <v>1062</v>
      </c>
      <c r="CY311" s="2"/>
      <c r="CZ311" s="2">
        <f t="shared" si="620"/>
        <v>1062</v>
      </c>
      <c r="DA311" s="2"/>
      <c r="DB311" s="2">
        <f t="shared" si="620"/>
        <v>1062</v>
      </c>
      <c r="DC311" s="2"/>
      <c r="DD311" s="2">
        <f t="shared" si="620"/>
        <v>1062</v>
      </c>
      <c r="DE311" s="2"/>
      <c r="DF311" s="2">
        <f t="shared" si="620"/>
        <v>1062</v>
      </c>
      <c r="DG311" s="2"/>
      <c r="DH311" s="2">
        <f t="shared" si="620"/>
        <v>1062</v>
      </c>
      <c r="DI311" s="2"/>
      <c r="DJ311" s="2">
        <f t="shared" si="621"/>
        <v>1062</v>
      </c>
      <c r="DK311" s="2"/>
      <c r="DL311" s="2">
        <f t="shared" si="621"/>
        <v>1062</v>
      </c>
      <c r="DM311" s="2"/>
      <c r="DN311" s="2">
        <f t="shared" si="621"/>
        <v>1062</v>
      </c>
      <c r="DO311" s="2"/>
      <c r="DP311" s="2">
        <f t="shared" si="621"/>
        <v>1062</v>
      </c>
      <c r="DQ311" s="2"/>
      <c r="DR311" s="2">
        <f t="shared" si="621"/>
        <v>1062</v>
      </c>
      <c r="DS311" s="2"/>
      <c r="DT311" s="2">
        <f t="shared" si="651"/>
        <v>1062</v>
      </c>
      <c r="DU311" s="2"/>
      <c r="DV311" s="2">
        <f t="shared" si="652"/>
        <v>1062</v>
      </c>
      <c r="DW311" s="149">
        <f t="shared" si="619"/>
        <v>1062</v>
      </c>
      <c r="DX311" s="494">
        <f t="shared" si="653"/>
        <v>0</v>
      </c>
    </row>
    <row r="312" spans="1:128">
      <c r="A312" s="450">
        <v>10</v>
      </c>
      <c r="B312" s="450" t="s">
        <v>853</v>
      </c>
      <c r="C312" s="467" t="s">
        <v>581</v>
      </c>
      <c r="D312" s="468"/>
      <c r="E312" s="469">
        <v>6200</v>
      </c>
      <c r="F312" s="470" t="s">
        <v>921</v>
      </c>
      <c r="G312" s="443">
        <v>43264</v>
      </c>
      <c r="H312" s="443">
        <f t="shared" si="622"/>
        <v>46916</v>
      </c>
      <c r="I312" s="267">
        <v>10</v>
      </c>
      <c r="J312" s="267">
        <f t="shared" si="623"/>
        <v>292</v>
      </c>
      <c r="K312" s="267">
        <f t="shared" si="654"/>
        <v>73</v>
      </c>
      <c r="L312" s="433"/>
      <c r="M312" s="433"/>
      <c r="N312" s="436"/>
      <c r="O312" s="436"/>
      <c r="P312" s="439"/>
      <c r="Q312" s="436"/>
      <c r="R312" s="436"/>
      <c r="S312" s="433"/>
      <c r="T312" s="436"/>
      <c r="U312" s="436"/>
      <c r="V312" s="433"/>
      <c r="W312" s="436"/>
      <c r="X312" s="436"/>
      <c r="Y312" s="433"/>
      <c r="Z312" s="436"/>
      <c r="AA312" s="436"/>
      <c r="AB312" s="433"/>
      <c r="AC312" s="436"/>
      <c r="AD312" s="436"/>
      <c r="AE312" s="436"/>
      <c r="AF312" s="436"/>
      <c r="AG312" s="436"/>
      <c r="AH312" s="436"/>
      <c r="AI312" s="439"/>
      <c r="AJ312" s="436"/>
      <c r="AK312" s="440">
        <f t="shared" si="624"/>
        <v>0.2588655508930523</v>
      </c>
      <c r="AL312" s="2"/>
      <c r="AM312" s="433"/>
      <c r="AN312" s="436"/>
      <c r="AO312" s="436"/>
      <c r="AP312" s="436"/>
      <c r="AQ312" s="436"/>
      <c r="AR312" s="436"/>
      <c r="AS312" s="436"/>
      <c r="AT312" s="2"/>
      <c r="AU312" s="2"/>
      <c r="AV312" s="2"/>
      <c r="AW312" s="2"/>
      <c r="AX312" s="2"/>
      <c r="AY312" s="2"/>
      <c r="AZ312" s="433"/>
      <c r="BA312" s="2"/>
      <c r="BB312" s="2"/>
      <c r="BC312" s="2"/>
      <c r="BD312" s="433"/>
      <c r="BE312" s="439"/>
      <c r="BF312" s="433"/>
      <c r="BG312" s="149"/>
      <c r="BH312" s="2"/>
      <c r="BI312" s="2">
        <f t="shared" si="625"/>
        <v>1284</v>
      </c>
      <c r="BJ312" s="2">
        <f t="shared" si="626"/>
        <v>4916</v>
      </c>
      <c r="BK312" s="2">
        <f t="shared" si="627"/>
        <v>1273</v>
      </c>
      <c r="BL312" s="2">
        <f t="shared" si="616"/>
        <v>3643</v>
      </c>
      <c r="BM312" s="2"/>
      <c r="BN312" s="2">
        <f t="shared" si="617"/>
        <v>3643</v>
      </c>
      <c r="BO312" s="2">
        <f t="shared" si="628"/>
        <v>943</v>
      </c>
      <c r="BP312" s="2">
        <f t="shared" si="629"/>
        <v>2700</v>
      </c>
      <c r="BQ312" s="2"/>
      <c r="BR312" s="2">
        <f t="shared" si="618"/>
        <v>2700</v>
      </c>
      <c r="BS312" s="2">
        <f t="shared" si="630"/>
        <v>699</v>
      </c>
      <c r="BT312" s="2">
        <f t="shared" si="631"/>
        <v>2001</v>
      </c>
      <c r="BU312" s="2">
        <f t="shared" si="632"/>
        <v>518</v>
      </c>
      <c r="BV312" s="2">
        <f t="shared" si="633"/>
        <v>1483</v>
      </c>
      <c r="BW312" s="2">
        <f t="shared" si="634"/>
        <v>384</v>
      </c>
      <c r="BX312" s="2">
        <f t="shared" si="635"/>
        <v>1099</v>
      </c>
      <c r="BY312" s="2">
        <f t="shared" si="636"/>
        <v>284</v>
      </c>
      <c r="BZ312" s="2">
        <f t="shared" si="637"/>
        <v>815</v>
      </c>
      <c r="CA312" s="2">
        <f t="shared" si="638"/>
        <v>211</v>
      </c>
      <c r="CB312" s="2">
        <f t="shared" si="639"/>
        <v>604</v>
      </c>
      <c r="CC312" s="2">
        <f t="shared" si="640"/>
        <v>156</v>
      </c>
      <c r="CD312" s="2">
        <f t="shared" si="641"/>
        <v>448</v>
      </c>
      <c r="CE312" s="2">
        <f t="shared" si="642"/>
        <v>116</v>
      </c>
      <c r="CF312" s="2">
        <f t="shared" si="643"/>
        <v>332</v>
      </c>
      <c r="CG312" s="317">
        <f t="shared" si="644"/>
        <v>22.000000000000014</v>
      </c>
      <c r="CH312" s="2">
        <f t="shared" si="645"/>
        <v>310</v>
      </c>
      <c r="CI312" s="2"/>
      <c r="CJ312" s="2">
        <f t="shared" si="646"/>
        <v>310</v>
      </c>
      <c r="CK312" s="2"/>
      <c r="CL312" s="2">
        <f t="shared" si="647"/>
        <v>310</v>
      </c>
      <c r="CM312" s="2"/>
      <c r="CN312" s="2">
        <f t="shared" si="648"/>
        <v>310</v>
      </c>
      <c r="CO312" s="2"/>
      <c r="CP312" s="2">
        <f t="shared" si="649"/>
        <v>310</v>
      </c>
      <c r="CQ312" s="2"/>
      <c r="CR312" s="2">
        <f t="shared" si="650"/>
        <v>310</v>
      </c>
      <c r="CS312" s="2"/>
      <c r="CT312" s="2">
        <f t="shared" si="620"/>
        <v>310</v>
      </c>
      <c r="CU312" s="2"/>
      <c r="CV312" s="2">
        <f t="shared" si="620"/>
        <v>310</v>
      </c>
      <c r="CW312" s="2"/>
      <c r="CX312" s="2">
        <f t="shared" si="620"/>
        <v>310</v>
      </c>
      <c r="CY312" s="2"/>
      <c r="CZ312" s="2">
        <f t="shared" si="620"/>
        <v>310</v>
      </c>
      <c r="DA312" s="2"/>
      <c r="DB312" s="2">
        <f t="shared" si="620"/>
        <v>310</v>
      </c>
      <c r="DC312" s="2"/>
      <c r="DD312" s="2">
        <f t="shared" si="620"/>
        <v>310</v>
      </c>
      <c r="DE312" s="2"/>
      <c r="DF312" s="2">
        <f t="shared" si="620"/>
        <v>310</v>
      </c>
      <c r="DG312" s="2"/>
      <c r="DH312" s="2">
        <f t="shared" si="620"/>
        <v>310</v>
      </c>
      <c r="DI312" s="2"/>
      <c r="DJ312" s="2">
        <f t="shared" si="621"/>
        <v>310</v>
      </c>
      <c r="DK312" s="2"/>
      <c r="DL312" s="2">
        <f t="shared" si="621"/>
        <v>310</v>
      </c>
      <c r="DM312" s="2"/>
      <c r="DN312" s="2">
        <f t="shared" si="621"/>
        <v>310</v>
      </c>
      <c r="DO312" s="2"/>
      <c r="DP312" s="2">
        <f t="shared" si="621"/>
        <v>310</v>
      </c>
      <c r="DQ312" s="2"/>
      <c r="DR312" s="2">
        <f t="shared" si="621"/>
        <v>310</v>
      </c>
      <c r="DS312" s="2"/>
      <c r="DT312" s="2">
        <f t="shared" si="651"/>
        <v>310</v>
      </c>
      <c r="DU312" s="2"/>
      <c r="DV312" s="2">
        <f t="shared" si="652"/>
        <v>310</v>
      </c>
      <c r="DW312" s="149">
        <f t="shared" si="619"/>
        <v>310</v>
      </c>
      <c r="DX312" s="494">
        <f t="shared" si="653"/>
        <v>0</v>
      </c>
    </row>
    <row r="313" spans="1:128">
      <c r="A313" s="450">
        <v>11</v>
      </c>
      <c r="B313" s="450" t="s">
        <v>854</v>
      </c>
      <c r="C313" s="467" t="s">
        <v>581</v>
      </c>
      <c r="D313" s="468"/>
      <c r="E313" s="469">
        <v>47200</v>
      </c>
      <c r="F313" s="470" t="s">
        <v>921</v>
      </c>
      <c r="G313" s="443">
        <v>43286</v>
      </c>
      <c r="H313" s="443">
        <f t="shared" si="622"/>
        <v>46938</v>
      </c>
      <c r="I313" s="267">
        <v>10</v>
      </c>
      <c r="J313" s="267">
        <f t="shared" si="623"/>
        <v>270</v>
      </c>
      <c r="K313" s="267">
        <f t="shared" si="654"/>
        <v>95</v>
      </c>
      <c r="L313" s="433"/>
      <c r="M313" s="433"/>
      <c r="N313" s="436"/>
      <c r="O313" s="436"/>
      <c r="P313" s="439"/>
      <c r="Q313" s="436"/>
      <c r="R313" s="436"/>
      <c r="S313" s="433"/>
      <c r="T313" s="436"/>
      <c r="U313" s="436"/>
      <c r="V313" s="433"/>
      <c r="W313" s="436"/>
      <c r="X313" s="436"/>
      <c r="Y313" s="433"/>
      <c r="Z313" s="436"/>
      <c r="AA313" s="436"/>
      <c r="AB313" s="433"/>
      <c r="AC313" s="436"/>
      <c r="AD313" s="436"/>
      <c r="AE313" s="436"/>
      <c r="AF313" s="436"/>
      <c r="AG313" s="436"/>
      <c r="AH313" s="436"/>
      <c r="AI313" s="439"/>
      <c r="AJ313" s="436"/>
      <c r="AK313" s="440">
        <f t="shared" si="624"/>
        <v>0.2588655508930523</v>
      </c>
      <c r="AL313" s="2"/>
      <c r="AM313" s="433"/>
      <c r="AN313" s="436"/>
      <c r="AO313" s="436"/>
      <c r="AP313" s="436"/>
      <c r="AQ313" s="436"/>
      <c r="AR313" s="436"/>
      <c r="AS313" s="436"/>
      <c r="AT313" s="2"/>
      <c r="AU313" s="2"/>
      <c r="AV313" s="2"/>
      <c r="AW313" s="2"/>
      <c r="AX313" s="2"/>
      <c r="AY313" s="2"/>
      <c r="AZ313" s="433"/>
      <c r="BA313" s="2"/>
      <c r="BB313" s="2"/>
      <c r="BC313" s="2"/>
      <c r="BD313" s="433"/>
      <c r="BE313" s="439"/>
      <c r="BF313" s="433"/>
      <c r="BG313" s="149"/>
      <c r="BH313" s="2"/>
      <c r="BI313" s="2">
        <f t="shared" si="625"/>
        <v>9038</v>
      </c>
      <c r="BJ313" s="2">
        <f t="shared" si="626"/>
        <v>38162</v>
      </c>
      <c r="BK313" s="2">
        <f t="shared" si="627"/>
        <v>9879</v>
      </c>
      <c r="BL313" s="2">
        <f t="shared" si="616"/>
        <v>28283</v>
      </c>
      <c r="BM313" s="2"/>
      <c r="BN313" s="2">
        <f t="shared" si="617"/>
        <v>28283</v>
      </c>
      <c r="BO313" s="2">
        <f t="shared" si="628"/>
        <v>7321</v>
      </c>
      <c r="BP313" s="2">
        <f t="shared" si="629"/>
        <v>20962</v>
      </c>
      <c r="BQ313" s="2"/>
      <c r="BR313" s="2">
        <f t="shared" si="618"/>
        <v>20962</v>
      </c>
      <c r="BS313" s="2">
        <f t="shared" si="630"/>
        <v>5426</v>
      </c>
      <c r="BT313" s="2">
        <f t="shared" si="631"/>
        <v>15536</v>
      </c>
      <c r="BU313" s="2">
        <f t="shared" si="632"/>
        <v>4022</v>
      </c>
      <c r="BV313" s="2">
        <f t="shared" si="633"/>
        <v>11514</v>
      </c>
      <c r="BW313" s="2">
        <f t="shared" si="634"/>
        <v>2981</v>
      </c>
      <c r="BX313" s="2">
        <f t="shared" si="635"/>
        <v>8533</v>
      </c>
      <c r="BY313" s="2">
        <f t="shared" si="636"/>
        <v>2209</v>
      </c>
      <c r="BZ313" s="2">
        <f t="shared" si="637"/>
        <v>6324</v>
      </c>
      <c r="CA313" s="2">
        <f t="shared" si="638"/>
        <v>1637</v>
      </c>
      <c r="CB313" s="2">
        <f t="shared" si="639"/>
        <v>4687</v>
      </c>
      <c r="CC313" s="2">
        <f t="shared" si="640"/>
        <v>1213</v>
      </c>
      <c r="CD313" s="2">
        <f t="shared" si="641"/>
        <v>3474</v>
      </c>
      <c r="CE313" s="2">
        <f t="shared" si="642"/>
        <v>899</v>
      </c>
      <c r="CF313" s="2">
        <f t="shared" si="643"/>
        <v>2575</v>
      </c>
      <c r="CG313" s="317">
        <f t="shared" si="644"/>
        <v>215.00000000000003</v>
      </c>
      <c r="CH313" s="2">
        <f t="shared" si="645"/>
        <v>2360</v>
      </c>
      <c r="CI313" s="2"/>
      <c r="CJ313" s="2">
        <f t="shared" si="646"/>
        <v>2360</v>
      </c>
      <c r="CK313" s="2"/>
      <c r="CL313" s="2">
        <f t="shared" si="647"/>
        <v>2360</v>
      </c>
      <c r="CM313" s="2"/>
      <c r="CN313" s="2">
        <f t="shared" si="648"/>
        <v>2360</v>
      </c>
      <c r="CO313" s="2"/>
      <c r="CP313" s="2">
        <f t="shared" si="649"/>
        <v>2360</v>
      </c>
      <c r="CQ313" s="2"/>
      <c r="CR313" s="2">
        <f t="shared" si="650"/>
        <v>2360</v>
      </c>
      <c r="CS313" s="2"/>
      <c r="CT313" s="2">
        <f t="shared" si="620"/>
        <v>2360</v>
      </c>
      <c r="CU313" s="2"/>
      <c r="CV313" s="2">
        <f t="shared" si="620"/>
        <v>2360</v>
      </c>
      <c r="CW313" s="2"/>
      <c r="CX313" s="2">
        <f t="shared" si="620"/>
        <v>2360</v>
      </c>
      <c r="CY313" s="2"/>
      <c r="CZ313" s="2">
        <f t="shared" si="620"/>
        <v>2360</v>
      </c>
      <c r="DA313" s="2"/>
      <c r="DB313" s="2">
        <f t="shared" si="620"/>
        <v>2360</v>
      </c>
      <c r="DC313" s="2"/>
      <c r="DD313" s="2">
        <f t="shared" si="620"/>
        <v>2360</v>
      </c>
      <c r="DE313" s="2"/>
      <c r="DF313" s="2">
        <f t="shared" si="620"/>
        <v>2360</v>
      </c>
      <c r="DG313" s="2"/>
      <c r="DH313" s="2">
        <f t="shared" si="620"/>
        <v>2360</v>
      </c>
      <c r="DI313" s="2"/>
      <c r="DJ313" s="2">
        <f t="shared" si="621"/>
        <v>2360</v>
      </c>
      <c r="DK313" s="2"/>
      <c r="DL313" s="2">
        <f t="shared" si="621"/>
        <v>2360</v>
      </c>
      <c r="DM313" s="2"/>
      <c r="DN313" s="2">
        <f t="shared" si="621"/>
        <v>2360</v>
      </c>
      <c r="DO313" s="2"/>
      <c r="DP313" s="2">
        <f t="shared" si="621"/>
        <v>2360</v>
      </c>
      <c r="DQ313" s="2"/>
      <c r="DR313" s="2">
        <f t="shared" si="621"/>
        <v>2360</v>
      </c>
      <c r="DS313" s="2"/>
      <c r="DT313" s="2">
        <f t="shared" si="651"/>
        <v>2360</v>
      </c>
      <c r="DU313" s="2"/>
      <c r="DV313" s="2">
        <f t="shared" si="652"/>
        <v>2360</v>
      </c>
      <c r="DW313" s="149">
        <f t="shared" si="619"/>
        <v>2360</v>
      </c>
      <c r="DX313" s="494">
        <f t="shared" si="653"/>
        <v>0</v>
      </c>
    </row>
    <row r="314" spans="1:128">
      <c r="A314" s="450">
        <v>12</v>
      </c>
      <c r="B314" s="450" t="s">
        <v>855</v>
      </c>
      <c r="C314" s="467" t="s">
        <v>581</v>
      </c>
      <c r="D314" s="468"/>
      <c r="E314" s="469">
        <v>362000</v>
      </c>
      <c r="F314" s="470" t="s">
        <v>921</v>
      </c>
      <c r="G314" s="443">
        <v>43288</v>
      </c>
      <c r="H314" s="443">
        <f t="shared" si="622"/>
        <v>46940</v>
      </c>
      <c r="I314" s="267">
        <v>10</v>
      </c>
      <c r="J314" s="267">
        <f t="shared" si="623"/>
        <v>268</v>
      </c>
      <c r="K314" s="267">
        <f t="shared" si="654"/>
        <v>97</v>
      </c>
      <c r="L314" s="433"/>
      <c r="M314" s="433"/>
      <c r="N314" s="436"/>
      <c r="O314" s="436"/>
      <c r="P314" s="439"/>
      <c r="Q314" s="436"/>
      <c r="R314" s="436"/>
      <c r="S314" s="433"/>
      <c r="T314" s="436"/>
      <c r="U314" s="436"/>
      <c r="V314" s="433"/>
      <c r="W314" s="436"/>
      <c r="X314" s="436"/>
      <c r="Y314" s="433"/>
      <c r="Z314" s="436"/>
      <c r="AA314" s="436"/>
      <c r="AB314" s="433"/>
      <c r="AC314" s="436"/>
      <c r="AD314" s="436"/>
      <c r="AE314" s="436"/>
      <c r="AF314" s="436"/>
      <c r="AG314" s="436"/>
      <c r="AH314" s="436"/>
      <c r="AI314" s="439"/>
      <c r="AJ314" s="436"/>
      <c r="AK314" s="440">
        <f t="shared" si="624"/>
        <v>0.2588655508930523</v>
      </c>
      <c r="AL314" s="2"/>
      <c r="AM314" s="433"/>
      <c r="AN314" s="436"/>
      <c r="AO314" s="436"/>
      <c r="AP314" s="436"/>
      <c r="AQ314" s="436"/>
      <c r="AR314" s="436"/>
      <c r="AS314" s="436"/>
      <c r="AT314" s="2"/>
      <c r="AU314" s="2"/>
      <c r="AV314" s="2"/>
      <c r="AW314" s="2"/>
      <c r="AX314" s="2"/>
      <c r="AY314" s="2"/>
      <c r="AZ314" s="433"/>
      <c r="BA314" s="2"/>
      <c r="BB314" s="2"/>
      <c r="BC314" s="2"/>
      <c r="BD314" s="433"/>
      <c r="BE314" s="439"/>
      <c r="BF314" s="433"/>
      <c r="BG314" s="149"/>
      <c r="BH314" s="2"/>
      <c r="BI314" s="2">
        <f t="shared" si="625"/>
        <v>68806</v>
      </c>
      <c r="BJ314" s="2">
        <f t="shared" si="626"/>
        <v>293194</v>
      </c>
      <c r="BK314" s="2">
        <f t="shared" si="627"/>
        <v>75898</v>
      </c>
      <c r="BL314" s="2">
        <f t="shared" si="616"/>
        <v>217296</v>
      </c>
      <c r="BM314" s="2"/>
      <c r="BN314" s="2">
        <f t="shared" si="617"/>
        <v>217296</v>
      </c>
      <c r="BO314" s="2">
        <f t="shared" si="628"/>
        <v>56250</v>
      </c>
      <c r="BP314" s="2">
        <f t="shared" si="629"/>
        <v>161046</v>
      </c>
      <c r="BQ314" s="2"/>
      <c r="BR314" s="2">
        <f t="shared" si="618"/>
        <v>161046</v>
      </c>
      <c r="BS314" s="2">
        <f t="shared" si="630"/>
        <v>41689</v>
      </c>
      <c r="BT314" s="2">
        <f t="shared" si="631"/>
        <v>119357</v>
      </c>
      <c r="BU314" s="2">
        <f t="shared" si="632"/>
        <v>30897</v>
      </c>
      <c r="BV314" s="2">
        <f t="shared" si="633"/>
        <v>88460</v>
      </c>
      <c r="BW314" s="2">
        <f t="shared" si="634"/>
        <v>22899</v>
      </c>
      <c r="BX314" s="2">
        <f t="shared" si="635"/>
        <v>65561</v>
      </c>
      <c r="BY314" s="2">
        <f t="shared" si="636"/>
        <v>16971</v>
      </c>
      <c r="BZ314" s="2">
        <f t="shared" si="637"/>
        <v>48590</v>
      </c>
      <c r="CA314" s="2">
        <f t="shared" si="638"/>
        <v>12578</v>
      </c>
      <c r="CB314" s="2">
        <f t="shared" si="639"/>
        <v>36012</v>
      </c>
      <c r="CC314" s="2">
        <f t="shared" si="640"/>
        <v>9322</v>
      </c>
      <c r="CD314" s="2">
        <f t="shared" si="641"/>
        <v>26690</v>
      </c>
      <c r="CE314" s="2">
        <f t="shared" si="642"/>
        <v>6909</v>
      </c>
      <c r="CF314" s="2">
        <f t="shared" si="643"/>
        <v>19781</v>
      </c>
      <c r="CG314" s="317">
        <f t="shared" si="644"/>
        <v>1681.0000000000002</v>
      </c>
      <c r="CH314" s="2">
        <f t="shared" si="645"/>
        <v>18100</v>
      </c>
      <c r="CI314" s="2"/>
      <c r="CJ314" s="2">
        <f t="shared" si="646"/>
        <v>18100</v>
      </c>
      <c r="CK314" s="2"/>
      <c r="CL314" s="2">
        <f t="shared" si="647"/>
        <v>18100</v>
      </c>
      <c r="CM314" s="2"/>
      <c r="CN314" s="2">
        <f t="shared" si="648"/>
        <v>18100</v>
      </c>
      <c r="CO314" s="2"/>
      <c r="CP314" s="2">
        <f t="shared" si="649"/>
        <v>18100</v>
      </c>
      <c r="CQ314" s="2"/>
      <c r="CR314" s="2">
        <f t="shared" si="650"/>
        <v>18100</v>
      </c>
      <c r="CS314" s="2"/>
      <c r="CT314" s="2">
        <f t="shared" si="620"/>
        <v>18100</v>
      </c>
      <c r="CU314" s="2"/>
      <c r="CV314" s="2">
        <f t="shared" si="620"/>
        <v>18100</v>
      </c>
      <c r="CW314" s="2"/>
      <c r="CX314" s="2">
        <f t="shared" si="620"/>
        <v>18100</v>
      </c>
      <c r="CY314" s="2"/>
      <c r="CZ314" s="2">
        <f t="shared" si="620"/>
        <v>18100</v>
      </c>
      <c r="DA314" s="2"/>
      <c r="DB314" s="2">
        <f t="shared" si="620"/>
        <v>18100</v>
      </c>
      <c r="DC314" s="2"/>
      <c r="DD314" s="2">
        <f t="shared" si="620"/>
        <v>18100</v>
      </c>
      <c r="DE314" s="2"/>
      <c r="DF314" s="2">
        <f t="shared" si="620"/>
        <v>18100</v>
      </c>
      <c r="DG314" s="2"/>
      <c r="DH314" s="2">
        <f t="shared" si="620"/>
        <v>18100</v>
      </c>
      <c r="DI314" s="2"/>
      <c r="DJ314" s="2">
        <f t="shared" si="621"/>
        <v>18100</v>
      </c>
      <c r="DK314" s="2"/>
      <c r="DL314" s="2">
        <f t="shared" si="621"/>
        <v>18100</v>
      </c>
      <c r="DM314" s="2"/>
      <c r="DN314" s="2">
        <f t="shared" si="621"/>
        <v>18100</v>
      </c>
      <c r="DO314" s="2"/>
      <c r="DP314" s="2">
        <f t="shared" si="621"/>
        <v>18100</v>
      </c>
      <c r="DQ314" s="2"/>
      <c r="DR314" s="2">
        <f t="shared" si="621"/>
        <v>18100</v>
      </c>
      <c r="DS314" s="2"/>
      <c r="DT314" s="2">
        <f t="shared" si="651"/>
        <v>18100</v>
      </c>
      <c r="DU314" s="2"/>
      <c r="DV314" s="2">
        <f t="shared" si="652"/>
        <v>18100</v>
      </c>
      <c r="DW314" s="149">
        <f t="shared" si="619"/>
        <v>18100</v>
      </c>
      <c r="DX314" s="494">
        <f t="shared" si="653"/>
        <v>0</v>
      </c>
    </row>
    <row r="315" spans="1:128">
      <c r="A315" s="450">
        <v>13</v>
      </c>
      <c r="B315" s="450" t="s">
        <v>856</v>
      </c>
      <c r="C315" s="467" t="s">
        <v>581</v>
      </c>
      <c r="D315" s="468"/>
      <c r="E315" s="469">
        <v>24400</v>
      </c>
      <c r="F315" s="470" t="s">
        <v>921</v>
      </c>
      <c r="G315" s="443">
        <v>43367</v>
      </c>
      <c r="H315" s="443">
        <f t="shared" si="622"/>
        <v>47019</v>
      </c>
      <c r="I315" s="267">
        <v>10</v>
      </c>
      <c r="J315" s="267">
        <f t="shared" si="623"/>
        <v>189</v>
      </c>
      <c r="K315" s="267">
        <f t="shared" si="654"/>
        <v>176</v>
      </c>
      <c r="L315" s="433"/>
      <c r="M315" s="433"/>
      <c r="N315" s="436"/>
      <c r="O315" s="436"/>
      <c r="P315" s="439"/>
      <c r="Q315" s="436"/>
      <c r="R315" s="436"/>
      <c r="S315" s="433"/>
      <c r="T315" s="436"/>
      <c r="U315" s="436"/>
      <c r="V315" s="433"/>
      <c r="W315" s="436"/>
      <c r="X315" s="436"/>
      <c r="Y315" s="433"/>
      <c r="Z315" s="436"/>
      <c r="AA315" s="436"/>
      <c r="AB315" s="433"/>
      <c r="AC315" s="436"/>
      <c r="AD315" s="436"/>
      <c r="AE315" s="436"/>
      <c r="AF315" s="436"/>
      <c r="AG315" s="436"/>
      <c r="AH315" s="436"/>
      <c r="AI315" s="439"/>
      <c r="AJ315" s="436"/>
      <c r="AK315" s="440">
        <f t="shared" si="624"/>
        <v>0.2588655508930523</v>
      </c>
      <c r="AL315" s="2"/>
      <c r="AM315" s="433"/>
      <c r="AN315" s="436"/>
      <c r="AO315" s="436"/>
      <c r="AP315" s="436"/>
      <c r="AQ315" s="436"/>
      <c r="AR315" s="436"/>
      <c r="AS315" s="436"/>
      <c r="AT315" s="2"/>
      <c r="AU315" s="2"/>
      <c r="AV315" s="2"/>
      <c r="AW315" s="2"/>
      <c r="AX315" s="2"/>
      <c r="AY315" s="2"/>
      <c r="AZ315" s="433"/>
      <c r="BA315" s="2"/>
      <c r="BB315" s="2"/>
      <c r="BC315" s="2"/>
      <c r="BD315" s="433"/>
      <c r="BE315" s="439"/>
      <c r="BF315" s="433"/>
      <c r="BG315" s="149"/>
      <c r="BH315" s="2"/>
      <c r="BI315" s="2">
        <f t="shared" si="625"/>
        <v>3271</v>
      </c>
      <c r="BJ315" s="2">
        <f t="shared" si="626"/>
        <v>21129</v>
      </c>
      <c r="BK315" s="2">
        <f t="shared" si="627"/>
        <v>5470</v>
      </c>
      <c r="BL315" s="2">
        <f t="shared" si="616"/>
        <v>15659</v>
      </c>
      <c r="BM315" s="2"/>
      <c r="BN315" s="2">
        <f t="shared" si="617"/>
        <v>15659</v>
      </c>
      <c r="BO315" s="2">
        <f t="shared" si="628"/>
        <v>4054</v>
      </c>
      <c r="BP315" s="2">
        <f t="shared" si="629"/>
        <v>11605</v>
      </c>
      <c r="BQ315" s="2"/>
      <c r="BR315" s="2">
        <f t="shared" si="618"/>
        <v>11605</v>
      </c>
      <c r="BS315" s="2">
        <f t="shared" si="630"/>
        <v>3004</v>
      </c>
      <c r="BT315" s="2">
        <f t="shared" si="631"/>
        <v>8601</v>
      </c>
      <c r="BU315" s="2">
        <f t="shared" si="632"/>
        <v>2227</v>
      </c>
      <c r="BV315" s="2">
        <f t="shared" si="633"/>
        <v>6374</v>
      </c>
      <c r="BW315" s="2">
        <f t="shared" si="634"/>
        <v>1650</v>
      </c>
      <c r="BX315" s="2">
        <f t="shared" si="635"/>
        <v>4724</v>
      </c>
      <c r="BY315" s="2">
        <f t="shared" si="636"/>
        <v>1223</v>
      </c>
      <c r="BZ315" s="2">
        <f t="shared" si="637"/>
        <v>3501</v>
      </c>
      <c r="CA315" s="2">
        <f t="shared" si="638"/>
        <v>906</v>
      </c>
      <c r="CB315" s="2">
        <f t="shared" si="639"/>
        <v>2595</v>
      </c>
      <c r="CC315" s="2">
        <f t="shared" si="640"/>
        <v>672</v>
      </c>
      <c r="CD315" s="2">
        <f t="shared" si="641"/>
        <v>1923</v>
      </c>
      <c r="CE315" s="2">
        <f t="shared" si="642"/>
        <v>498</v>
      </c>
      <c r="CF315" s="2">
        <f t="shared" si="643"/>
        <v>1425</v>
      </c>
      <c r="CG315" s="317">
        <f t="shared" si="644"/>
        <v>205</v>
      </c>
      <c r="CH315" s="2">
        <f t="shared" si="645"/>
        <v>1220</v>
      </c>
      <c r="CI315" s="2"/>
      <c r="CJ315" s="2">
        <f t="shared" si="646"/>
        <v>1220</v>
      </c>
      <c r="CK315" s="2"/>
      <c r="CL315" s="2">
        <f t="shared" si="647"/>
        <v>1220</v>
      </c>
      <c r="CM315" s="2"/>
      <c r="CN315" s="2">
        <f t="shared" si="648"/>
        <v>1220</v>
      </c>
      <c r="CO315" s="2"/>
      <c r="CP315" s="2">
        <f t="shared" si="649"/>
        <v>1220</v>
      </c>
      <c r="CQ315" s="2"/>
      <c r="CR315" s="2">
        <f t="shared" si="650"/>
        <v>1220</v>
      </c>
      <c r="CS315" s="2"/>
      <c r="CT315" s="2">
        <f t="shared" si="620"/>
        <v>1220</v>
      </c>
      <c r="CU315" s="2"/>
      <c r="CV315" s="2">
        <f t="shared" si="620"/>
        <v>1220</v>
      </c>
      <c r="CW315" s="2"/>
      <c r="CX315" s="2">
        <f t="shared" si="620"/>
        <v>1220</v>
      </c>
      <c r="CY315" s="2"/>
      <c r="CZ315" s="2">
        <f t="shared" si="620"/>
        <v>1220</v>
      </c>
      <c r="DA315" s="2"/>
      <c r="DB315" s="2">
        <f t="shared" si="620"/>
        <v>1220</v>
      </c>
      <c r="DC315" s="2"/>
      <c r="DD315" s="2">
        <f t="shared" si="620"/>
        <v>1220</v>
      </c>
      <c r="DE315" s="2"/>
      <c r="DF315" s="2">
        <f t="shared" si="620"/>
        <v>1220</v>
      </c>
      <c r="DG315" s="2"/>
      <c r="DH315" s="2">
        <f t="shared" si="620"/>
        <v>1220</v>
      </c>
      <c r="DI315" s="2"/>
      <c r="DJ315" s="2">
        <f t="shared" si="621"/>
        <v>1220</v>
      </c>
      <c r="DK315" s="2"/>
      <c r="DL315" s="2">
        <f t="shared" si="621"/>
        <v>1220</v>
      </c>
      <c r="DM315" s="2"/>
      <c r="DN315" s="2">
        <f t="shared" si="621"/>
        <v>1220</v>
      </c>
      <c r="DO315" s="2"/>
      <c r="DP315" s="2">
        <f t="shared" si="621"/>
        <v>1220</v>
      </c>
      <c r="DQ315" s="2"/>
      <c r="DR315" s="2">
        <f t="shared" si="621"/>
        <v>1220</v>
      </c>
      <c r="DS315" s="2"/>
      <c r="DT315" s="2">
        <f t="shared" si="651"/>
        <v>1220</v>
      </c>
      <c r="DU315" s="2"/>
      <c r="DV315" s="2">
        <f t="shared" si="652"/>
        <v>1220</v>
      </c>
      <c r="DW315" s="149">
        <f t="shared" si="619"/>
        <v>1220</v>
      </c>
      <c r="DX315" s="494">
        <f t="shared" si="653"/>
        <v>0</v>
      </c>
    </row>
    <row r="316" spans="1:128">
      <c r="A316" s="450">
        <v>14</v>
      </c>
      <c r="B316" s="450" t="s">
        <v>857</v>
      </c>
      <c r="C316" s="467" t="s">
        <v>581</v>
      </c>
      <c r="D316" s="468"/>
      <c r="E316" s="469">
        <v>21210</v>
      </c>
      <c r="F316" s="470" t="s">
        <v>921</v>
      </c>
      <c r="G316" s="443">
        <v>43386</v>
      </c>
      <c r="H316" s="443">
        <f t="shared" si="622"/>
        <v>47038</v>
      </c>
      <c r="I316" s="267">
        <v>10</v>
      </c>
      <c r="J316" s="267">
        <f t="shared" si="623"/>
        <v>170</v>
      </c>
      <c r="K316" s="267">
        <f t="shared" si="654"/>
        <v>195</v>
      </c>
      <c r="L316" s="433"/>
      <c r="M316" s="433"/>
      <c r="N316" s="436"/>
      <c r="O316" s="436"/>
      <c r="P316" s="439"/>
      <c r="Q316" s="436"/>
      <c r="R316" s="436"/>
      <c r="S316" s="433"/>
      <c r="T316" s="436"/>
      <c r="U316" s="436"/>
      <c r="V316" s="433"/>
      <c r="W316" s="436"/>
      <c r="X316" s="436"/>
      <c r="Y316" s="433"/>
      <c r="Z316" s="436"/>
      <c r="AA316" s="436"/>
      <c r="AB316" s="433"/>
      <c r="AC316" s="436"/>
      <c r="AD316" s="436"/>
      <c r="AE316" s="436"/>
      <c r="AF316" s="436"/>
      <c r="AG316" s="436"/>
      <c r="AH316" s="436"/>
      <c r="AI316" s="439"/>
      <c r="AJ316" s="436"/>
      <c r="AK316" s="440">
        <f t="shared" si="624"/>
        <v>0.2588655508930523</v>
      </c>
      <c r="AL316" s="2"/>
      <c r="AM316" s="433"/>
      <c r="AN316" s="436"/>
      <c r="AO316" s="436"/>
      <c r="AP316" s="436"/>
      <c r="AQ316" s="436"/>
      <c r="AR316" s="436"/>
      <c r="AS316" s="436"/>
      <c r="AT316" s="2"/>
      <c r="AU316" s="2"/>
      <c r="AV316" s="2"/>
      <c r="AW316" s="2"/>
      <c r="AX316" s="2"/>
      <c r="AY316" s="2"/>
      <c r="AZ316" s="433"/>
      <c r="BA316" s="2"/>
      <c r="BB316" s="2"/>
      <c r="BC316" s="2"/>
      <c r="BD316" s="433"/>
      <c r="BE316" s="439"/>
      <c r="BF316" s="433"/>
      <c r="BG316" s="149"/>
      <c r="BH316" s="2"/>
      <c r="BI316" s="2">
        <f t="shared" si="625"/>
        <v>2557</v>
      </c>
      <c r="BJ316" s="2">
        <f t="shared" si="626"/>
        <v>18653</v>
      </c>
      <c r="BK316" s="2">
        <f t="shared" si="627"/>
        <v>4829</v>
      </c>
      <c r="BL316" s="2">
        <f t="shared" si="616"/>
        <v>13824</v>
      </c>
      <c r="BM316" s="2"/>
      <c r="BN316" s="2">
        <f t="shared" si="617"/>
        <v>13824</v>
      </c>
      <c r="BO316" s="2">
        <f t="shared" si="628"/>
        <v>3579</v>
      </c>
      <c r="BP316" s="2">
        <f t="shared" si="629"/>
        <v>10245</v>
      </c>
      <c r="BQ316" s="2"/>
      <c r="BR316" s="2">
        <f t="shared" si="618"/>
        <v>10245</v>
      </c>
      <c r="BS316" s="2">
        <f t="shared" si="630"/>
        <v>2652</v>
      </c>
      <c r="BT316" s="2">
        <f t="shared" si="631"/>
        <v>7593</v>
      </c>
      <c r="BU316" s="2">
        <f t="shared" si="632"/>
        <v>1966</v>
      </c>
      <c r="BV316" s="2">
        <f t="shared" si="633"/>
        <v>5627</v>
      </c>
      <c r="BW316" s="2">
        <f t="shared" si="634"/>
        <v>1457</v>
      </c>
      <c r="BX316" s="2">
        <f t="shared" si="635"/>
        <v>4170</v>
      </c>
      <c r="BY316" s="2">
        <f t="shared" si="636"/>
        <v>1079</v>
      </c>
      <c r="BZ316" s="2">
        <f t="shared" si="637"/>
        <v>3091</v>
      </c>
      <c r="CA316" s="2">
        <f t="shared" si="638"/>
        <v>800</v>
      </c>
      <c r="CB316" s="2">
        <f t="shared" si="639"/>
        <v>2291</v>
      </c>
      <c r="CC316" s="2">
        <f t="shared" si="640"/>
        <v>593</v>
      </c>
      <c r="CD316" s="2">
        <f t="shared" si="641"/>
        <v>1698</v>
      </c>
      <c r="CE316" s="2">
        <f t="shared" si="642"/>
        <v>440</v>
      </c>
      <c r="CF316" s="2">
        <f t="shared" si="643"/>
        <v>1258</v>
      </c>
      <c r="CG316" s="317">
        <f t="shared" si="644"/>
        <v>197.49999999999997</v>
      </c>
      <c r="CH316" s="2">
        <f t="shared" si="645"/>
        <v>1060.5</v>
      </c>
      <c r="CI316" s="2"/>
      <c r="CJ316" s="2">
        <f t="shared" si="646"/>
        <v>1060.5</v>
      </c>
      <c r="CK316" s="2"/>
      <c r="CL316" s="2">
        <f t="shared" si="647"/>
        <v>1060.5</v>
      </c>
      <c r="CM316" s="2"/>
      <c r="CN316" s="2">
        <f t="shared" si="648"/>
        <v>1060.5</v>
      </c>
      <c r="CO316" s="2"/>
      <c r="CP316" s="2">
        <f t="shared" si="649"/>
        <v>1060.5</v>
      </c>
      <c r="CQ316" s="2"/>
      <c r="CR316" s="2">
        <f t="shared" si="650"/>
        <v>1060.5</v>
      </c>
      <c r="CS316" s="2"/>
      <c r="CT316" s="2">
        <f t="shared" si="620"/>
        <v>1060.5</v>
      </c>
      <c r="CU316" s="2"/>
      <c r="CV316" s="2">
        <f t="shared" si="620"/>
        <v>1060.5</v>
      </c>
      <c r="CW316" s="2"/>
      <c r="CX316" s="2">
        <f t="shared" si="620"/>
        <v>1060.5</v>
      </c>
      <c r="CY316" s="2"/>
      <c r="CZ316" s="2">
        <f t="shared" si="620"/>
        <v>1060.5</v>
      </c>
      <c r="DA316" s="2"/>
      <c r="DB316" s="2">
        <f t="shared" si="620"/>
        <v>1060.5</v>
      </c>
      <c r="DC316" s="2"/>
      <c r="DD316" s="2">
        <f t="shared" si="620"/>
        <v>1060.5</v>
      </c>
      <c r="DE316" s="2"/>
      <c r="DF316" s="2">
        <f t="shared" si="620"/>
        <v>1060.5</v>
      </c>
      <c r="DG316" s="2"/>
      <c r="DH316" s="2">
        <f t="shared" si="620"/>
        <v>1060.5</v>
      </c>
      <c r="DI316" s="2"/>
      <c r="DJ316" s="2">
        <f t="shared" si="621"/>
        <v>1060.5</v>
      </c>
      <c r="DK316" s="2"/>
      <c r="DL316" s="2">
        <f t="shared" si="621"/>
        <v>1060.5</v>
      </c>
      <c r="DM316" s="2"/>
      <c r="DN316" s="2">
        <f t="shared" si="621"/>
        <v>1060.5</v>
      </c>
      <c r="DO316" s="2"/>
      <c r="DP316" s="2">
        <f t="shared" si="621"/>
        <v>1060.5</v>
      </c>
      <c r="DQ316" s="2"/>
      <c r="DR316" s="2">
        <f t="shared" si="621"/>
        <v>1060.5</v>
      </c>
      <c r="DS316" s="2"/>
      <c r="DT316" s="2">
        <f t="shared" si="651"/>
        <v>1060.5</v>
      </c>
      <c r="DU316" s="2"/>
      <c r="DV316" s="2">
        <f t="shared" si="652"/>
        <v>1060.5</v>
      </c>
      <c r="DW316" s="149">
        <f t="shared" si="619"/>
        <v>1060.5</v>
      </c>
      <c r="DX316" s="494">
        <f t="shared" si="653"/>
        <v>0</v>
      </c>
    </row>
    <row r="317" spans="1:128">
      <c r="A317" s="450">
        <v>15</v>
      </c>
      <c r="B317" s="450" t="s">
        <v>858</v>
      </c>
      <c r="C317" s="467" t="s">
        <v>581</v>
      </c>
      <c r="D317" s="468"/>
      <c r="E317" s="469">
        <v>20768</v>
      </c>
      <c r="F317" s="470" t="s">
        <v>921</v>
      </c>
      <c r="G317" s="443">
        <v>43428</v>
      </c>
      <c r="H317" s="443">
        <f t="shared" si="622"/>
        <v>47080</v>
      </c>
      <c r="I317" s="267">
        <v>10</v>
      </c>
      <c r="J317" s="267">
        <f t="shared" si="623"/>
        <v>128</v>
      </c>
      <c r="K317" s="267">
        <f t="shared" si="654"/>
        <v>237</v>
      </c>
      <c r="L317" s="433"/>
      <c r="M317" s="433"/>
      <c r="N317" s="436"/>
      <c r="O317" s="436"/>
      <c r="P317" s="439"/>
      <c r="Q317" s="436"/>
      <c r="R317" s="436"/>
      <c r="S317" s="433"/>
      <c r="T317" s="436"/>
      <c r="U317" s="436"/>
      <c r="V317" s="433"/>
      <c r="W317" s="436"/>
      <c r="X317" s="436"/>
      <c r="Y317" s="433"/>
      <c r="Z317" s="436"/>
      <c r="AA317" s="436"/>
      <c r="AB317" s="433"/>
      <c r="AC317" s="436"/>
      <c r="AD317" s="436"/>
      <c r="AE317" s="436"/>
      <c r="AF317" s="436"/>
      <c r="AG317" s="436"/>
      <c r="AH317" s="436"/>
      <c r="AI317" s="439"/>
      <c r="AJ317" s="436"/>
      <c r="AK317" s="440">
        <f t="shared" si="624"/>
        <v>0.2588655508930523</v>
      </c>
      <c r="AL317" s="2"/>
      <c r="AM317" s="433"/>
      <c r="AN317" s="436"/>
      <c r="AO317" s="436"/>
      <c r="AP317" s="436"/>
      <c r="AQ317" s="436"/>
      <c r="AR317" s="436"/>
      <c r="AS317" s="436"/>
      <c r="AT317" s="2"/>
      <c r="AU317" s="2"/>
      <c r="AV317" s="2"/>
      <c r="AW317" s="2"/>
      <c r="AX317" s="2"/>
      <c r="AY317" s="2"/>
      <c r="AZ317" s="433"/>
      <c r="BA317" s="2"/>
      <c r="BB317" s="2"/>
      <c r="BC317" s="2"/>
      <c r="BD317" s="433"/>
      <c r="BE317" s="439"/>
      <c r="BF317" s="433"/>
      <c r="BG317" s="149"/>
      <c r="BH317" s="2"/>
      <c r="BI317" s="2">
        <f t="shared" si="625"/>
        <v>1885</v>
      </c>
      <c r="BJ317" s="2">
        <f t="shared" si="626"/>
        <v>18883</v>
      </c>
      <c r="BK317" s="2">
        <f t="shared" si="627"/>
        <v>4888</v>
      </c>
      <c r="BL317" s="2">
        <f t="shared" si="616"/>
        <v>13995</v>
      </c>
      <c r="BM317" s="2"/>
      <c r="BN317" s="2">
        <f t="shared" si="617"/>
        <v>13995</v>
      </c>
      <c r="BO317" s="2">
        <f t="shared" si="628"/>
        <v>3623</v>
      </c>
      <c r="BP317" s="2">
        <f t="shared" si="629"/>
        <v>10372</v>
      </c>
      <c r="BQ317" s="2"/>
      <c r="BR317" s="2">
        <f t="shared" si="618"/>
        <v>10372</v>
      </c>
      <c r="BS317" s="2">
        <f t="shared" si="630"/>
        <v>2685</v>
      </c>
      <c r="BT317" s="2">
        <f t="shared" si="631"/>
        <v>7687</v>
      </c>
      <c r="BU317" s="2">
        <f t="shared" si="632"/>
        <v>1990</v>
      </c>
      <c r="BV317" s="2">
        <f t="shared" si="633"/>
        <v>5697</v>
      </c>
      <c r="BW317" s="2">
        <f t="shared" si="634"/>
        <v>1475</v>
      </c>
      <c r="BX317" s="2">
        <f t="shared" si="635"/>
        <v>4222</v>
      </c>
      <c r="BY317" s="2">
        <f t="shared" si="636"/>
        <v>1093</v>
      </c>
      <c r="BZ317" s="2">
        <f t="shared" si="637"/>
        <v>3129</v>
      </c>
      <c r="CA317" s="2">
        <f t="shared" si="638"/>
        <v>810</v>
      </c>
      <c r="CB317" s="2">
        <f t="shared" si="639"/>
        <v>2319</v>
      </c>
      <c r="CC317" s="2">
        <f t="shared" si="640"/>
        <v>600</v>
      </c>
      <c r="CD317" s="2">
        <f t="shared" si="641"/>
        <v>1719</v>
      </c>
      <c r="CE317" s="2">
        <f t="shared" si="642"/>
        <v>445</v>
      </c>
      <c r="CF317" s="2">
        <f t="shared" si="643"/>
        <v>1274</v>
      </c>
      <c r="CG317" s="317">
        <f t="shared" si="644"/>
        <v>235.59999999999994</v>
      </c>
      <c r="CH317" s="2">
        <f t="shared" si="645"/>
        <v>1038.4000000000001</v>
      </c>
      <c r="CI317" s="2"/>
      <c r="CJ317" s="2">
        <f t="shared" si="646"/>
        <v>1038.4000000000001</v>
      </c>
      <c r="CK317" s="2"/>
      <c r="CL317" s="2">
        <f t="shared" si="647"/>
        <v>1038.4000000000001</v>
      </c>
      <c r="CM317" s="2"/>
      <c r="CN317" s="2">
        <f t="shared" si="648"/>
        <v>1038.4000000000001</v>
      </c>
      <c r="CO317" s="2"/>
      <c r="CP317" s="2">
        <f t="shared" si="649"/>
        <v>1038.4000000000001</v>
      </c>
      <c r="CQ317" s="2"/>
      <c r="CR317" s="2">
        <f t="shared" si="650"/>
        <v>1038.4000000000001</v>
      </c>
      <c r="CS317" s="2"/>
      <c r="CT317" s="2">
        <f t="shared" si="620"/>
        <v>1038.4000000000001</v>
      </c>
      <c r="CU317" s="2"/>
      <c r="CV317" s="2">
        <f t="shared" si="620"/>
        <v>1038.4000000000001</v>
      </c>
      <c r="CW317" s="2"/>
      <c r="CX317" s="2">
        <f t="shared" si="620"/>
        <v>1038.4000000000001</v>
      </c>
      <c r="CY317" s="2"/>
      <c r="CZ317" s="2">
        <f t="shared" si="620"/>
        <v>1038.4000000000001</v>
      </c>
      <c r="DA317" s="2"/>
      <c r="DB317" s="2">
        <f t="shared" si="620"/>
        <v>1038.4000000000001</v>
      </c>
      <c r="DC317" s="2"/>
      <c r="DD317" s="2">
        <f t="shared" si="620"/>
        <v>1038.4000000000001</v>
      </c>
      <c r="DE317" s="2"/>
      <c r="DF317" s="2">
        <f t="shared" si="620"/>
        <v>1038.4000000000001</v>
      </c>
      <c r="DG317" s="2"/>
      <c r="DH317" s="2">
        <f t="shared" si="620"/>
        <v>1038.4000000000001</v>
      </c>
      <c r="DI317" s="2"/>
      <c r="DJ317" s="2">
        <f t="shared" si="621"/>
        <v>1038.4000000000001</v>
      </c>
      <c r="DK317" s="2"/>
      <c r="DL317" s="2">
        <f t="shared" si="621"/>
        <v>1038.4000000000001</v>
      </c>
      <c r="DM317" s="2"/>
      <c r="DN317" s="2">
        <f t="shared" si="621"/>
        <v>1038.4000000000001</v>
      </c>
      <c r="DO317" s="2"/>
      <c r="DP317" s="2">
        <f t="shared" si="621"/>
        <v>1038.4000000000001</v>
      </c>
      <c r="DQ317" s="2"/>
      <c r="DR317" s="2">
        <f t="shared" si="621"/>
        <v>1038.4000000000001</v>
      </c>
      <c r="DS317" s="2"/>
      <c r="DT317" s="2">
        <f t="shared" si="651"/>
        <v>1038.4000000000001</v>
      </c>
      <c r="DU317" s="2"/>
      <c r="DV317" s="2">
        <f t="shared" si="652"/>
        <v>1038.4000000000001</v>
      </c>
      <c r="DW317" s="149">
        <f t="shared" si="619"/>
        <v>1038.4000000000001</v>
      </c>
      <c r="DX317" s="494">
        <f t="shared" si="653"/>
        <v>0</v>
      </c>
    </row>
    <row r="318" spans="1:128">
      <c r="A318" s="450">
        <v>16</v>
      </c>
      <c r="B318" s="450" t="s">
        <v>859</v>
      </c>
      <c r="C318" s="467" t="s">
        <v>581</v>
      </c>
      <c r="D318" s="468"/>
      <c r="E318" s="469">
        <v>54516</v>
      </c>
      <c r="F318" s="470" t="s">
        <v>921</v>
      </c>
      <c r="G318" s="443">
        <v>43448</v>
      </c>
      <c r="H318" s="443">
        <f t="shared" si="622"/>
        <v>47100</v>
      </c>
      <c r="I318" s="267">
        <v>10</v>
      </c>
      <c r="J318" s="267">
        <f t="shared" si="623"/>
        <v>108</v>
      </c>
      <c r="K318" s="267">
        <f t="shared" si="654"/>
        <v>257</v>
      </c>
      <c r="L318" s="433"/>
      <c r="M318" s="433"/>
      <c r="N318" s="436"/>
      <c r="O318" s="436"/>
      <c r="P318" s="439"/>
      <c r="Q318" s="436"/>
      <c r="R318" s="436"/>
      <c r="S318" s="433"/>
      <c r="T318" s="436"/>
      <c r="U318" s="436"/>
      <c r="V318" s="433"/>
      <c r="W318" s="436"/>
      <c r="X318" s="436"/>
      <c r="Y318" s="433"/>
      <c r="Z318" s="436"/>
      <c r="AA318" s="436"/>
      <c r="AB318" s="433"/>
      <c r="AC318" s="436"/>
      <c r="AD318" s="436"/>
      <c r="AE318" s="436"/>
      <c r="AF318" s="436"/>
      <c r="AG318" s="436"/>
      <c r="AH318" s="436"/>
      <c r="AI318" s="439"/>
      <c r="AJ318" s="436"/>
      <c r="AK318" s="440">
        <f t="shared" si="624"/>
        <v>0.2588655508930523</v>
      </c>
      <c r="AL318" s="2"/>
      <c r="AM318" s="433"/>
      <c r="AN318" s="436"/>
      <c r="AO318" s="436"/>
      <c r="AP318" s="436"/>
      <c r="AQ318" s="436"/>
      <c r="AR318" s="436"/>
      <c r="AS318" s="436"/>
      <c r="AT318" s="2"/>
      <c r="AU318" s="2"/>
      <c r="AV318" s="2"/>
      <c r="AW318" s="2"/>
      <c r="AX318" s="2"/>
      <c r="AY318" s="2"/>
      <c r="AZ318" s="433"/>
      <c r="BA318" s="2"/>
      <c r="BB318" s="2"/>
      <c r="BC318" s="2"/>
      <c r="BD318" s="433"/>
      <c r="BE318" s="439"/>
      <c r="BF318" s="433"/>
      <c r="BG318" s="149"/>
      <c r="BH318" s="2"/>
      <c r="BI318" s="2">
        <f t="shared" si="625"/>
        <v>4176</v>
      </c>
      <c r="BJ318" s="2">
        <f t="shared" si="626"/>
        <v>50340</v>
      </c>
      <c r="BK318" s="2">
        <f t="shared" si="627"/>
        <v>13031</v>
      </c>
      <c r="BL318" s="2">
        <f t="shared" si="616"/>
        <v>37309</v>
      </c>
      <c r="BM318" s="2"/>
      <c r="BN318" s="2">
        <f t="shared" si="617"/>
        <v>37309</v>
      </c>
      <c r="BO318" s="2">
        <f t="shared" si="628"/>
        <v>9658</v>
      </c>
      <c r="BP318" s="2">
        <f t="shared" si="629"/>
        <v>27651</v>
      </c>
      <c r="BQ318" s="2"/>
      <c r="BR318" s="2">
        <f t="shared" si="618"/>
        <v>27651</v>
      </c>
      <c r="BS318" s="2">
        <f t="shared" si="630"/>
        <v>7158</v>
      </c>
      <c r="BT318" s="2">
        <f t="shared" si="631"/>
        <v>20493</v>
      </c>
      <c r="BU318" s="2">
        <f t="shared" si="632"/>
        <v>5305</v>
      </c>
      <c r="BV318" s="2">
        <f t="shared" si="633"/>
        <v>15188</v>
      </c>
      <c r="BW318" s="2">
        <f t="shared" si="634"/>
        <v>3932</v>
      </c>
      <c r="BX318" s="2">
        <f t="shared" si="635"/>
        <v>11256</v>
      </c>
      <c r="BY318" s="2">
        <f t="shared" si="636"/>
        <v>2914</v>
      </c>
      <c r="BZ318" s="2">
        <f t="shared" si="637"/>
        <v>8342</v>
      </c>
      <c r="CA318" s="2">
        <f t="shared" si="638"/>
        <v>2159</v>
      </c>
      <c r="CB318" s="2">
        <f t="shared" si="639"/>
        <v>6183</v>
      </c>
      <c r="CC318" s="2">
        <f t="shared" si="640"/>
        <v>1601</v>
      </c>
      <c r="CD318" s="2">
        <f t="shared" si="641"/>
        <v>4582</v>
      </c>
      <c r="CE318" s="2">
        <f t="shared" si="642"/>
        <v>1186</v>
      </c>
      <c r="CF318" s="2">
        <f t="shared" si="643"/>
        <v>3396</v>
      </c>
      <c r="CG318" s="317">
        <f t="shared" si="644"/>
        <v>670.19999999999982</v>
      </c>
      <c r="CH318" s="2">
        <f t="shared" si="645"/>
        <v>2725.8</v>
      </c>
      <c r="CI318" s="2"/>
      <c r="CJ318" s="2">
        <f t="shared" si="646"/>
        <v>2725.8</v>
      </c>
      <c r="CK318" s="2"/>
      <c r="CL318" s="2">
        <f t="shared" si="647"/>
        <v>2725.8</v>
      </c>
      <c r="CM318" s="2"/>
      <c r="CN318" s="2">
        <f t="shared" si="648"/>
        <v>2725.8</v>
      </c>
      <c r="CO318" s="2"/>
      <c r="CP318" s="2">
        <f t="shared" si="649"/>
        <v>2725.8</v>
      </c>
      <c r="CQ318" s="2"/>
      <c r="CR318" s="2">
        <f t="shared" si="650"/>
        <v>2725.8</v>
      </c>
      <c r="CS318" s="2"/>
      <c r="CT318" s="2">
        <f t="shared" si="620"/>
        <v>2725.8</v>
      </c>
      <c r="CU318" s="2"/>
      <c r="CV318" s="2">
        <f t="shared" si="620"/>
        <v>2725.8</v>
      </c>
      <c r="CW318" s="2"/>
      <c r="CX318" s="2">
        <f t="shared" si="620"/>
        <v>2725.8</v>
      </c>
      <c r="CY318" s="2"/>
      <c r="CZ318" s="2">
        <f t="shared" si="620"/>
        <v>2725.8</v>
      </c>
      <c r="DA318" s="2"/>
      <c r="DB318" s="2">
        <f t="shared" si="620"/>
        <v>2725.8</v>
      </c>
      <c r="DC318" s="2"/>
      <c r="DD318" s="2">
        <f t="shared" si="620"/>
        <v>2725.8</v>
      </c>
      <c r="DE318" s="2"/>
      <c r="DF318" s="2">
        <f t="shared" si="620"/>
        <v>2725.8</v>
      </c>
      <c r="DG318" s="2"/>
      <c r="DH318" s="2">
        <f t="shared" si="620"/>
        <v>2725.8</v>
      </c>
      <c r="DI318" s="2"/>
      <c r="DJ318" s="2">
        <f t="shared" si="621"/>
        <v>2725.8</v>
      </c>
      <c r="DK318" s="2"/>
      <c r="DL318" s="2">
        <f t="shared" si="621"/>
        <v>2725.8</v>
      </c>
      <c r="DM318" s="2"/>
      <c r="DN318" s="2">
        <f t="shared" si="621"/>
        <v>2725.8</v>
      </c>
      <c r="DO318" s="2"/>
      <c r="DP318" s="2">
        <f t="shared" si="621"/>
        <v>2725.8</v>
      </c>
      <c r="DQ318" s="2"/>
      <c r="DR318" s="2">
        <f t="shared" si="621"/>
        <v>2725.8</v>
      </c>
      <c r="DS318" s="2"/>
      <c r="DT318" s="2">
        <f t="shared" si="651"/>
        <v>2725.8</v>
      </c>
      <c r="DU318" s="2"/>
      <c r="DV318" s="2">
        <f t="shared" si="652"/>
        <v>2725.8</v>
      </c>
      <c r="DW318" s="149">
        <f t="shared" si="619"/>
        <v>2725.8</v>
      </c>
      <c r="DX318" s="494">
        <f t="shared" si="653"/>
        <v>0</v>
      </c>
    </row>
    <row r="319" spans="1:128">
      <c r="A319" s="450">
        <v>17</v>
      </c>
      <c r="B319" s="450" t="s">
        <v>860</v>
      </c>
      <c r="C319" s="467" t="s">
        <v>581</v>
      </c>
      <c r="D319" s="468"/>
      <c r="E319" s="469">
        <v>95521</v>
      </c>
      <c r="F319" s="470" t="s">
        <v>921</v>
      </c>
      <c r="G319" s="443">
        <v>43465</v>
      </c>
      <c r="H319" s="443">
        <f t="shared" si="622"/>
        <v>47117</v>
      </c>
      <c r="I319" s="267">
        <v>10</v>
      </c>
      <c r="J319" s="267">
        <f t="shared" si="623"/>
        <v>91</v>
      </c>
      <c r="K319" s="267">
        <f t="shared" si="654"/>
        <v>274</v>
      </c>
      <c r="L319" s="433"/>
      <c r="M319" s="433"/>
      <c r="N319" s="436"/>
      <c r="O319" s="436"/>
      <c r="P319" s="439"/>
      <c r="Q319" s="436"/>
      <c r="R319" s="436"/>
      <c r="S319" s="433"/>
      <c r="T319" s="436"/>
      <c r="U319" s="436"/>
      <c r="V319" s="433"/>
      <c r="W319" s="436"/>
      <c r="X319" s="436"/>
      <c r="Y319" s="433"/>
      <c r="Z319" s="436"/>
      <c r="AA319" s="436"/>
      <c r="AB319" s="433"/>
      <c r="AC319" s="436"/>
      <c r="AD319" s="436"/>
      <c r="AE319" s="436"/>
      <c r="AF319" s="436"/>
      <c r="AG319" s="436"/>
      <c r="AH319" s="436"/>
      <c r="AI319" s="439"/>
      <c r="AJ319" s="436"/>
      <c r="AK319" s="440">
        <f t="shared" si="624"/>
        <v>0.2588655508930523</v>
      </c>
      <c r="AL319" s="2"/>
      <c r="AM319" s="433"/>
      <c r="AN319" s="436"/>
      <c r="AO319" s="436"/>
      <c r="AP319" s="436"/>
      <c r="AQ319" s="436"/>
      <c r="AR319" s="436"/>
      <c r="AS319" s="436"/>
      <c r="AT319" s="2"/>
      <c r="AU319" s="2"/>
      <c r="AV319" s="2"/>
      <c r="AW319" s="2"/>
      <c r="AX319" s="2"/>
      <c r="AY319" s="2"/>
      <c r="AZ319" s="433"/>
      <c r="BA319" s="2"/>
      <c r="BB319" s="2"/>
      <c r="BC319" s="2"/>
      <c r="BD319" s="433"/>
      <c r="BE319" s="439"/>
      <c r="BF319" s="433"/>
      <c r="BG319" s="149"/>
      <c r="BH319" s="2"/>
      <c r="BI319" s="2">
        <f t="shared" si="625"/>
        <v>6165</v>
      </c>
      <c r="BJ319" s="2">
        <f t="shared" si="626"/>
        <v>89356</v>
      </c>
      <c r="BK319" s="2">
        <f t="shared" si="627"/>
        <v>23131</v>
      </c>
      <c r="BL319" s="2">
        <f t="shared" si="616"/>
        <v>66225</v>
      </c>
      <c r="BM319" s="2"/>
      <c r="BN319" s="2">
        <f t="shared" si="617"/>
        <v>66225</v>
      </c>
      <c r="BO319" s="2">
        <f t="shared" si="628"/>
        <v>17143</v>
      </c>
      <c r="BP319" s="2">
        <f t="shared" si="629"/>
        <v>49082</v>
      </c>
      <c r="BQ319" s="2"/>
      <c r="BR319" s="2">
        <f t="shared" si="618"/>
        <v>49082</v>
      </c>
      <c r="BS319" s="2">
        <f t="shared" si="630"/>
        <v>12706</v>
      </c>
      <c r="BT319" s="2">
        <f t="shared" si="631"/>
        <v>36376</v>
      </c>
      <c r="BU319" s="2">
        <f t="shared" si="632"/>
        <v>9416</v>
      </c>
      <c r="BV319" s="2">
        <f t="shared" si="633"/>
        <v>26960</v>
      </c>
      <c r="BW319" s="2">
        <f t="shared" si="634"/>
        <v>6979</v>
      </c>
      <c r="BX319" s="2">
        <f t="shared" si="635"/>
        <v>19981</v>
      </c>
      <c r="BY319" s="2">
        <f t="shared" si="636"/>
        <v>5172</v>
      </c>
      <c r="BZ319" s="2">
        <f t="shared" si="637"/>
        <v>14809</v>
      </c>
      <c r="CA319" s="2">
        <f t="shared" si="638"/>
        <v>3834</v>
      </c>
      <c r="CB319" s="2">
        <f t="shared" si="639"/>
        <v>10975</v>
      </c>
      <c r="CC319" s="2">
        <f t="shared" si="640"/>
        <v>2841</v>
      </c>
      <c r="CD319" s="2">
        <f t="shared" si="641"/>
        <v>8134</v>
      </c>
      <c r="CE319" s="2">
        <f t="shared" si="642"/>
        <v>2106</v>
      </c>
      <c r="CF319" s="2">
        <f t="shared" si="643"/>
        <v>6028</v>
      </c>
      <c r="CG319" s="317">
        <f t="shared" si="644"/>
        <v>1251.9499999999996</v>
      </c>
      <c r="CH319" s="2">
        <f t="shared" si="645"/>
        <v>4776.05</v>
      </c>
      <c r="CI319" s="2"/>
      <c r="CJ319" s="2">
        <f t="shared" si="646"/>
        <v>4776.05</v>
      </c>
      <c r="CK319" s="2"/>
      <c r="CL319" s="2">
        <f t="shared" si="647"/>
        <v>4776.05</v>
      </c>
      <c r="CM319" s="2"/>
      <c r="CN319" s="2">
        <f t="shared" si="648"/>
        <v>4776.05</v>
      </c>
      <c r="CO319" s="2"/>
      <c r="CP319" s="2">
        <f t="shared" si="649"/>
        <v>4776.05</v>
      </c>
      <c r="CQ319" s="2"/>
      <c r="CR319" s="2">
        <f t="shared" si="650"/>
        <v>4776.05</v>
      </c>
      <c r="CS319" s="2"/>
      <c r="CT319" s="2">
        <f t="shared" si="620"/>
        <v>4776.05</v>
      </c>
      <c r="CU319" s="2"/>
      <c r="CV319" s="2">
        <f t="shared" si="620"/>
        <v>4776.05</v>
      </c>
      <c r="CW319" s="2"/>
      <c r="CX319" s="2">
        <f t="shared" si="620"/>
        <v>4776.05</v>
      </c>
      <c r="CY319" s="2"/>
      <c r="CZ319" s="2">
        <f t="shared" si="620"/>
        <v>4776.05</v>
      </c>
      <c r="DA319" s="2"/>
      <c r="DB319" s="2">
        <f t="shared" si="620"/>
        <v>4776.05</v>
      </c>
      <c r="DC319" s="2"/>
      <c r="DD319" s="2">
        <f t="shared" si="620"/>
        <v>4776.05</v>
      </c>
      <c r="DE319" s="2"/>
      <c r="DF319" s="2">
        <f t="shared" si="620"/>
        <v>4776.05</v>
      </c>
      <c r="DG319" s="2"/>
      <c r="DH319" s="2">
        <f t="shared" si="620"/>
        <v>4776.05</v>
      </c>
      <c r="DI319" s="2"/>
      <c r="DJ319" s="2">
        <f t="shared" si="621"/>
        <v>4776.05</v>
      </c>
      <c r="DK319" s="2"/>
      <c r="DL319" s="2">
        <f t="shared" si="621"/>
        <v>4776.05</v>
      </c>
      <c r="DM319" s="2"/>
      <c r="DN319" s="2">
        <f t="shared" si="621"/>
        <v>4776.05</v>
      </c>
      <c r="DO319" s="2"/>
      <c r="DP319" s="2">
        <f t="shared" si="621"/>
        <v>4776.05</v>
      </c>
      <c r="DQ319" s="2"/>
      <c r="DR319" s="2">
        <f t="shared" si="621"/>
        <v>4776.05</v>
      </c>
      <c r="DS319" s="2"/>
      <c r="DT319" s="2">
        <f t="shared" si="651"/>
        <v>4776.05</v>
      </c>
      <c r="DU319" s="2"/>
      <c r="DV319" s="2">
        <f t="shared" si="652"/>
        <v>4776.05</v>
      </c>
      <c r="DW319" s="149">
        <f t="shared" si="619"/>
        <v>4776.05</v>
      </c>
      <c r="DX319" s="494">
        <f t="shared" si="653"/>
        <v>0</v>
      </c>
    </row>
    <row r="320" spans="1:128">
      <c r="A320" s="450">
        <v>18</v>
      </c>
      <c r="B320" s="450" t="s">
        <v>861</v>
      </c>
      <c r="C320" s="467" t="s">
        <v>581</v>
      </c>
      <c r="D320" s="468"/>
      <c r="E320" s="469">
        <v>166468.5</v>
      </c>
      <c r="F320" s="470" t="s">
        <v>921</v>
      </c>
      <c r="G320" s="443">
        <v>43465</v>
      </c>
      <c r="H320" s="443">
        <f t="shared" si="622"/>
        <v>47117</v>
      </c>
      <c r="I320" s="267">
        <v>10</v>
      </c>
      <c r="J320" s="267">
        <f t="shared" si="623"/>
        <v>91</v>
      </c>
      <c r="K320" s="267">
        <f t="shared" si="654"/>
        <v>274</v>
      </c>
      <c r="L320" s="433"/>
      <c r="M320" s="433"/>
      <c r="N320" s="436"/>
      <c r="O320" s="436"/>
      <c r="P320" s="439"/>
      <c r="Q320" s="436"/>
      <c r="R320" s="436"/>
      <c r="S320" s="433"/>
      <c r="T320" s="436"/>
      <c r="U320" s="436"/>
      <c r="V320" s="433"/>
      <c r="W320" s="436"/>
      <c r="X320" s="436"/>
      <c r="Y320" s="433"/>
      <c r="Z320" s="436"/>
      <c r="AA320" s="436"/>
      <c r="AB320" s="433"/>
      <c r="AC320" s="436"/>
      <c r="AD320" s="436"/>
      <c r="AE320" s="436"/>
      <c r="AF320" s="436"/>
      <c r="AG320" s="436"/>
      <c r="AH320" s="436"/>
      <c r="AI320" s="439"/>
      <c r="AJ320" s="436"/>
      <c r="AK320" s="440">
        <f t="shared" si="624"/>
        <v>0.2588655508930523</v>
      </c>
      <c r="AL320" s="2"/>
      <c r="AM320" s="433"/>
      <c r="AN320" s="436"/>
      <c r="AO320" s="436"/>
      <c r="AP320" s="436"/>
      <c r="AQ320" s="436"/>
      <c r="AR320" s="436"/>
      <c r="AS320" s="436"/>
      <c r="AT320" s="2"/>
      <c r="AU320" s="2"/>
      <c r="AV320" s="2"/>
      <c r="AW320" s="2"/>
      <c r="AX320" s="2"/>
      <c r="AY320" s="2"/>
      <c r="AZ320" s="433"/>
      <c r="BA320" s="2"/>
      <c r="BB320" s="2"/>
      <c r="BC320" s="2"/>
      <c r="BD320" s="433"/>
      <c r="BE320" s="439"/>
      <c r="BF320" s="433"/>
      <c r="BG320" s="149"/>
      <c r="BH320" s="2"/>
      <c r="BI320" s="2">
        <f t="shared" si="625"/>
        <v>10744</v>
      </c>
      <c r="BJ320" s="2">
        <f t="shared" si="626"/>
        <v>155724.5</v>
      </c>
      <c r="BK320" s="2">
        <f t="shared" si="627"/>
        <v>40312</v>
      </c>
      <c r="BL320" s="2">
        <f t="shared" si="616"/>
        <v>115412.5</v>
      </c>
      <c r="BM320" s="2"/>
      <c r="BN320" s="2">
        <f t="shared" si="617"/>
        <v>115412.5</v>
      </c>
      <c r="BO320" s="2">
        <f t="shared" si="628"/>
        <v>29876</v>
      </c>
      <c r="BP320" s="2">
        <f t="shared" si="629"/>
        <v>85536.5</v>
      </c>
      <c r="BQ320" s="2"/>
      <c r="BR320" s="2">
        <f t="shared" si="618"/>
        <v>85536.5</v>
      </c>
      <c r="BS320" s="2">
        <f t="shared" si="630"/>
        <v>22142</v>
      </c>
      <c r="BT320" s="2">
        <f t="shared" si="631"/>
        <v>63394.5</v>
      </c>
      <c r="BU320" s="2">
        <f t="shared" si="632"/>
        <v>16411</v>
      </c>
      <c r="BV320" s="2">
        <f t="shared" si="633"/>
        <v>46983.5</v>
      </c>
      <c r="BW320" s="2">
        <f t="shared" si="634"/>
        <v>12162</v>
      </c>
      <c r="BX320" s="2">
        <f t="shared" si="635"/>
        <v>34821.5</v>
      </c>
      <c r="BY320" s="2">
        <f t="shared" si="636"/>
        <v>9014</v>
      </c>
      <c r="BZ320" s="2">
        <f t="shared" si="637"/>
        <v>25807.5</v>
      </c>
      <c r="CA320" s="2">
        <f t="shared" si="638"/>
        <v>6681</v>
      </c>
      <c r="CB320" s="2">
        <f t="shared" si="639"/>
        <v>19126.5</v>
      </c>
      <c r="CC320" s="2">
        <f t="shared" si="640"/>
        <v>4951</v>
      </c>
      <c r="CD320" s="2">
        <f t="shared" si="641"/>
        <v>14175.5</v>
      </c>
      <c r="CE320" s="2">
        <f t="shared" si="642"/>
        <v>3670</v>
      </c>
      <c r="CF320" s="2">
        <f t="shared" si="643"/>
        <v>10505.5</v>
      </c>
      <c r="CG320" s="317">
        <f t="shared" si="644"/>
        <v>2182.0749999999994</v>
      </c>
      <c r="CH320" s="2">
        <f t="shared" si="645"/>
        <v>8323.4250000000011</v>
      </c>
      <c r="CI320" s="2"/>
      <c r="CJ320" s="2">
        <f t="shared" si="646"/>
        <v>8323.4250000000011</v>
      </c>
      <c r="CK320" s="2"/>
      <c r="CL320" s="2">
        <f t="shared" si="647"/>
        <v>8323.4250000000011</v>
      </c>
      <c r="CM320" s="2"/>
      <c r="CN320" s="2">
        <f t="shared" si="648"/>
        <v>8323.4250000000011</v>
      </c>
      <c r="CO320" s="2"/>
      <c r="CP320" s="2">
        <f t="shared" si="649"/>
        <v>8323.4250000000011</v>
      </c>
      <c r="CQ320" s="2"/>
      <c r="CR320" s="2">
        <f t="shared" si="650"/>
        <v>8323.4250000000011</v>
      </c>
      <c r="CS320" s="2"/>
      <c r="CT320" s="2">
        <f t="shared" ref="CT320:CT326" si="655">+CR320-CS320</f>
        <v>8323.4250000000011</v>
      </c>
      <c r="CU320" s="2"/>
      <c r="CV320" s="2">
        <f t="shared" ref="CV320:CV326" si="656">+CT320-CU320</f>
        <v>8323.4250000000011</v>
      </c>
      <c r="CW320" s="2"/>
      <c r="CX320" s="2">
        <f t="shared" ref="CX320:CX326" si="657">+CV320-CW320</f>
        <v>8323.4250000000011</v>
      </c>
      <c r="CY320" s="2"/>
      <c r="CZ320" s="2">
        <f t="shared" ref="CZ320:CZ326" si="658">+CX320-CY320</f>
        <v>8323.4250000000011</v>
      </c>
      <c r="DA320" s="2"/>
      <c r="DB320" s="2">
        <f t="shared" ref="DB320:DB326" si="659">+CZ320-DA320</f>
        <v>8323.4250000000011</v>
      </c>
      <c r="DC320" s="2"/>
      <c r="DD320" s="2">
        <f t="shared" ref="DD320:DD326" si="660">+DB320-DC320</f>
        <v>8323.4250000000011</v>
      </c>
      <c r="DE320" s="2"/>
      <c r="DF320" s="2">
        <f t="shared" ref="DF320:DF326" si="661">+DD320-DE320</f>
        <v>8323.4250000000011</v>
      </c>
      <c r="DG320" s="2"/>
      <c r="DH320" s="2">
        <f t="shared" ref="DH320:DH326" si="662">+DF320-DG320</f>
        <v>8323.4250000000011</v>
      </c>
      <c r="DI320" s="2"/>
      <c r="DJ320" s="2">
        <f t="shared" ref="DJ320:DJ326" si="663">+DH320-DI320</f>
        <v>8323.4250000000011</v>
      </c>
      <c r="DK320" s="2"/>
      <c r="DL320" s="2">
        <f t="shared" ref="DL320:DL326" si="664">+DJ320-DK320</f>
        <v>8323.4250000000011</v>
      </c>
      <c r="DM320" s="2"/>
      <c r="DN320" s="2">
        <f t="shared" ref="DN320:DN326" si="665">+DL320-DM320</f>
        <v>8323.4250000000011</v>
      </c>
      <c r="DO320" s="2"/>
      <c r="DP320" s="2">
        <f t="shared" ref="DP320:DP326" si="666">+DN320-DO320</f>
        <v>8323.4250000000011</v>
      </c>
      <c r="DQ320" s="2"/>
      <c r="DR320" s="2">
        <f t="shared" ref="DR320:DR326" si="667">+DP320-DQ320</f>
        <v>8323.4250000000011</v>
      </c>
      <c r="DS320" s="2"/>
      <c r="DT320" s="2">
        <f t="shared" si="651"/>
        <v>8323.4250000000011</v>
      </c>
      <c r="DU320" s="2"/>
      <c r="DV320" s="2">
        <f t="shared" si="652"/>
        <v>8323.4250000000011</v>
      </c>
      <c r="DW320" s="149">
        <f t="shared" si="619"/>
        <v>8323.4250000000011</v>
      </c>
      <c r="DX320" s="494">
        <f t="shared" si="653"/>
        <v>0</v>
      </c>
    </row>
    <row r="321" spans="1:128">
      <c r="A321" s="450">
        <v>19</v>
      </c>
      <c r="B321" s="450" t="s">
        <v>862</v>
      </c>
      <c r="C321" s="467" t="s">
        <v>581</v>
      </c>
      <c r="D321" s="468"/>
      <c r="E321" s="469">
        <v>133959.5</v>
      </c>
      <c r="F321" s="470" t="s">
        <v>921</v>
      </c>
      <c r="G321" s="443">
        <v>43465</v>
      </c>
      <c r="H321" s="443">
        <f t="shared" si="622"/>
        <v>47117</v>
      </c>
      <c r="I321" s="267">
        <v>10</v>
      </c>
      <c r="J321" s="267">
        <f t="shared" si="623"/>
        <v>91</v>
      </c>
      <c r="K321" s="267">
        <f t="shared" si="654"/>
        <v>274</v>
      </c>
      <c r="L321" s="433"/>
      <c r="M321" s="433"/>
      <c r="N321" s="436"/>
      <c r="O321" s="436"/>
      <c r="P321" s="439"/>
      <c r="Q321" s="436"/>
      <c r="R321" s="436"/>
      <c r="S321" s="433"/>
      <c r="T321" s="436"/>
      <c r="U321" s="436"/>
      <c r="V321" s="433"/>
      <c r="W321" s="436"/>
      <c r="X321" s="436"/>
      <c r="Y321" s="433"/>
      <c r="Z321" s="436"/>
      <c r="AA321" s="436"/>
      <c r="AB321" s="433"/>
      <c r="AC321" s="436"/>
      <c r="AD321" s="436"/>
      <c r="AE321" s="436"/>
      <c r="AF321" s="436"/>
      <c r="AG321" s="436"/>
      <c r="AH321" s="436"/>
      <c r="AI321" s="439"/>
      <c r="AJ321" s="436"/>
      <c r="AK321" s="440">
        <f t="shared" si="624"/>
        <v>0.2588655508930523</v>
      </c>
      <c r="AL321" s="2"/>
      <c r="AM321" s="433"/>
      <c r="AN321" s="436"/>
      <c r="AO321" s="436"/>
      <c r="AP321" s="436"/>
      <c r="AQ321" s="436"/>
      <c r="AR321" s="436"/>
      <c r="AS321" s="436"/>
      <c r="AT321" s="2"/>
      <c r="AU321" s="2"/>
      <c r="AV321" s="2"/>
      <c r="AW321" s="2"/>
      <c r="AX321" s="2"/>
      <c r="AY321" s="2"/>
      <c r="AZ321" s="433"/>
      <c r="BA321" s="2"/>
      <c r="BB321" s="2"/>
      <c r="BC321" s="2"/>
      <c r="BD321" s="433"/>
      <c r="BE321" s="439"/>
      <c r="BF321" s="433"/>
      <c r="BG321" s="149"/>
      <c r="BH321" s="2"/>
      <c r="BI321" s="2">
        <f t="shared" si="625"/>
        <v>8646</v>
      </c>
      <c r="BJ321" s="2">
        <f t="shared" si="626"/>
        <v>125313.5</v>
      </c>
      <c r="BK321" s="2">
        <f t="shared" si="627"/>
        <v>32439</v>
      </c>
      <c r="BL321" s="2">
        <f t="shared" si="616"/>
        <v>92874.5</v>
      </c>
      <c r="BM321" s="2"/>
      <c r="BN321" s="2">
        <f t="shared" si="617"/>
        <v>92874.5</v>
      </c>
      <c r="BO321" s="2">
        <f t="shared" si="628"/>
        <v>24042</v>
      </c>
      <c r="BP321" s="2">
        <f t="shared" si="629"/>
        <v>68832.5</v>
      </c>
      <c r="BQ321" s="2"/>
      <c r="BR321" s="2">
        <f t="shared" si="618"/>
        <v>68832.5</v>
      </c>
      <c r="BS321" s="2">
        <f t="shared" si="630"/>
        <v>17818</v>
      </c>
      <c r="BT321" s="2">
        <f t="shared" si="631"/>
        <v>51014.5</v>
      </c>
      <c r="BU321" s="2">
        <f t="shared" si="632"/>
        <v>13206</v>
      </c>
      <c r="BV321" s="2">
        <f t="shared" si="633"/>
        <v>37808.5</v>
      </c>
      <c r="BW321" s="2">
        <f t="shared" si="634"/>
        <v>9787</v>
      </c>
      <c r="BX321" s="2">
        <f t="shared" si="635"/>
        <v>28021.5</v>
      </c>
      <c r="BY321" s="2">
        <f t="shared" si="636"/>
        <v>7254</v>
      </c>
      <c r="BZ321" s="2">
        <f t="shared" si="637"/>
        <v>20767.5</v>
      </c>
      <c r="CA321" s="2">
        <f t="shared" si="638"/>
        <v>5376</v>
      </c>
      <c r="CB321" s="2">
        <f t="shared" si="639"/>
        <v>15391.5</v>
      </c>
      <c r="CC321" s="2">
        <f t="shared" si="640"/>
        <v>3984</v>
      </c>
      <c r="CD321" s="2">
        <f t="shared" si="641"/>
        <v>11407.5</v>
      </c>
      <c r="CE321" s="2">
        <f t="shared" si="642"/>
        <v>2953</v>
      </c>
      <c r="CF321" s="2">
        <f t="shared" si="643"/>
        <v>8454.5</v>
      </c>
      <c r="CG321" s="317">
        <f t="shared" si="644"/>
        <v>1756.5249999999992</v>
      </c>
      <c r="CH321" s="2">
        <f t="shared" si="645"/>
        <v>6697.9750000000004</v>
      </c>
      <c r="CI321" s="2"/>
      <c r="CJ321" s="2">
        <f t="shared" si="646"/>
        <v>6697.9750000000004</v>
      </c>
      <c r="CK321" s="2"/>
      <c r="CL321" s="2">
        <f t="shared" si="647"/>
        <v>6697.9750000000004</v>
      </c>
      <c r="CM321" s="2"/>
      <c r="CN321" s="2">
        <f t="shared" si="648"/>
        <v>6697.9750000000004</v>
      </c>
      <c r="CO321" s="2"/>
      <c r="CP321" s="2">
        <f t="shared" si="649"/>
        <v>6697.9750000000004</v>
      </c>
      <c r="CQ321" s="2"/>
      <c r="CR321" s="2">
        <f t="shared" si="650"/>
        <v>6697.9750000000004</v>
      </c>
      <c r="CS321" s="2"/>
      <c r="CT321" s="2">
        <f t="shared" si="655"/>
        <v>6697.9750000000004</v>
      </c>
      <c r="CU321" s="2"/>
      <c r="CV321" s="2">
        <f t="shared" si="656"/>
        <v>6697.9750000000004</v>
      </c>
      <c r="CW321" s="2"/>
      <c r="CX321" s="2">
        <f t="shared" si="657"/>
        <v>6697.9750000000004</v>
      </c>
      <c r="CY321" s="2"/>
      <c r="CZ321" s="2">
        <f t="shared" si="658"/>
        <v>6697.9750000000004</v>
      </c>
      <c r="DA321" s="2"/>
      <c r="DB321" s="2">
        <f t="shared" si="659"/>
        <v>6697.9750000000004</v>
      </c>
      <c r="DC321" s="2"/>
      <c r="DD321" s="2">
        <f t="shared" si="660"/>
        <v>6697.9750000000004</v>
      </c>
      <c r="DE321" s="2"/>
      <c r="DF321" s="2">
        <f t="shared" si="661"/>
        <v>6697.9750000000004</v>
      </c>
      <c r="DG321" s="2"/>
      <c r="DH321" s="2">
        <f t="shared" si="662"/>
        <v>6697.9750000000004</v>
      </c>
      <c r="DI321" s="2"/>
      <c r="DJ321" s="2">
        <f t="shared" si="663"/>
        <v>6697.9750000000004</v>
      </c>
      <c r="DK321" s="2"/>
      <c r="DL321" s="2">
        <f t="shared" si="664"/>
        <v>6697.9750000000004</v>
      </c>
      <c r="DM321" s="2"/>
      <c r="DN321" s="2">
        <f t="shared" si="665"/>
        <v>6697.9750000000004</v>
      </c>
      <c r="DO321" s="2"/>
      <c r="DP321" s="2">
        <f t="shared" si="666"/>
        <v>6697.9750000000004</v>
      </c>
      <c r="DQ321" s="2"/>
      <c r="DR321" s="2">
        <f t="shared" si="667"/>
        <v>6697.9750000000004</v>
      </c>
      <c r="DS321" s="2"/>
      <c r="DT321" s="2">
        <f t="shared" si="651"/>
        <v>6697.9750000000004</v>
      </c>
      <c r="DU321" s="2"/>
      <c r="DV321" s="2">
        <f t="shared" si="652"/>
        <v>6697.9750000000004</v>
      </c>
      <c r="DW321" s="149">
        <f t="shared" si="619"/>
        <v>6697.9750000000004</v>
      </c>
      <c r="DX321" s="494">
        <f t="shared" si="653"/>
        <v>0</v>
      </c>
    </row>
    <row r="322" spans="1:128">
      <c r="A322" s="450">
        <v>20</v>
      </c>
      <c r="B322" s="450" t="s">
        <v>863</v>
      </c>
      <c r="C322" s="467" t="s">
        <v>581</v>
      </c>
      <c r="D322" s="468"/>
      <c r="E322" s="469">
        <v>55041</v>
      </c>
      <c r="F322" s="470" t="s">
        <v>921</v>
      </c>
      <c r="G322" s="443">
        <v>43465</v>
      </c>
      <c r="H322" s="443">
        <f t="shared" si="622"/>
        <v>47117</v>
      </c>
      <c r="I322" s="267">
        <v>10</v>
      </c>
      <c r="J322" s="267">
        <f t="shared" si="623"/>
        <v>91</v>
      </c>
      <c r="K322" s="267">
        <f t="shared" si="654"/>
        <v>274</v>
      </c>
      <c r="L322" s="433"/>
      <c r="M322" s="433"/>
      <c r="N322" s="436"/>
      <c r="O322" s="436"/>
      <c r="P322" s="439"/>
      <c r="Q322" s="436"/>
      <c r="R322" s="436"/>
      <c r="S322" s="433"/>
      <c r="T322" s="436"/>
      <c r="U322" s="436"/>
      <c r="V322" s="433"/>
      <c r="W322" s="436"/>
      <c r="X322" s="436"/>
      <c r="Y322" s="433"/>
      <c r="Z322" s="436"/>
      <c r="AA322" s="436"/>
      <c r="AB322" s="433"/>
      <c r="AC322" s="436"/>
      <c r="AD322" s="436"/>
      <c r="AE322" s="436"/>
      <c r="AF322" s="436"/>
      <c r="AG322" s="436"/>
      <c r="AH322" s="436"/>
      <c r="AI322" s="439"/>
      <c r="AJ322" s="436"/>
      <c r="AK322" s="440">
        <f t="shared" si="624"/>
        <v>0.2588655508930523</v>
      </c>
      <c r="AL322" s="2"/>
      <c r="AM322" s="433"/>
      <c r="AN322" s="436"/>
      <c r="AO322" s="436"/>
      <c r="AP322" s="436"/>
      <c r="AQ322" s="436"/>
      <c r="AR322" s="436"/>
      <c r="AS322" s="436"/>
      <c r="AT322" s="2"/>
      <c r="AU322" s="2"/>
      <c r="AV322" s="2"/>
      <c r="AW322" s="2"/>
      <c r="AX322" s="2"/>
      <c r="AY322" s="2"/>
      <c r="AZ322" s="433"/>
      <c r="BA322" s="2"/>
      <c r="BB322" s="2"/>
      <c r="BC322" s="2"/>
      <c r="BD322" s="433"/>
      <c r="BE322" s="439"/>
      <c r="BF322" s="433"/>
      <c r="BG322" s="149"/>
      <c r="BH322" s="2"/>
      <c r="BI322" s="2">
        <f t="shared" si="625"/>
        <v>3552</v>
      </c>
      <c r="BJ322" s="2">
        <f t="shared" si="626"/>
        <v>51489</v>
      </c>
      <c r="BK322" s="2">
        <f t="shared" si="627"/>
        <v>13329</v>
      </c>
      <c r="BL322" s="2">
        <f t="shared" si="616"/>
        <v>38160</v>
      </c>
      <c r="BM322" s="2"/>
      <c r="BN322" s="2">
        <f t="shared" si="617"/>
        <v>38160</v>
      </c>
      <c r="BO322" s="2">
        <f t="shared" si="628"/>
        <v>9878</v>
      </c>
      <c r="BP322" s="2">
        <f t="shared" si="629"/>
        <v>28282</v>
      </c>
      <c r="BQ322" s="2"/>
      <c r="BR322" s="2">
        <f t="shared" si="618"/>
        <v>28282</v>
      </c>
      <c r="BS322" s="2">
        <f t="shared" si="630"/>
        <v>7321</v>
      </c>
      <c r="BT322" s="2">
        <f t="shared" si="631"/>
        <v>20961</v>
      </c>
      <c r="BU322" s="2">
        <f t="shared" si="632"/>
        <v>5426</v>
      </c>
      <c r="BV322" s="2">
        <f t="shared" si="633"/>
        <v>15535</v>
      </c>
      <c r="BW322" s="2">
        <f t="shared" si="634"/>
        <v>4021</v>
      </c>
      <c r="BX322" s="2">
        <f t="shared" si="635"/>
        <v>11514</v>
      </c>
      <c r="BY322" s="2">
        <f t="shared" si="636"/>
        <v>2981</v>
      </c>
      <c r="BZ322" s="2">
        <f t="shared" si="637"/>
        <v>8533</v>
      </c>
      <c r="CA322" s="2">
        <f t="shared" si="638"/>
        <v>2209</v>
      </c>
      <c r="CB322" s="2">
        <f t="shared" si="639"/>
        <v>6324</v>
      </c>
      <c r="CC322" s="2">
        <f t="shared" si="640"/>
        <v>1637</v>
      </c>
      <c r="CD322" s="2">
        <f t="shared" si="641"/>
        <v>4687</v>
      </c>
      <c r="CE322" s="2">
        <f t="shared" si="642"/>
        <v>1213</v>
      </c>
      <c r="CF322" s="2">
        <f t="shared" si="643"/>
        <v>3474</v>
      </c>
      <c r="CG322" s="317">
        <f t="shared" si="644"/>
        <v>721.9499999999997</v>
      </c>
      <c r="CH322" s="2">
        <f t="shared" si="645"/>
        <v>2752.05</v>
      </c>
      <c r="CI322" s="2"/>
      <c r="CJ322" s="2">
        <f t="shared" si="646"/>
        <v>2752.05</v>
      </c>
      <c r="CK322" s="2"/>
      <c r="CL322" s="2">
        <f t="shared" si="647"/>
        <v>2752.05</v>
      </c>
      <c r="CM322" s="2"/>
      <c r="CN322" s="2">
        <f t="shared" si="648"/>
        <v>2752.05</v>
      </c>
      <c r="CO322" s="2"/>
      <c r="CP322" s="2">
        <f t="shared" si="649"/>
        <v>2752.05</v>
      </c>
      <c r="CQ322" s="2"/>
      <c r="CR322" s="2">
        <f t="shared" si="650"/>
        <v>2752.05</v>
      </c>
      <c r="CS322" s="2"/>
      <c r="CT322" s="2">
        <f t="shared" si="655"/>
        <v>2752.05</v>
      </c>
      <c r="CU322" s="2"/>
      <c r="CV322" s="2">
        <f t="shared" si="656"/>
        <v>2752.05</v>
      </c>
      <c r="CW322" s="2"/>
      <c r="CX322" s="2">
        <f t="shared" si="657"/>
        <v>2752.05</v>
      </c>
      <c r="CY322" s="2"/>
      <c r="CZ322" s="2">
        <f t="shared" si="658"/>
        <v>2752.05</v>
      </c>
      <c r="DA322" s="2"/>
      <c r="DB322" s="2">
        <f t="shared" si="659"/>
        <v>2752.05</v>
      </c>
      <c r="DC322" s="2"/>
      <c r="DD322" s="2">
        <f t="shared" si="660"/>
        <v>2752.05</v>
      </c>
      <c r="DE322" s="2"/>
      <c r="DF322" s="2">
        <f t="shared" si="661"/>
        <v>2752.05</v>
      </c>
      <c r="DG322" s="2"/>
      <c r="DH322" s="2">
        <f t="shared" si="662"/>
        <v>2752.05</v>
      </c>
      <c r="DI322" s="2"/>
      <c r="DJ322" s="2">
        <f t="shared" si="663"/>
        <v>2752.05</v>
      </c>
      <c r="DK322" s="2"/>
      <c r="DL322" s="2">
        <f t="shared" si="664"/>
        <v>2752.05</v>
      </c>
      <c r="DM322" s="2"/>
      <c r="DN322" s="2">
        <f t="shared" si="665"/>
        <v>2752.05</v>
      </c>
      <c r="DO322" s="2"/>
      <c r="DP322" s="2">
        <f t="shared" si="666"/>
        <v>2752.05</v>
      </c>
      <c r="DQ322" s="2"/>
      <c r="DR322" s="2">
        <f t="shared" si="667"/>
        <v>2752.05</v>
      </c>
      <c r="DS322" s="2"/>
      <c r="DT322" s="2">
        <f t="shared" si="651"/>
        <v>2752.05</v>
      </c>
      <c r="DU322" s="2"/>
      <c r="DV322" s="2">
        <f t="shared" si="652"/>
        <v>2752.05</v>
      </c>
      <c r="DW322" s="149">
        <f t="shared" si="619"/>
        <v>2752.05</v>
      </c>
      <c r="DX322" s="494">
        <f t="shared" si="653"/>
        <v>0</v>
      </c>
    </row>
    <row r="323" spans="1:128">
      <c r="A323" s="450">
        <v>21</v>
      </c>
      <c r="B323" s="450" t="s">
        <v>864</v>
      </c>
      <c r="C323" s="467" t="s">
        <v>581</v>
      </c>
      <c r="D323" s="468"/>
      <c r="E323" s="469">
        <v>17625</v>
      </c>
      <c r="F323" s="470" t="s">
        <v>921</v>
      </c>
      <c r="G323" s="443">
        <v>43467</v>
      </c>
      <c r="H323" s="443">
        <f t="shared" si="622"/>
        <v>47119</v>
      </c>
      <c r="I323" s="267">
        <v>10</v>
      </c>
      <c r="J323" s="267">
        <f t="shared" si="623"/>
        <v>89</v>
      </c>
      <c r="K323" s="267">
        <f t="shared" si="654"/>
        <v>276</v>
      </c>
      <c r="L323" s="433"/>
      <c r="M323" s="433"/>
      <c r="N323" s="436"/>
      <c r="O323" s="436"/>
      <c r="P323" s="439"/>
      <c r="Q323" s="436"/>
      <c r="R323" s="436"/>
      <c r="S323" s="433"/>
      <c r="T323" s="436"/>
      <c r="U323" s="436"/>
      <c r="V323" s="433"/>
      <c r="W323" s="436"/>
      <c r="X323" s="436"/>
      <c r="Y323" s="433"/>
      <c r="Z323" s="436"/>
      <c r="AA323" s="436"/>
      <c r="AB323" s="433"/>
      <c r="AC323" s="436"/>
      <c r="AD323" s="436"/>
      <c r="AE323" s="436"/>
      <c r="AF323" s="436"/>
      <c r="AG323" s="436"/>
      <c r="AH323" s="436"/>
      <c r="AI323" s="439"/>
      <c r="AJ323" s="436"/>
      <c r="AK323" s="440">
        <f t="shared" si="624"/>
        <v>0.2588655508930523</v>
      </c>
      <c r="AL323" s="2"/>
      <c r="AM323" s="433"/>
      <c r="AN323" s="436"/>
      <c r="AO323" s="436"/>
      <c r="AP323" s="436"/>
      <c r="AQ323" s="436"/>
      <c r="AR323" s="436"/>
      <c r="AS323" s="436"/>
      <c r="AT323" s="2"/>
      <c r="AU323" s="2"/>
      <c r="AV323" s="2"/>
      <c r="AW323" s="2"/>
      <c r="AX323" s="2"/>
      <c r="AY323" s="2"/>
      <c r="AZ323" s="433"/>
      <c r="BA323" s="2"/>
      <c r="BB323" s="2"/>
      <c r="BC323" s="2"/>
      <c r="BD323" s="433"/>
      <c r="BE323" s="439"/>
      <c r="BF323" s="433"/>
      <c r="BG323" s="149"/>
      <c r="BH323" s="2"/>
      <c r="BI323" s="2">
        <f t="shared" si="625"/>
        <v>1113</v>
      </c>
      <c r="BJ323" s="2">
        <f t="shared" si="626"/>
        <v>16512</v>
      </c>
      <c r="BK323" s="2">
        <f t="shared" si="627"/>
        <v>4274</v>
      </c>
      <c r="BL323" s="2">
        <f t="shared" si="616"/>
        <v>12238</v>
      </c>
      <c r="BM323" s="2"/>
      <c r="BN323" s="2">
        <f t="shared" si="617"/>
        <v>12238</v>
      </c>
      <c r="BO323" s="2">
        <f t="shared" si="628"/>
        <v>3168</v>
      </c>
      <c r="BP323" s="2">
        <f t="shared" si="629"/>
        <v>9070</v>
      </c>
      <c r="BQ323" s="2"/>
      <c r="BR323" s="2">
        <f t="shared" si="618"/>
        <v>9070</v>
      </c>
      <c r="BS323" s="2">
        <f t="shared" si="630"/>
        <v>2348</v>
      </c>
      <c r="BT323" s="2">
        <f t="shared" si="631"/>
        <v>6722</v>
      </c>
      <c r="BU323" s="2">
        <f t="shared" si="632"/>
        <v>1740</v>
      </c>
      <c r="BV323" s="2">
        <f t="shared" si="633"/>
        <v>4982</v>
      </c>
      <c r="BW323" s="2">
        <f t="shared" si="634"/>
        <v>1290</v>
      </c>
      <c r="BX323" s="2">
        <f t="shared" si="635"/>
        <v>3692</v>
      </c>
      <c r="BY323" s="2">
        <f t="shared" si="636"/>
        <v>956</v>
      </c>
      <c r="BZ323" s="2">
        <f t="shared" si="637"/>
        <v>2736</v>
      </c>
      <c r="CA323" s="2">
        <f t="shared" si="638"/>
        <v>708</v>
      </c>
      <c r="CB323" s="2">
        <f t="shared" si="639"/>
        <v>2028</v>
      </c>
      <c r="CC323" s="2">
        <f t="shared" si="640"/>
        <v>525</v>
      </c>
      <c r="CD323" s="2">
        <f t="shared" si="641"/>
        <v>1503</v>
      </c>
      <c r="CE323" s="2">
        <f t="shared" si="642"/>
        <v>389</v>
      </c>
      <c r="CF323" s="2">
        <f t="shared" si="643"/>
        <v>1114</v>
      </c>
      <c r="CG323" s="317">
        <f t="shared" si="644"/>
        <v>232.75</v>
      </c>
      <c r="CH323" s="2">
        <f t="shared" si="645"/>
        <v>881.25</v>
      </c>
      <c r="CI323" s="2"/>
      <c r="CJ323" s="2">
        <f t="shared" si="646"/>
        <v>881.25</v>
      </c>
      <c r="CK323" s="2"/>
      <c r="CL323" s="2">
        <f t="shared" si="647"/>
        <v>881.25</v>
      </c>
      <c r="CM323" s="2"/>
      <c r="CN323" s="2">
        <f t="shared" si="648"/>
        <v>881.25</v>
      </c>
      <c r="CO323" s="2"/>
      <c r="CP323" s="2">
        <f t="shared" si="649"/>
        <v>881.25</v>
      </c>
      <c r="CQ323" s="2"/>
      <c r="CR323" s="2">
        <f t="shared" si="650"/>
        <v>881.25</v>
      </c>
      <c r="CS323" s="2"/>
      <c r="CT323" s="2">
        <f t="shared" si="655"/>
        <v>881.25</v>
      </c>
      <c r="CU323" s="2"/>
      <c r="CV323" s="2">
        <f t="shared" si="656"/>
        <v>881.25</v>
      </c>
      <c r="CW323" s="2"/>
      <c r="CX323" s="2">
        <f t="shared" si="657"/>
        <v>881.25</v>
      </c>
      <c r="CY323" s="2"/>
      <c r="CZ323" s="2">
        <f t="shared" si="658"/>
        <v>881.25</v>
      </c>
      <c r="DA323" s="2"/>
      <c r="DB323" s="2">
        <f t="shared" si="659"/>
        <v>881.25</v>
      </c>
      <c r="DC323" s="2"/>
      <c r="DD323" s="2">
        <f t="shared" si="660"/>
        <v>881.25</v>
      </c>
      <c r="DE323" s="2"/>
      <c r="DF323" s="2">
        <f t="shared" si="661"/>
        <v>881.25</v>
      </c>
      <c r="DG323" s="2"/>
      <c r="DH323" s="2">
        <f t="shared" si="662"/>
        <v>881.25</v>
      </c>
      <c r="DI323" s="2"/>
      <c r="DJ323" s="2">
        <f t="shared" si="663"/>
        <v>881.25</v>
      </c>
      <c r="DK323" s="2"/>
      <c r="DL323" s="2">
        <f t="shared" si="664"/>
        <v>881.25</v>
      </c>
      <c r="DM323" s="2"/>
      <c r="DN323" s="2">
        <f t="shared" si="665"/>
        <v>881.25</v>
      </c>
      <c r="DO323" s="2"/>
      <c r="DP323" s="2">
        <f t="shared" si="666"/>
        <v>881.25</v>
      </c>
      <c r="DQ323" s="2"/>
      <c r="DR323" s="2">
        <f t="shared" si="667"/>
        <v>881.25</v>
      </c>
      <c r="DS323" s="2"/>
      <c r="DT323" s="2">
        <f t="shared" si="651"/>
        <v>881.25</v>
      </c>
      <c r="DU323" s="2"/>
      <c r="DV323" s="2">
        <f t="shared" si="652"/>
        <v>881.25</v>
      </c>
      <c r="DW323" s="149">
        <f t="shared" si="619"/>
        <v>881.25</v>
      </c>
      <c r="DX323" s="494">
        <f t="shared" si="653"/>
        <v>0</v>
      </c>
    </row>
    <row r="324" spans="1:128">
      <c r="A324" s="450">
        <v>22</v>
      </c>
      <c r="B324" s="450" t="s">
        <v>865</v>
      </c>
      <c r="C324" s="467" t="s">
        <v>581</v>
      </c>
      <c r="D324" s="468"/>
      <c r="E324" s="469">
        <v>23035</v>
      </c>
      <c r="F324" s="470" t="s">
        <v>921</v>
      </c>
      <c r="G324" s="443">
        <v>43469</v>
      </c>
      <c r="H324" s="443">
        <f t="shared" si="622"/>
        <v>47121</v>
      </c>
      <c r="I324" s="267">
        <v>10</v>
      </c>
      <c r="J324" s="267">
        <f t="shared" si="623"/>
        <v>87</v>
      </c>
      <c r="K324" s="267">
        <f t="shared" si="654"/>
        <v>278</v>
      </c>
      <c r="L324" s="433"/>
      <c r="M324" s="433"/>
      <c r="N324" s="436"/>
      <c r="O324" s="436"/>
      <c r="P324" s="439"/>
      <c r="Q324" s="436"/>
      <c r="R324" s="436"/>
      <c r="S324" s="433"/>
      <c r="T324" s="436"/>
      <c r="U324" s="436"/>
      <c r="V324" s="433"/>
      <c r="W324" s="436"/>
      <c r="X324" s="436"/>
      <c r="Y324" s="433"/>
      <c r="Z324" s="436"/>
      <c r="AA324" s="436"/>
      <c r="AB324" s="433"/>
      <c r="AC324" s="436"/>
      <c r="AD324" s="436"/>
      <c r="AE324" s="436"/>
      <c r="AF324" s="436"/>
      <c r="AG324" s="436"/>
      <c r="AH324" s="436"/>
      <c r="AI324" s="439"/>
      <c r="AJ324" s="436"/>
      <c r="AK324" s="440">
        <f t="shared" si="624"/>
        <v>0.2588655508930523</v>
      </c>
      <c r="AL324" s="2"/>
      <c r="AM324" s="433"/>
      <c r="AN324" s="436"/>
      <c r="AO324" s="436"/>
      <c r="AP324" s="436"/>
      <c r="AQ324" s="436"/>
      <c r="AR324" s="436"/>
      <c r="AS324" s="436"/>
      <c r="AT324" s="2"/>
      <c r="AU324" s="2"/>
      <c r="AV324" s="2"/>
      <c r="AW324" s="2"/>
      <c r="AX324" s="2"/>
      <c r="AY324" s="2"/>
      <c r="AZ324" s="433"/>
      <c r="BA324" s="2"/>
      <c r="BB324" s="2"/>
      <c r="BC324" s="2"/>
      <c r="BD324" s="433"/>
      <c r="BE324" s="439"/>
      <c r="BF324" s="433"/>
      <c r="BG324" s="149"/>
      <c r="BH324" s="2"/>
      <c r="BI324" s="2">
        <f t="shared" si="625"/>
        <v>1421</v>
      </c>
      <c r="BJ324" s="2">
        <f t="shared" si="626"/>
        <v>21614</v>
      </c>
      <c r="BK324" s="2">
        <f t="shared" si="627"/>
        <v>5595</v>
      </c>
      <c r="BL324" s="2">
        <f t="shared" si="616"/>
        <v>16019</v>
      </c>
      <c r="BM324" s="2"/>
      <c r="BN324" s="2">
        <f t="shared" si="617"/>
        <v>16019</v>
      </c>
      <c r="BO324" s="2">
        <f t="shared" si="628"/>
        <v>4147</v>
      </c>
      <c r="BP324" s="2">
        <f t="shared" si="629"/>
        <v>11872</v>
      </c>
      <c r="BQ324" s="2"/>
      <c r="BR324" s="2">
        <f t="shared" si="618"/>
        <v>11872</v>
      </c>
      <c r="BS324" s="2">
        <f t="shared" si="630"/>
        <v>3073</v>
      </c>
      <c r="BT324" s="2">
        <f t="shared" si="631"/>
        <v>8799</v>
      </c>
      <c r="BU324" s="2">
        <f t="shared" si="632"/>
        <v>2278</v>
      </c>
      <c r="BV324" s="2">
        <f t="shared" si="633"/>
        <v>6521</v>
      </c>
      <c r="BW324" s="2">
        <f t="shared" si="634"/>
        <v>1688</v>
      </c>
      <c r="BX324" s="2">
        <f t="shared" si="635"/>
        <v>4833</v>
      </c>
      <c r="BY324" s="2">
        <f t="shared" si="636"/>
        <v>1251</v>
      </c>
      <c r="BZ324" s="2">
        <f t="shared" si="637"/>
        <v>3582</v>
      </c>
      <c r="CA324" s="2">
        <f t="shared" si="638"/>
        <v>927</v>
      </c>
      <c r="CB324" s="2">
        <f t="shared" si="639"/>
        <v>2655</v>
      </c>
      <c r="CC324" s="2">
        <f t="shared" si="640"/>
        <v>687</v>
      </c>
      <c r="CD324" s="2">
        <f t="shared" si="641"/>
        <v>1968</v>
      </c>
      <c r="CE324" s="2">
        <f t="shared" si="642"/>
        <v>509</v>
      </c>
      <c r="CF324" s="2">
        <f t="shared" si="643"/>
        <v>1459</v>
      </c>
      <c r="CG324" s="317">
        <f t="shared" si="644"/>
        <v>307.25000000000006</v>
      </c>
      <c r="CH324" s="2">
        <f t="shared" si="645"/>
        <v>1151.75</v>
      </c>
      <c r="CI324" s="2"/>
      <c r="CJ324" s="2">
        <f t="shared" si="646"/>
        <v>1151.75</v>
      </c>
      <c r="CK324" s="2"/>
      <c r="CL324" s="2">
        <f t="shared" si="647"/>
        <v>1151.75</v>
      </c>
      <c r="CM324" s="2"/>
      <c r="CN324" s="2">
        <f t="shared" si="648"/>
        <v>1151.75</v>
      </c>
      <c r="CO324" s="2"/>
      <c r="CP324" s="2">
        <f t="shared" si="649"/>
        <v>1151.75</v>
      </c>
      <c r="CQ324" s="2"/>
      <c r="CR324" s="2">
        <f t="shared" si="650"/>
        <v>1151.75</v>
      </c>
      <c r="CS324" s="2"/>
      <c r="CT324" s="2">
        <f t="shared" si="655"/>
        <v>1151.75</v>
      </c>
      <c r="CU324" s="2"/>
      <c r="CV324" s="2">
        <f t="shared" si="656"/>
        <v>1151.75</v>
      </c>
      <c r="CW324" s="2"/>
      <c r="CX324" s="2">
        <f t="shared" si="657"/>
        <v>1151.75</v>
      </c>
      <c r="CY324" s="2"/>
      <c r="CZ324" s="2">
        <f t="shared" si="658"/>
        <v>1151.75</v>
      </c>
      <c r="DA324" s="2"/>
      <c r="DB324" s="2">
        <f t="shared" si="659"/>
        <v>1151.75</v>
      </c>
      <c r="DC324" s="2"/>
      <c r="DD324" s="2">
        <f t="shared" si="660"/>
        <v>1151.75</v>
      </c>
      <c r="DE324" s="2"/>
      <c r="DF324" s="2">
        <f t="shared" si="661"/>
        <v>1151.75</v>
      </c>
      <c r="DG324" s="2"/>
      <c r="DH324" s="2">
        <f t="shared" si="662"/>
        <v>1151.75</v>
      </c>
      <c r="DI324" s="2"/>
      <c r="DJ324" s="2">
        <f t="shared" si="663"/>
        <v>1151.75</v>
      </c>
      <c r="DK324" s="2"/>
      <c r="DL324" s="2">
        <f t="shared" si="664"/>
        <v>1151.75</v>
      </c>
      <c r="DM324" s="2"/>
      <c r="DN324" s="2">
        <f t="shared" si="665"/>
        <v>1151.75</v>
      </c>
      <c r="DO324" s="2"/>
      <c r="DP324" s="2">
        <f t="shared" si="666"/>
        <v>1151.75</v>
      </c>
      <c r="DQ324" s="2"/>
      <c r="DR324" s="2">
        <f t="shared" si="667"/>
        <v>1151.75</v>
      </c>
      <c r="DS324" s="2"/>
      <c r="DT324" s="2">
        <f t="shared" si="651"/>
        <v>1151.75</v>
      </c>
      <c r="DU324" s="2"/>
      <c r="DV324" s="2">
        <f t="shared" si="652"/>
        <v>1151.75</v>
      </c>
      <c r="DW324" s="149">
        <f t="shared" si="619"/>
        <v>1151.75</v>
      </c>
      <c r="DX324" s="494">
        <f t="shared" si="653"/>
        <v>0</v>
      </c>
    </row>
    <row r="325" spans="1:128">
      <c r="A325" s="450">
        <v>23</v>
      </c>
      <c r="B325" s="450" t="s">
        <v>866</v>
      </c>
      <c r="C325" s="467" t="s">
        <v>581</v>
      </c>
      <c r="D325" s="468"/>
      <c r="E325" s="469">
        <v>187672</v>
      </c>
      <c r="F325" s="470" t="s">
        <v>921</v>
      </c>
      <c r="G325" s="443">
        <v>43554</v>
      </c>
      <c r="H325" s="443">
        <f t="shared" si="622"/>
        <v>47206</v>
      </c>
      <c r="I325" s="267">
        <v>10</v>
      </c>
      <c r="J325" s="267">
        <f t="shared" si="623"/>
        <v>2</v>
      </c>
      <c r="K325" s="267">
        <f t="shared" si="654"/>
        <v>363</v>
      </c>
      <c r="L325" s="433"/>
      <c r="M325" s="433"/>
      <c r="N325" s="436"/>
      <c r="O325" s="436"/>
      <c r="P325" s="439"/>
      <c r="Q325" s="436"/>
      <c r="R325" s="436"/>
      <c r="S325" s="433"/>
      <c r="T325" s="436"/>
      <c r="U325" s="436"/>
      <c r="V325" s="433"/>
      <c r="W325" s="436"/>
      <c r="X325" s="436"/>
      <c r="Y325" s="433"/>
      <c r="Z325" s="436"/>
      <c r="AA325" s="436"/>
      <c r="AB325" s="433"/>
      <c r="AC325" s="436"/>
      <c r="AD325" s="436"/>
      <c r="AE325" s="436"/>
      <c r="AF325" s="436"/>
      <c r="AG325" s="436"/>
      <c r="AH325" s="436"/>
      <c r="AI325" s="439"/>
      <c r="AJ325" s="436"/>
      <c r="AK325" s="440">
        <f t="shared" si="624"/>
        <v>0.2588655508930523</v>
      </c>
      <c r="AL325" s="2"/>
      <c r="AM325" s="433"/>
      <c r="AN325" s="436"/>
      <c r="AO325" s="436"/>
      <c r="AP325" s="436"/>
      <c r="AQ325" s="436"/>
      <c r="AR325" s="436"/>
      <c r="AS325" s="436"/>
      <c r="AT325" s="2"/>
      <c r="AU325" s="2"/>
      <c r="AV325" s="2"/>
      <c r="AW325" s="2"/>
      <c r="AX325" s="2"/>
      <c r="AY325" s="2"/>
      <c r="AZ325" s="433"/>
      <c r="BA325" s="2"/>
      <c r="BB325" s="2"/>
      <c r="BC325" s="2"/>
      <c r="BD325" s="433"/>
      <c r="BE325" s="439"/>
      <c r="BF325" s="433"/>
      <c r="BG325" s="149"/>
      <c r="BH325" s="2"/>
      <c r="BI325" s="2">
        <f t="shared" si="625"/>
        <v>266</v>
      </c>
      <c r="BJ325" s="2">
        <f t="shared" si="626"/>
        <v>187406</v>
      </c>
      <c r="BK325" s="2">
        <f t="shared" si="627"/>
        <v>48513</v>
      </c>
      <c r="BL325" s="2">
        <f t="shared" si="616"/>
        <v>138893</v>
      </c>
      <c r="BM325" s="2"/>
      <c r="BN325" s="2">
        <f t="shared" si="617"/>
        <v>138893</v>
      </c>
      <c r="BO325" s="2">
        <f t="shared" si="628"/>
        <v>35955</v>
      </c>
      <c r="BP325" s="2">
        <f t="shared" si="629"/>
        <v>102938</v>
      </c>
      <c r="BQ325" s="2"/>
      <c r="BR325" s="2">
        <f t="shared" si="618"/>
        <v>102938</v>
      </c>
      <c r="BS325" s="2">
        <f t="shared" si="630"/>
        <v>26647</v>
      </c>
      <c r="BT325" s="2">
        <f t="shared" si="631"/>
        <v>76291</v>
      </c>
      <c r="BU325" s="2">
        <f t="shared" si="632"/>
        <v>19749</v>
      </c>
      <c r="BV325" s="2">
        <f t="shared" si="633"/>
        <v>56542</v>
      </c>
      <c r="BW325" s="2">
        <f t="shared" si="634"/>
        <v>14637</v>
      </c>
      <c r="BX325" s="2">
        <f t="shared" si="635"/>
        <v>41905</v>
      </c>
      <c r="BY325" s="2">
        <f t="shared" si="636"/>
        <v>10848</v>
      </c>
      <c r="BZ325" s="2">
        <f t="shared" si="637"/>
        <v>31057</v>
      </c>
      <c r="CA325" s="2">
        <f t="shared" si="638"/>
        <v>8040</v>
      </c>
      <c r="CB325" s="2">
        <f t="shared" si="639"/>
        <v>23017</v>
      </c>
      <c r="CC325" s="2">
        <f t="shared" si="640"/>
        <v>5958</v>
      </c>
      <c r="CD325" s="2">
        <f t="shared" si="641"/>
        <v>17059</v>
      </c>
      <c r="CE325" s="2">
        <f t="shared" si="642"/>
        <v>4416</v>
      </c>
      <c r="CF325" s="2">
        <f t="shared" si="643"/>
        <v>12643</v>
      </c>
      <c r="CG325" s="317">
        <f t="shared" si="644"/>
        <v>3259.3999999999996</v>
      </c>
      <c r="CH325" s="2">
        <f t="shared" si="645"/>
        <v>9383.6</v>
      </c>
      <c r="CI325" s="2"/>
      <c r="CJ325" s="2">
        <f t="shared" si="646"/>
        <v>9383.6</v>
      </c>
      <c r="CK325" s="2"/>
      <c r="CL325" s="2">
        <f t="shared" si="647"/>
        <v>9383.6</v>
      </c>
      <c r="CM325" s="2"/>
      <c r="CN325" s="2">
        <f t="shared" si="648"/>
        <v>9383.6</v>
      </c>
      <c r="CO325" s="2"/>
      <c r="CP325" s="2">
        <f t="shared" si="649"/>
        <v>9383.6</v>
      </c>
      <c r="CQ325" s="2"/>
      <c r="CR325" s="2">
        <f t="shared" si="650"/>
        <v>9383.6</v>
      </c>
      <c r="CS325" s="2"/>
      <c r="CT325" s="2">
        <f t="shared" si="655"/>
        <v>9383.6</v>
      </c>
      <c r="CU325" s="2"/>
      <c r="CV325" s="2">
        <f t="shared" si="656"/>
        <v>9383.6</v>
      </c>
      <c r="CW325" s="2"/>
      <c r="CX325" s="2">
        <f t="shared" si="657"/>
        <v>9383.6</v>
      </c>
      <c r="CY325" s="2"/>
      <c r="CZ325" s="2">
        <f t="shared" si="658"/>
        <v>9383.6</v>
      </c>
      <c r="DA325" s="2"/>
      <c r="DB325" s="2">
        <f t="shared" si="659"/>
        <v>9383.6</v>
      </c>
      <c r="DC325" s="2"/>
      <c r="DD325" s="2">
        <f t="shared" si="660"/>
        <v>9383.6</v>
      </c>
      <c r="DE325" s="2"/>
      <c r="DF325" s="2">
        <f t="shared" si="661"/>
        <v>9383.6</v>
      </c>
      <c r="DG325" s="2"/>
      <c r="DH325" s="2">
        <f t="shared" si="662"/>
        <v>9383.6</v>
      </c>
      <c r="DI325" s="2"/>
      <c r="DJ325" s="2">
        <f t="shared" si="663"/>
        <v>9383.6</v>
      </c>
      <c r="DK325" s="2"/>
      <c r="DL325" s="2">
        <f t="shared" si="664"/>
        <v>9383.6</v>
      </c>
      <c r="DM325" s="2"/>
      <c r="DN325" s="2">
        <f t="shared" si="665"/>
        <v>9383.6</v>
      </c>
      <c r="DO325" s="2"/>
      <c r="DP325" s="2">
        <f t="shared" si="666"/>
        <v>9383.6</v>
      </c>
      <c r="DQ325" s="2"/>
      <c r="DR325" s="2">
        <f t="shared" si="667"/>
        <v>9383.6</v>
      </c>
      <c r="DS325" s="2"/>
      <c r="DT325" s="2">
        <f t="shared" si="651"/>
        <v>9383.6</v>
      </c>
      <c r="DU325" s="2"/>
      <c r="DV325" s="2">
        <f t="shared" si="652"/>
        <v>9383.6</v>
      </c>
      <c r="DW325" s="149">
        <f t="shared" si="619"/>
        <v>9383.6</v>
      </c>
      <c r="DX325" s="494">
        <f t="shared" si="653"/>
        <v>0</v>
      </c>
    </row>
    <row r="326" spans="1:128">
      <c r="A326" s="450">
        <v>24</v>
      </c>
      <c r="B326" s="450"/>
      <c r="C326" s="467" t="s">
        <v>581</v>
      </c>
      <c r="D326" s="468"/>
      <c r="E326" s="469">
        <v>22000</v>
      </c>
      <c r="F326" s="470" t="s">
        <v>1080</v>
      </c>
      <c r="G326" s="443">
        <v>43698</v>
      </c>
      <c r="H326" s="443">
        <f t="shared" si="622"/>
        <v>47350</v>
      </c>
      <c r="I326" s="267">
        <v>10</v>
      </c>
      <c r="J326" s="267">
        <f>IF(($BK$6-$G326+1)&gt;365,365,($BK$6-$G326+1))</f>
        <v>224</v>
      </c>
      <c r="K326" s="267">
        <f t="shared" si="654"/>
        <v>141</v>
      </c>
      <c r="L326" s="433"/>
      <c r="M326" s="433"/>
      <c r="N326" s="436"/>
      <c r="O326" s="436"/>
      <c r="P326" s="439"/>
      <c r="Q326" s="436"/>
      <c r="R326" s="436"/>
      <c r="S326" s="433"/>
      <c r="T326" s="436"/>
      <c r="U326" s="436"/>
      <c r="V326" s="433"/>
      <c r="W326" s="436"/>
      <c r="X326" s="436"/>
      <c r="Y326" s="433"/>
      <c r="Z326" s="436"/>
      <c r="AA326" s="436"/>
      <c r="AB326" s="433"/>
      <c r="AC326" s="436"/>
      <c r="AD326" s="436"/>
      <c r="AE326" s="436"/>
      <c r="AF326" s="436"/>
      <c r="AG326" s="436"/>
      <c r="AH326" s="436"/>
      <c r="AI326" s="439">
        <v>10</v>
      </c>
      <c r="AJ326" s="436">
        <v>10</v>
      </c>
      <c r="AK326" s="440">
        <f t="shared" si="624"/>
        <v>0.2588655508930523</v>
      </c>
      <c r="AL326" s="2"/>
      <c r="AM326" s="433"/>
      <c r="AN326" s="436"/>
      <c r="AO326" s="436"/>
      <c r="AP326" s="436"/>
      <c r="AQ326" s="436"/>
      <c r="AR326" s="436"/>
      <c r="AS326" s="436"/>
      <c r="AT326" s="2"/>
      <c r="AU326" s="2"/>
      <c r="AV326" s="2"/>
      <c r="AW326" s="2"/>
      <c r="AX326" s="2"/>
      <c r="AY326" s="2"/>
      <c r="AZ326" s="433"/>
      <c r="BA326" s="2"/>
      <c r="BB326" s="2"/>
      <c r="BC326" s="2"/>
      <c r="BD326" s="433"/>
      <c r="BE326" s="439"/>
      <c r="BF326" s="433"/>
      <c r="BG326" s="149"/>
      <c r="BH326" s="2"/>
      <c r="BI326" s="2"/>
      <c r="BJ326" s="2"/>
      <c r="BK326" s="2">
        <f>+ROUND((E326*J326*AK326)/365,0)</f>
        <v>3495</v>
      </c>
      <c r="BL326" s="331">
        <f>+E326-BK326</f>
        <v>18505</v>
      </c>
      <c r="BM326" s="331"/>
      <c r="BN326" s="2">
        <f t="shared" si="617"/>
        <v>18505</v>
      </c>
      <c r="BO326" s="2">
        <f t="shared" si="628"/>
        <v>4790</v>
      </c>
      <c r="BP326" s="2">
        <f t="shared" si="629"/>
        <v>13715</v>
      </c>
      <c r="BQ326" s="2"/>
      <c r="BR326" s="2">
        <f t="shared" si="618"/>
        <v>13715</v>
      </c>
      <c r="BS326" s="2">
        <f>ROUND(+BP326*$AK326,0)</f>
        <v>3550</v>
      </c>
      <c r="BT326" s="2">
        <f>+BP326-BS326</f>
        <v>10165</v>
      </c>
      <c r="BU326" s="2">
        <f>ROUND(+BT326*$AK326,0)</f>
        <v>2631</v>
      </c>
      <c r="BV326" s="2">
        <f>+BT326-BU326</f>
        <v>7534</v>
      </c>
      <c r="BW326" s="2">
        <f>ROUND(+BV326*$AK326,0)</f>
        <v>1950</v>
      </c>
      <c r="BX326" s="2">
        <f>+BV326-BW326</f>
        <v>5584</v>
      </c>
      <c r="BY326" s="2">
        <f>ROUND(+BX326*$AK326,0)</f>
        <v>1446</v>
      </c>
      <c r="BZ326" s="2">
        <f>+BX326-BY326</f>
        <v>4138</v>
      </c>
      <c r="CA326" s="2">
        <f>ROUND(+BZ326*$AK326,0)</f>
        <v>1071</v>
      </c>
      <c r="CB326" s="2">
        <f>+BZ326-CA326</f>
        <v>3067</v>
      </c>
      <c r="CC326" s="2">
        <f>ROUND(+CB326*$AK326,0)</f>
        <v>794</v>
      </c>
      <c r="CD326" s="2">
        <f>+CB326-CC326</f>
        <v>2273</v>
      </c>
      <c r="CE326" s="2">
        <f>ROUND(+CD326*$AK326,0)</f>
        <v>588</v>
      </c>
      <c r="CF326" s="2">
        <f>+CD326-CE326</f>
        <v>1685</v>
      </c>
      <c r="CG326" s="2">
        <f>ROUND(+CF326*$AK326,0)</f>
        <v>436</v>
      </c>
      <c r="CH326" s="2">
        <f>+CF326-CG326</f>
        <v>1249</v>
      </c>
      <c r="CI326" s="2">
        <f>+CH326-CJ326</f>
        <v>149</v>
      </c>
      <c r="CJ326" s="2">
        <f>+E326*5%</f>
        <v>1100</v>
      </c>
      <c r="CK326" s="2">
        <v>0</v>
      </c>
      <c r="CL326" s="2">
        <f t="shared" si="647"/>
        <v>1100</v>
      </c>
      <c r="CM326" s="2">
        <v>0</v>
      </c>
      <c r="CN326" s="2">
        <f t="shared" si="648"/>
        <v>1100</v>
      </c>
      <c r="CO326" s="2">
        <v>0</v>
      </c>
      <c r="CP326" s="2">
        <f t="shared" si="649"/>
        <v>1100</v>
      </c>
      <c r="CQ326" s="2">
        <v>0</v>
      </c>
      <c r="CR326" s="2">
        <f t="shared" si="650"/>
        <v>1100</v>
      </c>
      <c r="CS326" s="2">
        <v>0</v>
      </c>
      <c r="CT326" s="2">
        <f t="shared" si="655"/>
        <v>1100</v>
      </c>
      <c r="CU326" s="2">
        <v>0</v>
      </c>
      <c r="CV326" s="2">
        <f t="shared" si="656"/>
        <v>1100</v>
      </c>
      <c r="CW326" s="2">
        <v>0</v>
      </c>
      <c r="CX326" s="2">
        <f t="shared" si="657"/>
        <v>1100</v>
      </c>
      <c r="CY326" s="2">
        <v>0</v>
      </c>
      <c r="CZ326" s="2">
        <f t="shared" si="658"/>
        <v>1100</v>
      </c>
      <c r="DA326" s="2">
        <v>0</v>
      </c>
      <c r="DB326" s="2">
        <f t="shared" si="659"/>
        <v>1100</v>
      </c>
      <c r="DC326" s="2">
        <v>0</v>
      </c>
      <c r="DD326" s="2">
        <f t="shared" si="660"/>
        <v>1100</v>
      </c>
      <c r="DE326" s="2">
        <v>0</v>
      </c>
      <c r="DF326" s="2">
        <f t="shared" si="661"/>
        <v>1100</v>
      </c>
      <c r="DG326" s="2">
        <v>0</v>
      </c>
      <c r="DH326" s="2">
        <f t="shared" si="662"/>
        <v>1100</v>
      </c>
      <c r="DI326" s="2">
        <v>0</v>
      </c>
      <c r="DJ326" s="2">
        <f t="shared" si="663"/>
        <v>1100</v>
      </c>
      <c r="DK326" s="2">
        <v>0</v>
      </c>
      <c r="DL326" s="2">
        <f t="shared" si="664"/>
        <v>1100</v>
      </c>
      <c r="DM326" s="2">
        <v>0</v>
      </c>
      <c r="DN326" s="2">
        <f t="shared" si="665"/>
        <v>1100</v>
      </c>
      <c r="DO326" s="2">
        <v>0</v>
      </c>
      <c r="DP326" s="2">
        <f t="shared" si="666"/>
        <v>1100</v>
      </c>
      <c r="DQ326" s="2">
        <v>0</v>
      </c>
      <c r="DR326" s="2">
        <f t="shared" si="667"/>
        <v>1100</v>
      </c>
      <c r="DS326" s="2">
        <v>0</v>
      </c>
      <c r="DT326" s="2">
        <f t="shared" si="651"/>
        <v>1100</v>
      </c>
      <c r="DU326" s="2">
        <v>0</v>
      </c>
      <c r="DV326" s="2">
        <f t="shared" si="652"/>
        <v>1100</v>
      </c>
      <c r="DW326" s="149">
        <f>+E326*5%</f>
        <v>1100</v>
      </c>
      <c r="DX326" s="494">
        <f t="shared" si="653"/>
        <v>0</v>
      </c>
    </row>
    <row r="327" spans="1:128">
      <c r="A327" s="450">
        <v>25</v>
      </c>
      <c r="B327" s="450"/>
      <c r="C327" s="467" t="s">
        <v>581</v>
      </c>
      <c r="D327" s="468"/>
      <c r="E327" s="469">
        <v>8800</v>
      </c>
      <c r="F327" s="470" t="s">
        <v>1080</v>
      </c>
      <c r="G327" s="443">
        <v>43794</v>
      </c>
      <c r="H327" s="443">
        <f t="shared" si="622"/>
        <v>47446</v>
      </c>
      <c r="I327" s="267">
        <v>10</v>
      </c>
      <c r="J327" s="267">
        <f>IF(($BK$6-$G327+1)&gt;365,365,($BK$6-$G327+1))</f>
        <v>128</v>
      </c>
      <c r="K327" s="267">
        <f t="shared" si="654"/>
        <v>237</v>
      </c>
      <c r="L327" s="433"/>
      <c r="M327" s="433"/>
      <c r="N327" s="436"/>
      <c r="O327" s="436"/>
      <c r="P327" s="439"/>
      <c r="Q327" s="436"/>
      <c r="R327" s="436"/>
      <c r="S327" s="433"/>
      <c r="T327" s="436"/>
      <c r="U327" s="436"/>
      <c r="V327" s="433"/>
      <c r="W327" s="436"/>
      <c r="X327" s="436"/>
      <c r="Y327" s="433"/>
      <c r="Z327" s="436"/>
      <c r="AA327" s="436"/>
      <c r="AB327" s="433"/>
      <c r="AC327" s="436"/>
      <c r="AD327" s="436"/>
      <c r="AE327" s="436"/>
      <c r="AF327" s="436"/>
      <c r="AG327" s="436"/>
      <c r="AH327" s="436"/>
      <c r="AI327" s="439">
        <v>10</v>
      </c>
      <c r="AJ327" s="436">
        <v>10</v>
      </c>
      <c r="AK327" s="440">
        <f t="shared" si="624"/>
        <v>0.2588655508930523</v>
      </c>
      <c r="AL327" s="2"/>
      <c r="AM327" s="433"/>
      <c r="AN327" s="436"/>
      <c r="AO327" s="436"/>
      <c r="AP327" s="436"/>
      <c r="AQ327" s="436"/>
      <c r="AR327" s="436"/>
      <c r="AS327" s="436"/>
      <c r="AT327" s="2"/>
      <c r="AU327" s="2"/>
      <c r="AV327" s="2"/>
      <c r="AW327" s="2"/>
      <c r="AX327" s="2"/>
      <c r="AY327" s="2"/>
      <c r="AZ327" s="433"/>
      <c r="BA327" s="2"/>
      <c r="BB327" s="2"/>
      <c r="BC327" s="2"/>
      <c r="BD327" s="433"/>
      <c r="BE327" s="439"/>
      <c r="BF327" s="433"/>
      <c r="BG327" s="149"/>
      <c r="BH327" s="2"/>
      <c r="BI327" s="2"/>
      <c r="BJ327" s="2"/>
      <c r="BK327" s="2">
        <f>+ROUND((E327*J327*AK327)/365,0)</f>
        <v>799</v>
      </c>
      <c r="BL327" s="331">
        <f>+E327-BK327</f>
        <v>8001</v>
      </c>
      <c r="BM327" s="331"/>
      <c r="BN327" s="2">
        <f t="shared" si="617"/>
        <v>8001</v>
      </c>
      <c r="BO327" s="2">
        <f>ROUND(+BL327*$AK327,0)</f>
        <v>2071</v>
      </c>
      <c r="BP327" s="2">
        <f>+BL327-BO327</f>
        <v>5930</v>
      </c>
      <c r="BQ327" s="2"/>
      <c r="BR327" s="2">
        <f t="shared" si="618"/>
        <v>5930</v>
      </c>
      <c r="BS327" s="2">
        <f>ROUND(+BP327*$AK327,0)</f>
        <v>1535</v>
      </c>
      <c r="BT327" s="2">
        <f>+BP327-BS327</f>
        <v>4395</v>
      </c>
      <c r="BU327" s="2">
        <f>ROUND(+BT327*$AK327,0)</f>
        <v>1138</v>
      </c>
      <c r="BV327" s="2">
        <f>+BT327-BU327</f>
        <v>3257</v>
      </c>
      <c r="BW327" s="2">
        <f>ROUND(+BV327*$AK327,0)</f>
        <v>843</v>
      </c>
      <c r="BX327" s="2">
        <f>+BV327-BW327</f>
        <v>2414</v>
      </c>
      <c r="BY327" s="2">
        <f>ROUND(+BX327*$AK327,0)</f>
        <v>625</v>
      </c>
      <c r="BZ327" s="2">
        <f>+BX327-BY327</f>
        <v>1789</v>
      </c>
      <c r="CA327" s="2">
        <f>ROUND(+BZ327*$AK327,0)</f>
        <v>463</v>
      </c>
      <c r="CB327" s="2">
        <f>+BZ327-CA327</f>
        <v>1326</v>
      </c>
      <c r="CC327" s="2">
        <f>ROUND(+CB327*$AK327,0)</f>
        <v>343</v>
      </c>
      <c r="CD327" s="2">
        <f>+CB327-CC327</f>
        <v>983</v>
      </c>
      <c r="CE327" s="2">
        <f>ROUND(+CD327*$AK327,0)</f>
        <v>254</v>
      </c>
      <c r="CF327" s="2">
        <f>+CD327-CE327</f>
        <v>729</v>
      </c>
      <c r="CG327" s="2">
        <f>ROUND(+CF327*$AK327,0)</f>
        <v>189</v>
      </c>
      <c r="CH327" s="2">
        <f>+CF327-CG327</f>
        <v>540</v>
      </c>
      <c r="CI327" s="2">
        <f>+CH327-CJ327</f>
        <v>100</v>
      </c>
      <c r="CJ327" s="2">
        <f>+E327*5%</f>
        <v>440</v>
      </c>
      <c r="CK327" s="2">
        <v>0</v>
      </c>
      <c r="CL327" s="2">
        <f>+CJ327-CK327</f>
        <v>440</v>
      </c>
      <c r="CM327" s="2">
        <v>0</v>
      </c>
      <c r="CN327" s="2">
        <f>+CL327-CM327</f>
        <v>440</v>
      </c>
      <c r="CO327" s="2">
        <v>0</v>
      </c>
      <c r="CP327" s="2">
        <f>+CN327-CO327</f>
        <v>440</v>
      </c>
      <c r="CQ327" s="2">
        <v>0</v>
      </c>
      <c r="CR327" s="2">
        <f>+CP327-CQ327</f>
        <v>440</v>
      </c>
      <c r="CS327" s="2">
        <v>0</v>
      </c>
      <c r="CT327" s="2">
        <f>+CR327-CS327</f>
        <v>440</v>
      </c>
      <c r="CU327" s="2">
        <v>0</v>
      </c>
      <c r="CV327" s="2">
        <f>+CT327-CU327</f>
        <v>440</v>
      </c>
      <c r="CW327" s="2">
        <v>0</v>
      </c>
      <c r="CX327" s="2">
        <f>+CV327-CW327</f>
        <v>440</v>
      </c>
      <c r="CY327" s="2">
        <v>0</v>
      </c>
      <c r="CZ327" s="2">
        <f>+CX327-CY327</f>
        <v>440</v>
      </c>
      <c r="DA327" s="2">
        <v>0</v>
      </c>
      <c r="DB327" s="2">
        <f>+CZ327-DA327</f>
        <v>440</v>
      </c>
      <c r="DC327" s="2">
        <v>0</v>
      </c>
      <c r="DD327" s="2">
        <f>+DB327-DC327</f>
        <v>440</v>
      </c>
      <c r="DE327" s="2">
        <v>0</v>
      </c>
      <c r="DF327" s="2">
        <f>+DD327-DE327</f>
        <v>440</v>
      </c>
      <c r="DG327" s="2">
        <v>0</v>
      </c>
      <c r="DH327" s="2">
        <f>+DF327-DG327</f>
        <v>440</v>
      </c>
      <c r="DI327" s="2">
        <v>0</v>
      </c>
      <c r="DJ327" s="2">
        <f>+DH327-DI327</f>
        <v>440</v>
      </c>
      <c r="DK327" s="2">
        <v>0</v>
      </c>
      <c r="DL327" s="2">
        <f>+DJ327-DK327</f>
        <v>440</v>
      </c>
      <c r="DM327" s="2">
        <v>0</v>
      </c>
      <c r="DN327" s="2">
        <f>+DL327-DM327</f>
        <v>440</v>
      </c>
      <c r="DO327" s="2">
        <v>0</v>
      </c>
      <c r="DP327" s="2">
        <f>+DN327-DO327</f>
        <v>440</v>
      </c>
      <c r="DQ327" s="2">
        <v>0</v>
      </c>
      <c r="DR327" s="2">
        <f>+DP327-DQ327</f>
        <v>440</v>
      </c>
      <c r="DS327" s="2">
        <v>0</v>
      </c>
      <c r="DT327" s="2">
        <f>+DR327-DS327</f>
        <v>440</v>
      </c>
      <c r="DU327" s="2">
        <v>0</v>
      </c>
      <c r="DV327" s="2">
        <f>+DT327-DU327</f>
        <v>440</v>
      </c>
      <c r="DW327" s="149">
        <f>+E327*5%</f>
        <v>440</v>
      </c>
      <c r="DX327" s="494">
        <f>+DW327-DV327</f>
        <v>0</v>
      </c>
    </row>
    <row r="328" spans="1:128">
      <c r="A328" s="450">
        <v>26</v>
      </c>
      <c r="B328" s="450" t="str">
        <f>'FA Additions'!C30</f>
        <v>Steel Almirah</v>
      </c>
      <c r="C328" s="467" t="s">
        <v>581</v>
      </c>
      <c r="D328" s="496"/>
      <c r="E328" s="497">
        <f>'FA Additions'!F30</f>
        <v>41450</v>
      </c>
      <c r="F328" s="498" t="s">
        <v>1392</v>
      </c>
      <c r="G328" s="499">
        <f>'FA Additions'!E30</f>
        <v>44585</v>
      </c>
      <c r="H328" s="443">
        <f t="shared" si="622"/>
        <v>48236</v>
      </c>
      <c r="I328" s="267">
        <v>10</v>
      </c>
      <c r="J328" s="267">
        <f>IF(($BS$6-$G328+1)&gt;365,365,($BS$6-$G328+1))</f>
        <v>67</v>
      </c>
      <c r="K328" s="268"/>
      <c r="L328" s="487"/>
      <c r="M328" s="487"/>
      <c r="N328" s="500"/>
      <c r="O328" s="500"/>
      <c r="P328" s="501"/>
      <c r="Q328" s="500"/>
      <c r="R328" s="500"/>
      <c r="S328" s="487"/>
      <c r="T328" s="500"/>
      <c r="U328" s="500"/>
      <c r="V328" s="487"/>
      <c r="W328" s="500"/>
      <c r="X328" s="500"/>
      <c r="Y328" s="487"/>
      <c r="Z328" s="500"/>
      <c r="AA328" s="500"/>
      <c r="AB328" s="487"/>
      <c r="AC328" s="500"/>
      <c r="AD328" s="500"/>
      <c r="AE328" s="500"/>
      <c r="AF328" s="500"/>
      <c r="AG328" s="500"/>
      <c r="AH328" s="500"/>
      <c r="AI328" s="501"/>
      <c r="AJ328" s="500"/>
      <c r="AK328" s="440">
        <f t="shared" si="624"/>
        <v>0.2588655508930523</v>
      </c>
      <c r="AL328" s="314"/>
      <c r="AM328" s="487"/>
      <c r="AN328" s="500"/>
      <c r="AO328" s="500"/>
      <c r="AP328" s="500"/>
      <c r="AQ328" s="500"/>
      <c r="AR328" s="500"/>
      <c r="AS328" s="500"/>
      <c r="AT328" s="314"/>
      <c r="AU328" s="314"/>
      <c r="AV328" s="314"/>
      <c r="AW328" s="314"/>
      <c r="AX328" s="314"/>
      <c r="AY328" s="314"/>
      <c r="AZ328" s="487"/>
      <c r="BA328" s="314"/>
      <c r="BB328" s="314"/>
      <c r="BC328" s="314"/>
      <c r="BD328" s="487"/>
      <c r="BE328" s="501"/>
      <c r="BF328" s="487"/>
      <c r="BG328" s="315"/>
      <c r="BH328" s="314"/>
      <c r="BI328" s="314"/>
      <c r="BJ328" s="314"/>
      <c r="BK328" s="314"/>
      <c r="BL328" s="314"/>
      <c r="BM328" s="314"/>
      <c r="BN328" s="314"/>
      <c r="BO328" s="314"/>
      <c r="BP328" s="314"/>
      <c r="BQ328" s="314"/>
      <c r="BR328" s="314"/>
      <c r="BS328" s="314">
        <f>E328*AK328*J328/365</f>
        <v>1969.6122319524386</v>
      </c>
      <c r="BT328" s="331">
        <f>+E328-BS328</f>
        <v>39480.387768047563</v>
      </c>
      <c r="BU328" s="2">
        <f>ROUND(+BT328*$AK328,0)</f>
        <v>10220</v>
      </c>
      <c r="BV328" s="2">
        <f>+BT328-BU328</f>
        <v>29260.387768047563</v>
      </c>
      <c r="BW328" s="2">
        <f>ROUND(+BV328*$AK328,0)</f>
        <v>7575</v>
      </c>
      <c r="BX328" s="2">
        <f>+BV328-BW328</f>
        <v>21685.387768047563</v>
      </c>
      <c r="BY328" s="314"/>
      <c r="BZ328" s="314"/>
      <c r="CA328" s="314"/>
      <c r="CB328" s="314"/>
      <c r="CC328" s="314"/>
      <c r="CD328" s="314"/>
      <c r="CE328" s="314"/>
      <c r="CF328" s="314"/>
      <c r="CG328" s="318"/>
      <c r="CH328" s="314"/>
      <c r="CI328" s="314"/>
      <c r="CJ328" s="314"/>
      <c r="CK328" s="314"/>
      <c r="CL328" s="314"/>
      <c r="CM328" s="314"/>
      <c r="CN328" s="314"/>
      <c r="CO328" s="314"/>
      <c r="CP328" s="314"/>
      <c r="CQ328" s="314"/>
      <c r="CR328" s="314"/>
      <c r="CS328" s="314"/>
      <c r="CT328" s="314"/>
      <c r="CU328" s="314"/>
      <c r="CV328" s="314"/>
      <c r="CW328" s="314"/>
      <c r="CX328" s="314"/>
      <c r="CY328" s="314"/>
      <c r="CZ328" s="314"/>
      <c r="DA328" s="314"/>
      <c r="DB328" s="314"/>
      <c r="DC328" s="314"/>
      <c r="DD328" s="314"/>
      <c r="DE328" s="314"/>
      <c r="DF328" s="314"/>
      <c r="DG328" s="314"/>
      <c r="DH328" s="314"/>
      <c r="DI328" s="314"/>
      <c r="DJ328" s="314"/>
      <c r="DK328" s="314"/>
      <c r="DL328" s="314"/>
      <c r="DM328" s="314"/>
      <c r="DN328" s="314"/>
      <c r="DO328" s="314"/>
      <c r="DP328" s="314"/>
      <c r="DQ328" s="314"/>
      <c r="DR328" s="314"/>
      <c r="DS328" s="314"/>
      <c r="DT328" s="314"/>
      <c r="DU328" s="314"/>
      <c r="DV328" s="314"/>
      <c r="DW328" s="315"/>
      <c r="DX328" s="503"/>
    </row>
    <row r="329" spans="1:128">
      <c r="A329" s="450"/>
      <c r="B329" s="450"/>
      <c r="C329" s="495"/>
      <c r="D329" s="496"/>
      <c r="E329" s="497"/>
      <c r="F329" s="498"/>
      <c r="G329" s="499"/>
      <c r="H329" s="499"/>
      <c r="I329" s="268"/>
      <c r="J329" s="268"/>
      <c r="K329" s="268"/>
      <c r="L329" s="487"/>
      <c r="M329" s="487"/>
      <c r="N329" s="500"/>
      <c r="O329" s="500"/>
      <c r="P329" s="501"/>
      <c r="Q329" s="500"/>
      <c r="R329" s="500"/>
      <c r="S329" s="487"/>
      <c r="T329" s="500"/>
      <c r="U329" s="500"/>
      <c r="V329" s="487"/>
      <c r="W329" s="500"/>
      <c r="X329" s="500"/>
      <c r="Y329" s="487"/>
      <c r="Z329" s="500"/>
      <c r="AA329" s="500"/>
      <c r="AB329" s="487"/>
      <c r="AC329" s="500"/>
      <c r="AD329" s="500"/>
      <c r="AE329" s="500"/>
      <c r="AF329" s="500"/>
      <c r="AG329" s="500"/>
      <c r="AH329" s="500"/>
      <c r="AI329" s="501"/>
      <c r="AJ329" s="500"/>
      <c r="AK329" s="502"/>
      <c r="AL329" s="314"/>
      <c r="AM329" s="487"/>
      <c r="AN329" s="500"/>
      <c r="AO329" s="500"/>
      <c r="AP329" s="500"/>
      <c r="AQ329" s="500"/>
      <c r="AR329" s="500"/>
      <c r="AS329" s="500"/>
      <c r="AT329" s="314"/>
      <c r="AU329" s="314"/>
      <c r="AV329" s="314"/>
      <c r="AW329" s="314"/>
      <c r="AX329" s="314"/>
      <c r="AY329" s="314"/>
      <c r="AZ329" s="487"/>
      <c r="BA329" s="314"/>
      <c r="BB329" s="314"/>
      <c r="BC329" s="314"/>
      <c r="BD329" s="487"/>
      <c r="BE329" s="501"/>
      <c r="BF329" s="487"/>
      <c r="BG329" s="315"/>
      <c r="BH329" s="314"/>
      <c r="BI329" s="314"/>
      <c r="BJ329" s="314"/>
      <c r="BK329" s="314"/>
      <c r="BL329" s="314"/>
      <c r="BM329" s="314"/>
      <c r="BN329" s="314"/>
      <c r="BO329" s="314"/>
      <c r="BP329" s="314"/>
      <c r="BQ329" s="314"/>
      <c r="BR329" s="314"/>
      <c r="BS329" s="314"/>
      <c r="BT329" s="314"/>
      <c r="BU329" s="314"/>
      <c r="BV329" s="314"/>
      <c r="BW329" s="314"/>
      <c r="BX329" s="314"/>
      <c r="BY329" s="314"/>
      <c r="BZ329" s="314"/>
      <c r="CA329" s="314"/>
      <c r="CB329" s="314"/>
      <c r="CC329" s="314"/>
      <c r="CD329" s="314"/>
      <c r="CE329" s="314"/>
      <c r="CF329" s="314"/>
      <c r="CG329" s="318"/>
      <c r="CH329" s="314"/>
      <c r="CI329" s="314"/>
      <c r="CJ329" s="314"/>
      <c r="CK329" s="314"/>
      <c r="CL329" s="314"/>
      <c r="CM329" s="314"/>
      <c r="CN329" s="314"/>
      <c r="CO329" s="314"/>
      <c r="CP329" s="314"/>
      <c r="CQ329" s="314"/>
      <c r="CR329" s="314"/>
      <c r="CS329" s="314"/>
      <c r="CT329" s="314"/>
      <c r="CU329" s="314"/>
      <c r="CV329" s="314"/>
      <c r="CW329" s="314"/>
      <c r="CX329" s="314"/>
      <c r="CY329" s="314"/>
      <c r="CZ329" s="314"/>
      <c r="DA329" s="314"/>
      <c r="DB329" s="314"/>
      <c r="DC329" s="314"/>
      <c r="DD329" s="314"/>
      <c r="DE329" s="314"/>
      <c r="DF329" s="314"/>
      <c r="DG329" s="314"/>
      <c r="DH329" s="314"/>
      <c r="DI329" s="314"/>
      <c r="DJ329" s="314"/>
      <c r="DK329" s="314"/>
      <c r="DL329" s="314"/>
      <c r="DM329" s="314"/>
      <c r="DN329" s="314"/>
      <c r="DO329" s="314"/>
      <c r="DP329" s="314"/>
      <c r="DQ329" s="314"/>
      <c r="DR329" s="314"/>
      <c r="DS329" s="314"/>
      <c r="DT329" s="314"/>
      <c r="DU329" s="314"/>
      <c r="DV329" s="314"/>
      <c r="DW329" s="315"/>
      <c r="DX329" s="503"/>
    </row>
    <row r="330" spans="1:128">
      <c r="A330" s="474"/>
      <c r="B330" s="474"/>
      <c r="C330" s="474"/>
      <c r="D330" s="474"/>
      <c r="E330" s="455">
        <f>SUM(E303:E328)</f>
        <v>1718806.47</v>
      </c>
      <c r="F330" s="455">
        <f t="shared" ref="F330:BS330" si="668">SUM(F303:F328)</f>
        <v>0</v>
      </c>
      <c r="G330" s="455">
        <f t="shared" si="668"/>
        <v>1127695</v>
      </c>
      <c r="H330" s="455">
        <f t="shared" si="668"/>
        <v>989575</v>
      </c>
      <c r="I330" s="455">
        <f t="shared" si="668"/>
        <v>210</v>
      </c>
      <c r="J330" s="455">
        <f t="shared" si="668"/>
        <v>3620</v>
      </c>
      <c r="K330" s="455">
        <f t="shared" si="668"/>
        <v>3747</v>
      </c>
      <c r="L330" s="455">
        <f t="shared" si="668"/>
        <v>681</v>
      </c>
      <c r="M330" s="455">
        <f t="shared" si="668"/>
        <v>0</v>
      </c>
      <c r="N330" s="455">
        <f t="shared" si="668"/>
        <v>0</v>
      </c>
      <c r="O330" s="455">
        <f t="shared" si="668"/>
        <v>0</v>
      </c>
      <c r="P330" s="455">
        <f t="shared" si="668"/>
        <v>0</v>
      </c>
      <c r="Q330" s="455">
        <f t="shared" si="668"/>
        <v>0</v>
      </c>
      <c r="R330" s="455">
        <f t="shared" si="668"/>
        <v>0</v>
      </c>
      <c r="S330" s="455">
        <f t="shared" si="668"/>
        <v>0</v>
      </c>
      <c r="T330" s="455">
        <f t="shared" si="668"/>
        <v>0</v>
      </c>
      <c r="U330" s="455">
        <f t="shared" si="668"/>
        <v>0</v>
      </c>
      <c r="V330" s="455">
        <f t="shared" si="668"/>
        <v>0</v>
      </c>
      <c r="W330" s="455">
        <f t="shared" si="668"/>
        <v>0</v>
      </c>
      <c r="X330" s="455">
        <f t="shared" si="668"/>
        <v>0</v>
      </c>
      <c r="Y330" s="455">
        <f t="shared" si="668"/>
        <v>0</v>
      </c>
      <c r="Z330" s="455">
        <f t="shared" si="668"/>
        <v>0</v>
      </c>
      <c r="AA330" s="455">
        <f t="shared" si="668"/>
        <v>0</v>
      </c>
      <c r="AB330" s="455">
        <f t="shared" si="668"/>
        <v>0</v>
      </c>
      <c r="AC330" s="455">
        <f t="shared" si="668"/>
        <v>0</v>
      </c>
      <c r="AD330" s="455">
        <f t="shared" si="668"/>
        <v>0</v>
      </c>
      <c r="AE330" s="455">
        <f t="shared" si="668"/>
        <v>0</v>
      </c>
      <c r="AF330" s="455">
        <f t="shared" si="668"/>
        <v>0</v>
      </c>
      <c r="AG330" s="455">
        <f t="shared" si="668"/>
        <v>0</v>
      </c>
      <c r="AH330" s="455">
        <f t="shared" si="668"/>
        <v>0</v>
      </c>
      <c r="AI330" s="455">
        <f t="shared" si="668"/>
        <v>70</v>
      </c>
      <c r="AJ330" s="455">
        <f t="shared" si="668"/>
        <v>20</v>
      </c>
      <c r="AK330" s="455">
        <f t="shared" si="668"/>
        <v>6.7306765687540961</v>
      </c>
      <c r="AL330" s="455">
        <f t="shared" si="668"/>
        <v>0</v>
      </c>
      <c r="AM330" s="455">
        <f t="shared" si="668"/>
        <v>0</v>
      </c>
      <c r="AN330" s="455">
        <f t="shared" si="668"/>
        <v>0</v>
      </c>
      <c r="AO330" s="455">
        <f t="shared" si="668"/>
        <v>0</v>
      </c>
      <c r="AP330" s="455">
        <f t="shared" si="668"/>
        <v>0</v>
      </c>
      <c r="AQ330" s="455">
        <f t="shared" si="668"/>
        <v>0</v>
      </c>
      <c r="AR330" s="455">
        <f t="shared" si="668"/>
        <v>0</v>
      </c>
      <c r="AS330" s="455">
        <f t="shared" si="668"/>
        <v>0</v>
      </c>
      <c r="AT330" s="455">
        <f t="shared" si="668"/>
        <v>0</v>
      </c>
      <c r="AU330" s="455">
        <f t="shared" si="668"/>
        <v>0</v>
      </c>
      <c r="AV330" s="455">
        <f t="shared" si="668"/>
        <v>0</v>
      </c>
      <c r="AW330" s="455">
        <f t="shared" si="668"/>
        <v>0</v>
      </c>
      <c r="AX330" s="455">
        <f t="shared" si="668"/>
        <v>0</v>
      </c>
      <c r="AY330" s="455">
        <f t="shared" si="668"/>
        <v>0</v>
      </c>
      <c r="AZ330" s="455">
        <f t="shared" si="668"/>
        <v>0</v>
      </c>
      <c r="BA330" s="455">
        <f t="shared" si="668"/>
        <v>0</v>
      </c>
      <c r="BB330" s="455">
        <f t="shared" si="668"/>
        <v>0</v>
      </c>
      <c r="BC330" s="455">
        <f t="shared" si="668"/>
        <v>0</v>
      </c>
      <c r="BD330" s="455">
        <f t="shared" si="668"/>
        <v>0</v>
      </c>
      <c r="BE330" s="455">
        <f t="shared" si="668"/>
        <v>0</v>
      </c>
      <c r="BF330" s="455">
        <f t="shared" si="668"/>
        <v>1144</v>
      </c>
      <c r="BG330" s="455">
        <f t="shared" si="668"/>
        <v>36737.913908326031</v>
      </c>
      <c r="BH330" s="455">
        <f t="shared" si="668"/>
        <v>215692.35609167395</v>
      </c>
      <c r="BI330" s="455">
        <f t="shared" si="668"/>
        <v>217582.75099213439</v>
      </c>
      <c r="BJ330" s="455">
        <f t="shared" si="668"/>
        <v>1392235.8050995395</v>
      </c>
      <c r="BK330" s="455">
        <f t="shared" si="668"/>
        <v>364702.06276027078</v>
      </c>
      <c r="BL330" s="455">
        <f t="shared" si="668"/>
        <v>1058333.7423392688</v>
      </c>
      <c r="BM330" s="455">
        <f t="shared" si="668"/>
        <v>0</v>
      </c>
      <c r="BN330" s="455">
        <f t="shared" si="668"/>
        <v>1058333.7423392688</v>
      </c>
      <c r="BO330" s="455">
        <f t="shared" si="668"/>
        <v>273969.47001163667</v>
      </c>
      <c r="BP330" s="455">
        <f t="shared" si="668"/>
        <v>784364.27232763206</v>
      </c>
      <c r="BQ330" s="455">
        <f t="shared" si="668"/>
        <v>0</v>
      </c>
      <c r="BR330" s="455">
        <f t="shared" si="668"/>
        <v>784364.27232763206</v>
      </c>
      <c r="BS330" s="455">
        <f t="shared" si="668"/>
        <v>205015.49755757637</v>
      </c>
      <c r="BT330" s="455">
        <f t="shared" ref="BT330:DW330" si="669">SUM(BT303:BT328)</f>
        <v>620798.77477005566</v>
      </c>
      <c r="BU330" s="455">
        <f t="shared" si="669"/>
        <v>160706.11801481992</v>
      </c>
      <c r="BV330" s="455">
        <f t="shared" si="669"/>
        <v>460092.6567552358</v>
      </c>
      <c r="BW330" s="455">
        <f t="shared" si="669"/>
        <v>119104.91696078304</v>
      </c>
      <c r="BX330" s="455">
        <f t="shared" si="669"/>
        <v>340987.73979445273</v>
      </c>
      <c r="BY330" s="455">
        <f t="shared" si="669"/>
        <v>82657.830859636306</v>
      </c>
      <c r="BZ330" s="455">
        <f t="shared" si="669"/>
        <v>236644.52116676889</v>
      </c>
      <c r="CA330" s="455">
        <f t="shared" si="669"/>
        <v>61259.53185007647</v>
      </c>
      <c r="CB330" s="455">
        <f t="shared" si="669"/>
        <v>175384.98931669243</v>
      </c>
      <c r="CC330" s="455">
        <f t="shared" si="669"/>
        <v>45400.37575409167</v>
      </c>
      <c r="CD330" s="455">
        <f t="shared" si="669"/>
        <v>129984.61356260075</v>
      </c>
      <c r="CE330" s="455">
        <f t="shared" si="669"/>
        <v>31805.900062600755</v>
      </c>
      <c r="CF330" s="455">
        <f t="shared" si="669"/>
        <v>98178.713499999998</v>
      </c>
      <c r="CG330" s="455">
        <f t="shared" si="669"/>
        <v>14061.889999999998</v>
      </c>
      <c r="CH330" s="455">
        <f t="shared" si="669"/>
        <v>84116.823500000028</v>
      </c>
      <c r="CI330" s="455">
        <f t="shared" si="669"/>
        <v>249</v>
      </c>
      <c r="CJ330" s="455">
        <f t="shared" si="669"/>
        <v>83867.823500000028</v>
      </c>
      <c r="CK330" s="455">
        <f t="shared" si="669"/>
        <v>0</v>
      </c>
      <c r="CL330" s="455">
        <f t="shared" si="669"/>
        <v>83867.823500000028</v>
      </c>
      <c r="CM330" s="455">
        <f t="shared" si="669"/>
        <v>0</v>
      </c>
      <c r="CN330" s="455">
        <f t="shared" si="669"/>
        <v>83867.823500000028</v>
      </c>
      <c r="CO330" s="455">
        <f t="shared" si="669"/>
        <v>0</v>
      </c>
      <c r="CP330" s="455">
        <f t="shared" si="669"/>
        <v>83867.823500000028</v>
      </c>
      <c r="CQ330" s="455">
        <f t="shared" si="669"/>
        <v>0</v>
      </c>
      <c r="CR330" s="455">
        <f t="shared" si="669"/>
        <v>83867.823500000028</v>
      </c>
      <c r="CS330" s="455">
        <f t="shared" si="669"/>
        <v>0</v>
      </c>
      <c r="CT330" s="455">
        <f t="shared" si="669"/>
        <v>83867.823500000028</v>
      </c>
      <c r="CU330" s="455">
        <f t="shared" si="669"/>
        <v>0</v>
      </c>
      <c r="CV330" s="455">
        <f t="shared" si="669"/>
        <v>83867.823500000028</v>
      </c>
      <c r="CW330" s="455">
        <f t="shared" si="669"/>
        <v>0</v>
      </c>
      <c r="CX330" s="455">
        <f t="shared" si="669"/>
        <v>83867.823500000028</v>
      </c>
      <c r="CY330" s="455">
        <f t="shared" si="669"/>
        <v>0</v>
      </c>
      <c r="CZ330" s="455">
        <f t="shared" si="669"/>
        <v>83867.823500000028</v>
      </c>
      <c r="DA330" s="455">
        <f t="shared" si="669"/>
        <v>0</v>
      </c>
      <c r="DB330" s="455">
        <f t="shared" si="669"/>
        <v>83867.823500000028</v>
      </c>
      <c r="DC330" s="455">
        <f t="shared" si="669"/>
        <v>0</v>
      </c>
      <c r="DD330" s="455">
        <f t="shared" si="669"/>
        <v>83867.823500000028</v>
      </c>
      <c r="DE330" s="455">
        <f t="shared" si="669"/>
        <v>0</v>
      </c>
      <c r="DF330" s="455">
        <f t="shared" si="669"/>
        <v>83867.823500000028</v>
      </c>
      <c r="DG330" s="455">
        <f t="shared" si="669"/>
        <v>0</v>
      </c>
      <c r="DH330" s="455">
        <f t="shared" si="669"/>
        <v>83867.823500000028</v>
      </c>
      <c r="DI330" s="455">
        <f t="shared" si="669"/>
        <v>0</v>
      </c>
      <c r="DJ330" s="455">
        <f t="shared" si="669"/>
        <v>83867.823500000028</v>
      </c>
      <c r="DK330" s="455">
        <f t="shared" si="669"/>
        <v>0</v>
      </c>
      <c r="DL330" s="455">
        <f t="shared" si="669"/>
        <v>83867.823500000028</v>
      </c>
      <c r="DM330" s="455">
        <f t="shared" si="669"/>
        <v>0</v>
      </c>
      <c r="DN330" s="455">
        <f t="shared" si="669"/>
        <v>83867.823500000028</v>
      </c>
      <c r="DO330" s="455">
        <f t="shared" si="669"/>
        <v>0</v>
      </c>
      <c r="DP330" s="455">
        <f t="shared" si="669"/>
        <v>83867.823500000028</v>
      </c>
      <c r="DQ330" s="455">
        <f t="shared" si="669"/>
        <v>0</v>
      </c>
      <c r="DR330" s="455">
        <f t="shared" si="669"/>
        <v>83867.823500000028</v>
      </c>
      <c r="DS330" s="455">
        <f t="shared" si="669"/>
        <v>0</v>
      </c>
      <c r="DT330" s="455">
        <f t="shared" si="669"/>
        <v>83867.823500000028</v>
      </c>
      <c r="DU330" s="455">
        <f t="shared" si="669"/>
        <v>0</v>
      </c>
      <c r="DV330" s="455">
        <f t="shared" si="669"/>
        <v>71246.310000000012</v>
      </c>
      <c r="DW330" s="455">
        <f t="shared" si="669"/>
        <v>83867.823500000028</v>
      </c>
      <c r="DX330" s="455">
        <f>SUM(DX303:DX328)</f>
        <v>0</v>
      </c>
    </row>
    <row r="331" spans="1:128">
      <c r="D331" s="472"/>
      <c r="E331" s="441"/>
      <c r="F331" s="504"/>
      <c r="G331" s="505"/>
      <c r="H331" s="505"/>
      <c r="I331" s="505"/>
      <c r="J331" s="505"/>
      <c r="K331" s="505"/>
      <c r="N331" s="441"/>
      <c r="O331" s="441"/>
      <c r="Q331" s="441"/>
      <c r="R331" s="441"/>
      <c r="T331" s="441"/>
      <c r="U331" s="441"/>
      <c r="W331" s="441"/>
      <c r="X331" s="441"/>
      <c r="Z331" s="441"/>
      <c r="AA331" s="441"/>
      <c r="AC331" s="441"/>
      <c r="AD331" s="441"/>
      <c r="AE331" s="441"/>
      <c r="AF331" s="441"/>
      <c r="AG331" s="441"/>
      <c r="AH331" s="441"/>
      <c r="AI331" s="506"/>
      <c r="AJ331" s="441"/>
      <c r="AK331" s="507"/>
      <c r="AL331" s="1"/>
      <c r="AN331" s="441"/>
      <c r="AO331" s="441"/>
      <c r="AP331" s="441"/>
      <c r="AQ331" s="441"/>
      <c r="AR331" s="441"/>
      <c r="AS331" s="441"/>
      <c r="AT331" s="1"/>
      <c r="AU331" s="1"/>
      <c r="AV331" s="1"/>
      <c r="AW331" s="1"/>
      <c r="AX331" s="1"/>
      <c r="AY331" s="1"/>
      <c r="BA331" s="1"/>
      <c r="BB331" s="1"/>
      <c r="BC331" s="1"/>
      <c r="BD331" s="1"/>
      <c r="BE331" s="1"/>
      <c r="BG331" s="1"/>
      <c r="BH331" s="1"/>
      <c r="BI331" s="508"/>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3"/>
      <c r="DX331" s="441"/>
    </row>
    <row r="332" spans="1:128">
      <c r="D332" s="472"/>
      <c r="E332" s="1">
        <f>E330+E301+E158+E138+E134+E95+E59</f>
        <v>326895329.34000003</v>
      </c>
      <c r="F332" s="504"/>
      <c r="G332" s="505"/>
      <c r="H332" s="505"/>
      <c r="I332" s="505"/>
      <c r="J332" s="505"/>
      <c r="K332" s="505"/>
      <c r="N332" s="441"/>
      <c r="O332" s="441"/>
      <c r="Q332" s="441"/>
      <c r="R332" s="441"/>
      <c r="T332" s="441"/>
      <c r="U332" s="441"/>
      <c r="W332" s="441"/>
      <c r="X332" s="441"/>
      <c r="Z332" s="441"/>
      <c r="AA332" s="441"/>
      <c r="AC332" s="441"/>
      <c r="AD332" s="441"/>
      <c r="AE332" s="441"/>
      <c r="AF332" s="441"/>
      <c r="AG332" s="441"/>
      <c r="AH332" s="441"/>
      <c r="AI332" s="506"/>
      <c r="AJ332" s="441"/>
      <c r="AK332" s="507"/>
      <c r="AL332" s="1"/>
      <c r="AN332" s="441"/>
      <c r="AO332" s="441"/>
      <c r="AP332" s="441"/>
      <c r="AQ332" s="441"/>
      <c r="AR332" s="441"/>
      <c r="AS332" s="441"/>
      <c r="AT332" s="1"/>
      <c r="AU332" s="1"/>
      <c r="AV332" s="1"/>
      <c r="AW332" s="1"/>
      <c r="AX332" s="1"/>
      <c r="AY332" s="1"/>
      <c r="BA332" s="1"/>
      <c r="BB332" s="1"/>
      <c r="BC332" s="1"/>
      <c r="BD332" s="1"/>
      <c r="BE332" s="1"/>
      <c r="BG332" s="1"/>
      <c r="BH332" s="1"/>
      <c r="BI332" s="1"/>
      <c r="BJ332" s="7">
        <f>BJ330+BJ301+BJ158+BJ138+BJ134+BJ95+BJ59</f>
        <v>248381075.21084487</v>
      </c>
      <c r="BK332" s="7">
        <f>BK330+BK301+BK158+BK138+BK134+BK95+BK59</f>
        <v>43745279.970937267</v>
      </c>
      <c r="BL332" s="7">
        <f>BL330+BL301+BL158+BL138+BL134+BL95+BL59</f>
        <v>242750185.5799076</v>
      </c>
      <c r="BM332" s="7"/>
      <c r="BN332" s="7"/>
      <c r="BO332" s="7">
        <f t="shared" ref="BO332:CV332" si="670">BO330+BO301+BO158+BO138+BO134+BO95+BO59</f>
        <v>39070696.833224855</v>
      </c>
      <c r="BP332" s="7">
        <f t="shared" si="670"/>
        <v>199342832.06668276</v>
      </c>
      <c r="BQ332" s="7"/>
      <c r="BR332" s="7"/>
      <c r="BS332" s="7">
        <f t="shared" si="670"/>
        <v>32221600.000641771</v>
      </c>
      <c r="BT332" s="7">
        <f t="shared" si="670"/>
        <v>175935814.42604095</v>
      </c>
      <c r="BU332" s="7">
        <f t="shared" si="670"/>
        <v>27954173.368728817</v>
      </c>
      <c r="BV332" s="7">
        <f t="shared" si="670"/>
        <v>146583094.11504453</v>
      </c>
      <c r="BW332" s="7">
        <f t="shared" si="670"/>
        <v>21713996.44377346</v>
      </c>
      <c r="BX332" s="7">
        <f t="shared" si="670"/>
        <v>118717080.0429462</v>
      </c>
      <c r="BY332" s="7">
        <f t="shared" si="670"/>
        <v>17951045.614255037</v>
      </c>
      <c r="BZ332" s="7">
        <f t="shared" si="670"/>
        <v>100737753.90192312</v>
      </c>
      <c r="CA332" s="7">
        <f t="shared" si="670"/>
        <v>14947144.60336037</v>
      </c>
      <c r="CB332" s="7">
        <f t="shared" si="670"/>
        <v>85772887.748562753</v>
      </c>
      <c r="CC332" s="7">
        <f t="shared" si="670"/>
        <v>12483934.361377297</v>
      </c>
      <c r="CD332" s="7">
        <f t="shared" si="670"/>
        <v>73287390.926185459</v>
      </c>
      <c r="CE332" s="7">
        <f t="shared" si="670"/>
        <v>10399748.3010963</v>
      </c>
      <c r="CF332" s="7">
        <f t="shared" si="670"/>
        <v>62800997.71666044</v>
      </c>
      <c r="CG332" s="7">
        <f t="shared" si="670"/>
        <v>8604233.6897684336</v>
      </c>
      <c r="CH332" s="7">
        <f t="shared" si="670"/>
        <v>54196764.026892006</v>
      </c>
      <c r="CI332" s="7">
        <f t="shared" si="670"/>
        <v>7137779.995839824</v>
      </c>
      <c r="CJ332" s="7">
        <f t="shared" si="670"/>
        <v>47058984.03105218</v>
      </c>
      <c r="CK332" s="7">
        <f t="shared" si="670"/>
        <v>6051858.3654295839</v>
      </c>
      <c r="CL332" s="7">
        <f t="shared" si="670"/>
        <v>41007125.665622592</v>
      </c>
      <c r="CM332" s="7">
        <f t="shared" si="670"/>
        <v>5157682.3056833204</v>
      </c>
      <c r="CN332" s="7">
        <f t="shared" si="670"/>
        <v>35849443.359939277</v>
      </c>
      <c r="CO332" s="7">
        <f t="shared" si="670"/>
        <v>4405740.883845415</v>
      </c>
      <c r="CP332" s="7">
        <f t="shared" si="670"/>
        <v>31443702.476093866</v>
      </c>
      <c r="CQ332" s="7">
        <f t="shared" si="670"/>
        <v>3009534.432705876</v>
      </c>
      <c r="CR332" s="7">
        <f t="shared" si="670"/>
        <v>28434168.043387983</v>
      </c>
      <c r="CS332" s="7">
        <f t="shared" si="670"/>
        <v>1406807.9044574415</v>
      </c>
      <c r="CT332" s="7">
        <f t="shared" si="670"/>
        <v>26802360.138930544</v>
      </c>
      <c r="CU332" s="7">
        <f t="shared" si="670"/>
        <v>1421181.1267152617</v>
      </c>
      <c r="CV332" s="7">
        <f t="shared" si="670"/>
        <v>25606179.012215279</v>
      </c>
      <c r="CW332" s="7">
        <f t="shared" ref="CW332:DW332" si="671">CW330+CW301+CW158+CW138+CW134+CW95+CW59</f>
        <v>1286187.2594526666</v>
      </c>
      <c r="CX332" s="7">
        <f t="shared" si="671"/>
        <v>24319991.752762616</v>
      </c>
      <c r="CY332" s="7">
        <f t="shared" si="671"/>
        <v>1164017.0559262757</v>
      </c>
      <c r="CZ332" s="7">
        <f t="shared" si="671"/>
        <v>23155974.696836337</v>
      </c>
      <c r="DA332" s="7">
        <f t="shared" si="671"/>
        <v>1049616.6234298202</v>
      </c>
      <c r="DB332" s="7">
        <f t="shared" si="671"/>
        <v>22102758.073406518</v>
      </c>
      <c r="DC332" s="7">
        <f t="shared" si="671"/>
        <v>949242.55991370219</v>
      </c>
      <c r="DD332" s="7">
        <f t="shared" si="671"/>
        <v>21153515.513492815</v>
      </c>
      <c r="DE332" s="7">
        <f t="shared" si="671"/>
        <v>857176.82478069258</v>
      </c>
      <c r="DF332" s="7">
        <f t="shared" si="671"/>
        <v>20296338.688712124</v>
      </c>
      <c r="DG332" s="7">
        <f t="shared" si="671"/>
        <v>768438.12305993249</v>
      </c>
      <c r="DH332" s="7">
        <f t="shared" si="671"/>
        <v>19527900.565652192</v>
      </c>
      <c r="DI332" s="7">
        <f t="shared" si="671"/>
        <v>691357</v>
      </c>
      <c r="DJ332" s="7">
        <f t="shared" si="671"/>
        <v>18836543.565652192</v>
      </c>
      <c r="DK332" s="7">
        <f t="shared" si="671"/>
        <v>625677</v>
      </c>
      <c r="DL332" s="7">
        <f t="shared" si="671"/>
        <v>18210866.565652192</v>
      </c>
      <c r="DM332" s="7">
        <f t="shared" si="671"/>
        <v>566238</v>
      </c>
      <c r="DN332" s="7">
        <f t="shared" si="671"/>
        <v>17644628.565652192</v>
      </c>
      <c r="DO332" s="7">
        <f t="shared" si="671"/>
        <v>512445</v>
      </c>
      <c r="DP332" s="7">
        <f t="shared" si="671"/>
        <v>17132183.565652192</v>
      </c>
      <c r="DQ332" s="7">
        <f t="shared" si="671"/>
        <v>463764</v>
      </c>
      <c r="DR332" s="7">
        <f t="shared" si="671"/>
        <v>16668419.565652192</v>
      </c>
      <c r="DS332" s="7">
        <f t="shared" si="671"/>
        <v>419706</v>
      </c>
      <c r="DT332" s="7">
        <f t="shared" si="671"/>
        <v>16248713.565652192</v>
      </c>
      <c r="DU332" s="7">
        <f t="shared" si="671"/>
        <v>48182.957399999606</v>
      </c>
      <c r="DV332" s="7">
        <f t="shared" si="671"/>
        <v>15716831.931499999</v>
      </c>
      <c r="DW332" s="7">
        <f t="shared" si="671"/>
        <v>15984255.252499999</v>
      </c>
      <c r="DX332" s="441"/>
    </row>
    <row r="333" spans="1:128">
      <c r="D333" s="441"/>
      <c r="E333" s="441"/>
      <c r="F333" s="504"/>
      <c r="G333" s="441"/>
      <c r="H333" s="1"/>
      <c r="X333" s="1"/>
      <c r="AI333" s="506"/>
      <c r="AJ333" s="1"/>
      <c r="AK333" s="3"/>
      <c r="AL333" s="441"/>
      <c r="AM333" s="3"/>
      <c r="AN333" s="3"/>
      <c r="AT333" s="1"/>
      <c r="AU333" s="1"/>
      <c r="AV333" s="1"/>
      <c r="AW333" s="1"/>
      <c r="AX333" s="1"/>
      <c r="AY333" s="1"/>
      <c r="AZ333" s="1"/>
      <c r="BA333" s="7"/>
      <c r="BB333" s="7"/>
      <c r="BC333" s="1"/>
      <c r="BD333" s="1"/>
      <c r="BE333" s="1"/>
      <c r="BF333" s="1"/>
      <c r="BG333" s="7"/>
      <c r="BH333" s="7"/>
      <c r="BI333" s="7"/>
      <c r="BJ333" s="1">
        <f>BJ340</f>
        <v>248382076.40440553</v>
      </c>
      <c r="BK333" s="7">
        <v>43745279.970937267</v>
      </c>
      <c r="BL333" s="1">
        <f>BL340</f>
        <v>242751186.77346832</v>
      </c>
      <c r="BM333" s="1"/>
      <c r="BN333" s="1"/>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7"/>
      <c r="DX333" s="7"/>
    </row>
    <row r="334" spans="1:128">
      <c r="D334" s="441"/>
      <c r="E334" s="509"/>
      <c r="F334" s="510"/>
      <c r="G334" s="441"/>
      <c r="H334" s="505"/>
      <c r="I334" s="505"/>
      <c r="J334" s="505"/>
      <c r="K334" s="505"/>
      <c r="N334" s="441"/>
      <c r="O334" s="441"/>
      <c r="Q334" s="441"/>
      <c r="R334" s="441"/>
      <c r="T334" s="441"/>
      <c r="U334" s="441"/>
      <c r="W334" s="441"/>
      <c r="X334" s="441"/>
      <c r="Z334" s="441"/>
      <c r="AA334" s="441"/>
      <c r="AC334" s="441"/>
      <c r="AD334" s="441"/>
      <c r="AE334" s="441"/>
      <c r="AF334" s="441"/>
      <c r="AG334" s="441"/>
      <c r="AH334" s="441"/>
      <c r="AI334" s="506"/>
      <c r="AJ334" s="441"/>
      <c r="AK334" s="507"/>
      <c r="AL334" s="1"/>
      <c r="AN334" s="441"/>
      <c r="AO334" s="441"/>
      <c r="AP334" s="441"/>
      <c r="AQ334" s="441"/>
      <c r="AR334" s="441"/>
      <c r="AS334" s="441"/>
      <c r="AT334" s="1"/>
      <c r="AU334" s="1"/>
      <c r="AV334" s="1"/>
      <c r="AW334" s="1"/>
      <c r="AX334" s="1"/>
      <c r="AY334" s="1"/>
      <c r="BA334" s="1"/>
      <c r="BB334" s="1"/>
      <c r="BC334" s="1"/>
      <c r="BD334" s="1"/>
      <c r="BE334" s="1"/>
      <c r="BG334" s="1"/>
      <c r="BH334" s="1"/>
      <c r="BI334" s="1"/>
      <c r="BJ334" s="1">
        <f>BJ332-BJ333</f>
        <v>-1001.1935606598854</v>
      </c>
      <c r="BK334" s="1">
        <f>BK332-BK333</f>
        <v>0</v>
      </c>
      <c r="BL334" s="1">
        <f>BL332-BL333</f>
        <v>-1001.1935607194901</v>
      </c>
      <c r="BM334" s="1"/>
      <c r="BN334" s="1"/>
      <c r="BO334" s="1" t="s">
        <v>433</v>
      </c>
      <c r="BP334" s="1">
        <v>24942539.25</v>
      </c>
      <c r="BQ334" s="1"/>
      <c r="BR334" s="1"/>
      <c r="BT334" s="1">
        <f>'Dep - co'!M11</f>
        <v>24942.539250000002</v>
      </c>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3"/>
      <c r="DX334" s="441"/>
    </row>
    <row r="335" spans="1:128">
      <c r="D335" s="441"/>
      <c r="E335" s="441"/>
      <c r="G335" s="441"/>
      <c r="H335" s="1"/>
      <c r="X335" s="1"/>
      <c r="AI335" s="506"/>
      <c r="AJ335" s="441"/>
      <c r="AK335" s="3"/>
      <c r="AL335" s="441"/>
      <c r="AM335" s="1"/>
      <c r="AN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f>BP334+BP332</f>
        <v>224285371.31668276</v>
      </c>
      <c r="BQ335" s="1"/>
      <c r="BR335" s="1"/>
      <c r="BS335" s="1">
        <f>SUM(BS332:BS334)</f>
        <v>32221600.000641771</v>
      </c>
      <c r="BT335" s="1">
        <f>SUM(BT332:BT334)</f>
        <v>175960756.96529093</v>
      </c>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row>
    <row r="336" spans="1:128">
      <c r="D336" s="506"/>
      <c r="E336" s="405">
        <f>SUMIF(F8:F327,F336,E8:E327)</f>
        <v>38114390.340000004</v>
      </c>
      <c r="F336" s="511" t="s">
        <v>1080</v>
      </c>
      <c r="G336" s="506"/>
      <c r="H336" s="506"/>
      <c r="X336" s="1"/>
      <c r="AI336" s="506"/>
      <c r="AJ336" s="441"/>
      <c r="AK336" s="3"/>
      <c r="AL336" s="441"/>
      <c r="AM336" s="1"/>
      <c r="AN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row>
    <row r="337" spans="4:126">
      <c r="X337" s="1"/>
      <c r="AI337" s="506"/>
      <c r="AJ337" s="441"/>
      <c r="AK337" s="3"/>
      <c r="AL337" s="441"/>
      <c r="AM337" s="1"/>
      <c r="AN337" s="1"/>
      <c r="AT337" s="1"/>
      <c r="AU337" s="1"/>
      <c r="AV337" s="1"/>
      <c r="AW337" s="1"/>
      <c r="AX337" s="1"/>
      <c r="AY337" s="1"/>
      <c r="AZ337" s="1"/>
      <c r="BA337" s="1"/>
      <c r="BB337" s="1"/>
      <c r="BC337" s="1"/>
      <c r="BD337" s="1"/>
      <c r="BE337" s="1"/>
      <c r="BF337" s="1"/>
      <c r="BG337" s="1"/>
      <c r="BH337" s="1"/>
      <c r="BI337" s="1"/>
      <c r="BJ337" s="3">
        <v>273324615.65440553</v>
      </c>
      <c r="BK337" s="3"/>
      <c r="BL337" s="405">
        <v>267693726.02346832</v>
      </c>
      <c r="BM337" s="405"/>
      <c r="BN337" s="405"/>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row>
    <row r="338" spans="4:126">
      <c r="D338" s="506"/>
      <c r="E338" s="506"/>
      <c r="F338" s="512"/>
      <c r="BI338" s="413" t="s">
        <v>1117</v>
      </c>
      <c r="BJ338" s="323">
        <v>24942539.25</v>
      </c>
      <c r="BK338" s="323"/>
      <c r="BL338" s="323">
        <v>24942539.25</v>
      </c>
      <c r="BM338" s="323"/>
      <c r="BN338" s="323"/>
      <c r="BP338" s="506"/>
      <c r="BQ338" s="506"/>
      <c r="BR338" s="506"/>
    </row>
    <row r="339" spans="4:126">
      <c r="E339" s="441"/>
      <c r="BJ339" s="323"/>
      <c r="BK339" s="323"/>
      <c r="BL339" s="323"/>
      <c r="BM339" s="323"/>
      <c r="BN339" s="323"/>
    </row>
    <row r="340" spans="4:126">
      <c r="D340" s="506"/>
      <c r="E340" s="506"/>
      <c r="F340" s="512"/>
      <c r="BJ340" s="323">
        <f>BJ337-BJ338</f>
        <v>248382076.40440553</v>
      </c>
      <c r="BK340" s="323"/>
      <c r="BL340" s="323">
        <f>BL337-BL338</f>
        <v>242751186.77346832</v>
      </c>
      <c r="BM340" s="323"/>
      <c r="BN340" s="323"/>
    </row>
    <row r="341" spans="4:126">
      <c r="E341" s="506"/>
      <c r="F341" s="512"/>
      <c r="BJ341" s="441"/>
    </row>
    <row r="342" spans="4:126">
      <c r="D342" s="441"/>
      <c r="E342" s="441"/>
      <c r="F342" s="504"/>
    </row>
    <row r="343" spans="4:126">
      <c r="D343" s="441"/>
      <c r="E343" s="441"/>
      <c r="F343" s="504"/>
    </row>
    <row r="344" spans="4:126">
      <c r="D344" s="509"/>
      <c r="E344" s="509"/>
      <c r="F344" s="509"/>
    </row>
    <row r="345" spans="4:126">
      <c r="F345" s="504"/>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97"/>
  <sheetViews>
    <sheetView workbookViewId="0">
      <pane ySplit="3" topLeftCell="A4" activePane="bottomLeft" state="frozen"/>
      <selection pane="bottomLeft" activeCell="A4" sqref="A4"/>
    </sheetView>
  </sheetViews>
  <sheetFormatPr defaultColWidth="9.140625" defaultRowHeight="14.25"/>
  <cols>
    <col min="1" max="1" width="9.140625" style="282"/>
    <col min="2" max="2" width="40.5703125" style="282" bestFit="1" customWidth="1"/>
    <col min="3" max="3" width="15" style="282" bestFit="1" customWidth="1"/>
    <col min="4" max="4" width="13.42578125" style="282" bestFit="1" customWidth="1"/>
    <col min="5" max="5" width="15" style="282" bestFit="1" customWidth="1"/>
    <col min="6" max="7" width="13.42578125" style="282" bestFit="1" customWidth="1"/>
    <col min="8" max="8" width="10.5703125" style="282" bestFit="1" customWidth="1"/>
    <col min="9" max="16384" width="9.140625" style="282"/>
  </cols>
  <sheetData>
    <row r="1" spans="1:8">
      <c r="A1" s="1179" t="s">
        <v>1153</v>
      </c>
      <c r="B1" s="1179"/>
      <c r="C1" s="1179"/>
      <c r="D1" s="1179"/>
      <c r="E1" s="1179"/>
      <c r="F1" s="1179"/>
      <c r="G1" s="1179"/>
      <c r="H1" s="1179"/>
    </row>
    <row r="2" spans="1:8">
      <c r="A2" s="1180" t="s">
        <v>967</v>
      </c>
      <c r="B2" s="1182" t="s">
        <v>16</v>
      </c>
      <c r="C2" s="1184" t="s">
        <v>968</v>
      </c>
      <c r="D2" s="1185"/>
      <c r="E2" s="1184" t="s">
        <v>969</v>
      </c>
      <c r="F2" s="1185"/>
      <c r="G2" s="1184" t="s">
        <v>970</v>
      </c>
      <c r="H2" s="1186"/>
    </row>
    <row r="3" spans="1:8">
      <c r="A3" s="1181"/>
      <c r="B3" s="1183"/>
      <c r="C3" s="283" t="s">
        <v>201</v>
      </c>
      <c r="D3" s="283" t="s">
        <v>200</v>
      </c>
      <c r="E3" s="283" t="s">
        <v>201</v>
      </c>
      <c r="F3" s="283" t="s">
        <v>200</v>
      </c>
      <c r="G3" s="283" t="s">
        <v>201</v>
      </c>
      <c r="H3" s="283" t="s">
        <v>200</v>
      </c>
    </row>
    <row r="4" spans="1:8">
      <c r="A4" s="286">
        <f>+A7+1</f>
        <v>3</v>
      </c>
      <c r="B4" s="410" t="s">
        <v>1034</v>
      </c>
      <c r="C4" s="517"/>
      <c r="D4" s="514">
        <v>30000</v>
      </c>
      <c r="E4" s="287"/>
      <c r="F4" s="288">
        <f>D4</f>
        <v>30000</v>
      </c>
      <c r="G4" s="287"/>
      <c r="H4" s="287"/>
    </row>
    <row r="5" spans="1:8">
      <c r="A5" s="286">
        <f>+A48+1</f>
        <v>45</v>
      </c>
      <c r="B5" s="410" t="s">
        <v>1184</v>
      </c>
      <c r="C5" s="518"/>
      <c r="D5" s="514">
        <v>10000</v>
      </c>
      <c r="E5" s="287"/>
      <c r="F5" s="288">
        <f>D5</f>
        <v>10000</v>
      </c>
      <c r="G5" s="287"/>
      <c r="H5" s="287"/>
    </row>
    <row r="6" spans="1:8">
      <c r="A6" s="284">
        <v>1</v>
      </c>
      <c r="B6" s="410" t="s">
        <v>558</v>
      </c>
      <c r="C6" s="516">
        <v>14627</v>
      </c>
      <c r="D6" s="515"/>
      <c r="E6" s="287"/>
      <c r="F6" s="288"/>
      <c r="G6" s="287"/>
      <c r="H6" s="287"/>
    </row>
    <row r="7" spans="1:8">
      <c r="A7" s="286">
        <f>+A6+1</f>
        <v>2</v>
      </c>
      <c r="B7" s="410" t="s">
        <v>559</v>
      </c>
      <c r="C7" s="516">
        <v>39044</v>
      </c>
      <c r="D7" s="515"/>
      <c r="E7" s="287"/>
      <c r="F7" s="288"/>
      <c r="G7" s="287"/>
      <c r="H7" s="287"/>
    </row>
    <row r="8" spans="1:8">
      <c r="A8" s="286">
        <f>+A4+1</f>
        <v>4</v>
      </c>
      <c r="B8" s="410" t="s">
        <v>564</v>
      </c>
      <c r="C8" s="516">
        <v>15559</v>
      </c>
      <c r="D8" s="515"/>
      <c r="E8" s="287"/>
      <c r="F8" s="288"/>
      <c r="G8" s="287"/>
      <c r="H8" s="287"/>
    </row>
    <row r="9" spans="1:8">
      <c r="A9" s="286">
        <f t="shared" ref="A9:A69" si="0">+A8+1</f>
        <v>5</v>
      </c>
      <c r="B9" s="410" t="s">
        <v>1036</v>
      </c>
      <c r="C9" s="516">
        <v>1445399</v>
      </c>
      <c r="D9" s="515"/>
      <c r="E9" s="287"/>
      <c r="F9" s="288"/>
      <c r="G9" s="287"/>
      <c r="H9" s="287"/>
    </row>
    <row r="10" spans="1:8">
      <c r="A10" s="286">
        <f t="shared" si="0"/>
        <v>6</v>
      </c>
      <c r="B10" s="410" t="s">
        <v>1039</v>
      </c>
      <c r="C10" s="516">
        <v>2832</v>
      </c>
      <c r="D10" s="515"/>
      <c r="E10" s="287"/>
      <c r="F10" s="288"/>
      <c r="G10" s="287"/>
      <c r="H10" s="287"/>
    </row>
    <row r="11" spans="1:8">
      <c r="A11" s="286">
        <f t="shared" si="0"/>
        <v>7</v>
      </c>
      <c r="B11" s="410" t="s">
        <v>746</v>
      </c>
      <c r="C11" s="516">
        <v>23983</v>
      </c>
      <c r="D11" s="515"/>
      <c r="E11" s="287"/>
      <c r="F11" s="288"/>
      <c r="G11" s="287"/>
      <c r="H11" s="287"/>
    </row>
    <row r="12" spans="1:8">
      <c r="A12" s="286">
        <f t="shared" si="0"/>
        <v>8</v>
      </c>
      <c r="B12" s="410" t="s">
        <v>747</v>
      </c>
      <c r="C12" s="516">
        <v>11242</v>
      </c>
      <c r="D12" s="515"/>
      <c r="E12" s="287"/>
      <c r="F12" s="288"/>
      <c r="G12" s="287"/>
      <c r="H12" s="287"/>
    </row>
    <row r="13" spans="1:8">
      <c r="A13" s="286">
        <f t="shared" si="0"/>
        <v>9</v>
      </c>
      <c r="B13" s="410" t="s">
        <v>748</v>
      </c>
      <c r="C13" s="516">
        <v>5979</v>
      </c>
      <c r="D13" s="515"/>
      <c r="E13" s="287"/>
      <c r="F13" s="288"/>
      <c r="G13" s="287"/>
      <c r="H13" s="287"/>
    </row>
    <row r="14" spans="1:8">
      <c r="A14" s="286">
        <f t="shared" si="0"/>
        <v>10</v>
      </c>
      <c r="B14" s="410" t="s">
        <v>569</v>
      </c>
      <c r="C14" s="516">
        <v>158290</v>
      </c>
      <c r="D14" s="515"/>
      <c r="E14" s="287"/>
      <c r="F14" s="288"/>
      <c r="G14" s="287"/>
      <c r="H14" s="287"/>
    </row>
    <row r="15" spans="1:8">
      <c r="A15" s="286">
        <f t="shared" si="0"/>
        <v>11</v>
      </c>
      <c r="B15" s="410" t="s">
        <v>751</v>
      </c>
      <c r="C15" s="516">
        <v>78385</v>
      </c>
      <c r="D15" s="515"/>
      <c r="E15" s="287"/>
      <c r="F15" s="288"/>
      <c r="G15" s="287"/>
      <c r="H15" s="287"/>
    </row>
    <row r="16" spans="1:8">
      <c r="A16" s="286">
        <f t="shared" si="0"/>
        <v>12</v>
      </c>
      <c r="B16" s="410" t="s">
        <v>1118</v>
      </c>
      <c r="C16" s="516">
        <v>1844</v>
      </c>
      <c r="D16" s="515"/>
      <c r="E16" s="287"/>
      <c r="F16" s="288"/>
      <c r="G16" s="287"/>
      <c r="H16" s="287"/>
    </row>
    <row r="17" spans="1:8">
      <c r="A17" s="286">
        <f t="shared" si="0"/>
        <v>13</v>
      </c>
      <c r="B17" s="410" t="s">
        <v>573</v>
      </c>
      <c r="C17" s="516">
        <v>20340</v>
      </c>
      <c r="D17" s="515"/>
      <c r="E17" s="287"/>
      <c r="F17" s="288"/>
      <c r="G17" s="287"/>
      <c r="H17" s="287"/>
    </row>
    <row r="18" spans="1:8">
      <c r="A18" s="286">
        <f t="shared" si="0"/>
        <v>14</v>
      </c>
      <c r="B18" s="410" t="s">
        <v>277</v>
      </c>
      <c r="C18" s="516">
        <v>40516</v>
      </c>
      <c r="D18" s="515"/>
      <c r="E18" s="287"/>
      <c r="F18" s="288"/>
      <c r="G18" s="287"/>
      <c r="H18" s="287"/>
    </row>
    <row r="19" spans="1:8">
      <c r="A19" s="286">
        <f t="shared" si="0"/>
        <v>15</v>
      </c>
      <c r="B19" s="410" t="s">
        <v>756</v>
      </c>
      <c r="C19" s="516">
        <v>13683</v>
      </c>
      <c r="D19" s="515"/>
      <c r="E19" s="287"/>
      <c r="F19" s="288"/>
      <c r="G19" s="287"/>
      <c r="H19" s="287"/>
    </row>
    <row r="20" spans="1:8">
      <c r="A20" s="286">
        <f t="shared" si="0"/>
        <v>16</v>
      </c>
      <c r="B20" s="410" t="s">
        <v>1055</v>
      </c>
      <c r="C20" s="516">
        <v>45360</v>
      </c>
      <c r="D20" s="515"/>
      <c r="E20" s="287"/>
      <c r="F20" s="288"/>
      <c r="G20" s="287"/>
      <c r="H20" s="287"/>
    </row>
    <row r="21" spans="1:8">
      <c r="A21" s="286">
        <f t="shared" si="0"/>
        <v>17</v>
      </c>
      <c r="B21" s="410" t="s">
        <v>205</v>
      </c>
      <c r="C21" s="516">
        <v>63320723.200000003</v>
      </c>
      <c r="D21" s="515"/>
      <c r="E21" s="287"/>
      <c r="F21" s="288"/>
      <c r="G21" s="287"/>
      <c r="H21" s="287"/>
    </row>
    <row r="22" spans="1:8">
      <c r="A22" s="286">
        <f t="shared" si="0"/>
        <v>18</v>
      </c>
      <c r="B22" s="410" t="s">
        <v>279</v>
      </c>
      <c r="C22" s="516">
        <v>5356.12</v>
      </c>
      <c r="D22" s="515"/>
      <c r="E22" s="287"/>
      <c r="F22" s="288"/>
      <c r="G22" s="287"/>
      <c r="H22" s="287"/>
    </row>
    <row r="23" spans="1:8">
      <c r="A23" s="286">
        <f t="shared" si="0"/>
        <v>19</v>
      </c>
      <c r="B23" s="410" t="s">
        <v>1163</v>
      </c>
      <c r="C23" s="516">
        <v>11326</v>
      </c>
      <c r="D23" s="515"/>
      <c r="E23" s="287"/>
      <c r="F23" s="288"/>
      <c r="G23" s="287"/>
      <c r="H23" s="287"/>
    </row>
    <row r="24" spans="1:8">
      <c r="A24" s="286">
        <f t="shared" si="0"/>
        <v>20</v>
      </c>
      <c r="B24" s="410" t="s">
        <v>596</v>
      </c>
      <c r="C24" s="516">
        <v>3327</v>
      </c>
      <c r="D24" s="515"/>
      <c r="E24" s="287"/>
      <c r="F24" s="288"/>
      <c r="G24" s="287"/>
      <c r="H24" s="287"/>
    </row>
    <row r="25" spans="1:8">
      <c r="A25" s="286">
        <f t="shared" si="0"/>
        <v>21</v>
      </c>
      <c r="B25" s="410" t="s">
        <v>768</v>
      </c>
      <c r="C25" s="516">
        <v>109111</v>
      </c>
      <c r="D25" s="515"/>
      <c r="E25" s="287"/>
      <c r="F25" s="288"/>
      <c r="G25" s="287"/>
      <c r="H25" s="287"/>
    </row>
    <row r="26" spans="1:8">
      <c r="A26" s="286">
        <f t="shared" si="0"/>
        <v>22</v>
      </c>
      <c r="B26" s="410" t="s">
        <v>597</v>
      </c>
      <c r="C26" s="516">
        <v>18531.16</v>
      </c>
      <c r="D26" s="515"/>
      <c r="E26" s="287"/>
      <c r="F26" s="288"/>
      <c r="G26" s="287"/>
      <c r="H26" s="287"/>
    </row>
    <row r="27" spans="1:8">
      <c r="A27" s="286">
        <f t="shared" si="0"/>
        <v>23</v>
      </c>
      <c r="B27" s="410" t="s">
        <v>769</v>
      </c>
      <c r="C27" s="516">
        <v>12855</v>
      </c>
      <c r="D27" s="515"/>
      <c r="E27" s="287"/>
      <c r="F27" s="288"/>
      <c r="G27" s="287"/>
      <c r="H27" s="287"/>
    </row>
    <row r="28" spans="1:8">
      <c r="A28" s="286">
        <f t="shared" si="0"/>
        <v>24</v>
      </c>
      <c r="B28" s="410" t="s">
        <v>774</v>
      </c>
      <c r="C28" s="516">
        <v>5586.51</v>
      </c>
      <c r="D28" s="515"/>
      <c r="E28" s="287"/>
      <c r="F28" s="288"/>
      <c r="G28" s="287"/>
      <c r="H28" s="287"/>
    </row>
    <row r="29" spans="1:8">
      <c r="A29" s="286">
        <f t="shared" si="0"/>
        <v>25</v>
      </c>
      <c r="B29" s="410" t="s">
        <v>1166</v>
      </c>
      <c r="C29" s="516">
        <v>136640</v>
      </c>
      <c r="D29" s="515"/>
      <c r="E29" s="287"/>
      <c r="F29" s="288"/>
      <c r="G29" s="287"/>
      <c r="H29" s="287"/>
    </row>
    <row r="30" spans="1:8">
      <c r="A30" s="286">
        <f t="shared" si="0"/>
        <v>26</v>
      </c>
      <c r="B30" s="410" t="s">
        <v>777</v>
      </c>
      <c r="C30" s="516">
        <v>444255</v>
      </c>
      <c r="D30" s="515"/>
      <c r="E30" s="287"/>
      <c r="F30" s="288"/>
      <c r="G30" s="287"/>
      <c r="H30" s="287"/>
    </row>
    <row r="31" spans="1:8">
      <c r="A31" s="286">
        <f t="shared" si="0"/>
        <v>27</v>
      </c>
      <c r="B31" s="410" t="s">
        <v>778</v>
      </c>
      <c r="C31" s="516">
        <v>1180</v>
      </c>
      <c r="D31" s="515"/>
      <c r="E31" s="287"/>
      <c r="F31" s="288"/>
      <c r="G31" s="287"/>
      <c r="H31" s="287"/>
    </row>
    <row r="32" spans="1:8">
      <c r="A32" s="286">
        <f t="shared" si="0"/>
        <v>28</v>
      </c>
      <c r="B32" s="410" t="s">
        <v>610</v>
      </c>
      <c r="C32" s="516">
        <v>12596</v>
      </c>
      <c r="D32" s="515"/>
      <c r="E32" s="287"/>
      <c r="F32" s="288"/>
      <c r="G32" s="287"/>
      <c r="H32" s="287"/>
    </row>
    <row r="33" spans="1:8">
      <c r="A33" s="286">
        <f t="shared" si="0"/>
        <v>29</v>
      </c>
      <c r="B33" s="410" t="s">
        <v>1062</v>
      </c>
      <c r="C33" s="516">
        <v>15571</v>
      </c>
      <c r="D33" s="515"/>
      <c r="E33" s="287"/>
      <c r="F33" s="288"/>
      <c r="G33" s="287"/>
      <c r="H33" s="287"/>
    </row>
    <row r="34" spans="1:8">
      <c r="A34" s="286">
        <f t="shared" si="0"/>
        <v>30</v>
      </c>
      <c r="B34" s="410" t="s">
        <v>1095</v>
      </c>
      <c r="C34" s="516">
        <v>1283688</v>
      </c>
      <c r="D34" s="515"/>
      <c r="E34" s="287"/>
      <c r="F34" s="288"/>
      <c r="G34" s="287"/>
      <c r="H34" s="287"/>
    </row>
    <row r="35" spans="1:8">
      <c r="A35" s="286">
        <f t="shared" si="0"/>
        <v>31</v>
      </c>
      <c r="B35" s="410" t="s">
        <v>287</v>
      </c>
      <c r="C35" s="516">
        <v>42929</v>
      </c>
      <c r="D35" s="515"/>
      <c r="E35" s="287"/>
      <c r="F35" s="288"/>
      <c r="G35" s="287"/>
      <c r="H35" s="287"/>
    </row>
    <row r="36" spans="1:8">
      <c r="A36" s="286">
        <f t="shared" si="0"/>
        <v>32</v>
      </c>
      <c r="B36" s="410" t="s">
        <v>786</v>
      </c>
      <c r="C36" s="516">
        <v>10043</v>
      </c>
      <c r="D36" s="515"/>
      <c r="E36" s="287"/>
      <c r="F36" s="288"/>
      <c r="G36" s="287"/>
      <c r="H36" s="287"/>
    </row>
    <row r="37" spans="1:8">
      <c r="A37" s="286">
        <f t="shared" si="0"/>
        <v>33</v>
      </c>
      <c r="B37" s="410" t="s">
        <v>1064</v>
      </c>
      <c r="C37" s="516">
        <v>575809</v>
      </c>
      <c r="D37" s="515"/>
      <c r="E37" s="287"/>
      <c r="F37" s="288"/>
      <c r="G37" s="287"/>
      <c r="H37" s="287"/>
    </row>
    <row r="38" spans="1:8">
      <c r="A38" s="286">
        <f t="shared" si="0"/>
        <v>34</v>
      </c>
      <c r="B38" s="410" t="s">
        <v>1172</v>
      </c>
      <c r="C38" s="516">
        <v>96867</v>
      </c>
      <c r="D38" s="515"/>
      <c r="E38" s="287"/>
      <c r="F38" s="288"/>
      <c r="G38" s="287"/>
      <c r="H38" s="287"/>
    </row>
    <row r="39" spans="1:8">
      <c r="A39" s="286">
        <f t="shared" si="0"/>
        <v>35</v>
      </c>
      <c r="B39" s="410" t="s">
        <v>404</v>
      </c>
      <c r="C39" s="516">
        <v>10000</v>
      </c>
      <c r="D39" s="515"/>
      <c r="E39" s="287"/>
      <c r="F39" s="288"/>
      <c r="G39" s="287"/>
      <c r="H39" s="287"/>
    </row>
    <row r="40" spans="1:8">
      <c r="A40" s="286">
        <f t="shared" si="0"/>
        <v>36</v>
      </c>
      <c r="B40" s="410" t="s">
        <v>1174</v>
      </c>
      <c r="C40" s="516">
        <v>162400</v>
      </c>
      <c r="D40" s="515"/>
      <c r="E40" s="287"/>
      <c r="F40" s="288"/>
      <c r="G40" s="287"/>
      <c r="H40" s="287"/>
    </row>
    <row r="41" spans="1:8">
      <c r="A41" s="286">
        <f t="shared" si="0"/>
        <v>37</v>
      </c>
      <c r="B41" s="410" t="s">
        <v>1067</v>
      </c>
      <c r="C41" s="516">
        <v>519971</v>
      </c>
      <c r="D41" s="515"/>
      <c r="E41" s="287"/>
      <c r="F41" s="288"/>
      <c r="G41" s="287"/>
      <c r="H41" s="287"/>
    </row>
    <row r="42" spans="1:8">
      <c r="A42" s="286">
        <f t="shared" si="0"/>
        <v>38</v>
      </c>
      <c r="B42" s="410" t="s">
        <v>794</v>
      </c>
      <c r="C42" s="516">
        <v>26439</v>
      </c>
      <c r="D42" s="515"/>
      <c r="E42" s="287"/>
      <c r="F42" s="288"/>
      <c r="G42" s="287"/>
      <c r="H42" s="287"/>
    </row>
    <row r="43" spans="1:8">
      <c r="A43" s="286">
        <f t="shared" si="0"/>
        <v>39</v>
      </c>
      <c r="B43" s="410" t="s">
        <v>796</v>
      </c>
      <c r="C43" s="516">
        <v>209768.9</v>
      </c>
      <c r="D43" s="515"/>
      <c r="E43" s="287"/>
      <c r="F43" s="288"/>
      <c r="G43" s="287"/>
      <c r="H43" s="287"/>
    </row>
    <row r="44" spans="1:8">
      <c r="A44" s="286">
        <f t="shared" si="0"/>
        <v>40</v>
      </c>
      <c r="B44" s="410" t="s">
        <v>1130</v>
      </c>
      <c r="C44" s="516">
        <v>44334</v>
      </c>
      <c r="D44" s="515"/>
      <c r="E44" s="287"/>
      <c r="F44" s="288"/>
      <c r="G44" s="287"/>
      <c r="H44" s="287"/>
    </row>
    <row r="45" spans="1:8">
      <c r="A45" s="286">
        <f t="shared" si="0"/>
        <v>41</v>
      </c>
      <c r="B45" s="410" t="s">
        <v>1131</v>
      </c>
      <c r="C45" s="516">
        <v>64899</v>
      </c>
      <c r="D45" s="515"/>
      <c r="E45" s="287"/>
      <c r="F45" s="288"/>
      <c r="G45" s="287"/>
      <c r="H45" s="287"/>
    </row>
    <row r="46" spans="1:8">
      <c r="A46" s="286">
        <f t="shared" si="0"/>
        <v>42</v>
      </c>
      <c r="B46" s="410" t="s">
        <v>629</v>
      </c>
      <c r="C46" s="516">
        <v>43949</v>
      </c>
      <c r="D46" s="515"/>
      <c r="E46" s="287"/>
      <c r="F46" s="288"/>
      <c r="G46" s="287"/>
      <c r="H46" s="287"/>
    </row>
    <row r="47" spans="1:8">
      <c r="A47" s="286">
        <f t="shared" si="0"/>
        <v>43</v>
      </c>
      <c r="B47" s="410" t="s">
        <v>630</v>
      </c>
      <c r="C47" s="516">
        <v>109823</v>
      </c>
      <c r="D47" s="515"/>
      <c r="E47" s="287"/>
      <c r="F47" s="288"/>
      <c r="G47" s="287"/>
      <c r="H47" s="287"/>
    </row>
    <row r="48" spans="1:8">
      <c r="A48" s="286">
        <f t="shared" si="0"/>
        <v>44</v>
      </c>
      <c r="B48" s="410" t="s">
        <v>807</v>
      </c>
      <c r="C48" s="516">
        <v>48838</v>
      </c>
      <c r="D48" s="515"/>
      <c r="E48" s="287"/>
      <c r="F48" s="288"/>
      <c r="G48" s="287"/>
      <c r="H48" s="287"/>
    </row>
    <row r="49" spans="1:8">
      <c r="A49" s="286">
        <f>+A5+1</f>
        <v>46</v>
      </c>
      <c r="B49" s="285" t="s">
        <v>259</v>
      </c>
      <c r="C49" s="287">
        <v>548</v>
      </c>
      <c r="D49" s="288"/>
      <c r="E49" s="287"/>
      <c r="F49" s="288"/>
      <c r="G49" s="287"/>
      <c r="H49" s="287"/>
    </row>
    <row r="50" spans="1:8">
      <c r="A50" s="286">
        <f t="shared" si="0"/>
        <v>47</v>
      </c>
      <c r="B50" s="285" t="s">
        <v>756</v>
      </c>
      <c r="C50" s="287">
        <v>62</v>
      </c>
      <c r="D50" s="288"/>
      <c r="E50" s="287"/>
      <c r="F50" s="288"/>
      <c r="G50" s="287"/>
      <c r="H50" s="287"/>
    </row>
    <row r="51" spans="1:8">
      <c r="A51" s="286">
        <f t="shared" si="0"/>
        <v>48</v>
      </c>
      <c r="B51" s="285" t="s">
        <v>279</v>
      </c>
      <c r="C51" s="287">
        <v>1181</v>
      </c>
      <c r="D51" s="288"/>
      <c r="E51" s="287"/>
      <c r="F51" s="288"/>
      <c r="G51" s="287"/>
      <c r="H51" s="287"/>
    </row>
    <row r="52" spans="1:8">
      <c r="A52" s="286">
        <f t="shared" si="0"/>
        <v>49</v>
      </c>
      <c r="B52" s="285" t="s">
        <v>767</v>
      </c>
      <c r="C52" s="287">
        <v>34836</v>
      </c>
      <c r="D52" s="288"/>
      <c r="E52" s="287"/>
      <c r="F52" s="288"/>
      <c r="G52" s="287"/>
      <c r="H52" s="287"/>
    </row>
    <row r="53" spans="1:8">
      <c r="A53" s="286">
        <f t="shared" si="0"/>
        <v>50</v>
      </c>
      <c r="B53" s="285" t="s">
        <v>597</v>
      </c>
      <c r="C53" s="287">
        <v>9358.64</v>
      </c>
      <c r="D53" s="288"/>
      <c r="E53" s="287"/>
      <c r="F53" s="288"/>
      <c r="G53" s="287"/>
      <c r="H53" s="287"/>
    </row>
    <row r="54" spans="1:8">
      <c r="A54" s="286">
        <f t="shared" si="0"/>
        <v>51</v>
      </c>
      <c r="B54" s="285" t="s">
        <v>772</v>
      </c>
      <c r="C54" s="287">
        <v>5735</v>
      </c>
      <c r="D54" s="288"/>
      <c r="E54" s="287"/>
      <c r="F54" s="288"/>
      <c r="G54" s="287"/>
      <c r="H54" s="287"/>
    </row>
    <row r="55" spans="1:8">
      <c r="A55" s="286">
        <f t="shared" si="0"/>
        <v>52</v>
      </c>
      <c r="B55" s="285" t="s">
        <v>774</v>
      </c>
      <c r="C55" s="287">
        <v>35941</v>
      </c>
      <c r="D55" s="288"/>
      <c r="E55" s="287"/>
      <c r="F55" s="288"/>
      <c r="G55" s="287"/>
      <c r="H55" s="287"/>
    </row>
    <row r="56" spans="1:8">
      <c r="A56" s="286">
        <f t="shared" si="0"/>
        <v>53</v>
      </c>
      <c r="B56" s="285" t="s">
        <v>775</v>
      </c>
      <c r="C56" s="287">
        <v>390</v>
      </c>
      <c r="D56" s="288"/>
      <c r="E56" s="287"/>
      <c r="F56" s="288"/>
      <c r="G56" s="287"/>
      <c r="H56" s="287"/>
    </row>
    <row r="57" spans="1:8">
      <c r="A57" s="286">
        <f t="shared" si="0"/>
        <v>54</v>
      </c>
      <c r="B57" s="285" t="s">
        <v>290</v>
      </c>
      <c r="C57" s="287">
        <v>1628</v>
      </c>
      <c r="D57" s="288"/>
      <c r="E57" s="287"/>
      <c r="F57" s="288"/>
      <c r="G57" s="287"/>
      <c r="H57" s="287"/>
    </row>
    <row r="58" spans="1:8">
      <c r="A58" s="286">
        <f t="shared" si="0"/>
        <v>55</v>
      </c>
      <c r="B58" s="285" t="s">
        <v>778</v>
      </c>
      <c r="C58" s="287">
        <v>1180</v>
      </c>
      <c r="D58" s="288"/>
      <c r="E58" s="287"/>
      <c r="F58" s="288"/>
      <c r="G58" s="287"/>
      <c r="H58" s="287"/>
    </row>
    <row r="59" spans="1:8">
      <c r="A59" s="286">
        <f t="shared" si="0"/>
        <v>56</v>
      </c>
      <c r="B59" s="285" t="s">
        <v>608</v>
      </c>
      <c r="C59" s="287">
        <v>16846</v>
      </c>
      <c r="D59" s="288"/>
      <c r="E59" s="287"/>
      <c r="F59" s="288"/>
      <c r="G59" s="287"/>
      <c r="H59" s="287"/>
    </row>
    <row r="60" spans="1:8">
      <c r="A60" s="286">
        <f t="shared" si="0"/>
        <v>57</v>
      </c>
      <c r="B60" s="285" t="s">
        <v>611</v>
      </c>
      <c r="C60" s="287">
        <v>9899</v>
      </c>
      <c r="D60" s="288"/>
      <c r="E60" s="287"/>
      <c r="F60" s="288"/>
      <c r="G60" s="287"/>
      <c r="H60" s="287"/>
    </row>
    <row r="61" spans="1:8">
      <c r="A61" s="286">
        <f t="shared" si="0"/>
        <v>58</v>
      </c>
      <c r="B61" s="285" t="s">
        <v>287</v>
      </c>
      <c r="C61" s="287">
        <v>9156</v>
      </c>
      <c r="D61" s="288"/>
      <c r="E61" s="287"/>
      <c r="F61" s="288"/>
      <c r="G61" s="287"/>
      <c r="H61" s="287"/>
    </row>
    <row r="62" spans="1:8">
      <c r="A62" s="286">
        <f t="shared" si="0"/>
        <v>59</v>
      </c>
      <c r="B62" s="285" t="s">
        <v>425</v>
      </c>
      <c r="C62" s="287">
        <v>66812</v>
      </c>
      <c r="D62" s="288"/>
      <c r="E62" s="287"/>
      <c r="F62" s="288"/>
      <c r="G62" s="287"/>
      <c r="H62" s="287"/>
    </row>
    <row r="63" spans="1:8">
      <c r="A63" s="286">
        <f t="shared" si="0"/>
        <v>60</v>
      </c>
      <c r="B63" s="285" t="s">
        <v>787</v>
      </c>
      <c r="C63" s="287">
        <v>27193</v>
      </c>
      <c r="D63" s="288"/>
      <c r="E63" s="287"/>
      <c r="F63" s="288"/>
      <c r="G63" s="287"/>
      <c r="H63" s="287"/>
    </row>
    <row r="64" spans="1:8">
      <c r="A64" s="286">
        <f t="shared" si="0"/>
        <v>61</v>
      </c>
      <c r="B64" s="285" t="s">
        <v>790</v>
      </c>
      <c r="C64" s="287">
        <v>1884</v>
      </c>
      <c r="D64" s="288"/>
      <c r="E64" s="287"/>
      <c r="F64" s="288"/>
      <c r="G64" s="287"/>
      <c r="H64" s="287"/>
    </row>
    <row r="65" spans="1:8">
      <c r="A65" s="286">
        <f t="shared" si="0"/>
        <v>62</v>
      </c>
      <c r="B65" s="285" t="s">
        <v>791</v>
      </c>
      <c r="C65" s="287">
        <v>9439</v>
      </c>
      <c r="D65" s="288"/>
      <c r="E65" s="287"/>
      <c r="F65" s="288"/>
      <c r="G65" s="287"/>
      <c r="H65" s="287"/>
    </row>
    <row r="66" spans="1:8">
      <c r="A66" s="286">
        <f t="shared" si="0"/>
        <v>63</v>
      </c>
      <c r="B66" s="285" t="s">
        <v>623</v>
      </c>
      <c r="C66" s="287">
        <v>26130</v>
      </c>
      <c r="D66" s="288"/>
      <c r="E66" s="287"/>
      <c r="F66" s="288"/>
      <c r="G66" s="287"/>
      <c r="H66" s="287"/>
    </row>
    <row r="67" spans="1:8">
      <c r="A67" s="286">
        <f t="shared" si="0"/>
        <v>64</v>
      </c>
      <c r="B67" s="285" t="s">
        <v>426</v>
      </c>
      <c r="C67" s="287">
        <v>1888</v>
      </c>
      <c r="D67" s="288"/>
      <c r="E67" s="287"/>
      <c r="F67" s="288"/>
      <c r="G67" s="287"/>
      <c r="H67" s="287"/>
    </row>
    <row r="68" spans="1:8">
      <c r="A68" s="286">
        <f t="shared" si="0"/>
        <v>65</v>
      </c>
      <c r="B68" s="285" t="s">
        <v>625</v>
      </c>
      <c r="C68" s="287">
        <v>6844</v>
      </c>
      <c r="D68" s="288"/>
      <c r="E68" s="287"/>
      <c r="F68" s="288"/>
      <c r="G68" s="287"/>
      <c r="H68" s="287"/>
    </row>
    <row r="69" spans="1:8">
      <c r="A69" s="286">
        <f t="shared" si="0"/>
        <v>66</v>
      </c>
      <c r="B69" s="285" t="s">
        <v>626</v>
      </c>
      <c r="C69" s="287">
        <v>2903</v>
      </c>
      <c r="D69" s="288"/>
      <c r="E69" s="287"/>
      <c r="F69" s="288"/>
      <c r="G69" s="287"/>
      <c r="H69" s="287"/>
    </row>
    <row r="70" spans="1:8">
      <c r="A70" s="286">
        <f t="shared" ref="A70:A83" si="1">+A69+1</f>
        <v>67</v>
      </c>
      <c r="B70" s="285" t="s">
        <v>627</v>
      </c>
      <c r="C70" s="287">
        <v>12584</v>
      </c>
      <c r="D70" s="288"/>
      <c r="E70" s="287"/>
      <c r="F70" s="288"/>
      <c r="G70" s="287"/>
      <c r="H70" s="287"/>
    </row>
    <row r="71" spans="1:8">
      <c r="A71" s="286">
        <f t="shared" si="1"/>
        <v>68</v>
      </c>
      <c r="B71" s="285" t="s">
        <v>793</v>
      </c>
      <c r="C71" s="287">
        <v>12762</v>
      </c>
      <c r="D71" s="288"/>
      <c r="E71" s="287"/>
      <c r="F71" s="288"/>
      <c r="G71" s="287"/>
      <c r="H71" s="287"/>
    </row>
    <row r="72" spans="1:8">
      <c r="A72" s="286">
        <f t="shared" si="1"/>
        <v>69</v>
      </c>
      <c r="B72" s="285" t="s">
        <v>278</v>
      </c>
      <c r="C72" s="287">
        <v>83046</v>
      </c>
      <c r="D72" s="288"/>
      <c r="E72" s="287"/>
      <c r="F72" s="288"/>
      <c r="G72" s="287"/>
      <c r="H72" s="287"/>
    </row>
    <row r="73" spans="1:8">
      <c r="A73" s="286">
        <f t="shared" si="1"/>
        <v>70</v>
      </c>
      <c r="B73" s="285" t="s">
        <v>794</v>
      </c>
      <c r="C73" s="287">
        <v>37333</v>
      </c>
      <c r="D73" s="288"/>
      <c r="E73" s="287"/>
      <c r="F73" s="288"/>
      <c r="G73" s="287"/>
      <c r="H73" s="287"/>
    </row>
    <row r="74" spans="1:8">
      <c r="A74" s="286">
        <f t="shared" si="1"/>
        <v>71</v>
      </c>
      <c r="B74" s="285" t="s">
        <v>795</v>
      </c>
      <c r="C74" s="287">
        <v>18155</v>
      </c>
      <c r="D74" s="288"/>
      <c r="E74" s="287"/>
      <c r="F74" s="288"/>
      <c r="G74" s="287"/>
      <c r="H74" s="287"/>
    </row>
    <row r="75" spans="1:8">
      <c r="A75" s="286">
        <f t="shared" si="1"/>
        <v>72</v>
      </c>
      <c r="B75" s="285" t="s">
        <v>797</v>
      </c>
      <c r="C75" s="287">
        <v>3161</v>
      </c>
      <c r="D75" s="288"/>
      <c r="E75" s="287"/>
      <c r="F75" s="288"/>
      <c r="G75" s="287"/>
      <c r="H75" s="287"/>
    </row>
    <row r="76" spans="1:8">
      <c r="A76" s="286">
        <f t="shared" si="1"/>
        <v>73</v>
      </c>
      <c r="B76" s="285" t="s">
        <v>798</v>
      </c>
      <c r="C76" s="287">
        <v>2355</v>
      </c>
      <c r="D76" s="288"/>
      <c r="E76" s="287"/>
      <c r="F76" s="288"/>
      <c r="G76" s="287"/>
      <c r="H76" s="287"/>
    </row>
    <row r="77" spans="1:8">
      <c r="A77" s="286">
        <f t="shared" si="1"/>
        <v>74</v>
      </c>
      <c r="B77" s="285" t="s">
        <v>800</v>
      </c>
      <c r="C77" s="287">
        <v>110161</v>
      </c>
      <c r="D77" s="288"/>
      <c r="E77" s="287"/>
      <c r="F77" s="288"/>
      <c r="G77" s="287"/>
      <c r="H77" s="287"/>
    </row>
    <row r="78" spans="1:8">
      <c r="A78" s="286">
        <f t="shared" si="1"/>
        <v>75</v>
      </c>
      <c r="B78" s="285" t="s">
        <v>206</v>
      </c>
      <c r="C78" s="287">
        <v>78364.5</v>
      </c>
      <c r="D78" s="288"/>
      <c r="E78" s="287"/>
      <c r="F78" s="288"/>
      <c r="G78" s="287"/>
      <c r="H78" s="287"/>
    </row>
    <row r="79" spans="1:8">
      <c r="A79" s="286">
        <f t="shared" si="1"/>
        <v>76</v>
      </c>
      <c r="B79" s="285" t="s">
        <v>628</v>
      </c>
      <c r="C79" s="287">
        <v>4884</v>
      </c>
      <c r="D79" s="288"/>
      <c r="E79" s="287"/>
      <c r="F79" s="288"/>
      <c r="G79" s="287"/>
      <c r="H79" s="287"/>
    </row>
    <row r="80" spans="1:8">
      <c r="A80" s="286">
        <f t="shared" si="1"/>
        <v>77</v>
      </c>
      <c r="B80" s="285" t="s">
        <v>804</v>
      </c>
      <c r="C80" s="287">
        <v>36</v>
      </c>
      <c r="D80" s="288"/>
      <c r="E80" s="287"/>
      <c r="F80" s="288"/>
      <c r="G80" s="287"/>
      <c r="H80" s="287"/>
    </row>
    <row r="81" spans="1:8">
      <c r="A81" s="286">
        <f t="shared" si="1"/>
        <v>78</v>
      </c>
      <c r="B81" s="285" t="s">
        <v>806</v>
      </c>
      <c r="C81" s="287">
        <v>13081</v>
      </c>
      <c r="D81" s="288"/>
      <c r="E81" s="287"/>
      <c r="F81" s="288"/>
      <c r="G81" s="287"/>
      <c r="H81" s="287"/>
    </row>
    <row r="82" spans="1:8">
      <c r="A82" s="286">
        <f t="shared" si="1"/>
        <v>79</v>
      </c>
      <c r="B82" s="285" t="s">
        <v>808</v>
      </c>
      <c r="C82" s="287">
        <v>39754</v>
      </c>
      <c r="D82" s="288"/>
      <c r="E82" s="287"/>
      <c r="F82" s="288"/>
      <c r="G82" s="287"/>
      <c r="H82" s="287"/>
    </row>
    <row r="83" spans="1:8">
      <c r="A83" s="286">
        <f t="shared" si="1"/>
        <v>80</v>
      </c>
      <c r="B83" s="285" t="s">
        <v>809</v>
      </c>
      <c r="C83" s="287">
        <v>270</v>
      </c>
      <c r="D83" s="288"/>
      <c r="E83" s="287"/>
      <c r="F83" s="288"/>
      <c r="G83" s="287"/>
      <c r="H83" s="287"/>
    </row>
    <row r="84" spans="1:8">
      <c r="A84" s="289"/>
      <c r="B84" s="290" t="s">
        <v>814</v>
      </c>
      <c r="C84" s="291">
        <f>SUM(C4:C83)</f>
        <v>69949699.030000001</v>
      </c>
      <c r="D84" s="291">
        <f>SUM(D4:D83)</f>
        <v>40000</v>
      </c>
      <c r="E84" s="291">
        <f>SUM(E4:E83)</f>
        <v>0</v>
      </c>
      <c r="F84" s="291">
        <f>SUM(F4:F83)</f>
        <v>40000</v>
      </c>
      <c r="G84" s="291"/>
      <c r="H84" s="291"/>
    </row>
    <row r="86" spans="1:8" s="292" customFormat="1" ht="12.75">
      <c r="B86" s="293" t="s">
        <v>971</v>
      </c>
      <c r="C86" s="294">
        <f>+E84</f>
        <v>0</v>
      </c>
      <c r="D86" s="295"/>
      <c r="G86" s="295"/>
      <c r="H86" s="295"/>
    </row>
    <row r="87" spans="1:8" s="292" customFormat="1" ht="12.75">
      <c r="B87" s="293" t="s">
        <v>972</v>
      </c>
      <c r="C87" s="294">
        <f>+G84</f>
        <v>0</v>
      </c>
    </row>
    <row r="88" spans="1:8" s="292" customFormat="1" ht="13.5" thickBot="1">
      <c r="B88" s="296" t="s">
        <v>93</v>
      </c>
      <c r="C88" s="297">
        <f>SUM(C86:C87)</f>
        <v>0</v>
      </c>
    </row>
    <row r="89" spans="1:8" s="292" customFormat="1" ht="13.5" thickTop="1">
      <c r="C89" s="298"/>
    </row>
    <row r="90" spans="1:8" s="292" customFormat="1" ht="12.75">
      <c r="B90" s="293" t="s">
        <v>973</v>
      </c>
      <c r="C90" s="294">
        <f>+F84+H84</f>
        <v>40000</v>
      </c>
    </row>
    <row r="91" spans="1:8" s="292" customFormat="1" ht="12.75">
      <c r="C91" s="298"/>
    </row>
    <row r="92" spans="1:8" s="292" customFormat="1" ht="12.75">
      <c r="C92" s="298"/>
    </row>
    <row r="93" spans="1:8" s="292" customFormat="1" ht="12.75">
      <c r="C93" s="298"/>
    </row>
    <row r="94" spans="1:8" s="292" customFormat="1" ht="12.75">
      <c r="C94" s="298"/>
    </row>
    <row r="95" spans="1:8" s="292" customFormat="1" ht="12.75">
      <c r="C95" s="298"/>
    </row>
    <row r="96" spans="1:8">
      <c r="C96" s="299"/>
    </row>
    <row r="97" spans="3:3">
      <c r="C97" s="299"/>
    </row>
  </sheetData>
  <mergeCells count="6">
    <mergeCell ref="A1:H1"/>
    <mergeCell ref="A2:A3"/>
    <mergeCell ref="B2:B3"/>
    <mergeCell ref="C2:D2"/>
    <mergeCell ref="E2:F2"/>
    <mergeCell ref="G2: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S146"/>
  <sheetViews>
    <sheetView topLeftCell="G118" workbookViewId="0">
      <selection activeCell="P135" sqref="P135"/>
    </sheetView>
  </sheetViews>
  <sheetFormatPr defaultRowHeight="12.75"/>
  <cols>
    <col min="4" max="4" width="3.7109375" customWidth="1"/>
    <col min="5" max="5" width="32.140625" style="1049" customWidth="1"/>
    <col min="6" max="6" width="22.140625" customWidth="1"/>
    <col min="8" max="8" width="11.42578125" bestFit="1" customWidth="1"/>
    <col min="12" max="12" width="36.7109375" bestFit="1" customWidth="1"/>
    <col min="13" max="13" width="11.42578125" bestFit="1" customWidth="1"/>
    <col min="16" max="16" width="10.5703125" bestFit="1" customWidth="1"/>
  </cols>
  <sheetData>
    <row r="2" spans="2:9">
      <c r="E2"/>
    </row>
    <row r="3" spans="2:9">
      <c r="E3"/>
    </row>
    <row r="4" spans="2:9" ht="63.75">
      <c r="B4" s="165"/>
      <c r="C4" s="1090" t="s">
        <v>16</v>
      </c>
      <c r="D4" s="1091"/>
      <c r="E4" s="1091"/>
      <c r="F4" s="1092"/>
      <c r="G4" s="165" t="s">
        <v>17</v>
      </c>
      <c r="H4" s="165" t="s">
        <v>1631</v>
      </c>
    </row>
    <row r="5" spans="2:9">
      <c r="B5" s="541" t="s">
        <v>18</v>
      </c>
      <c r="C5" s="542" t="s">
        <v>19</v>
      </c>
      <c r="D5" s="543"/>
      <c r="E5" s="342"/>
      <c r="F5" s="342"/>
      <c r="G5" s="544"/>
      <c r="H5" s="545"/>
    </row>
    <row r="6" spans="2:9">
      <c r="B6" s="225"/>
      <c r="C6" s="346"/>
      <c r="D6" s="300"/>
      <c r="E6" s="300"/>
      <c r="F6" s="345"/>
      <c r="G6" s="343"/>
      <c r="H6" s="344"/>
    </row>
    <row r="7" spans="2:9">
      <c r="B7" s="198">
        <v>1</v>
      </c>
      <c r="C7" s="346" t="s">
        <v>20</v>
      </c>
      <c r="D7" s="546"/>
      <c r="E7" s="300"/>
      <c r="F7" s="345"/>
      <c r="G7" s="343"/>
      <c r="H7" s="344"/>
    </row>
    <row r="8" spans="2:9">
      <c r="B8" s="225"/>
      <c r="C8" s="547" t="s">
        <v>21</v>
      </c>
      <c r="D8" s="300" t="s">
        <v>22</v>
      </c>
      <c r="E8" s="300"/>
      <c r="F8" s="345"/>
      <c r="G8" s="343">
        <v>2</v>
      </c>
      <c r="H8" s="349">
        <v>28500</v>
      </c>
      <c r="I8" s="1050">
        <f>H8*1000/10^7</f>
        <v>2.85</v>
      </c>
    </row>
    <row r="9" spans="2:9">
      <c r="B9" s="225"/>
      <c r="C9" s="547" t="s">
        <v>23</v>
      </c>
      <c r="D9" s="300" t="s">
        <v>24</v>
      </c>
      <c r="E9" s="300"/>
      <c r="F9" s="345"/>
      <c r="G9" s="343">
        <v>3</v>
      </c>
      <c r="H9" s="333">
        <v>63349.629888972719</v>
      </c>
      <c r="I9" s="1050">
        <f t="shared" ref="I9:I43" si="0">H9*1000/10^7</f>
        <v>6.3349629888972725</v>
      </c>
    </row>
    <row r="10" spans="2:9">
      <c r="B10" s="225"/>
      <c r="C10" s="547"/>
      <c r="D10" s="300"/>
      <c r="E10" s="300"/>
      <c r="F10" s="345"/>
      <c r="G10" s="343"/>
      <c r="H10" s="333"/>
      <c r="I10" s="1050">
        <f t="shared" si="0"/>
        <v>0</v>
      </c>
    </row>
    <row r="11" spans="2:9">
      <c r="B11" s="198">
        <v>2</v>
      </c>
      <c r="C11" s="972" t="s">
        <v>368</v>
      </c>
      <c r="D11" s="300"/>
      <c r="E11" s="300"/>
      <c r="F11" s="345"/>
      <c r="G11" s="343"/>
      <c r="H11" s="333">
        <v>0</v>
      </c>
      <c r="I11" s="1050">
        <f t="shared" si="0"/>
        <v>0</v>
      </c>
    </row>
    <row r="12" spans="2:9">
      <c r="B12" s="225"/>
      <c r="C12" s="547"/>
      <c r="D12" s="300"/>
      <c r="E12" s="300"/>
      <c r="F12" s="345"/>
      <c r="G12" s="343"/>
      <c r="H12" s="333"/>
      <c r="I12" s="1050">
        <f t="shared" si="0"/>
        <v>0</v>
      </c>
    </row>
    <row r="13" spans="2:9">
      <c r="B13" s="198">
        <v>3</v>
      </c>
      <c r="C13" s="346" t="s">
        <v>26</v>
      </c>
      <c r="D13" s="546"/>
      <c r="E13" s="300"/>
      <c r="F13" s="345"/>
      <c r="G13" s="343"/>
      <c r="H13" s="344"/>
      <c r="I13" s="1050">
        <f t="shared" si="0"/>
        <v>0</v>
      </c>
    </row>
    <row r="14" spans="2:9">
      <c r="B14" s="225"/>
      <c r="C14" s="547" t="s">
        <v>21</v>
      </c>
      <c r="D14" s="300" t="s">
        <v>27</v>
      </c>
      <c r="E14" s="300"/>
      <c r="F14" s="345"/>
      <c r="G14" s="343">
        <v>4</v>
      </c>
      <c r="H14" s="333">
        <v>136398.97378669362</v>
      </c>
      <c r="I14" s="1050">
        <f t="shared" si="0"/>
        <v>13.639897378669364</v>
      </c>
    </row>
    <row r="15" spans="2:9">
      <c r="B15" s="225"/>
      <c r="C15" s="547" t="s">
        <v>23</v>
      </c>
      <c r="D15" s="300" t="s">
        <v>282</v>
      </c>
      <c r="E15" s="300"/>
      <c r="F15" s="345"/>
      <c r="G15" s="343">
        <v>5</v>
      </c>
      <c r="H15" s="333">
        <v>2881.4896490118617</v>
      </c>
      <c r="I15" s="1050">
        <f t="shared" si="0"/>
        <v>0.28814896490118613</v>
      </c>
    </row>
    <row r="16" spans="2:9">
      <c r="B16" s="225"/>
      <c r="C16" s="547" t="s">
        <v>25</v>
      </c>
      <c r="D16" s="300" t="s">
        <v>29</v>
      </c>
      <c r="E16" s="300"/>
      <c r="F16" s="345"/>
      <c r="G16" s="343">
        <v>6</v>
      </c>
      <c r="H16" s="333">
        <v>742.96199999999999</v>
      </c>
      <c r="I16" s="1050">
        <f t="shared" si="0"/>
        <v>7.4296200000000007E-2</v>
      </c>
    </row>
    <row r="17" spans="2:9">
      <c r="B17" s="225"/>
      <c r="C17" s="547"/>
      <c r="D17" s="300"/>
      <c r="E17" s="300"/>
      <c r="F17" s="345"/>
      <c r="G17" s="343"/>
      <c r="H17" s="333"/>
      <c r="I17" s="1050">
        <f t="shared" si="0"/>
        <v>0</v>
      </c>
    </row>
    <row r="18" spans="2:9">
      <c r="B18" s="198">
        <v>4</v>
      </c>
      <c r="C18" s="346" t="s">
        <v>30</v>
      </c>
      <c r="D18" s="546"/>
      <c r="E18" s="300"/>
      <c r="F18" s="345"/>
      <c r="G18" s="343"/>
      <c r="H18" s="344"/>
      <c r="I18" s="1050">
        <f t="shared" si="0"/>
        <v>0</v>
      </c>
    </row>
    <row r="19" spans="2:9">
      <c r="B19" s="225"/>
      <c r="C19" s="547" t="s">
        <v>21</v>
      </c>
      <c r="D19" s="300" t="s">
        <v>31</v>
      </c>
      <c r="E19" s="300"/>
      <c r="F19" s="345"/>
      <c r="G19" s="343">
        <v>7</v>
      </c>
      <c r="H19" s="333">
        <v>107703.80075330639</v>
      </c>
      <c r="I19" s="1050">
        <f t="shared" si="0"/>
        <v>10.770380075330639</v>
      </c>
    </row>
    <row r="20" spans="2:9">
      <c r="B20" s="225"/>
      <c r="C20" s="547" t="s">
        <v>23</v>
      </c>
      <c r="D20" s="300" t="s">
        <v>32</v>
      </c>
      <c r="E20" s="300"/>
      <c r="F20" s="345"/>
      <c r="G20" s="343">
        <v>8</v>
      </c>
      <c r="H20" s="344"/>
      <c r="I20" s="1050">
        <f t="shared" si="0"/>
        <v>0</v>
      </c>
    </row>
    <row r="21" spans="2:9" ht="12.75" customHeight="1">
      <c r="B21" s="225"/>
      <c r="C21" s="547"/>
      <c r="D21" s="1093" t="s">
        <v>1487</v>
      </c>
      <c r="E21" s="1093"/>
      <c r="F21" s="1094"/>
      <c r="G21" s="343"/>
      <c r="H21" s="333"/>
      <c r="I21" s="1050">
        <f t="shared" si="0"/>
        <v>0</v>
      </c>
    </row>
    <row r="22" spans="2:9" ht="12.75" customHeight="1">
      <c r="B22" s="225"/>
      <c r="C22" s="547"/>
      <c r="D22" s="1093" t="s">
        <v>1485</v>
      </c>
      <c r="E22" s="1093"/>
      <c r="F22" s="1094"/>
      <c r="G22" s="343"/>
      <c r="H22" s="333">
        <v>81756.06756000001</v>
      </c>
      <c r="I22" s="1050">
        <f t="shared" si="0"/>
        <v>8.1756067560000023</v>
      </c>
    </row>
    <row r="23" spans="2:9">
      <c r="B23" s="225"/>
      <c r="C23" s="547" t="s">
        <v>25</v>
      </c>
      <c r="D23" s="300" t="s">
        <v>33</v>
      </c>
      <c r="E23" s="300"/>
      <c r="F23" s="345"/>
      <c r="G23" s="343">
        <v>9</v>
      </c>
      <c r="H23" s="349">
        <v>10398.220009999997</v>
      </c>
      <c r="I23" s="1050">
        <f t="shared" si="0"/>
        <v>1.0398220009999999</v>
      </c>
    </row>
    <row r="24" spans="2:9">
      <c r="B24" s="225"/>
      <c r="C24" s="547" t="s">
        <v>28</v>
      </c>
      <c r="D24" s="300" t="s">
        <v>34</v>
      </c>
      <c r="E24" s="300"/>
      <c r="F24" s="345"/>
      <c r="G24" s="343">
        <v>10</v>
      </c>
      <c r="H24" s="591">
        <v>5110.1100000000006</v>
      </c>
      <c r="I24" s="1050">
        <f t="shared" si="0"/>
        <v>0.5110110000000001</v>
      </c>
    </row>
    <row r="25" spans="2:9" ht="13.5" thickBot="1">
      <c r="B25" s="225"/>
      <c r="C25" s="335"/>
      <c r="D25" s="300"/>
      <c r="E25" s="548" t="s">
        <v>35</v>
      </c>
      <c r="F25" s="549"/>
      <c r="G25" s="343"/>
      <c r="H25" s="348">
        <v>436841.25364798453</v>
      </c>
      <c r="I25" s="1050">
        <f t="shared" si="0"/>
        <v>43.684125364798447</v>
      </c>
    </row>
    <row r="26" spans="2:9" ht="13.5" thickTop="1">
      <c r="B26" s="225" t="s">
        <v>36</v>
      </c>
      <c r="C26" s="346" t="s">
        <v>37</v>
      </c>
      <c r="D26" s="339"/>
      <c r="E26" s="300"/>
      <c r="F26" s="345"/>
      <c r="G26" s="343"/>
      <c r="H26" s="344"/>
      <c r="I26" s="1050">
        <f t="shared" si="0"/>
        <v>0</v>
      </c>
    </row>
    <row r="27" spans="2:9">
      <c r="B27" s="225"/>
      <c r="C27" s="346" t="s">
        <v>38</v>
      </c>
      <c r="D27" s="300"/>
      <c r="E27" s="300"/>
      <c r="F27" s="345"/>
      <c r="G27" s="343"/>
      <c r="H27" s="344"/>
      <c r="I27" s="1050">
        <f t="shared" si="0"/>
        <v>0</v>
      </c>
    </row>
    <row r="28" spans="2:9">
      <c r="B28" s="198">
        <v>1</v>
      </c>
      <c r="C28" s="335" t="s">
        <v>21</v>
      </c>
      <c r="D28" s="300" t="s">
        <v>1489</v>
      </c>
      <c r="E28" s="300"/>
      <c r="F28" s="345"/>
      <c r="G28" s="343">
        <v>11</v>
      </c>
      <c r="H28" s="344"/>
      <c r="I28" s="1050">
        <f t="shared" si="0"/>
        <v>0</v>
      </c>
    </row>
    <row r="29" spans="2:9">
      <c r="B29" s="225"/>
      <c r="C29" s="335"/>
      <c r="D29" s="300" t="s">
        <v>39</v>
      </c>
      <c r="E29" s="300" t="s">
        <v>1488</v>
      </c>
      <c r="F29" s="345"/>
      <c r="G29" s="343"/>
      <c r="H29" s="333">
        <v>200524.58311041768</v>
      </c>
      <c r="I29" s="1050">
        <f t="shared" si="0"/>
        <v>20.052458311041768</v>
      </c>
    </row>
    <row r="30" spans="2:9">
      <c r="B30" s="225"/>
      <c r="C30" s="335"/>
      <c r="D30" s="300" t="s">
        <v>40</v>
      </c>
      <c r="E30" s="300" t="s">
        <v>41</v>
      </c>
      <c r="F30" s="345"/>
      <c r="G30" s="343"/>
      <c r="H30" s="351">
        <v>354.58043918396038</v>
      </c>
      <c r="I30" s="1050">
        <f t="shared" si="0"/>
        <v>3.5458043918396034E-2</v>
      </c>
    </row>
    <row r="31" spans="2:9">
      <c r="B31" s="225"/>
      <c r="C31" s="335"/>
      <c r="D31" s="300" t="s">
        <v>42</v>
      </c>
      <c r="E31" s="300" t="s">
        <v>43</v>
      </c>
      <c r="F31" s="345"/>
      <c r="G31" s="343"/>
      <c r="H31" s="351">
        <v>0</v>
      </c>
      <c r="I31" s="1050">
        <f t="shared" si="0"/>
        <v>0</v>
      </c>
    </row>
    <row r="32" spans="2:9">
      <c r="B32" s="225"/>
      <c r="C32" s="335"/>
      <c r="D32" s="300" t="s">
        <v>44</v>
      </c>
      <c r="E32" s="300" t="s">
        <v>45</v>
      </c>
      <c r="F32" s="345"/>
      <c r="G32" s="343"/>
      <c r="H32" s="351">
        <v>0</v>
      </c>
      <c r="I32" s="1050">
        <f t="shared" si="0"/>
        <v>0</v>
      </c>
    </row>
    <row r="33" spans="2:9">
      <c r="B33" s="225"/>
      <c r="C33" s="335" t="s">
        <v>23</v>
      </c>
      <c r="D33" s="300" t="s">
        <v>46</v>
      </c>
      <c r="E33" s="300"/>
      <c r="F33" s="345"/>
      <c r="G33" s="343"/>
      <c r="H33" s="349">
        <v>0</v>
      </c>
      <c r="I33" s="1050">
        <f t="shared" si="0"/>
        <v>0</v>
      </c>
    </row>
    <row r="34" spans="2:9">
      <c r="B34" s="225"/>
      <c r="C34" s="335" t="s">
        <v>25</v>
      </c>
      <c r="D34" s="300" t="s">
        <v>1005</v>
      </c>
      <c r="E34" s="300"/>
      <c r="F34" s="345"/>
      <c r="G34" s="343"/>
      <c r="H34" s="333">
        <v>0</v>
      </c>
      <c r="I34" s="1050">
        <f t="shared" si="0"/>
        <v>0</v>
      </c>
    </row>
    <row r="35" spans="2:9">
      <c r="B35" s="225"/>
      <c r="C35" s="335" t="s">
        <v>28</v>
      </c>
      <c r="D35" s="300" t="s">
        <v>1491</v>
      </c>
      <c r="E35" s="300"/>
      <c r="F35" s="345"/>
      <c r="G35" s="343">
        <v>12</v>
      </c>
      <c r="H35" s="333">
        <v>10483.879000000001</v>
      </c>
      <c r="I35" s="1050">
        <f t="shared" si="0"/>
        <v>1.0483879</v>
      </c>
    </row>
    <row r="36" spans="2:9">
      <c r="B36" s="225"/>
      <c r="C36" s="335"/>
      <c r="D36" s="300"/>
      <c r="E36" s="300"/>
      <c r="F36" s="345"/>
      <c r="G36" s="343"/>
      <c r="H36" s="337"/>
      <c r="I36" s="1050">
        <f t="shared" si="0"/>
        <v>0</v>
      </c>
    </row>
    <row r="37" spans="2:9">
      <c r="B37" s="198">
        <v>2</v>
      </c>
      <c r="C37" s="346" t="s">
        <v>47</v>
      </c>
      <c r="D37" s="546"/>
      <c r="E37" s="300"/>
      <c r="F37" s="345"/>
      <c r="G37" s="343"/>
      <c r="H37" s="345"/>
      <c r="I37" s="1050">
        <f t="shared" si="0"/>
        <v>0</v>
      </c>
    </row>
    <row r="38" spans="2:9">
      <c r="B38" s="225"/>
      <c r="C38" s="335" t="s">
        <v>21</v>
      </c>
      <c r="D38" s="300" t="s">
        <v>48</v>
      </c>
      <c r="E38" s="300"/>
      <c r="F38" s="345"/>
      <c r="G38" s="343">
        <v>13</v>
      </c>
      <c r="H38" s="337">
        <v>94501.381000000008</v>
      </c>
      <c r="I38" s="1050">
        <f t="shared" si="0"/>
        <v>9.450138100000002</v>
      </c>
    </row>
    <row r="39" spans="2:9">
      <c r="B39" s="225"/>
      <c r="C39" s="335" t="s">
        <v>23</v>
      </c>
      <c r="D39" s="300" t="s">
        <v>49</v>
      </c>
      <c r="E39" s="300"/>
      <c r="F39" s="345"/>
      <c r="G39" s="343">
        <v>14</v>
      </c>
      <c r="H39" s="333">
        <v>94696.741389999966</v>
      </c>
      <c r="I39" s="1050">
        <f t="shared" si="0"/>
        <v>9.4696741389999968</v>
      </c>
    </row>
    <row r="40" spans="2:9">
      <c r="B40" s="225"/>
      <c r="C40" s="335" t="s">
        <v>25</v>
      </c>
      <c r="D40" s="300" t="s">
        <v>50</v>
      </c>
      <c r="E40" s="300"/>
      <c r="F40" s="345"/>
      <c r="G40" s="343">
        <v>15</v>
      </c>
      <c r="H40" s="333">
        <v>8673.6363500000007</v>
      </c>
      <c r="I40" s="1050">
        <f t="shared" si="0"/>
        <v>0.86736363500000013</v>
      </c>
    </row>
    <row r="41" spans="2:9">
      <c r="B41" s="225"/>
      <c r="C41" s="335" t="s">
        <v>28</v>
      </c>
      <c r="D41" s="300" t="s">
        <v>1530</v>
      </c>
      <c r="E41" s="300"/>
      <c r="F41" s="345"/>
      <c r="G41" s="343">
        <v>16</v>
      </c>
      <c r="H41" s="333">
        <v>27606.452360000003</v>
      </c>
      <c r="I41" s="1050">
        <f t="shared" si="0"/>
        <v>2.7606452360000002</v>
      </c>
    </row>
    <row r="42" spans="2:9">
      <c r="B42" s="225"/>
      <c r="C42" s="335"/>
      <c r="D42" s="300"/>
      <c r="E42" s="300"/>
      <c r="F42" s="345"/>
      <c r="G42" s="343"/>
      <c r="H42" s="333"/>
      <c r="I42" s="1050">
        <f t="shared" si="0"/>
        <v>0</v>
      </c>
    </row>
    <row r="43" spans="2:9">
      <c r="B43" s="918"/>
      <c r="C43" s="341"/>
      <c r="D43" s="353"/>
      <c r="E43" s="919" t="s">
        <v>35</v>
      </c>
      <c r="F43" s="920"/>
      <c r="G43" s="544"/>
      <c r="H43" s="921">
        <v>436841.2536496016</v>
      </c>
      <c r="I43" s="1050">
        <f t="shared" si="0"/>
        <v>43.68412536496016</v>
      </c>
    </row>
    <row r="44" spans="2:9">
      <c r="E44"/>
    </row>
    <row r="45" spans="2:9">
      <c r="E45"/>
    </row>
    <row r="46" spans="2:9">
      <c r="E46"/>
    </row>
    <row r="47" spans="2:9">
      <c r="E47"/>
    </row>
    <row r="48" spans="2:9">
      <c r="E48"/>
    </row>
    <row r="49" spans="2:14" ht="25.5">
      <c r="B49" s="165"/>
      <c r="C49" s="1090" t="s">
        <v>16</v>
      </c>
      <c r="D49" s="1092"/>
      <c r="E49" s="165" t="s">
        <v>17</v>
      </c>
      <c r="F49" s="165" t="s">
        <v>1633</v>
      </c>
      <c r="L49" s="1162" t="s">
        <v>11</v>
      </c>
      <c r="M49" s="1160"/>
    </row>
    <row r="50" spans="2:14">
      <c r="B50" s="225"/>
      <c r="C50" s="341"/>
      <c r="D50" s="342"/>
      <c r="E50" s="343"/>
      <c r="F50" s="344"/>
      <c r="G50" s="1050">
        <f t="shared" ref="G50:G78" si="1">F50*1000/10^7</f>
        <v>0</v>
      </c>
      <c r="L50" s="1158" t="s">
        <v>51</v>
      </c>
      <c r="M50" s="1158"/>
    </row>
    <row r="51" spans="2:14" ht="38.25">
      <c r="B51" s="225" t="s">
        <v>18</v>
      </c>
      <c r="C51" s="335" t="s">
        <v>51</v>
      </c>
      <c r="D51" s="345"/>
      <c r="E51" s="343">
        <v>17</v>
      </c>
      <c r="F51" s="333">
        <v>460793.20597000001</v>
      </c>
      <c r="G51" s="1050">
        <f t="shared" si="1"/>
        <v>46.079320597000006</v>
      </c>
      <c r="L51" s="996" t="s">
        <v>16</v>
      </c>
      <c r="M51" s="997" t="s">
        <v>1644</v>
      </c>
    </row>
    <row r="52" spans="2:14">
      <c r="B52" s="225" t="s">
        <v>36</v>
      </c>
      <c r="C52" s="335" t="s">
        <v>52</v>
      </c>
      <c r="D52" s="345"/>
      <c r="E52" s="343">
        <v>18</v>
      </c>
      <c r="F52" s="333">
        <v>728.57951000000003</v>
      </c>
      <c r="G52" s="1050">
        <f t="shared" si="1"/>
        <v>7.2857951000000004E-2</v>
      </c>
      <c r="L52" s="998"/>
      <c r="M52" s="264"/>
      <c r="N52" s="1050">
        <f t="shared" ref="N52:N115" si="2">M52*1000/10^7</f>
        <v>0</v>
      </c>
    </row>
    <row r="53" spans="2:14" ht="13.5" thickBot="1">
      <c r="B53" s="198" t="s">
        <v>53</v>
      </c>
      <c r="C53" s="346" t="s">
        <v>1486</v>
      </c>
      <c r="D53" s="347"/>
      <c r="E53" s="343"/>
      <c r="F53" s="348">
        <v>461521.78548000002</v>
      </c>
      <c r="G53" s="1050">
        <f t="shared" si="1"/>
        <v>46.152178548000002</v>
      </c>
      <c r="L53" s="983" t="s">
        <v>152</v>
      </c>
      <c r="M53" s="149">
        <v>452531.78117999999</v>
      </c>
      <c r="N53" s="1050">
        <f t="shared" si="2"/>
        <v>45.253178118000001</v>
      </c>
    </row>
    <row r="54" spans="2:14" ht="13.5" thickTop="1">
      <c r="B54" s="225" t="s">
        <v>54</v>
      </c>
      <c r="C54" s="335" t="s">
        <v>55</v>
      </c>
      <c r="D54" s="345"/>
      <c r="E54" s="343"/>
      <c r="F54" s="344"/>
      <c r="G54" s="1050">
        <f t="shared" si="1"/>
        <v>0</v>
      </c>
      <c r="L54" s="1002" t="s">
        <v>272</v>
      </c>
      <c r="M54" s="1003">
        <v>2570.4994999999999</v>
      </c>
      <c r="N54" s="1050">
        <f t="shared" si="2"/>
        <v>0.25704995000000003</v>
      </c>
    </row>
    <row r="55" spans="2:14">
      <c r="B55" s="225"/>
      <c r="C55" s="335" t="s">
        <v>1231</v>
      </c>
      <c r="D55" s="345"/>
      <c r="E55" s="343">
        <v>19</v>
      </c>
      <c r="F55" s="333">
        <v>343545.9203</v>
      </c>
      <c r="G55" s="1050">
        <f t="shared" si="1"/>
        <v>34.354592029999999</v>
      </c>
      <c r="L55" s="983" t="s">
        <v>728</v>
      </c>
      <c r="M55" s="149">
        <v>40.567410000000002</v>
      </c>
      <c r="N55" s="1050">
        <f t="shared" si="2"/>
        <v>4.056741E-3</v>
      </c>
    </row>
    <row r="56" spans="2:14">
      <c r="B56" s="225"/>
      <c r="C56" s="1100" t="s">
        <v>1637</v>
      </c>
      <c r="D56" s="1094"/>
      <c r="E56" s="343">
        <v>20</v>
      </c>
      <c r="F56" s="333">
        <v>8779.8730000000069</v>
      </c>
      <c r="G56" s="1050">
        <f t="shared" si="1"/>
        <v>0.87798730000000069</v>
      </c>
      <c r="L56" s="1002" t="s">
        <v>1142</v>
      </c>
      <c r="M56" s="1003">
        <v>5650.3578799999996</v>
      </c>
      <c r="N56" s="1050">
        <f t="shared" si="2"/>
        <v>0.56503578799999998</v>
      </c>
    </row>
    <row r="57" spans="2:14">
      <c r="B57" s="225"/>
      <c r="C57" s="335" t="s">
        <v>56</v>
      </c>
      <c r="D57" s="345"/>
      <c r="E57" s="343">
        <v>21</v>
      </c>
      <c r="F57" s="333">
        <v>20800.742600000001</v>
      </c>
      <c r="G57" s="1050">
        <f t="shared" si="1"/>
        <v>2.08007426</v>
      </c>
      <c r="L57" s="1002"/>
      <c r="M57" s="1003"/>
      <c r="N57" s="1050">
        <f t="shared" si="2"/>
        <v>0</v>
      </c>
    </row>
    <row r="58" spans="2:14">
      <c r="B58" s="225"/>
      <c r="C58" s="335" t="s">
        <v>57</v>
      </c>
      <c r="D58" s="345"/>
      <c r="E58" s="343">
        <v>22</v>
      </c>
      <c r="F58" s="349">
        <v>25251.749469999995</v>
      </c>
      <c r="G58" s="1050">
        <f t="shared" si="1"/>
        <v>2.5251749469999996</v>
      </c>
      <c r="L58" s="1005" t="s">
        <v>93</v>
      </c>
      <c r="M58" s="1006">
        <v>460793.20597000001</v>
      </c>
      <c r="N58" s="1050">
        <f t="shared" si="2"/>
        <v>46.079320597000006</v>
      </c>
    </row>
    <row r="59" spans="2:14">
      <c r="B59" s="225"/>
      <c r="C59" s="335" t="s">
        <v>58</v>
      </c>
      <c r="D59" s="345"/>
      <c r="E59" s="343">
        <v>11</v>
      </c>
      <c r="F59" s="351">
        <v>32221.600000641771</v>
      </c>
      <c r="G59" s="1050">
        <f t="shared" si="1"/>
        <v>3.2221600000641772</v>
      </c>
      <c r="L59" s="1008"/>
      <c r="M59" s="1009"/>
      <c r="N59" s="1050">
        <f t="shared" si="2"/>
        <v>0</v>
      </c>
    </row>
    <row r="60" spans="2:14">
      <c r="B60" s="225"/>
      <c r="C60" s="335" t="s">
        <v>59</v>
      </c>
      <c r="D60" s="345"/>
      <c r="E60" s="343">
        <v>23</v>
      </c>
      <c r="F60" s="349">
        <v>19701.421989999999</v>
      </c>
      <c r="G60" s="1050">
        <f t="shared" si="1"/>
        <v>1.9701421989999999</v>
      </c>
      <c r="L60" s="1157" t="s">
        <v>186</v>
      </c>
      <c r="M60" s="1157"/>
      <c r="N60" s="1050">
        <f t="shared" si="2"/>
        <v>0</v>
      </c>
    </row>
    <row r="61" spans="2:14" ht="13.5" thickBot="1">
      <c r="B61" s="225"/>
      <c r="C61" s="346" t="s">
        <v>60</v>
      </c>
      <c r="D61" s="345"/>
      <c r="E61" s="343"/>
      <c r="F61" s="348">
        <v>450301.30736064177</v>
      </c>
      <c r="G61" s="1050">
        <f t="shared" si="1"/>
        <v>45.03013073606418</v>
      </c>
      <c r="L61" s="1158" t="s">
        <v>52</v>
      </c>
      <c r="M61" s="1158"/>
      <c r="N61" s="1050">
        <f t="shared" si="2"/>
        <v>0</v>
      </c>
    </row>
    <row r="62" spans="2:14" ht="39" thickTop="1">
      <c r="B62" s="198" t="s">
        <v>61</v>
      </c>
      <c r="C62" s="346" t="s">
        <v>62</v>
      </c>
      <c r="D62" s="356"/>
      <c r="E62" s="343"/>
      <c r="F62" s="357">
        <v>11220.478119358246</v>
      </c>
      <c r="G62" s="1050">
        <f t="shared" si="1"/>
        <v>1.1220478119358246</v>
      </c>
      <c r="L62" s="996" t="s">
        <v>16</v>
      </c>
      <c r="M62" s="997" t="s">
        <v>1644</v>
      </c>
      <c r="N62" s="1050"/>
    </row>
    <row r="63" spans="2:14">
      <c r="B63" s="225" t="s">
        <v>63</v>
      </c>
      <c r="C63" s="335" t="s">
        <v>64</v>
      </c>
      <c r="D63" s="345"/>
      <c r="E63" s="343"/>
      <c r="F63" s="359">
        <v>0</v>
      </c>
      <c r="G63" s="1050">
        <f t="shared" si="1"/>
        <v>0</v>
      </c>
      <c r="L63" s="998"/>
      <c r="M63" s="1012"/>
      <c r="N63" s="1050">
        <f t="shared" si="2"/>
        <v>0</v>
      </c>
    </row>
    <row r="64" spans="2:14">
      <c r="B64" s="198" t="s">
        <v>65</v>
      </c>
      <c r="C64" s="346" t="s">
        <v>66</v>
      </c>
      <c r="D64" s="347"/>
      <c r="E64" s="343"/>
      <c r="F64" s="357">
        <v>11220.478119358246</v>
      </c>
      <c r="G64" s="1050">
        <f t="shared" si="1"/>
        <v>1.1220478119358246</v>
      </c>
      <c r="L64" s="1002" t="s">
        <v>929</v>
      </c>
      <c r="M64" s="1003">
        <v>391.31399999999996</v>
      </c>
      <c r="N64" s="1050">
        <f t="shared" si="2"/>
        <v>3.9131399999999997E-2</v>
      </c>
    </row>
    <row r="65" spans="2:14">
      <c r="B65" s="225" t="s">
        <v>67</v>
      </c>
      <c r="C65" s="335" t="s">
        <v>68</v>
      </c>
      <c r="D65" s="345"/>
      <c r="E65" s="343"/>
      <c r="F65" s="359">
        <v>0</v>
      </c>
      <c r="G65" s="1050">
        <f t="shared" si="1"/>
        <v>0</v>
      </c>
      <c r="L65" s="1015" t="s">
        <v>52</v>
      </c>
      <c r="M65" s="1003">
        <v>337.26551000000006</v>
      </c>
      <c r="N65" s="1050">
        <f t="shared" si="2"/>
        <v>3.3726551000000007E-2</v>
      </c>
    </row>
    <row r="66" spans="2:14">
      <c r="B66" s="198" t="s">
        <v>69</v>
      </c>
      <c r="C66" s="346" t="s">
        <v>70</v>
      </c>
      <c r="D66" s="347"/>
      <c r="E66" s="343"/>
      <c r="F66" s="357">
        <v>11220.478119358246</v>
      </c>
      <c r="G66" s="1050">
        <f t="shared" si="1"/>
        <v>1.1220478119358246</v>
      </c>
      <c r="L66" s="1015"/>
      <c r="M66" s="1003"/>
      <c r="N66" s="1050">
        <f t="shared" si="2"/>
        <v>0</v>
      </c>
    </row>
    <row r="67" spans="2:14">
      <c r="B67" s="225" t="s">
        <v>71</v>
      </c>
      <c r="C67" s="335" t="s">
        <v>72</v>
      </c>
      <c r="D67" s="345"/>
      <c r="E67" s="343"/>
      <c r="F67" s="344"/>
      <c r="G67" s="1050">
        <f t="shared" si="1"/>
        <v>0</v>
      </c>
      <c r="L67" s="1005" t="s">
        <v>93</v>
      </c>
      <c r="M67" s="1006">
        <v>728.57951000000003</v>
      </c>
      <c r="N67" s="1050">
        <f t="shared" si="2"/>
        <v>7.2857951000000004E-2</v>
      </c>
    </row>
    <row r="68" spans="2:14">
      <c r="B68" s="225"/>
      <c r="C68" s="363" t="s">
        <v>73</v>
      </c>
      <c r="D68" s="345"/>
      <c r="E68" s="343"/>
      <c r="F68" s="349">
        <v>5113.18</v>
      </c>
      <c r="G68" s="1050">
        <f t="shared" si="1"/>
        <v>0.51131800000000005</v>
      </c>
      <c r="L68" s="1016"/>
      <c r="M68" s="1009"/>
      <c r="N68" s="1050">
        <f t="shared" si="2"/>
        <v>0</v>
      </c>
    </row>
    <row r="69" spans="2:14" ht="12.75" customHeight="1">
      <c r="B69" s="225"/>
      <c r="C69" s="363" t="s">
        <v>978</v>
      </c>
      <c r="D69" s="345"/>
      <c r="E69" s="343"/>
      <c r="F69" s="349">
        <v>0</v>
      </c>
      <c r="G69" s="1050">
        <f t="shared" si="1"/>
        <v>0</v>
      </c>
      <c r="L69" s="1157" t="s">
        <v>187</v>
      </c>
      <c r="M69" s="1160"/>
      <c r="N69" s="1050">
        <f t="shared" si="2"/>
        <v>0</v>
      </c>
    </row>
    <row r="70" spans="2:14" ht="12.75" customHeight="1">
      <c r="B70" s="225"/>
      <c r="C70" s="363" t="s">
        <v>1190</v>
      </c>
      <c r="D70" s="345"/>
      <c r="E70" s="343"/>
      <c r="F70" s="359">
        <v>-1784.8172043275674</v>
      </c>
      <c r="G70" s="1050">
        <f t="shared" si="1"/>
        <v>-0.17848172043275676</v>
      </c>
      <c r="L70" s="1158" t="s">
        <v>1232</v>
      </c>
      <c r="M70" s="1159"/>
      <c r="N70" s="1050">
        <f t="shared" si="2"/>
        <v>0</v>
      </c>
    </row>
    <row r="71" spans="2:14" ht="38.25">
      <c r="B71" s="198" t="s">
        <v>74</v>
      </c>
      <c r="C71" s="346" t="s">
        <v>75</v>
      </c>
      <c r="D71" s="356"/>
      <c r="E71" s="343"/>
      <c r="F71" s="906">
        <v>7892.1153236858127</v>
      </c>
      <c r="G71" s="1050">
        <f t="shared" si="1"/>
        <v>0.78921153236858133</v>
      </c>
      <c r="L71" s="996" t="s">
        <v>16</v>
      </c>
      <c r="M71" s="997" t="s">
        <v>1644</v>
      </c>
      <c r="N71" s="1050"/>
    </row>
    <row r="72" spans="2:14">
      <c r="B72" s="225" t="s">
        <v>76</v>
      </c>
      <c r="C72" s="335" t="s">
        <v>77</v>
      </c>
      <c r="D72" s="345"/>
      <c r="E72" s="343"/>
      <c r="F72" s="349">
        <v>0</v>
      </c>
      <c r="G72" s="1050">
        <f t="shared" si="1"/>
        <v>0</v>
      </c>
      <c r="L72" s="998"/>
      <c r="M72" s="1012"/>
      <c r="N72" s="1050">
        <f t="shared" si="2"/>
        <v>0</v>
      </c>
    </row>
    <row r="73" spans="2:14">
      <c r="B73" s="225" t="s">
        <v>78</v>
      </c>
      <c r="C73" s="335" t="s">
        <v>79</v>
      </c>
      <c r="D73" s="345"/>
      <c r="E73" s="343"/>
      <c r="F73" s="349">
        <v>0</v>
      </c>
      <c r="G73" s="1050">
        <f t="shared" si="1"/>
        <v>0</v>
      </c>
      <c r="L73" s="1017" t="s">
        <v>1230</v>
      </c>
      <c r="M73" s="1003">
        <v>298996.87847999996</v>
      </c>
      <c r="N73" s="1050">
        <f t="shared" si="2"/>
        <v>29.899687847999996</v>
      </c>
    </row>
    <row r="74" spans="2:14">
      <c r="B74" s="198" t="s">
        <v>80</v>
      </c>
      <c r="C74" s="346" t="s">
        <v>81</v>
      </c>
      <c r="D74" s="356"/>
      <c r="E74" s="343"/>
      <c r="F74" s="333">
        <v>0</v>
      </c>
      <c r="G74" s="1050">
        <f t="shared" si="1"/>
        <v>0</v>
      </c>
      <c r="L74" s="983" t="s">
        <v>176</v>
      </c>
      <c r="M74" s="1003">
        <v>1808.9270299999998</v>
      </c>
      <c r="N74" s="1050">
        <f t="shared" si="2"/>
        <v>0.18089270299999999</v>
      </c>
    </row>
    <row r="75" spans="2:14" ht="13.5" thickBot="1">
      <c r="B75" s="198" t="s">
        <v>82</v>
      </c>
      <c r="C75" s="346" t="s">
        <v>83</v>
      </c>
      <c r="D75" s="347"/>
      <c r="E75" s="343"/>
      <c r="F75" s="905">
        <v>7892.1153236858127</v>
      </c>
      <c r="G75" s="1050">
        <f t="shared" si="1"/>
        <v>0.78921153236858133</v>
      </c>
      <c r="L75" s="983" t="s">
        <v>177</v>
      </c>
      <c r="M75" s="1003">
        <v>1498.5</v>
      </c>
      <c r="N75" s="1050">
        <f t="shared" si="2"/>
        <v>0.14985000000000001</v>
      </c>
    </row>
    <row r="76" spans="2:14" ht="13.5" thickTop="1">
      <c r="B76" s="225" t="s">
        <v>84</v>
      </c>
      <c r="C76" s="335" t="s">
        <v>85</v>
      </c>
      <c r="D76" s="345"/>
      <c r="E76" s="343"/>
      <c r="F76" s="374"/>
      <c r="G76" s="1050">
        <f t="shared" si="1"/>
        <v>0</v>
      </c>
      <c r="L76" s="983" t="s">
        <v>178</v>
      </c>
      <c r="M76" s="1003">
        <v>6722.7659999999996</v>
      </c>
      <c r="N76" s="1050">
        <f t="shared" si="2"/>
        <v>0.6722766</v>
      </c>
    </row>
    <row r="77" spans="2:14">
      <c r="B77" s="225"/>
      <c r="C77" s="335" t="s">
        <v>86</v>
      </c>
      <c r="D77" s="345"/>
      <c r="E77" s="343"/>
      <c r="F77" s="349">
        <v>2.769163271468706</v>
      </c>
      <c r="G77" s="1050">
        <f t="shared" si="1"/>
        <v>2.7691632714687062E-4</v>
      </c>
      <c r="L77" s="983" t="s">
        <v>637</v>
      </c>
      <c r="M77" s="1003">
        <v>34518.848790000004</v>
      </c>
      <c r="N77" s="1050">
        <f t="shared" si="2"/>
        <v>3.4518848790000005</v>
      </c>
    </row>
    <row r="78" spans="2:14">
      <c r="B78" s="226"/>
      <c r="C78" s="372" t="s">
        <v>87</v>
      </c>
      <c r="D78" s="377"/>
      <c r="E78" s="378"/>
      <c r="F78" s="359">
        <v>2.769163271468706</v>
      </c>
      <c r="G78" s="1050">
        <f t="shared" si="1"/>
        <v>2.7691632714687062E-4</v>
      </c>
      <c r="L78" s="983"/>
      <c r="M78" s="1003"/>
      <c r="N78" s="1050">
        <f t="shared" si="2"/>
        <v>0</v>
      </c>
    </row>
    <row r="79" spans="2:14">
      <c r="L79" s="1005" t="s">
        <v>93</v>
      </c>
      <c r="M79" s="1006">
        <v>343545.9203</v>
      </c>
      <c r="N79" s="1050">
        <f t="shared" si="2"/>
        <v>34.354592029999999</v>
      </c>
    </row>
    <row r="80" spans="2:14">
      <c r="L80" s="1008"/>
      <c r="M80" s="1009"/>
      <c r="N80" s="1050">
        <f t="shared" si="2"/>
        <v>0</v>
      </c>
    </row>
    <row r="81" spans="12:14">
      <c r="L81" s="1157" t="s">
        <v>254</v>
      </c>
      <c r="M81" s="1157"/>
      <c r="N81" s="1050">
        <f t="shared" si="2"/>
        <v>0</v>
      </c>
    </row>
    <row r="82" spans="12:14">
      <c r="L82" s="1158" t="s">
        <v>153</v>
      </c>
      <c r="M82" s="1159"/>
      <c r="N82" s="1050">
        <f t="shared" si="2"/>
        <v>0</v>
      </c>
    </row>
    <row r="83" spans="12:14" ht="38.25">
      <c r="L83" s="996" t="s">
        <v>16</v>
      </c>
      <c r="M83" s="997" t="s">
        <v>1644</v>
      </c>
      <c r="N83" s="1050"/>
    </row>
    <row r="84" spans="12:14">
      <c r="L84" s="1002"/>
      <c r="M84" s="1003"/>
      <c r="N84" s="1050">
        <f t="shared" si="2"/>
        <v>0</v>
      </c>
    </row>
    <row r="85" spans="12:14">
      <c r="L85" s="1020" t="s">
        <v>118</v>
      </c>
      <c r="M85" s="1003"/>
      <c r="N85" s="1050">
        <f t="shared" si="2"/>
        <v>0</v>
      </c>
    </row>
    <row r="86" spans="12:14">
      <c r="L86" s="1022" t="s">
        <v>119</v>
      </c>
      <c r="M86" s="1023">
        <v>9882.0529999999999</v>
      </c>
      <c r="N86" s="1050">
        <f t="shared" si="2"/>
        <v>0.98820529999999995</v>
      </c>
    </row>
    <row r="87" spans="12:14">
      <c r="L87" s="1022" t="s">
        <v>1018</v>
      </c>
      <c r="M87" s="1023">
        <v>35225.008000000002</v>
      </c>
      <c r="N87" s="1050">
        <f t="shared" si="2"/>
        <v>3.5225008</v>
      </c>
    </row>
    <row r="88" spans="12:14">
      <c r="L88" s="1002" t="s">
        <v>717</v>
      </c>
      <c r="M88" s="1003">
        <v>32221.599999999999</v>
      </c>
      <c r="N88" s="1050">
        <f t="shared" si="2"/>
        <v>3.2221600000000001</v>
      </c>
    </row>
    <row r="89" spans="12:14">
      <c r="L89" s="1020" t="s">
        <v>120</v>
      </c>
      <c r="M89" s="1003"/>
      <c r="N89" s="1050">
        <f t="shared" si="2"/>
        <v>0</v>
      </c>
    </row>
    <row r="90" spans="12:14">
      <c r="L90" s="1002" t="s">
        <v>646</v>
      </c>
      <c r="M90" s="1003">
        <v>25014.137999999999</v>
      </c>
      <c r="N90" s="1050">
        <f t="shared" si="2"/>
        <v>2.5014137999999999</v>
      </c>
    </row>
    <row r="91" spans="12:14">
      <c r="L91" s="1022" t="s">
        <v>1018</v>
      </c>
      <c r="M91" s="1003">
        <v>11313.05</v>
      </c>
      <c r="N91" s="1050">
        <f t="shared" si="2"/>
        <v>1.131305</v>
      </c>
    </row>
    <row r="92" spans="12:14">
      <c r="L92" s="1002"/>
      <c r="M92" s="1003"/>
      <c r="N92" s="1050">
        <f t="shared" si="2"/>
        <v>0</v>
      </c>
    </row>
    <row r="93" spans="12:14">
      <c r="L93" s="1005" t="s">
        <v>1560</v>
      </c>
      <c r="M93" s="1006">
        <v>8779.8730000000069</v>
      </c>
      <c r="N93" s="1050">
        <f t="shared" si="2"/>
        <v>0.87798730000000069</v>
      </c>
    </row>
    <row r="94" spans="12:14">
      <c r="L94" s="1008"/>
      <c r="M94" s="1009"/>
      <c r="N94" s="1050">
        <f t="shared" si="2"/>
        <v>0</v>
      </c>
    </row>
    <row r="95" spans="12:14">
      <c r="L95" s="1027"/>
      <c r="M95" s="405"/>
      <c r="N95" s="1050">
        <f t="shared" si="2"/>
        <v>0</v>
      </c>
    </row>
    <row r="96" spans="12:14">
      <c r="L96" s="1029" t="s">
        <v>285</v>
      </c>
      <c r="M96" s="13"/>
      <c r="N96" s="1050">
        <f t="shared" si="2"/>
        <v>0</v>
      </c>
    </row>
    <row r="97" spans="12:17">
      <c r="L97" s="1030" t="s">
        <v>12</v>
      </c>
      <c r="M97" s="49"/>
      <c r="N97" s="1050">
        <f t="shared" si="2"/>
        <v>0</v>
      </c>
    </row>
    <row r="98" spans="12:17" ht="38.25">
      <c r="L98" s="996" t="s">
        <v>16</v>
      </c>
      <c r="M98" s="997" t="s">
        <v>1644</v>
      </c>
      <c r="N98" s="1050"/>
    </row>
    <row r="99" spans="12:17">
      <c r="L99" s="998"/>
      <c r="M99" s="264"/>
      <c r="N99" s="1050">
        <f t="shared" si="2"/>
        <v>0</v>
      </c>
    </row>
    <row r="100" spans="12:17">
      <c r="L100" s="983" t="s">
        <v>13</v>
      </c>
      <c r="M100" s="149">
        <v>1889.8969999999999</v>
      </c>
      <c r="N100" s="1050">
        <f t="shared" si="2"/>
        <v>0.18898970000000001</v>
      </c>
    </row>
    <row r="101" spans="12:17">
      <c r="L101" s="983" t="s">
        <v>982</v>
      </c>
      <c r="M101" s="149">
        <v>18000</v>
      </c>
      <c r="N101" s="1050">
        <f t="shared" si="2"/>
        <v>1.8</v>
      </c>
    </row>
    <row r="102" spans="12:17">
      <c r="L102" s="983" t="s">
        <v>1204</v>
      </c>
      <c r="M102" s="149">
        <v>724.7876</v>
      </c>
      <c r="N102" s="1050">
        <f t="shared" si="2"/>
        <v>7.2478760000000003E-2</v>
      </c>
    </row>
    <row r="103" spans="12:17">
      <c r="L103" s="983" t="s">
        <v>302</v>
      </c>
      <c r="M103" s="149">
        <v>186.05799999999999</v>
      </c>
      <c r="N103" s="1050">
        <f t="shared" si="2"/>
        <v>1.8605799999999999E-2</v>
      </c>
    </row>
    <row r="104" spans="12:17">
      <c r="L104" s="983" t="s">
        <v>1023</v>
      </c>
      <c r="M104" s="149">
        <v>0</v>
      </c>
      <c r="N104" s="1050">
        <f t="shared" si="2"/>
        <v>0</v>
      </c>
    </row>
    <row r="105" spans="12:17" ht="12.75" customHeight="1">
      <c r="L105" s="983"/>
      <c r="M105" s="149"/>
      <c r="N105" s="1050">
        <f t="shared" si="2"/>
        <v>0</v>
      </c>
    </row>
    <row r="106" spans="12:17">
      <c r="L106" s="1005" t="s">
        <v>93</v>
      </c>
      <c r="M106" s="1006">
        <v>20800.742600000001</v>
      </c>
      <c r="N106" s="1050">
        <f t="shared" si="2"/>
        <v>2.08007426</v>
      </c>
    </row>
    <row r="107" spans="12:17">
      <c r="L107" s="1008"/>
      <c r="M107" s="1033"/>
      <c r="N107" s="1050">
        <f t="shared" si="2"/>
        <v>0</v>
      </c>
    </row>
    <row r="108" spans="12:17">
      <c r="L108" s="1029" t="s">
        <v>1027</v>
      </c>
      <c r="M108" s="13"/>
      <c r="N108" s="1050">
        <f t="shared" si="2"/>
        <v>0</v>
      </c>
    </row>
    <row r="109" spans="12:17">
      <c r="L109" s="1030" t="s">
        <v>184</v>
      </c>
      <c r="M109" s="49"/>
      <c r="N109" s="1050">
        <f t="shared" si="2"/>
        <v>0</v>
      </c>
    </row>
    <row r="110" spans="12:17" ht="38.25" customHeight="1">
      <c r="L110" s="996" t="s">
        <v>16</v>
      </c>
      <c r="M110" s="997" t="s">
        <v>1644</v>
      </c>
      <c r="N110" s="1050"/>
      <c r="P110" s="1051">
        <v>34.676000000000002</v>
      </c>
      <c r="Q110" s="1050">
        <f t="shared" ref="Q110" si="3">P110*1000/10^7</f>
        <v>3.4675999999999999E-3</v>
      </c>
    </row>
    <row r="111" spans="12:17" ht="12.75" customHeight="1">
      <c r="L111" s="998"/>
      <c r="M111" s="264"/>
      <c r="N111" s="1050">
        <f t="shared" si="2"/>
        <v>0</v>
      </c>
      <c r="P111" s="1051">
        <v>3490</v>
      </c>
      <c r="Q111" s="1050">
        <f t="shared" ref="Q111" si="4">P111*1000/10^7</f>
        <v>0.34899999999999998</v>
      </c>
    </row>
    <row r="112" spans="12:17">
      <c r="L112" s="983" t="s">
        <v>1132</v>
      </c>
      <c r="M112" s="149">
        <v>196.11600000000001</v>
      </c>
      <c r="N112" s="1050">
        <f t="shared" si="2"/>
        <v>1.96116E-2</v>
      </c>
      <c r="P112" s="1051">
        <v>2577.6886099999997</v>
      </c>
      <c r="Q112" s="1050">
        <f t="shared" ref="Q112" si="5">P112*1000/10^7</f>
        <v>0.25776886099999996</v>
      </c>
    </row>
    <row r="113" spans="12:19">
      <c r="L113" s="983" t="s">
        <v>1105</v>
      </c>
      <c r="M113" s="1003">
        <v>2461.5770000000002</v>
      </c>
      <c r="N113" s="1050">
        <f t="shared" si="2"/>
        <v>0.24615770000000001</v>
      </c>
      <c r="P113" s="1051">
        <v>10351.39935</v>
      </c>
      <c r="Q113" s="1050">
        <f t="shared" ref="Q113" si="6">P113*1000/10^7</f>
        <v>1.0351399349999999</v>
      </c>
    </row>
    <row r="114" spans="12:19">
      <c r="L114" s="983" t="s">
        <v>1106</v>
      </c>
      <c r="M114" s="149">
        <v>22542.971469999997</v>
      </c>
      <c r="N114" s="1050">
        <f t="shared" si="2"/>
        <v>2.2542971469999995</v>
      </c>
      <c r="P114" s="1051">
        <v>2742.1379999999999</v>
      </c>
      <c r="Q114" s="1050">
        <f t="shared" ref="Q114" si="7">P114*1000/10^7</f>
        <v>0.27421380000000001</v>
      </c>
    </row>
    <row r="115" spans="12:19">
      <c r="L115" s="983" t="s">
        <v>1238</v>
      </c>
      <c r="M115" s="149">
        <v>51.084999999999994</v>
      </c>
      <c r="N115" s="1050">
        <f t="shared" si="2"/>
        <v>5.1084999999999993E-3</v>
      </c>
      <c r="P115" s="1051">
        <v>447.14499999999998</v>
      </c>
      <c r="Q115" s="1050">
        <f t="shared" ref="Q115" si="8">P115*1000/10^7</f>
        <v>4.4714499999999997E-2</v>
      </c>
    </row>
    <row r="116" spans="12:19">
      <c r="L116" s="983"/>
      <c r="M116" s="315"/>
      <c r="N116" s="1050">
        <f t="shared" ref="N116:N146" si="9">M116*1000/10^7</f>
        <v>0</v>
      </c>
      <c r="P116" s="1051">
        <v>8.7430799999999991</v>
      </c>
      <c r="Q116" s="1050">
        <f t="shared" ref="Q116" si="10">P116*1000/10^7</f>
        <v>8.7430799999999996E-4</v>
      </c>
    </row>
    <row r="117" spans="12:19">
      <c r="L117" s="1005" t="s">
        <v>93</v>
      </c>
      <c r="M117" s="1006">
        <v>25251.749469999995</v>
      </c>
      <c r="N117" s="1050">
        <f t="shared" si="9"/>
        <v>2.5251749469999996</v>
      </c>
      <c r="P117" s="1051">
        <v>0</v>
      </c>
      <c r="Q117" s="1050">
        <f t="shared" ref="Q117" si="11">P117*1000/10^7</f>
        <v>0</v>
      </c>
      <c r="S117">
        <v>0</v>
      </c>
    </row>
    <row r="118" spans="12:19">
      <c r="L118" s="1008"/>
      <c r="M118" s="1033"/>
      <c r="N118" s="1050">
        <f t="shared" si="9"/>
        <v>0</v>
      </c>
      <c r="P118" s="1051">
        <v>112.62449000000001</v>
      </c>
      <c r="Q118" s="1050">
        <f t="shared" ref="Q118" si="12">P118*1000/10^7</f>
        <v>1.1262449000000001E-2</v>
      </c>
    </row>
    <row r="119" spans="12:19">
      <c r="L119" s="1161" t="s">
        <v>1441</v>
      </c>
      <c r="M119" s="1161"/>
      <c r="N119" s="1050">
        <f t="shared" si="9"/>
        <v>0</v>
      </c>
      <c r="P119" s="1051">
        <v>2778.5569399999999</v>
      </c>
      <c r="Q119" s="1050">
        <f t="shared" ref="Q119" si="13">P119*1000/10^7</f>
        <v>0.27785569399999999</v>
      </c>
    </row>
    <row r="120" spans="12:19">
      <c r="L120" s="1155" t="s">
        <v>59</v>
      </c>
      <c r="M120" s="1156"/>
      <c r="N120" s="1050">
        <f t="shared" si="9"/>
        <v>0</v>
      </c>
    </row>
    <row r="121" spans="12:19" ht="38.25">
      <c r="L121" s="996" t="s">
        <v>16</v>
      </c>
      <c r="M121" s="997" t="s">
        <v>1644</v>
      </c>
      <c r="N121" s="1050"/>
    </row>
    <row r="122" spans="12:19">
      <c r="L122" s="1036" t="s">
        <v>249</v>
      </c>
      <c r="M122" s="1037"/>
      <c r="N122" s="1050">
        <f t="shared" si="9"/>
        <v>0</v>
      </c>
    </row>
    <row r="123" spans="12:19">
      <c r="L123" s="983" t="s">
        <v>181</v>
      </c>
      <c r="M123" s="1003">
        <v>23.731999999999999</v>
      </c>
      <c r="N123" s="1050">
        <f t="shared" si="9"/>
        <v>2.3731999999999998E-3</v>
      </c>
    </row>
    <row r="124" spans="12:19">
      <c r="L124" s="983" t="s">
        <v>121</v>
      </c>
      <c r="M124" s="1003">
        <v>181.23027999999999</v>
      </c>
      <c r="N124" s="1050">
        <f t="shared" si="9"/>
        <v>1.8123027999999999E-2</v>
      </c>
    </row>
    <row r="125" spans="12:19">
      <c r="L125" s="983" t="s">
        <v>182</v>
      </c>
      <c r="M125" s="1003">
        <v>183.55503999999996</v>
      </c>
      <c r="N125" s="1050">
        <f t="shared" si="9"/>
        <v>1.8355503999999995E-2</v>
      </c>
    </row>
    <row r="126" spans="12:19">
      <c r="L126" s="983" t="s">
        <v>411</v>
      </c>
      <c r="M126" s="1003">
        <v>349.99400000000003</v>
      </c>
      <c r="N126" s="1050">
        <f t="shared" si="9"/>
        <v>3.49994E-2</v>
      </c>
    </row>
    <row r="127" spans="12:19">
      <c r="L127" s="983" t="s">
        <v>154</v>
      </c>
      <c r="M127" s="1003">
        <v>458.36900000000003</v>
      </c>
      <c r="N127" s="1050">
        <f t="shared" si="9"/>
        <v>4.58369E-2</v>
      </c>
    </row>
    <row r="128" spans="12:19">
      <c r="L128" s="983" t="s">
        <v>989</v>
      </c>
      <c r="M128" s="201"/>
      <c r="N128" s="1050">
        <f t="shared" si="9"/>
        <v>0</v>
      </c>
      <c r="P128">
        <v>0</v>
      </c>
    </row>
    <row r="129" spans="12:14">
      <c r="L129" s="1039" t="s">
        <v>494</v>
      </c>
      <c r="M129" s="1003">
        <v>672.19344999999998</v>
      </c>
      <c r="N129" s="1050">
        <f t="shared" si="9"/>
        <v>6.7219345E-2</v>
      </c>
    </row>
    <row r="130" spans="12:14" ht="12.75" customHeight="1">
      <c r="L130" s="1039" t="s">
        <v>935</v>
      </c>
      <c r="M130" s="1003">
        <v>4193.9667299999992</v>
      </c>
      <c r="N130" s="1050">
        <f t="shared" si="9"/>
        <v>0.41939667299999989</v>
      </c>
    </row>
    <row r="131" spans="12:14" ht="12.75" customHeight="1">
      <c r="L131" s="983" t="s">
        <v>810</v>
      </c>
      <c r="M131" s="1003">
        <v>109.61</v>
      </c>
      <c r="N131" s="1050">
        <f t="shared" si="9"/>
        <v>1.0961E-2</v>
      </c>
    </row>
    <row r="132" spans="12:14">
      <c r="L132" s="983" t="s">
        <v>123</v>
      </c>
      <c r="M132" s="1003">
        <v>811.87800000000004</v>
      </c>
      <c r="N132" s="1050">
        <f t="shared" si="9"/>
        <v>8.1187800000000004E-2</v>
      </c>
    </row>
    <row r="133" spans="12:14">
      <c r="L133" s="983" t="s">
        <v>247</v>
      </c>
      <c r="M133" s="1003">
        <v>62.5</v>
      </c>
      <c r="N133" s="1050">
        <f t="shared" si="9"/>
        <v>6.2500000000000003E-3</v>
      </c>
    </row>
    <row r="134" spans="12:14">
      <c r="L134" s="983" t="s">
        <v>196</v>
      </c>
      <c r="M134" s="1003">
        <v>3284.6641799999993</v>
      </c>
      <c r="N134" s="1050">
        <f t="shared" si="9"/>
        <v>0.32846641799999993</v>
      </c>
    </row>
    <row r="135" spans="12:14">
      <c r="L135" s="983" t="s">
        <v>185</v>
      </c>
      <c r="M135" s="1003">
        <v>500.45699999999999</v>
      </c>
      <c r="N135" s="1050">
        <f t="shared" si="9"/>
        <v>5.0045699999999999E-2</v>
      </c>
    </row>
    <row r="136" spans="12:14">
      <c r="L136" s="983" t="s">
        <v>1239</v>
      </c>
      <c r="M136" s="1003">
        <v>217.76</v>
      </c>
      <c r="N136" s="1050">
        <f t="shared" si="9"/>
        <v>2.1776E-2</v>
      </c>
    </row>
    <row r="137" spans="12:14">
      <c r="L137" s="983" t="s">
        <v>122</v>
      </c>
      <c r="M137" s="1003">
        <v>3014.9695299999998</v>
      </c>
      <c r="N137" s="1050">
        <f t="shared" si="9"/>
        <v>0.30149695299999996</v>
      </c>
    </row>
    <row r="138" spans="12:14" ht="12.75" customHeight="1">
      <c r="L138" s="1040" t="s">
        <v>14</v>
      </c>
      <c r="M138" s="1003"/>
      <c r="N138" s="1050">
        <f t="shared" si="9"/>
        <v>0</v>
      </c>
    </row>
    <row r="139" spans="12:14" ht="12.75" customHeight="1">
      <c r="L139" s="983" t="s">
        <v>15</v>
      </c>
      <c r="M139" s="1003">
        <v>175</v>
      </c>
      <c r="N139" s="1050">
        <f t="shared" si="9"/>
        <v>1.7500000000000002E-2</v>
      </c>
    </row>
    <row r="140" spans="12:14">
      <c r="L140" s="983" t="s">
        <v>293</v>
      </c>
      <c r="M140" s="1042"/>
      <c r="N140" s="1050">
        <f t="shared" si="9"/>
        <v>0</v>
      </c>
    </row>
    <row r="141" spans="12:14">
      <c r="L141" s="1005" t="s">
        <v>251</v>
      </c>
      <c r="M141" s="1044">
        <v>14239.879209999999</v>
      </c>
      <c r="N141" s="1050">
        <f t="shared" si="9"/>
        <v>1.4239879209999999</v>
      </c>
    </row>
    <row r="142" spans="12:14">
      <c r="L142" s="1036" t="s">
        <v>250</v>
      </c>
      <c r="M142" s="1003"/>
      <c r="N142" s="1050">
        <f t="shared" si="9"/>
        <v>0</v>
      </c>
    </row>
    <row r="143" spans="12:14">
      <c r="L143" s="983" t="s">
        <v>180</v>
      </c>
      <c r="M143" s="1003">
        <v>5461.5427800000007</v>
      </c>
      <c r="N143" s="1050">
        <f t="shared" si="9"/>
        <v>0.54615427800000005</v>
      </c>
    </row>
    <row r="144" spans="12:14">
      <c r="L144" s="1005" t="s">
        <v>252</v>
      </c>
      <c r="M144" s="1044">
        <v>5461.5427800000007</v>
      </c>
      <c r="N144" s="1050">
        <f t="shared" si="9"/>
        <v>0.54615427800000005</v>
      </c>
    </row>
    <row r="145" spans="12:14">
      <c r="L145" s="1046"/>
      <c r="M145" s="1047"/>
      <c r="N145" s="1050">
        <f t="shared" si="9"/>
        <v>0</v>
      </c>
    </row>
    <row r="146" spans="12:14">
      <c r="L146" s="1005" t="s">
        <v>253</v>
      </c>
      <c r="M146" s="1006">
        <v>19701.421989999999</v>
      </c>
      <c r="N146" s="1050">
        <f t="shared" si="9"/>
        <v>1.9701421989999999</v>
      </c>
    </row>
  </sheetData>
  <mergeCells count="15">
    <mergeCell ref="C4:F4"/>
    <mergeCell ref="D21:F21"/>
    <mergeCell ref="D22:F22"/>
    <mergeCell ref="C49:D49"/>
    <mergeCell ref="C56:D56"/>
    <mergeCell ref="L82:M82"/>
    <mergeCell ref="L119:M119"/>
    <mergeCell ref="L120:M120"/>
    <mergeCell ref="L49:M49"/>
    <mergeCell ref="L50:M50"/>
    <mergeCell ref="L60:M60"/>
    <mergeCell ref="L61:M61"/>
    <mergeCell ref="L69:M69"/>
    <mergeCell ref="L70:M70"/>
    <mergeCell ref="L81:M81"/>
  </mergeCells>
  <conditionalFormatting sqref="M90:M91">
    <cfRule type="duplicateValues" dxfId="0" priority="1" stopIfTrue="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70"/>
  <sheetViews>
    <sheetView topLeftCell="A142" workbookViewId="0">
      <selection activeCell="H162" sqref="H162"/>
    </sheetView>
  </sheetViews>
  <sheetFormatPr defaultColWidth="9.140625" defaultRowHeight="15"/>
  <cols>
    <col min="1" max="1" width="41.5703125" style="157" customWidth="1"/>
    <col min="2" max="2" width="14.7109375" style="157" customWidth="1"/>
    <col min="3" max="3" width="17.42578125" style="157" customWidth="1"/>
    <col min="4" max="4" width="14.140625" style="157" bestFit="1" customWidth="1"/>
    <col min="5" max="5" width="18.28515625" style="178" customWidth="1"/>
    <col min="6" max="6" width="18.7109375" style="178" customWidth="1"/>
    <col min="7" max="7" width="14.28515625" style="550" bestFit="1" customWidth="1"/>
    <col min="8" max="9" width="12.5703125" style="550" bestFit="1" customWidth="1"/>
    <col min="10" max="16384" width="9.140625" style="550"/>
  </cols>
  <sheetData>
    <row r="1" spans="1:7">
      <c r="A1" s="931" t="s">
        <v>108</v>
      </c>
    </row>
    <row r="2" spans="1:7">
      <c r="A2" s="1105" t="s">
        <v>24</v>
      </c>
      <c r="B2" s="1105"/>
      <c r="C2" s="1105"/>
      <c r="D2" s="1105"/>
      <c r="E2" s="1105"/>
      <c r="F2" s="1105"/>
    </row>
    <row r="3" spans="1:7">
      <c r="A3" s="893" t="s">
        <v>16</v>
      </c>
      <c r="B3" s="663"/>
      <c r="C3" s="663"/>
      <c r="D3" s="664"/>
      <c r="E3" s="633" t="s">
        <v>1653</v>
      </c>
      <c r="F3" s="633" t="s">
        <v>1654</v>
      </c>
    </row>
    <row r="4" spans="1:7">
      <c r="A4" s="669"/>
      <c r="B4" s="944"/>
      <c r="C4" s="944"/>
      <c r="D4" s="666"/>
      <c r="E4" s="636"/>
      <c r="F4" s="636"/>
    </row>
    <row r="5" spans="1:7">
      <c r="A5" s="641" t="s">
        <v>369</v>
      </c>
      <c r="B5" s="944"/>
      <c r="C5" s="944"/>
      <c r="D5" s="973" t="s">
        <v>112</v>
      </c>
      <c r="E5" s="667">
        <v>16200</v>
      </c>
      <c r="F5" s="667">
        <v>16200</v>
      </c>
      <c r="G5" s="555">
        <f>E5*1000/10^7</f>
        <v>1.62</v>
      </c>
    </row>
    <row r="6" spans="1:7">
      <c r="A6" s="669"/>
      <c r="B6" s="944"/>
      <c r="C6" s="944"/>
      <c r="D6" s="973"/>
      <c r="E6" s="668"/>
      <c r="F6" s="668"/>
    </row>
    <row r="7" spans="1:7">
      <c r="A7" s="155" t="s">
        <v>141</v>
      </c>
      <c r="B7" s="928"/>
      <c r="C7" s="928"/>
      <c r="D7" s="974"/>
      <c r="E7" s="530"/>
      <c r="F7" s="530"/>
    </row>
    <row r="8" spans="1:7">
      <c r="A8" s="641" t="s">
        <v>105</v>
      </c>
      <c r="B8" s="928"/>
      <c r="C8" s="928"/>
      <c r="D8" s="974"/>
      <c r="E8" s="530">
        <v>39257.514565286903</v>
      </c>
      <c r="F8" s="530">
        <v>37193.814649960404</v>
      </c>
      <c r="G8" s="555">
        <f>E8*1000/10^7</f>
        <v>3.9257514565286904</v>
      </c>
    </row>
    <row r="9" spans="1:7">
      <c r="A9" s="641" t="s">
        <v>723</v>
      </c>
      <c r="B9" s="928"/>
      <c r="C9" s="928"/>
      <c r="D9" s="974"/>
      <c r="E9" s="530">
        <v>0</v>
      </c>
      <c r="F9" s="530">
        <v>0</v>
      </c>
      <c r="G9" s="555">
        <f t="shared" ref="G9:G12" si="0">E9*1000/10^7</f>
        <v>0</v>
      </c>
    </row>
    <row r="10" spans="1:7">
      <c r="A10" s="641" t="s">
        <v>106</v>
      </c>
      <c r="B10" s="928"/>
      <c r="C10" s="928"/>
      <c r="D10" s="974"/>
      <c r="E10" s="530">
        <v>7892.1153236858127</v>
      </c>
      <c r="F10" s="530">
        <v>2063.6999153264974</v>
      </c>
      <c r="G10" s="555">
        <f t="shared" si="0"/>
        <v>0.78921153236858133</v>
      </c>
    </row>
    <row r="11" spans="1:7">
      <c r="A11" s="641"/>
      <c r="B11" s="928"/>
      <c r="C11" s="928"/>
      <c r="D11" s="974" t="s">
        <v>160</v>
      </c>
      <c r="E11" s="185">
        <v>47149.629888972719</v>
      </c>
      <c r="F11" s="185">
        <v>39257.514565286903</v>
      </c>
      <c r="G11" s="555">
        <f t="shared" si="0"/>
        <v>4.7149629888972724</v>
      </c>
    </row>
    <row r="12" spans="1:7">
      <c r="A12" s="641"/>
      <c r="B12" s="928"/>
      <c r="C12" s="928"/>
      <c r="D12" s="974"/>
      <c r="E12" s="530"/>
      <c r="F12" s="530"/>
      <c r="G12" s="555">
        <f t="shared" si="0"/>
        <v>0</v>
      </c>
    </row>
    <row r="13" spans="1:7">
      <c r="A13" s="670" t="s">
        <v>104</v>
      </c>
      <c r="B13" s="671"/>
      <c r="C13" s="671"/>
      <c r="D13" s="975" t="s">
        <v>1638</v>
      </c>
      <c r="E13" s="185">
        <v>63349.629888972719</v>
      </c>
      <c r="F13" s="185">
        <v>55457.514565286903</v>
      </c>
      <c r="G13" s="555">
        <f>E13*1000/10^7</f>
        <v>6.3349629888972725</v>
      </c>
    </row>
    <row r="14" spans="1:7">
      <c r="A14" s="685"/>
      <c r="B14" s="685"/>
      <c r="C14" s="685"/>
      <c r="D14" s="685"/>
      <c r="E14" s="532"/>
      <c r="F14" s="532"/>
    </row>
    <row r="15" spans="1:7">
      <c r="A15" s="930"/>
      <c r="B15" s="930"/>
      <c r="C15" s="930"/>
      <c r="D15" s="930"/>
      <c r="E15" s="977"/>
      <c r="F15" s="977"/>
    </row>
    <row r="16" spans="1:7">
      <c r="A16" s="931" t="s">
        <v>109</v>
      </c>
    </row>
    <row r="17" spans="1:7">
      <c r="A17" s="894" t="s">
        <v>155</v>
      </c>
      <c r="B17" s="159"/>
      <c r="C17" s="159"/>
      <c r="D17" s="159"/>
      <c r="E17" s="673"/>
      <c r="F17" s="673"/>
    </row>
    <row r="18" spans="1:7">
      <c r="A18" s="893" t="s">
        <v>16</v>
      </c>
      <c r="B18" s="663"/>
      <c r="C18" s="663"/>
      <c r="D18" s="664"/>
      <c r="E18" s="665" t="s">
        <v>1653</v>
      </c>
      <c r="F18" s="665" t="s">
        <v>1654</v>
      </c>
      <c r="G18" s="555"/>
    </row>
    <row r="19" spans="1:7">
      <c r="A19" s="637"/>
      <c r="D19" s="638"/>
      <c r="E19" s="530"/>
      <c r="F19" s="674"/>
    </row>
    <row r="20" spans="1:7">
      <c r="A20" s="637" t="s">
        <v>281</v>
      </c>
      <c r="D20" s="638"/>
      <c r="E20" s="530"/>
      <c r="F20" s="530"/>
    </row>
    <row r="21" spans="1:7" ht="15" customHeight="1">
      <c r="A21" s="1142" t="s">
        <v>1014</v>
      </c>
      <c r="B21" s="1143"/>
      <c r="C21" s="1143"/>
      <c r="D21" s="1144"/>
      <c r="E21" s="639">
        <v>486.60840669360402</v>
      </c>
      <c r="F21" s="639">
        <v>209.6</v>
      </c>
      <c r="G21" s="555">
        <f t="shared" ref="G21:G27" si="1">E21*1000/10^7</f>
        <v>4.8660840669360404E-2</v>
      </c>
    </row>
    <row r="22" spans="1:7" s="556" customFormat="1" ht="15" customHeight="1">
      <c r="A22" s="1142" t="s">
        <v>1550</v>
      </c>
      <c r="B22" s="1143"/>
      <c r="C22" s="1143"/>
      <c r="D22" s="1144"/>
      <c r="E22" s="639">
        <v>135912.36538</v>
      </c>
      <c r="F22" s="639">
        <v>163060.98199999999</v>
      </c>
      <c r="G22" s="555">
        <f t="shared" si="1"/>
        <v>13.591236537999999</v>
      </c>
    </row>
    <row r="23" spans="1:7">
      <c r="A23" s="155" t="s">
        <v>397</v>
      </c>
      <c r="B23" s="916"/>
      <c r="C23" s="916"/>
      <c r="D23" s="675"/>
      <c r="E23" s="530"/>
      <c r="F23" s="177"/>
      <c r="G23" s="555">
        <f t="shared" si="1"/>
        <v>0</v>
      </c>
    </row>
    <row r="24" spans="1:7">
      <c r="A24" s="724" t="s">
        <v>990</v>
      </c>
      <c r="B24" s="916"/>
      <c r="C24" s="916"/>
      <c r="D24" s="675"/>
      <c r="E24" s="530">
        <v>0</v>
      </c>
      <c r="F24" s="530">
        <v>96.865510000000015</v>
      </c>
      <c r="G24" s="555">
        <f t="shared" si="1"/>
        <v>0</v>
      </c>
    </row>
    <row r="25" spans="1:7">
      <c r="A25" s="676" t="s">
        <v>647</v>
      </c>
      <c r="B25" s="916"/>
      <c r="C25" s="916"/>
      <c r="D25" s="675"/>
      <c r="E25" s="530">
        <v>0</v>
      </c>
      <c r="F25" s="530">
        <v>12.285919999999983</v>
      </c>
      <c r="G25" s="555">
        <f t="shared" si="1"/>
        <v>0</v>
      </c>
    </row>
    <row r="26" spans="1:7">
      <c r="A26" s="676"/>
      <c r="B26" s="916"/>
      <c r="C26" s="916"/>
      <c r="D26" s="675"/>
      <c r="E26" s="530"/>
      <c r="F26" s="530"/>
      <c r="G26" s="555">
        <f t="shared" si="1"/>
        <v>0</v>
      </c>
    </row>
    <row r="27" spans="1:7">
      <c r="A27" s="643" t="s">
        <v>93</v>
      </c>
      <c r="B27" s="644"/>
      <c r="C27" s="644"/>
      <c r="D27" s="645"/>
      <c r="E27" s="655">
        <v>136398.97378669362</v>
      </c>
      <c r="F27" s="655">
        <v>163379.73342999999</v>
      </c>
      <c r="G27" s="555">
        <f t="shared" si="1"/>
        <v>13.639897378669364</v>
      </c>
    </row>
    <row r="28" spans="1:7">
      <c r="A28" s="945"/>
      <c r="B28" s="945"/>
      <c r="C28" s="945"/>
      <c r="D28" s="945"/>
      <c r="E28" s="970"/>
      <c r="F28" s="945"/>
    </row>
    <row r="29" spans="1:7">
      <c r="A29" s="931" t="s">
        <v>110</v>
      </c>
    </row>
    <row r="30" spans="1:7">
      <c r="A30" s="894" t="s">
        <v>716</v>
      </c>
      <c r="B30" s="159"/>
      <c r="C30" s="159"/>
      <c r="D30" s="159"/>
      <c r="E30" s="673"/>
      <c r="F30" s="673"/>
    </row>
    <row r="31" spans="1:7">
      <c r="A31" s="960" t="s">
        <v>16</v>
      </c>
      <c r="B31" s="159"/>
      <c r="C31" s="159"/>
      <c r="D31" s="159"/>
      <c r="E31" s="959" t="s">
        <v>1653</v>
      </c>
      <c r="F31" s="961" t="s">
        <v>1654</v>
      </c>
    </row>
    <row r="32" spans="1:7">
      <c r="A32" s="680"/>
      <c r="B32" s="944"/>
      <c r="C32" s="944"/>
      <c r="D32" s="666"/>
      <c r="E32" s="177"/>
      <c r="F32" s="180"/>
    </row>
    <row r="33" spans="1:7">
      <c r="A33" s="637" t="s">
        <v>964</v>
      </c>
      <c r="D33" s="638"/>
      <c r="E33" s="530"/>
      <c r="F33" s="530"/>
    </row>
    <row r="34" spans="1:7">
      <c r="A34" s="681" t="s">
        <v>965</v>
      </c>
      <c r="B34" s="929"/>
      <c r="C34" s="929"/>
      <c r="D34" s="682"/>
      <c r="E34" s="530">
        <v>3088.1816774118615</v>
      </c>
      <c r="F34" s="530">
        <v>4666.3068533394289</v>
      </c>
      <c r="G34" s="555">
        <f t="shared" ref="G34:G43" si="2">E34*1000/10^7</f>
        <v>0.30881816774118614</v>
      </c>
    </row>
    <row r="35" spans="1:7">
      <c r="A35" s="681" t="s">
        <v>125</v>
      </c>
      <c r="B35" s="929"/>
      <c r="C35" s="929"/>
      <c r="D35" s="682"/>
      <c r="E35" s="530"/>
      <c r="F35" s="530"/>
      <c r="G35" s="555">
        <f t="shared" si="2"/>
        <v>0</v>
      </c>
    </row>
    <row r="36" spans="1:7">
      <c r="A36" s="188" t="s">
        <v>126</v>
      </c>
      <c r="B36" s="929"/>
      <c r="C36" s="929"/>
      <c r="D36" s="682"/>
      <c r="E36" s="655">
        <v>3088.1816774118615</v>
      </c>
      <c r="F36" s="655">
        <v>4666.3068533394289</v>
      </c>
      <c r="G36" s="555">
        <f t="shared" si="2"/>
        <v>0.30881816774118614</v>
      </c>
    </row>
    <row r="37" spans="1:7">
      <c r="A37" s="188"/>
      <c r="B37" s="929"/>
      <c r="C37" s="929"/>
      <c r="D37" s="682"/>
      <c r="E37" s="683"/>
      <c r="F37" s="683"/>
      <c r="G37" s="555">
        <f t="shared" si="2"/>
        <v>0</v>
      </c>
    </row>
    <row r="38" spans="1:7">
      <c r="A38" s="637" t="s">
        <v>966</v>
      </c>
      <c r="B38" s="929"/>
      <c r="C38" s="929"/>
      <c r="D38" s="682"/>
      <c r="E38" s="530"/>
      <c r="F38" s="530"/>
      <c r="G38" s="555">
        <f t="shared" si="2"/>
        <v>0</v>
      </c>
    </row>
    <row r="39" spans="1:7">
      <c r="A39" s="681" t="s">
        <v>965</v>
      </c>
      <c r="B39" s="929"/>
      <c r="C39" s="929"/>
      <c r="D39" s="682"/>
      <c r="E39" s="530">
        <v>0</v>
      </c>
      <c r="F39" s="530">
        <v>0</v>
      </c>
      <c r="G39" s="555">
        <f t="shared" si="2"/>
        <v>0</v>
      </c>
    </row>
    <row r="40" spans="1:7">
      <c r="A40" s="684" t="s">
        <v>125</v>
      </c>
      <c r="B40" s="928"/>
      <c r="C40" s="928"/>
      <c r="D40" s="902"/>
      <c r="E40" s="530">
        <v>206.6920284</v>
      </c>
      <c r="F40" s="530">
        <v>0</v>
      </c>
      <c r="G40" s="555">
        <f t="shared" si="2"/>
        <v>2.0669202840000001E-2</v>
      </c>
    </row>
    <row r="41" spans="1:7">
      <c r="A41" s="188" t="s">
        <v>127</v>
      </c>
      <c r="B41" s="929"/>
      <c r="C41" s="929"/>
      <c r="D41" s="682"/>
      <c r="E41" s="185">
        <v>206.6920284</v>
      </c>
      <c r="F41" s="185">
        <v>0</v>
      </c>
      <c r="G41" s="555">
        <f t="shared" si="2"/>
        <v>2.0669202840000001E-2</v>
      </c>
    </row>
    <row r="42" spans="1:7">
      <c r="A42" s="179"/>
      <c r="B42" s="929"/>
      <c r="C42" s="929"/>
      <c r="D42" s="682"/>
      <c r="E42" s="530"/>
      <c r="F42" s="530"/>
      <c r="G42" s="555">
        <f t="shared" si="2"/>
        <v>0</v>
      </c>
    </row>
    <row r="43" spans="1:7">
      <c r="A43" s="643" t="s">
        <v>995</v>
      </c>
      <c r="B43" s="644"/>
      <c r="C43" s="644"/>
      <c r="D43" s="645"/>
      <c r="E43" s="655">
        <v>2881.4896490118617</v>
      </c>
      <c r="F43" s="655">
        <v>4666.3068533394289</v>
      </c>
      <c r="G43" s="555">
        <f t="shared" si="2"/>
        <v>0.28814896490118613</v>
      </c>
    </row>
    <row r="44" spans="1:7">
      <c r="A44" s="685"/>
      <c r="B44" s="685"/>
      <c r="C44" s="685"/>
      <c r="D44" s="685"/>
      <c r="E44" s="686"/>
      <c r="F44" s="686"/>
    </row>
    <row r="45" spans="1:7">
      <c r="A45" s="931" t="s">
        <v>157</v>
      </c>
      <c r="B45" s="930"/>
      <c r="C45" s="930"/>
      <c r="D45" s="930"/>
      <c r="E45" s="583"/>
      <c r="F45" s="583"/>
    </row>
    <row r="46" spans="1:7">
      <c r="A46" s="894" t="s">
        <v>1024</v>
      </c>
      <c r="B46" s="687"/>
      <c r="C46" s="687"/>
      <c r="D46" s="687"/>
      <c r="E46" s="687"/>
      <c r="F46" s="687"/>
    </row>
    <row r="47" spans="1:7">
      <c r="A47" s="677" t="s">
        <v>16</v>
      </c>
      <c r="B47" s="678"/>
      <c r="C47" s="678"/>
      <c r="D47" s="679"/>
      <c r="E47" s="665" t="s">
        <v>1653</v>
      </c>
      <c r="F47" s="665" t="s">
        <v>1654</v>
      </c>
    </row>
    <row r="48" spans="1:7">
      <c r="A48" s="637"/>
      <c r="D48" s="638"/>
      <c r="E48" s="530"/>
      <c r="F48" s="530"/>
    </row>
    <row r="49" spans="1:8">
      <c r="A49" s="899" t="s">
        <v>1025</v>
      </c>
      <c r="B49" s="929"/>
      <c r="C49" s="929"/>
      <c r="D49" s="682"/>
      <c r="E49" s="178">
        <v>742.96199999999999</v>
      </c>
      <c r="F49" s="639">
        <v>742.96199999999999</v>
      </c>
      <c r="G49" s="555">
        <f t="shared" ref="G49:G52" si="3">E49*1000/10^7</f>
        <v>7.4296200000000007E-2</v>
      </c>
    </row>
    <row r="50" spans="1:8">
      <c r="A50" s="899"/>
      <c r="B50" s="929"/>
      <c r="C50" s="929"/>
      <c r="D50" s="682"/>
      <c r="E50" s="639"/>
      <c r="F50" s="639"/>
      <c r="G50" s="555">
        <f t="shared" si="3"/>
        <v>0</v>
      </c>
    </row>
    <row r="51" spans="1:8">
      <c r="A51" s="643" t="s">
        <v>93</v>
      </c>
      <c r="B51" s="644"/>
      <c r="C51" s="644"/>
      <c r="D51" s="645"/>
      <c r="E51" s="655">
        <v>742.96199999999999</v>
      </c>
      <c r="F51" s="655">
        <v>742.96199999999999</v>
      </c>
      <c r="G51" s="555">
        <f t="shared" si="3"/>
        <v>7.4296200000000007E-2</v>
      </c>
    </row>
    <row r="52" spans="1:8">
      <c r="A52" s="685"/>
      <c r="B52" s="685"/>
      <c r="C52" s="685"/>
      <c r="D52" s="685"/>
      <c r="E52" s="686"/>
      <c r="F52" s="686"/>
      <c r="G52" s="555">
        <f t="shared" si="3"/>
        <v>0</v>
      </c>
    </row>
    <row r="53" spans="1:8">
      <c r="A53" s="931" t="s">
        <v>1542</v>
      </c>
      <c r="B53" s="930"/>
      <c r="C53" s="930"/>
      <c r="D53" s="930"/>
      <c r="E53" s="583"/>
      <c r="F53" s="583"/>
    </row>
    <row r="54" spans="1:8">
      <c r="A54" s="894" t="s">
        <v>156</v>
      </c>
      <c r="B54" s="687"/>
      <c r="C54" s="687"/>
      <c r="D54" s="687"/>
      <c r="E54" s="687"/>
      <c r="F54" s="687"/>
    </row>
    <row r="55" spans="1:8">
      <c r="A55" s="677" t="s">
        <v>16</v>
      </c>
      <c r="B55" s="678"/>
      <c r="C55" s="678"/>
      <c r="D55" s="679"/>
      <c r="E55" s="665" t="s">
        <v>1653</v>
      </c>
      <c r="F55" s="665" t="s">
        <v>1654</v>
      </c>
    </row>
    <row r="56" spans="1:8">
      <c r="A56" s="637"/>
      <c r="D56" s="638"/>
      <c r="E56" s="530"/>
      <c r="F56" s="530"/>
      <c r="G56" s="555">
        <f t="shared" ref="G56:G119" si="4">E56*1000/10^7</f>
        <v>0</v>
      </c>
    </row>
    <row r="57" spans="1:8" ht="15" customHeight="1">
      <c r="A57" s="1145" t="s">
        <v>1029</v>
      </c>
      <c r="B57" s="1124"/>
      <c r="C57" s="1124"/>
      <c r="D57" s="1146"/>
      <c r="E57" s="639">
        <v>37687.911659999998</v>
      </c>
      <c r="F57" s="639">
        <v>32361.687000000002</v>
      </c>
      <c r="G57" s="555">
        <f t="shared" si="4"/>
        <v>3.7687911659999997</v>
      </c>
    </row>
    <row r="58" spans="1:8">
      <c r="A58" s="899" t="s">
        <v>1030</v>
      </c>
      <c r="B58" s="946"/>
      <c r="C58" s="946"/>
      <c r="D58" s="900"/>
      <c r="E58" s="688"/>
      <c r="F58" s="639"/>
      <c r="G58" s="555">
        <f t="shared" si="4"/>
        <v>0</v>
      </c>
      <c r="H58" s="550">
        <v>0</v>
      </c>
    </row>
    <row r="59" spans="1:8">
      <c r="A59" s="899" t="s">
        <v>1536</v>
      </c>
      <c r="B59" s="946"/>
      <c r="C59" s="946"/>
      <c r="D59" s="900"/>
      <c r="E59" s="688">
        <v>29505.834500000001</v>
      </c>
      <c r="F59" s="639"/>
      <c r="G59" s="555">
        <f t="shared" si="4"/>
        <v>2.9505834499999999</v>
      </c>
    </row>
    <row r="60" spans="1:8">
      <c r="A60" s="899"/>
      <c r="B60" s="946"/>
      <c r="C60" s="946"/>
      <c r="D60" s="900"/>
      <c r="E60" s="688"/>
      <c r="F60" s="639"/>
      <c r="G60" s="555">
        <f t="shared" si="4"/>
        <v>0</v>
      </c>
    </row>
    <row r="61" spans="1:8">
      <c r="A61" s="637" t="s">
        <v>281</v>
      </c>
      <c r="D61" s="638"/>
      <c r="E61" s="530"/>
      <c r="F61" s="530"/>
      <c r="G61" s="555">
        <f t="shared" si="4"/>
        <v>0</v>
      </c>
    </row>
    <row r="62" spans="1:8" ht="15" customHeight="1">
      <c r="A62" s="1142" t="s">
        <v>1014</v>
      </c>
      <c r="B62" s="1143"/>
      <c r="C62" s="1143"/>
      <c r="D62" s="1144"/>
      <c r="E62" s="530">
        <v>406.05459330639599</v>
      </c>
      <c r="F62" s="530">
        <v>331.33800000000002</v>
      </c>
      <c r="G62" s="555">
        <f t="shared" si="4"/>
        <v>4.0605459330639596E-2</v>
      </c>
    </row>
    <row r="63" spans="1:8" s="556" customFormat="1" ht="15" customHeight="1">
      <c r="A63" s="1142" t="s">
        <v>1543</v>
      </c>
      <c r="B63" s="1143"/>
      <c r="C63" s="1143"/>
      <c r="D63" s="1144"/>
      <c r="E63" s="639">
        <v>40104</v>
      </c>
      <c r="F63" s="639">
        <v>27600</v>
      </c>
      <c r="G63" s="555">
        <f t="shared" si="4"/>
        <v>4.0103999999999997</v>
      </c>
    </row>
    <row r="64" spans="1:8">
      <c r="A64" s="155" t="s">
        <v>397</v>
      </c>
      <c r="B64" s="916"/>
      <c r="C64" s="916"/>
      <c r="D64" s="675"/>
      <c r="E64" s="530"/>
      <c r="F64" s="530"/>
      <c r="G64" s="555">
        <f t="shared" si="4"/>
        <v>0</v>
      </c>
    </row>
    <row r="65" spans="1:7">
      <c r="A65" s="724" t="s">
        <v>990</v>
      </c>
      <c r="B65" s="929"/>
      <c r="C65" s="929"/>
      <c r="D65" s="682"/>
      <c r="E65" s="530">
        <v>0</v>
      </c>
      <c r="F65" s="530">
        <v>1155.7619999999999</v>
      </c>
      <c r="G65" s="555">
        <f t="shared" si="4"/>
        <v>0</v>
      </c>
    </row>
    <row r="66" spans="1:7">
      <c r="A66" s="676" t="s">
        <v>647</v>
      </c>
      <c r="B66" s="929"/>
      <c r="C66" s="929"/>
      <c r="D66" s="682"/>
      <c r="E66" s="530">
        <v>0</v>
      </c>
      <c r="F66" s="530">
        <v>448</v>
      </c>
      <c r="G66" s="555">
        <f t="shared" si="4"/>
        <v>0</v>
      </c>
    </row>
    <row r="67" spans="1:7">
      <c r="A67" s="899"/>
      <c r="B67" s="929"/>
      <c r="C67" s="929"/>
      <c r="D67" s="682"/>
      <c r="F67" s="639"/>
      <c r="G67" s="555">
        <f t="shared" si="4"/>
        <v>0</v>
      </c>
    </row>
    <row r="68" spans="1:7">
      <c r="A68" s="643" t="s">
        <v>93</v>
      </c>
      <c r="B68" s="644"/>
      <c r="C68" s="644"/>
      <c r="D68" s="645"/>
      <c r="E68" s="655">
        <v>107703.80075330639</v>
      </c>
      <c r="F68" s="655">
        <v>61896.787000000004</v>
      </c>
      <c r="G68" s="555">
        <f t="shared" si="4"/>
        <v>10.770380075330639</v>
      </c>
    </row>
    <row r="69" spans="1:7">
      <c r="A69" s="958"/>
      <c r="B69" s="958"/>
      <c r="C69" s="958"/>
      <c r="D69" s="958"/>
      <c r="E69" s="958"/>
      <c r="F69" s="958"/>
      <c r="G69" s="555">
        <f t="shared" si="4"/>
        <v>0</v>
      </c>
    </row>
    <row r="70" spans="1:7" ht="15" customHeight="1">
      <c r="A70" s="945"/>
      <c r="B70" s="945"/>
      <c r="C70" s="945"/>
      <c r="D70" s="945"/>
      <c r="E70" s="945"/>
      <c r="F70" s="945"/>
      <c r="G70" s="555">
        <f t="shared" si="4"/>
        <v>0</v>
      </c>
    </row>
    <row r="71" spans="1:7" ht="15" customHeight="1">
      <c r="A71" s="931" t="s">
        <v>283</v>
      </c>
      <c r="B71" s="945"/>
      <c r="C71" s="945"/>
      <c r="D71" s="945"/>
      <c r="E71" s="945"/>
      <c r="F71" s="945"/>
      <c r="G71" s="555">
        <f t="shared" si="4"/>
        <v>0</v>
      </c>
    </row>
    <row r="72" spans="1:7" ht="15" customHeight="1">
      <c r="A72" s="962" t="s">
        <v>124</v>
      </c>
      <c r="B72" s="159"/>
      <c r="C72" s="159"/>
      <c r="D72" s="159"/>
      <c r="E72" s="673"/>
      <c r="F72" s="673"/>
      <c r="G72" s="555">
        <f t="shared" si="4"/>
        <v>0</v>
      </c>
    </row>
    <row r="73" spans="1:7">
      <c r="A73" s="893" t="s">
        <v>16</v>
      </c>
      <c r="B73" s="663"/>
      <c r="C73" s="663"/>
      <c r="D73" s="664"/>
      <c r="E73" s="665" t="s">
        <v>1653</v>
      </c>
      <c r="F73" s="665" t="s">
        <v>1654</v>
      </c>
      <c r="G73" s="555" t="e">
        <f t="shared" si="4"/>
        <v>#VALUE!</v>
      </c>
    </row>
    <row r="74" spans="1:7" ht="15" customHeight="1">
      <c r="A74" s="637"/>
      <c r="D74" s="638"/>
      <c r="E74" s="530"/>
      <c r="F74" s="530"/>
      <c r="G74" s="555">
        <f t="shared" si="4"/>
        <v>0</v>
      </c>
    </row>
    <row r="75" spans="1:7" ht="15" customHeight="1">
      <c r="A75" s="899" t="s">
        <v>149</v>
      </c>
      <c r="B75" s="946"/>
      <c r="C75" s="946"/>
      <c r="D75" s="900"/>
      <c r="E75" s="530">
        <v>7419.6565599999994</v>
      </c>
      <c r="F75" s="530">
        <v>3018.0775600000002</v>
      </c>
      <c r="G75" s="555">
        <f t="shared" si="4"/>
        <v>0.74196565599999997</v>
      </c>
    </row>
    <row r="76" spans="1:7" ht="15" customHeight="1">
      <c r="A76" s="899" t="s">
        <v>1139</v>
      </c>
      <c r="B76" s="946"/>
      <c r="C76" s="946"/>
      <c r="D76" s="900"/>
      <c r="E76" s="530">
        <v>1725.9600000000003</v>
      </c>
      <c r="F76" s="530">
        <v>3558.8159999999998</v>
      </c>
      <c r="G76" s="555">
        <f t="shared" si="4"/>
        <v>0.17259600000000003</v>
      </c>
    </row>
    <row r="77" spans="1:7" ht="15" customHeight="1">
      <c r="A77" s="899" t="s">
        <v>1533</v>
      </c>
      <c r="B77" s="946"/>
      <c r="C77" s="946"/>
      <c r="D77" s="900"/>
      <c r="E77" s="530">
        <v>67715.609000000011</v>
      </c>
      <c r="F77" s="530">
        <v>0</v>
      </c>
      <c r="G77" s="555">
        <f t="shared" si="4"/>
        <v>6.7715609000000017</v>
      </c>
    </row>
    <row r="78" spans="1:7" ht="15" customHeight="1">
      <c r="A78" s="899" t="s">
        <v>273</v>
      </c>
      <c r="B78" s="946"/>
      <c r="C78" s="946"/>
      <c r="D78" s="900"/>
      <c r="E78" s="530">
        <v>4894.8419999999996</v>
      </c>
      <c r="F78" s="530">
        <v>60677.839379999998</v>
      </c>
      <c r="G78" s="555">
        <f t="shared" si="4"/>
        <v>0.48948419999999998</v>
      </c>
    </row>
    <row r="79" spans="1:7" ht="15" customHeight="1">
      <c r="A79" s="899"/>
      <c r="B79" s="946"/>
      <c r="C79" s="946"/>
      <c r="D79" s="900"/>
      <c r="E79" s="530"/>
      <c r="F79" s="530"/>
      <c r="G79" s="555">
        <f t="shared" si="4"/>
        <v>0</v>
      </c>
    </row>
    <row r="80" spans="1:7" ht="15" customHeight="1">
      <c r="A80" s="643" t="s">
        <v>93</v>
      </c>
      <c r="B80" s="644"/>
      <c r="C80" s="644"/>
      <c r="D80" s="645"/>
      <c r="E80" s="655">
        <v>81756.06756000001</v>
      </c>
      <c r="F80" s="655">
        <v>67254.732940000002</v>
      </c>
      <c r="G80" s="555">
        <f t="shared" si="4"/>
        <v>8.1756067560000023</v>
      </c>
    </row>
    <row r="81" spans="1:9" ht="12.75" customHeight="1">
      <c r="A81" s="685"/>
      <c r="B81" s="685"/>
      <c r="C81" s="685"/>
      <c r="D81" s="685"/>
      <c r="E81" s="686"/>
      <c r="F81" s="686"/>
      <c r="G81" s="555">
        <f t="shared" si="4"/>
        <v>0</v>
      </c>
    </row>
    <row r="82" spans="1:9" ht="15" customHeight="1">
      <c r="A82" s="1150" t="s">
        <v>1493</v>
      </c>
      <c r="B82" s="1150"/>
      <c r="C82" s="1150"/>
      <c r="D82" s="1150"/>
      <c r="E82" s="1150"/>
      <c r="F82" s="1150"/>
      <c r="G82" s="555">
        <f t="shared" si="4"/>
        <v>0</v>
      </c>
      <c r="H82" s="599"/>
    </row>
    <row r="83" spans="1:9" ht="15" customHeight="1">
      <c r="A83" s="1132" t="s">
        <v>16</v>
      </c>
      <c r="B83" s="1133"/>
      <c r="C83" s="1136" t="s">
        <v>1494</v>
      </c>
      <c r="D83" s="1137"/>
      <c r="E83" s="1137"/>
      <c r="F83" s="1138"/>
      <c r="G83" s="555">
        <f t="shared" si="4"/>
        <v>0</v>
      </c>
    </row>
    <row r="84" spans="1:9" ht="27" customHeight="1">
      <c r="A84" s="1134"/>
      <c r="B84" s="1135"/>
      <c r="C84" s="725" t="s">
        <v>1495</v>
      </c>
      <c r="D84" s="726" t="s">
        <v>1496</v>
      </c>
      <c r="E84" s="726" t="s">
        <v>1497</v>
      </c>
      <c r="F84" s="727" t="s">
        <v>1498</v>
      </c>
      <c r="G84" s="555" t="e">
        <f t="shared" si="4"/>
        <v>#VALUE!</v>
      </c>
    </row>
    <row r="85" spans="1:9" ht="15" customHeight="1">
      <c r="A85" s="1189" t="s">
        <v>1499</v>
      </c>
      <c r="B85" s="1190"/>
      <c r="C85" s="607">
        <v>0</v>
      </c>
      <c r="D85" s="592">
        <v>0</v>
      </c>
      <c r="E85" s="592">
        <v>0</v>
      </c>
      <c r="F85" s="592">
        <v>0</v>
      </c>
      <c r="G85" s="555">
        <f t="shared" si="4"/>
        <v>0</v>
      </c>
      <c r="H85" s="554"/>
      <c r="I85" s="557"/>
    </row>
    <row r="86" spans="1:9">
      <c r="A86" s="1126" t="s">
        <v>1500</v>
      </c>
      <c r="B86" s="1127"/>
      <c r="C86" s="608">
        <v>79153.319000000003</v>
      </c>
      <c r="D86" s="595">
        <v>337.76100000000002</v>
      </c>
      <c r="E86" s="595">
        <v>1044.249</v>
      </c>
      <c r="F86" s="947">
        <v>1220.73856</v>
      </c>
      <c r="G86" s="555">
        <f t="shared" si="4"/>
        <v>0.1044249</v>
      </c>
    </row>
    <row r="87" spans="1:9">
      <c r="A87" s="1126" t="s">
        <v>1501</v>
      </c>
      <c r="B87" s="1127"/>
      <c r="C87" s="609">
        <v>0</v>
      </c>
      <c r="D87" s="595">
        <v>0</v>
      </c>
      <c r="E87" s="595">
        <v>0</v>
      </c>
      <c r="F87" s="593">
        <v>0</v>
      </c>
      <c r="G87" s="555">
        <f t="shared" si="4"/>
        <v>0</v>
      </c>
    </row>
    <row r="88" spans="1:9">
      <c r="A88" s="1128" t="s">
        <v>1502</v>
      </c>
      <c r="B88" s="1129"/>
      <c r="C88" s="610">
        <v>0</v>
      </c>
      <c r="D88" s="597">
        <v>0</v>
      </c>
      <c r="E88" s="593"/>
      <c r="G88" s="555">
        <f t="shared" si="4"/>
        <v>0</v>
      </c>
    </row>
    <row r="89" spans="1:9">
      <c r="A89" s="963"/>
      <c r="B89" s="964"/>
      <c r="C89" s="964"/>
      <c r="D89" s="965"/>
      <c r="E89" s="596"/>
      <c r="F89" s="596"/>
      <c r="G89" s="555">
        <f t="shared" si="4"/>
        <v>0</v>
      </c>
      <c r="H89" s="600"/>
    </row>
    <row r="90" spans="1:9" ht="15" customHeight="1">
      <c r="A90" s="1150" t="s">
        <v>1503</v>
      </c>
      <c r="B90" s="1150"/>
      <c r="C90" s="1150"/>
      <c r="D90" s="1150"/>
      <c r="E90" s="1150"/>
      <c r="F90" s="1150"/>
      <c r="G90" s="555">
        <f t="shared" si="4"/>
        <v>0</v>
      </c>
      <c r="H90" s="599"/>
    </row>
    <row r="91" spans="1:9">
      <c r="A91" s="1132" t="s">
        <v>16</v>
      </c>
      <c r="B91" s="1133"/>
      <c r="C91" s="1136" t="s">
        <v>1494</v>
      </c>
      <c r="D91" s="1137"/>
      <c r="E91" s="1137"/>
      <c r="F91" s="1138"/>
      <c r="G91" s="555">
        <f t="shared" si="4"/>
        <v>0</v>
      </c>
    </row>
    <row r="92" spans="1:9">
      <c r="A92" s="1134"/>
      <c r="B92" s="1135"/>
      <c r="C92" s="28" t="s">
        <v>1495</v>
      </c>
      <c r="D92" s="726" t="s">
        <v>1496</v>
      </c>
      <c r="E92" s="726" t="s">
        <v>1497</v>
      </c>
      <c r="F92" s="727" t="s">
        <v>1498</v>
      </c>
      <c r="G92" s="555" t="e">
        <f t="shared" si="4"/>
        <v>#VALUE!</v>
      </c>
    </row>
    <row r="93" spans="1:9">
      <c r="A93" s="1189" t="s">
        <v>1499</v>
      </c>
      <c r="B93" s="1190"/>
      <c r="C93" s="592">
        <v>0</v>
      </c>
      <c r="D93" s="595">
        <v>0</v>
      </c>
      <c r="E93" s="593">
        <v>0</v>
      </c>
      <c r="F93" s="593">
        <v>0</v>
      </c>
      <c r="G93" s="555">
        <f t="shared" si="4"/>
        <v>0</v>
      </c>
    </row>
    <row r="94" spans="1:9">
      <c r="A94" s="1126" t="s">
        <v>1500</v>
      </c>
      <c r="B94" s="1127"/>
      <c r="C94" s="594">
        <v>53956.134439999994</v>
      </c>
      <c r="D94" s="595">
        <v>13298.5985</v>
      </c>
      <c r="E94" s="595">
        <v>0</v>
      </c>
      <c r="F94" s="593">
        <v>0</v>
      </c>
      <c r="G94" s="555">
        <f t="shared" si="4"/>
        <v>0</v>
      </c>
    </row>
    <row r="95" spans="1:9">
      <c r="A95" s="1126" t="s">
        <v>1501</v>
      </c>
      <c r="B95" s="1127"/>
      <c r="C95" s="595">
        <v>0</v>
      </c>
      <c r="D95" s="595">
        <v>0</v>
      </c>
      <c r="E95" s="595">
        <v>0</v>
      </c>
      <c r="F95" s="593">
        <v>0</v>
      </c>
      <c r="G95" s="555">
        <f t="shared" si="4"/>
        <v>0</v>
      </c>
    </row>
    <row r="96" spans="1:9">
      <c r="A96" s="1128" t="s">
        <v>1502</v>
      </c>
      <c r="B96" s="1129"/>
      <c r="C96" s="597">
        <v>0</v>
      </c>
      <c r="D96" s="597">
        <v>0</v>
      </c>
      <c r="E96" s="597">
        <v>0</v>
      </c>
      <c r="F96" s="598">
        <v>0</v>
      </c>
      <c r="G96" s="555">
        <f t="shared" si="4"/>
        <v>0</v>
      </c>
    </row>
    <row r="97" spans="1:8">
      <c r="A97" s="908"/>
      <c r="B97" s="908"/>
      <c r="C97" s="965"/>
      <c r="D97" s="965"/>
      <c r="E97" s="965"/>
      <c r="F97" s="596"/>
      <c r="G97" s="555">
        <f t="shared" si="4"/>
        <v>0</v>
      </c>
    </row>
    <row r="98" spans="1:8">
      <c r="A98" s="931" t="s">
        <v>299</v>
      </c>
      <c r="B98" s="930"/>
      <c r="C98" s="930"/>
      <c r="D98" s="930"/>
      <c r="E98" s="583"/>
      <c r="F98" s="583"/>
      <c r="G98" s="555">
        <f t="shared" si="4"/>
        <v>0</v>
      </c>
    </row>
    <row r="99" spans="1:8">
      <c r="A99" s="894" t="s">
        <v>150</v>
      </c>
      <c r="B99" s="159"/>
      <c r="C99" s="159"/>
      <c r="D99" s="159"/>
      <c r="E99" s="673"/>
      <c r="F99" s="673"/>
      <c r="G99" s="555">
        <f t="shared" si="4"/>
        <v>0</v>
      </c>
    </row>
    <row r="100" spans="1:8">
      <c r="A100" s="677" t="s">
        <v>16</v>
      </c>
      <c r="B100" s="678"/>
      <c r="C100" s="678"/>
      <c r="D100" s="679"/>
      <c r="E100" s="665" t="s">
        <v>1653</v>
      </c>
      <c r="F100" s="665" t="s">
        <v>1654</v>
      </c>
      <c r="G100" s="555" t="e">
        <f t="shared" si="4"/>
        <v>#VALUE!</v>
      </c>
    </row>
    <row r="101" spans="1:8">
      <c r="A101" s="680"/>
      <c r="B101" s="944"/>
      <c r="C101" s="944"/>
      <c r="D101" s="666"/>
      <c r="E101" s="689"/>
      <c r="F101" s="689"/>
      <c r="G101" s="555">
        <f t="shared" si="4"/>
        <v>0</v>
      </c>
    </row>
    <row r="102" spans="1:8">
      <c r="A102" s="155" t="s">
        <v>1556</v>
      </c>
      <c r="B102" s="944"/>
      <c r="C102" s="944"/>
      <c r="D102" s="666"/>
      <c r="E102" s="690">
        <v>1132.694</v>
      </c>
      <c r="F102" s="689"/>
      <c r="G102" s="555">
        <f t="shared" si="4"/>
        <v>0.11326940000000001</v>
      </c>
    </row>
    <row r="103" spans="1:8">
      <c r="A103" s="680"/>
      <c r="B103" s="944"/>
      <c r="C103" s="944"/>
      <c r="D103" s="666"/>
      <c r="E103" s="689"/>
      <c r="F103" s="689"/>
      <c r="G103" s="555">
        <f t="shared" si="4"/>
        <v>0</v>
      </c>
    </row>
    <row r="104" spans="1:8">
      <c r="A104" s="155" t="s">
        <v>1557</v>
      </c>
      <c r="B104" s="916"/>
      <c r="C104" s="916"/>
      <c r="D104" s="675"/>
      <c r="E104" s="689"/>
      <c r="F104" s="690"/>
      <c r="G104" s="555">
        <f t="shared" si="4"/>
        <v>0</v>
      </c>
    </row>
    <row r="105" spans="1:8">
      <c r="A105" s="641" t="s">
        <v>292</v>
      </c>
      <c r="B105" s="916"/>
      <c r="C105" s="916"/>
      <c r="D105" s="675"/>
      <c r="E105" s="690">
        <v>1852.473</v>
      </c>
      <c r="F105" s="690">
        <v>1379.4839999999999</v>
      </c>
      <c r="G105" s="555">
        <f t="shared" si="4"/>
        <v>0.1852473</v>
      </c>
    </row>
    <row r="106" spans="1:8">
      <c r="A106" s="641" t="s">
        <v>940</v>
      </c>
      <c r="B106" s="944"/>
      <c r="C106" s="944"/>
      <c r="D106" s="666"/>
      <c r="E106" s="690">
        <v>1575.66986</v>
      </c>
      <c r="F106" s="690">
        <v>1165.8252399999999</v>
      </c>
      <c r="G106" s="555">
        <f t="shared" si="4"/>
        <v>0.15756698599999999</v>
      </c>
    </row>
    <row r="107" spans="1:8">
      <c r="A107" s="641"/>
      <c r="B107" s="944"/>
      <c r="C107" s="944"/>
      <c r="D107" s="666"/>
      <c r="E107" s="689"/>
      <c r="F107" s="689"/>
      <c r="G107" s="555">
        <f t="shared" si="4"/>
        <v>0</v>
      </c>
    </row>
    <row r="108" spans="1:8">
      <c r="A108" s="155" t="s">
        <v>1558</v>
      </c>
      <c r="B108" s="916"/>
      <c r="C108" s="916"/>
      <c r="D108" s="675"/>
      <c r="E108" s="530"/>
      <c r="F108" s="530"/>
      <c r="G108" s="555">
        <f t="shared" si="4"/>
        <v>0</v>
      </c>
    </row>
    <row r="109" spans="1:8">
      <c r="A109" s="641" t="s">
        <v>1186</v>
      </c>
      <c r="B109" s="916"/>
      <c r="C109" s="916"/>
      <c r="D109" s="675"/>
      <c r="E109" s="530">
        <v>5482.7729999999992</v>
      </c>
      <c r="F109" s="530">
        <v>88.498000000000005</v>
      </c>
      <c r="G109" s="555">
        <f t="shared" si="4"/>
        <v>0.54827729999999986</v>
      </c>
    </row>
    <row r="110" spans="1:8">
      <c r="A110" s="641" t="s">
        <v>1133</v>
      </c>
      <c r="B110" s="916"/>
      <c r="C110" s="916"/>
      <c r="D110" s="675"/>
      <c r="E110" s="530">
        <v>0</v>
      </c>
      <c r="F110" s="530">
        <v>3.5230000000000001</v>
      </c>
      <c r="G110" s="555">
        <f t="shared" si="4"/>
        <v>0</v>
      </c>
      <c r="H110" s="550">
        <v>0</v>
      </c>
    </row>
    <row r="111" spans="1:8">
      <c r="A111" s="179" t="s">
        <v>1079</v>
      </c>
      <c r="B111" s="929"/>
      <c r="C111" s="929"/>
      <c r="D111" s="682"/>
      <c r="E111" s="530">
        <v>29.774000000000001</v>
      </c>
      <c r="F111" s="530">
        <v>34.594999999999999</v>
      </c>
      <c r="G111" s="555">
        <f t="shared" si="4"/>
        <v>2.9773999999999998E-3</v>
      </c>
    </row>
    <row r="112" spans="1:8">
      <c r="A112" s="179"/>
      <c r="B112" s="929"/>
      <c r="C112" s="929"/>
      <c r="D112" s="682"/>
      <c r="E112" s="530"/>
      <c r="F112" s="530"/>
      <c r="G112" s="555">
        <f t="shared" si="4"/>
        <v>0</v>
      </c>
    </row>
    <row r="113" spans="1:7">
      <c r="A113" s="155" t="s">
        <v>1559</v>
      </c>
      <c r="B113" s="929"/>
      <c r="C113" s="929"/>
      <c r="D113" s="682"/>
      <c r="E113" s="530">
        <v>324.83615000000003</v>
      </c>
      <c r="F113" s="530">
        <v>4511.1379999999999</v>
      </c>
      <c r="G113" s="555">
        <f t="shared" si="4"/>
        <v>3.2483615E-2</v>
      </c>
    </row>
    <row r="114" spans="1:7">
      <c r="A114" s="155"/>
      <c r="B114" s="929"/>
      <c r="C114" s="929"/>
      <c r="D114" s="682"/>
      <c r="E114" s="530"/>
      <c r="F114" s="530"/>
      <c r="G114" s="555">
        <f t="shared" si="4"/>
        <v>0</v>
      </c>
    </row>
    <row r="115" spans="1:7">
      <c r="A115" s="643" t="s">
        <v>93</v>
      </c>
      <c r="B115" s="644"/>
      <c r="C115" s="644"/>
      <c r="D115" s="645"/>
      <c r="E115" s="655">
        <v>10398.220009999997</v>
      </c>
      <c r="F115" s="655">
        <v>7183.0632399999995</v>
      </c>
      <c r="G115" s="555">
        <f t="shared" si="4"/>
        <v>1.0398220009999999</v>
      </c>
    </row>
    <row r="116" spans="1:7">
      <c r="A116" s="685"/>
      <c r="B116" s="685"/>
      <c r="C116" s="685"/>
      <c r="D116" s="685"/>
      <c r="E116" s="686"/>
      <c r="F116" s="686"/>
      <c r="G116" s="555">
        <f t="shared" si="4"/>
        <v>0</v>
      </c>
    </row>
    <row r="117" spans="1:7">
      <c r="A117" s="894" t="s">
        <v>640</v>
      </c>
      <c r="B117" s="159"/>
      <c r="C117" s="159"/>
      <c r="D117" s="159"/>
      <c r="E117" s="673"/>
      <c r="F117" s="673"/>
      <c r="G117" s="555">
        <f t="shared" si="4"/>
        <v>0</v>
      </c>
    </row>
    <row r="118" spans="1:7">
      <c r="A118" s="896" t="s">
        <v>641</v>
      </c>
      <c r="B118" s="678"/>
      <c r="C118" s="678"/>
      <c r="D118" s="679"/>
      <c r="E118" s="665" t="s">
        <v>1653</v>
      </c>
      <c r="F118" s="665" t="s">
        <v>1654</v>
      </c>
      <c r="G118" s="555" t="e">
        <f t="shared" si="4"/>
        <v>#VALUE!</v>
      </c>
    </row>
    <row r="119" spans="1:7">
      <c r="A119" s="672"/>
      <c r="D119" s="638"/>
      <c r="E119" s="668"/>
      <c r="F119" s="668"/>
      <c r="G119" s="555">
        <f t="shared" si="4"/>
        <v>0</v>
      </c>
    </row>
    <row r="120" spans="1:7">
      <c r="A120" s="175" t="s">
        <v>642</v>
      </c>
      <c r="D120" s="638"/>
      <c r="E120" s="667">
        <v>520.37400000000002</v>
      </c>
      <c r="F120" s="530">
        <v>4347.9040000000005</v>
      </c>
      <c r="G120" s="555">
        <f t="shared" ref="G120:G172" si="5">E120*1000/10^7</f>
        <v>5.2037399999999998E-2</v>
      </c>
    </row>
    <row r="121" spans="1:7">
      <c r="A121" s="175" t="s">
        <v>643</v>
      </c>
      <c r="B121" s="154"/>
      <c r="C121" s="154"/>
      <c r="D121" s="903"/>
      <c r="E121" s="667">
        <v>612.32000000000005</v>
      </c>
      <c r="F121" s="530">
        <v>132.32</v>
      </c>
      <c r="G121" s="555">
        <f t="shared" si="5"/>
        <v>6.1232000000000002E-2</v>
      </c>
    </row>
    <row r="122" spans="1:7">
      <c r="A122" s="175"/>
      <c r="B122" s="154"/>
      <c r="C122" s="154"/>
      <c r="D122" s="903"/>
      <c r="E122" s="691"/>
      <c r="F122" s="691"/>
      <c r="G122" s="555">
        <f t="shared" si="5"/>
        <v>0</v>
      </c>
    </row>
    <row r="123" spans="1:7">
      <c r="A123" s="643" t="s">
        <v>93</v>
      </c>
      <c r="B123" s="644"/>
      <c r="C123" s="644"/>
      <c r="D123" s="645"/>
      <c r="E123" s="185">
        <v>1132.694</v>
      </c>
      <c r="F123" s="185">
        <v>4480.2240000000002</v>
      </c>
      <c r="G123" s="555">
        <f t="shared" si="5"/>
        <v>0.11326940000000001</v>
      </c>
    </row>
    <row r="124" spans="1:7">
      <c r="A124" s="685"/>
      <c r="B124" s="685"/>
      <c r="C124" s="685"/>
      <c r="D124" s="685"/>
      <c r="E124" s="686"/>
      <c r="F124" s="686"/>
      <c r="G124" s="555">
        <f t="shared" si="5"/>
        <v>0</v>
      </c>
    </row>
    <row r="125" spans="1:7">
      <c r="A125" s="930"/>
      <c r="B125" s="930"/>
      <c r="C125" s="930"/>
      <c r="D125" s="930"/>
      <c r="E125" s="583"/>
      <c r="F125" s="583"/>
      <c r="G125" s="555">
        <f t="shared" si="5"/>
        <v>0</v>
      </c>
    </row>
    <row r="126" spans="1:7">
      <c r="A126" s="931" t="s">
        <v>1243</v>
      </c>
      <c r="B126" s="930"/>
      <c r="C126" s="930"/>
      <c r="D126" s="930"/>
      <c r="E126" s="583"/>
      <c r="F126" s="583"/>
      <c r="G126" s="555">
        <f t="shared" si="5"/>
        <v>0</v>
      </c>
    </row>
    <row r="127" spans="1:7">
      <c r="A127" s="894" t="s">
        <v>284</v>
      </c>
      <c r="B127" s="159"/>
      <c r="C127" s="159"/>
      <c r="D127" s="159"/>
      <c r="E127" s="673"/>
      <c r="F127" s="673"/>
      <c r="G127" s="555">
        <f t="shared" si="5"/>
        <v>0</v>
      </c>
    </row>
    <row r="128" spans="1:7">
      <c r="A128" s="896" t="s">
        <v>16</v>
      </c>
      <c r="B128" s="678"/>
      <c r="C128" s="678"/>
      <c r="D128" s="679"/>
      <c r="E128" s="665" t="s">
        <v>1653</v>
      </c>
      <c r="F128" s="665" t="s">
        <v>1654</v>
      </c>
      <c r="G128" s="555" t="e">
        <f t="shared" si="5"/>
        <v>#VALUE!</v>
      </c>
    </row>
    <row r="129" spans="1:7">
      <c r="A129" s="672"/>
      <c r="D129" s="638"/>
      <c r="E129" s="668"/>
      <c r="F129" s="668"/>
      <c r="G129" s="555">
        <f t="shared" si="5"/>
        <v>0</v>
      </c>
    </row>
    <row r="130" spans="1:7">
      <c r="A130" s="155" t="s">
        <v>1015</v>
      </c>
      <c r="D130" s="638"/>
      <c r="E130" s="668"/>
      <c r="F130" s="668"/>
      <c r="G130" s="555">
        <f t="shared" si="5"/>
        <v>0</v>
      </c>
    </row>
    <row r="131" spans="1:7">
      <c r="A131" s="641" t="s">
        <v>959</v>
      </c>
      <c r="D131" s="638"/>
      <c r="E131" s="667">
        <v>3220.77</v>
      </c>
      <c r="F131" s="667">
        <v>5259.87</v>
      </c>
      <c r="G131" s="555">
        <f t="shared" si="5"/>
        <v>0.322077</v>
      </c>
    </row>
    <row r="132" spans="1:7">
      <c r="A132" s="641" t="s">
        <v>1016</v>
      </c>
      <c r="D132" s="638"/>
      <c r="E132" s="692">
        <v>3223.84</v>
      </c>
      <c r="F132" s="692">
        <v>5259.87</v>
      </c>
      <c r="G132" s="555">
        <f t="shared" si="5"/>
        <v>0.322384</v>
      </c>
    </row>
    <row r="133" spans="1:7">
      <c r="A133" s="672"/>
      <c r="D133" s="638"/>
      <c r="E133" s="668">
        <v>-3.0700000000001637</v>
      </c>
      <c r="F133" s="668"/>
      <c r="G133" s="555">
        <f t="shared" si="5"/>
        <v>-3.0700000000001635E-4</v>
      </c>
    </row>
    <row r="134" spans="1:7">
      <c r="A134" s="175" t="s">
        <v>1017</v>
      </c>
      <c r="B134" s="154"/>
      <c r="C134" s="154"/>
      <c r="D134" s="903"/>
      <c r="E134" s="667">
        <v>5113.18</v>
      </c>
      <c r="F134" s="691">
        <v>3220.77</v>
      </c>
      <c r="G134" s="555">
        <f t="shared" si="5"/>
        <v>0.51131800000000005</v>
      </c>
    </row>
    <row r="135" spans="1:7">
      <c r="A135" s="175"/>
      <c r="B135" s="154"/>
      <c r="C135" s="154"/>
      <c r="D135" s="903"/>
      <c r="E135" s="667"/>
      <c r="F135" s="691"/>
      <c r="G135" s="555">
        <f t="shared" si="5"/>
        <v>0</v>
      </c>
    </row>
    <row r="136" spans="1:7">
      <c r="A136" s="643" t="s">
        <v>93</v>
      </c>
      <c r="B136" s="644"/>
      <c r="C136" s="644"/>
      <c r="D136" s="645"/>
      <c r="E136" s="693">
        <v>5110.1100000000006</v>
      </c>
      <c r="F136" s="185">
        <v>3220.77</v>
      </c>
      <c r="G136" s="555">
        <f t="shared" si="5"/>
        <v>0.5110110000000001</v>
      </c>
    </row>
    <row r="137" spans="1:7">
      <c r="A137" s="685"/>
      <c r="B137" s="685"/>
      <c r="C137" s="685"/>
      <c r="D137" s="685"/>
      <c r="E137" s="532"/>
      <c r="F137" s="532"/>
      <c r="G137" s="555">
        <f t="shared" si="5"/>
        <v>0</v>
      </c>
    </row>
    <row r="138" spans="1:7">
      <c r="A138" s="931" t="s">
        <v>4</v>
      </c>
      <c r="B138" s="913"/>
      <c r="C138" s="913"/>
      <c r="D138" s="913"/>
      <c r="E138" s="913"/>
      <c r="F138" s="913"/>
      <c r="G138" s="555">
        <f t="shared" si="5"/>
        <v>0</v>
      </c>
    </row>
    <row r="139" spans="1:7">
      <c r="A139" s="894" t="s">
        <v>1490</v>
      </c>
      <c r="B139" s="159"/>
      <c r="C139" s="159"/>
      <c r="D139" s="159"/>
      <c r="E139" s="673"/>
      <c r="F139" s="673"/>
      <c r="G139" s="555">
        <f t="shared" si="5"/>
        <v>0</v>
      </c>
    </row>
    <row r="140" spans="1:7">
      <c r="A140" s="677" t="s">
        <v>16</v>
      </c>
      <c r="B140" s="678"/>
      <c r="C140" s="678"/>
      <c r="D140" s="679"/>
      <c r="E140" s="665" t="s">
        <v>1653</v>
      </c>
      <c r="F140" s="665" t="s">
        <v>1654</v>
      </c>
      <c r="G140" s="555" t="e">
        <f t="shared" si="5"/>
        <v>#VALUE!</v>
      </c>
    </row>
    <row r="141" spans="1:7">
      <c r="A141" s="976"/>
      <c r="D141" s="638"/>
      <c r="E141" s="668"/>
      <c r="F141" s="668"/>
      <c r="G141" s="555">
        <f t="shared" si="5"/>
        <v>0</v>
      </c>
    </row>
    <row r="142" spans="1:7">
      <c r="A142" s="641" t="s">
        <v>1431</v>
      </c>
      <c r="D142" s="638"/>
      <c r="E142" s="667">
        <v>9000</v>
      </c>
      <c r="F142" s="668">
        <v>0</v>
      </c>
      <c r="G142" s="555">
        <f t="shared" si="5"/>
        <v>0.9</v>
      </c>
    </row>
    <row r="143" spans="1:7">
      <c r="A143" s="706" t="s">
        <v>1544</v>
      </c>
      <c r="B143" s="154"/>
      <c r="C143" s="154"/>
      <c r="D143" s="903"/>
      <c r="E143" s="530">
        <v>717.87900000000002</v>
      </c>
      <c r="F143" s="691">
        <v>939.06200000000001</v>
      </c>
      <c r="G143" s="555">
        <f t="shared" si="5"/>
        <v>7.1787900000000002E-2</v>
      </c>
    </row>
    <row r="144" spans="1:7">
      <c r="A144" s="706" t="s">
        <v>437</v>
      </c>
      <c r="B144" s="154"/>
      <c r="C144" s="154"/>
      <c r="D144" s="903"/>
      <c r="E144" s="691">
        <v>766</v>
      </c>
      <c r="F144" s="691">
        <v>1030.001</v>
      </c>
      <c r="G144" s="555">
        <f t="shared" si="5"/>
        <v>7.6600000000000001E-2</v>
      </c>
    </row>
    <row r="145" spans="1:7">
      <c r="A145" s="175"/>
      <c r="B145" s="154"/>
      <c r="C145" s="154"/>
      <c r="D145" s="903"/>
      <c r="E145" s="691"/>
      <c r="F145" s="691"/>
      <c r="G145" s="555">
        <f t="shared" si="5"/>
        <v>0</v>
      </c>
    </row>
    <row r="146" spans="1:7">
      <c r="A146" s="643" t="s">
        <v>93</v>
      </c>
      <c r="B146" s="644"/>
      <c r="C146" s="644"/>
      <c r="D146" s="645"/>
      <c r="E146" s="185">
        <v>10483.879000000001</v>
      </c>
      <c r="F146" s="185">
        <v>1969.0630000000001</v>
      </c>
      <c r="G146" s="555">
        <f t="shared" si="5"/>
        <v>1.0483879</v>
      </c>
    </row>
    <row r="147" spans="1:7">
      <c r="A147" s="958"/>
      <c r="B147" s="966"/>
      <c r="C147" s="966"/>
      <c r="D147" s="966"/>
      <c r="E147" s="966"/>
      <c r="F147" s="966"/>
      <c r="G147" s="555">
        <f t="shared" si="5"/>
        <v>0</v>
      </c>
    </row>
    <row r="148" spans="1:7">
      <c r="A148" s="931" t="s">
        <v>5</v>
      </c>
      <c r="B148" s="913"/>
      <c r="C148" s="913"/>
      <c r="D148" s="913"/>
      <c r="E148" s="913"/>
      <c r="F148" s="913"/>
      <c r="G148" s="555">
        <f t="shared" si="5"/>
        <v>0</v>
      </c>
    </row>
    <row r="149" spans="1:7">
      <c r="A149" s="894" t="s">
        <v>6</v>
      </c>
      <c r="B149" s="159"/>
      <c r="C149" s="159"/>
      <c r="D149" s="159"/>
      <c r="E149" s="673"/>
      <c r="F149" s="673"/>
      <c r="G149" s="555">
        <f t="shared" si="5"/>
        <v>0</v>
      </c>
    </row>
    <row r="150" spans="1:7">
      <c r="A150" s="677" t="s">
        <v>16</v>
      </c>
      <c r="B150" s="678"/>
      <c r="C150" s="678"/>
      <c r="D150" s="679"/>
      <c r="E150" s="665" t="s">
        <v>1653</v>
      </c>
      <c r="F150" s="665" t="s">
        <v>1654</v>
      </c>
      <c r="G150" s="555" t="e">
        <f t="shared" si="5"/>
        <v>#VALUE!</v>
      </c>
    </row>
    <row r="151" spans="1:7">
      <c r="A151" s="694" t="s">
        <v>1483</v>
      </c>
      <c r="D151" s="638"/>
      <c r="E151" s="668"/>
      <c r="F151" s="668"/>
      <c r="G151" s="555">
        <f t="shared" si="5"/>
        <v>0</v>
      </c>
    </row>
    <row r="152" spans="1:7">
      <c r="A152" s="676" t="s">
        <v>1019</v>
      </c>
      <c r="B152" s="154"/>
      <c r="C152" s="154"/>
      <c r="D152" s="903"/>
      <c r="E152" s="691">
        <v>58174.192999999999</v>
      </c>
      <c r="F152" s="691">
        <v>11788.946</v>
      </c>
      <c r="G152" s="555">
        <f t="shared" si="5"/>
        <v>5.8174193000000001</v>
      </c>
    </row>
    <row r="153" spans="1:7">
      <c r="A153" s="676" t="s">
        <v>1020</v>
      </c>
      <c r="B153" s="154"/>
      <c r="C153" s="154"/>
      <c r="D153" s="903"/>
      <c r="E153" s="691">
        <v>25014.137999999999</v>
      </c>
      <c r="F153" s="691">
        <v>9882.0529999999999</v>
      </c>
      <c r="G153" s="555">
        <f t="shared" si="5"/>
        <v>2.5014137999999999</v>
      </c>
    </row>
    <row r="154" spans="1:7">
      <c r="A154" s="676" t="s">
        <v>1018</v>
      </c>
      <c r="B154" s="154"/>
      <c r="C154" s="154"/>
      <c r="D154" s="903"/>
      <c r="E154" s="691">
        <v>11313.05</v>
      </c>
      <c r="F154" s="691">
        <v>35225.008000000002</v>
      </c>
      <c r="G154" s="555">
        <f t="shared" si="5"/>
        <v>1.131305</v>
      </c>
    </row>
    <row r="155" spans="1:7">
      <c r="A155" s="175"/>
      <c r="B155" s="154"/>
      <c r="C155" s="154"/>
      <c r="D155" s="903"/>
      <c r="E155" s="691"/>
      <c r="F155" s="691"/>
      <c r="G155" s="555">
        <f t="shared" si="5"/>
        <v>0</v>
      </c>
    </row>
    <row r="156" spans="1:7">
      <c r="A156" s="643" t="s">
        <v>93</v>
      </c>
      <c r="B156" s="644"/>
      <c r="C156" s="644"/>
      <c r="D156" s="645"/>
      <c r="E156" s="185">
        <v>94501.381000000008</v>
      </c>
      <c r="F156" s="185">
        <v>56896.006999999998</v>
      </c>
      <c r="G156" s="555">
        <f t="shared" si="5"/>
        <v>9.450138100000002</v>
      </c>
    </row>
    <row r="157" spans="1:7">
      <c r="A157" s="685"/>
      <c r="B157" s="685"/>
      <c r="C157" s="685"/>
      <c r="D157" s="685"/>
      <c r="E157" s="532"/>
      <c r="F157" s="532"/>
      <c r="G157" s="555">
        <f t="shared" si="5"/>
        <v>0</v>
      </c>
    </row>
    <row r="158" spans="1:7">
      <c r="A158" s="931" t="s">
        <v>7</v>
      </c>
      <c r="G158" s="555">
        <f t="shared" si="5"/>
        <v>0</v>
      </c>
    </row>
    <row r="159" spans="1:7">
      <c r="A159" s="894" t="s">
        <v>8</v>
      </c>
      <c r="B159" s="159"/>
      <c r="C159" s="159"/>
      <c r="D159" s="159"/>
      <c r="E159" s="673"/>
      <c r="F159" s="673"/>
      <c r="G159" s="555">
        <f t="shared" si="5"/>
        <v>0</v>
      </c>
    </row>
    <row r="160" spans="1:7">
      <c r="A160" s="677" t="s">
        <v>16</v>
      </c>
      <c r="B160" s="678"/>
      <c r="C160" s="678"/>
      <c r="D160" s="679"/>
      <c r="E160" s="665" t="s">
        <v>1653</v>
      </c>
      <c r="F160" s="665" t="s">
        <v>1654</v>
      </c>
      <c r="G160" s="555"/>
    </row>
    <row r="161" spans="1:8">
      <c r="A161" s="976"/>
      <c r="D161" s="638"/>
      <c r="E161" s="668"/>
      <c r="F161" s="668"/>
      <c r="G161" s="555">
        <f t="shared" si="5"/>
        <v>0</v>
      </c>
    </row>
    <row r="162" spans="1:8">
      <c r="A162" s="175" t="s">
        <v>930</v>
      </c>
      <c r="D162" s="638"/>
      <c r="E162" s="691">
        <v>94696.741389999966</v>
      </c>
      <c r="F162" s="691">
        <v>69214.86262</v>
      </c>
      <c r="G162" s="555">
        <f t="shared" si="5"/>
        <v>9.4696741389999968</v>
      </c>
      <c r="H162" s="555">
        <f>G162-G163</f>
        <v>0.35837413899999682</v>
      </c>
    </row>
    <row r="163" spans="1:8">
      <c r="A163" s="175"/>
      <c r="D163" s="638"/>
      <c r="E163" s="691">
        <v>91113</v>
      </c>
      <c r="F163" s="691"/>
      <c r="G163" s="555">
        <f t="shared" si="5"/>
        <v>9.1113</v>
      </c>
    </row>
    <row r="164" spans="1:8">
      <c r="A164" s="643" t="s">
        <v>93</v>
      </c>
      <c r="B164" s="695" t="s">
        <v>151</v>
      </c>
      <c r="C164" s="695"/>
      <c r="D164" s="696"/>
      <c r="E164" s="185">
        <v>94696.741389999966</v>
      </c>
      <c r="F164" s="185">
        <v>69214.86262</v>
      </c>
      <c r="G164" s="555">
        <f t="shared" si="5"/>
        <v>9.4696741389999968</v>
      </c>
    </row>
    <row r="165" spans="1:8">
      <c r="A165" s="685"/>
      <c r="B165" s="151"/>
      <c r="C165" s="151"/>
      <c r="D165" s="151"/>
      <c r="E165" s="533"/>
      <c r="F165" s="533"/>
      <c r="G165" s="555">
        <f t="shared" si="5"/>
        <v>0</v>
      </c>
    </row>
    <row r="166" spans="1:8" ht="15" customHeight="1">
      <c r="A166" s="1151" t="s">
        <v>1504</v>
      </c>
      <c r="B166" s="1151"/>
      <c r="C166" s="1151"/>
      <c r="D166" s="1151"/>
      <c r="E166" s="1151"/>
      <c r="F166" s="1151"/>
      <c r="G166" s="555">
        <f t="shared" si="5"/>
        <v>0</v>
      </c>
      <c r="H166" s="612"/>
    </row>
    <row r="167" spans="1:8">
      <c r="A167" s="1187" t="s">
        <v>16</v>
      </c>
      <c r="B167" s="1139" t="s">
        <v>1494</v>
      </c>
      <c r="C167" s="1140"/>
      <c r="D167" s="1140"/>
      <c r="E167" s="1140"/>
      <c r="F167" s="1141"/>
      <c r="G167" s="555">
        <f t="shared" si="5"/>
        <v>0</v>
      </c>
      <c r="H167" s="613"/>
    </row>
    <row r="168" spans="1:8" ht="25.5">
      <c r="A168" s="1188"/>
      <c r="B168" s="611" t="s">
        <v>1505</v>
      </c>
      <c r="C168" s="28" t="s">
        <v>1506</v>
      </c>
      <c r="D168" s="726" t="s">
        <v>1496</v>
      </c>
      <c r="E168" s="726" t="s">
        <v>1497</v>
      </c>
      <c r="F168" s="727" t="s">
        <v>1498</v>
      </c>
      <c r="G168" s="555"/>
      <c r="H168" s="555"/>
    </row>
    <row r="169" spans="1:8">
      <c r="A169" s="43" t="s">
        <v>1507</v>
      </c>
      <c r="B169" s="979">
        <v>91113</v>
      </c>
      <c r="C169" s="601">
        <v>3367.6401500000061</v>
      </c>
      <c r="D169" s="601">
        <v>216.57162</v>
      </c>
      <c r="E169" s="603">
        <v>0</v>
      </c>
      <c r="F169" s="604">
        <v>0</v>
      </c>
      <c r="G169" s="555">
        <f t="shared" si="5"/>
        <v>0</v>
      </c>
      <c r="H169" s="557"/>
    </row>
    <row r="170" spans="1:8">
      <c r="A170" s="56" t="s">
        <v>1508</v>
      </c>
      <c r="B170" s="728">
        <v>0</v>
      </c>
      <c r="C170" s="602">
        <v>0</v>
      </c>
      <c r="D170" s="603">
        <v>0</v>
      </c>
      <c r="E170" s="603">
        <v>0</v>
      </c>
      <c r="F170" s="604">
        <v>0</v>
      </c>
      <c r="G170" s="555">
        <f t="shared" si="5"/>
        <v>0</v>
      </c>
    </row>
    <row r="171" spans="1:8">
      <c r="A171" s="56" t="s">
        <v>1509</v>
      </c>
      <c r="B171" s="728">
        <v>0</v>
      </c>
      <c r="C171" s="603">
        <v>0</v>
      </c>
      <c r="D171" s="603">
        <v>0</v>
      </c>
      <c r="E171" s="603">
        <v>0</v>
      </c>
      <c r="F171" s="604">
        <v>0</v>
      </c>
      <c r="G171" s="555">
        <f t="shared" si="5"/>
        <v>0</v>
      </c>
    </row>
    <row r="172" spans="1:8">
      <c r="A172" s="48" t="s">
        <v>1510</v>
      </c>
      <c r="B172" s="729">
        <v>0</v>
      </c>
      <c r="C172" s="605">
        <v>0</v>
      </c>
      <c r="D172" s="605">
        <v>0</v>
      </c>
      <c r="E172" s="605">
        <v>0</v>
      </c>
      <c r="F172" s="606">
        <v>0</v>
      </c>
      <c r="G172" s="555">
        <f t="shared" si="5"/>
        <v>0</v>
      </c>
    </row>
    <row r="173" spans="1:8">
      <c r="A173" s="967"/>
      <c r="B173" s="968"/>
      <c r="C173" s="968"/>
      <c r="D173" s="967"/>
      <c r="E173" s="969"/>
      <c r="F173" s="969"/>
      <c r="G173" s="756"/>
      <c r="H173" s="614"/>
    </row>
    <row r="174" spans="1:8" ht="15" customHeight="1">
      <c r="A174" s="1151" t="s">
        <v>1511</v>
      </c>
      <c r="B174" s="1151"/>
      <c r="C174" s="1151"/>
      <c r="D174" s="1151"/>
      <c r="E174" s="1151"/>
      <c r="F174" s="1151"/>
      <c r="G174" s="1125"/>
      <c r="H174" s="1125"/>
    </row>
    <row r="175" spans="1:8">
      <c r="A175" s="1187" t="s">
        <v>16</v>
      </c>
      <c r="B175" s="1139" t="s">
        <v>1494</v>
      </c>
      <c r="C175" s="1140"/>
      <c r="D175" s="1140"/>
      <c r="E175" s="1140"/>
      <c r="F175" s="1141"/>
      <c r="G175" s="555">
        <f t="shared" ref="G175:G218" si="6">E175*1000/10^7</f>
        <v>0</v>
      </c>
      <c r="H175" s="613"/>
    </row>
    <row r="176" spans="1:8" ht="25.5">
      <c r="A176" s="1188"/>
      <c r="B176" s="611" t="s">
        <v>1505</v>
      </c>
      <c r="C176" s="28" t="s">
        <v>1506</v>
      </c>
      <c r="D176" s="726" t="s">
        <v>1496</v>
      </c>
      <c r="E176" s="726" t="s">
        <v>1497</v>
      </c>
      <c r="F176" s="727" t="s">
        <v>1498</v>
      </c>
      <c r="G176" s="555"/>
    </row>
    <row r="177" spans="1:7">
      <c r="A177" s="730" t="s">
        <v>1507</v>
      </c>
      <c r="B177" s="601">
        <v>64751.193620000005</v>
      </c>
      <c r="C177" s="601">
        <v>4463.6689999999999</v>
      </c>
      <c r="D177" s="603">
        <v>0</v>
      </c>
      <c r="E177" s="603">
        <v>0</v>
      </c>
      <c r="F177" s="603">
        <v>0</v>
      </c>
      <c r="G177" s="555">
        <f t="shared" si="6"/>
        <v>0</v>
      </c>
    </row>
    <row r="178" spans="1:7">
      <c r="A178" s="897" t="s">
        <v>1508</v>
      </c>
      <c r="B178" s="602">
        <v>0</v>
      </c>
      <c r="C178" s="602">
        <v>0</v>
      </c>
      <c r="D178" s="603">
        <v>0</v>
      </c>
      <c r="E178" s="603">
        <v>0</v>
      </c>
      <c r="F178" s="604">
        <v>0</v>
      </c>
      <c r="G178" s="555">
        <f t="shared" si="6"/>
        <v>0</v>
      </c>
    </row>
    <row r="179" spans="1:7">
      <c r="A179" s="897" t="s">
        <v>1509</v>
      </c>
      <c r="B179" s="603">
        <v>0</v>
      </c>
      <c r="C179" s="603">
        <v>0</v>
      </c>
      <c r="D179" s="603">
        <v>0</v>
      </c>
      <c r="E179" s="603">
        <v>0</v>
      </c>
      <c r="F179" s="604">
        <v>0</v>
      </c>
      <c r="G179" s="555">
        <f t="shared" si="6"/>
        <v>0</v>
      </c>
    </row>
    <row r="180" spans="1:7">
      <c r="A180" s="898" t="s">
        <v>1510</v>
      </c>
      <c r="B180" s="605">
        <v>0</v>
      </c>
      <c r="C180" s="605">
        <v>0</v>
      </c>
      <c r="D180" s="605">
        <v>0</v>
      </c>
      <c r="E180" s="605">
        <v>0</v>
      </c>
      <c r="F180" s="606">
        <v>0</v>
      </c>
      <c r="G180" s="555">
        <f t="shared" si="6"/>
        <v>0</v>
      </c>
    </row>
    <row r="181" spans="1:7">
      <c r="A181" s="685"/>
      <c r="B181" s="151"/>
      <c r="C181" s="151"/>
      <c r="D181" s="151"/>
      <c r="E181" s="533"/>
      <c r="F181" s="533"/>
      <c r="G181" s="555">
        <f t="shared" si="6"/>
        <v>0</v>
      </c>
    </row>
    <row r="182" spans="1:7">
      <c r="A182" s="930"/>
      <c r="E182" s="701"/>
      <c r="F182" s="701"/>
      <c r="G182" s="555">
        <f t="shared" si="6"/>
        <v>0</v>
      </c>
    </row>
    <row r="183" spans="1:7">
      <c r="A183" s="931" t="s">
        <v>9</v>
      </c>
      <c r="G183" s="555">
        <f t="shared" si="6"/>
        <v>0</v>
      </c>
    </row>
    <row r="184" spans="1:7">
      <c r="A184" s="894" t="s">
        <v>50</v>
      </c>
      <c r="B184" s="159"/>
      <c r="C184" s="159"/>
      <c r="D184" s="159"/>
      <c r="E184" s="673"/>
      <c r="F184" s="673"/>
      <c r="G184" s="555">
        <f t="shared" si="6"/>
        <v>0</v>
      </c>
    </row>
    <row r="185" spans="1:7">
      <c r="A185" s="677" t="s">
        <v>16</v>
      </c>
      <c r="B185" s="678"/>
      <c r="C185" s="678"/>
      <c r="D185" s="679"/>
      <c r="E185" s="665" t="s">
        <v>1653</v>
      </c>
      <c r="F185" s="665" t="s">
        <v>1654</v>
      </c>
      <c r="G185" s="555"/>
    </row>
    <row r="186" spans="1:7">
      <c r="A186" s="976"/>
      <c r="D186" s="638"/>
      <c r="E186" s="668"/>
      <c r="F186" s="668"/>
      <c r="G186" s="555">
        <f t="shared" si="6"/>
        <v>0</v>
      </c>
    </row>
    <row r="187" spans="1:7">
      <c r="A187" s="845" t="s">
        <v>142</v>
      </c>
      <c r="D187" s="638"/>
      <c r="E187" s="531"/>
      <c r="F187" s="531"/>
      <c r="G187" s="555">
        <f t="shared" si="6"/>
        <v>0</v>
      </c>
    </row>
    <row r="188" spans="1:7">
      <c r="A188" s="845" t="s">
        <v>1136</v>
      </c>
      <c r="D188" s="638"/>
      <c r="E188" s="531"/>
      <c r="F188" s="531"/>
      <c r="G188" s="555">
        <f t="shared" si="6"/>
        <v>0</v>
      </c>
    </row>
    <row r="189" spans="1:7">
      <c r="A189" s="698" t="s">
        <v>645</v>
      </c>
      <c r="D189" s="638"/>
      <c r="E189" s="531">
        <v>480.76165999999995</v>
      </c>
      <c r="F189" s="531">
        <v>108.36009</v>
      </c>
      <c r="G189" s="555">
        <f t="shared" si="6"/>
        <v>4.8076165999999997E-2</v>
      </c>
    </row>
    <row r="190" spans="1:7">
      <c r="A190" s="899" t="s">
        <v>926</v>
      </c>
      <c r="D190" s="638"/>
      <c r="E190" s="639">
        <v>28.657689999999999</v>
      </c>
      <c r="F190" s="531">
        <v>12.266069999999999</v>
      </c>
      <c r="G190" s="555">
        <f t="shared" si="6"/>
        <v>2.8657689999999998E-3</v>
      </c>
    </row>
    <row r="191" spans="1:7">
      <c r="A191" s="844" t="s">
        <v>1137</v>
      </c>
      <c r="D191" s="638"/>
      <c r="E191" s="639"/>
      <c r="F191" s="531"/>
      <c r="G191" s="555">
        <f t="shared" si="6"/>
        <v>0</v>
      </c>
    </row>
    <row r="192" spans="1:7">
      <c r="A192" s="698" t="s">
        <v>645</v>
      </c>
      <c r="D192" s="638"/>
      <c r="E192" s="639">
        <v>8144.9650000000001</v>
      </c>
      <c r="F192" s="531">
        <v>2065.5169999999998</v>
      </c>
      <c r="G192" s="555">
        <f t="shared" si="6"/>
        <v>0.81449649999999996</v>
      </c>
    </row>
    <row r="193" spans="1:7">
      <c r="A193" s="170" t="s">
        <v>1518</v>
      </c>
      <c r="D193" s="638"/>
      <c r="E193" s="531">
        <v>19.251999999999999</v>
      </c>
      <c r="F193" s="531">
        <v>18.157</v>
      </c>
      <c r="G193" s="555">
        <f t="shared" si="6"/>
        <v>1.9252E-3</v>
      </c>
    </row>
    <row r="194" spans="1:7">
      <c r="A194" s="175"/>
      <c r="D194" s="638"/>
      <c r="E194" s="702"/>
      <c r="F194" s="530"/>
      <c r="G194" s="555">
        <f t="shared" si="6"/>
        <v>0</v>
      </c>
    </row>
    <row r="195" spans="1:7">
      <c r="A195" s="643" t="s">
        <v>93</v>
      </c>
      <c r="B195" s="678"/>
      <c r="C195" s="678"/>
      <c r="D195" s="679"/>
      <c r="E195" s="185">
        <v>8673.6363500000007</v>
      </c>
      <c r="F195" s="185">
        <v>2204.3001599999998</v>
      </c>
      <c r="G195" s="555">
        <f t="shared" si="6"/>
        <v>0.86736363500000013</v>
      </c>
    </row>
    <row r="196" spans="1:7">
      <c r="A196" s="685"/>
      <c r="B196" s="151"/>
      <c r="C196" s="151"/>
      <c r="D196" s="151"/>
      <c r="E196" s="532"/>
      <c r="F196" s="532"/>
      <c r="G196" s="555">
        <f t="shared" si="6"/>
        <v>0</v>
      </c>
    </row>
    <row r="197" spans="1:7">
      <c r="A197" s="931" t="s">
        <v>10</v>
      </c>
      <c r="B197" s="154"/>
      <c r="C197" s="154"/>
      <c r="D197" s="154"/>
      <c r="E197" s="701"/>
      <c r="F197" s="701"/>
      <c r="G197" s="555">
        <f t="shared" si="6"/>
        <v>0</v>
      </c>
    </row>
    <row r="198" spans="1:7">
      <c r="A198" s="894" t="s">
        <v>1530</v>
      </c>
      <c r="B198" s="159"/>
      <c r="C198" s="159"/>
      <c r="D198" s="159"/>
      <c r="E198" s="673"/>
      <c r="F198" s="673"/>
      <c r="G198" s="555">
        <f t="shared" si="6"/>
        <v>0</v>
      </c>
    </row>
    <row r="199" spans="1:7">
      <c r="A199" s="677" t="s">
        <v>16</v>
      </c>
      <c r="B199" s="678"/>
      <c r="C199" s="678"/>
      <c r="D199" s="679"/>
      <c r="E199" s="665" t="s">
        <v>1653</v>
      </c>
      <c r="F199" s="665" t="s">
        <v>1654</v>
      </c>
      <c r="G199" s="555"/>
    </row>
    <row r="200" spans="1:7">
      <c r="A200" s="649"/>
      <c r="B200" s="154"/>
      <c r="C200" s="154"/>
      <c r="D200" s="903"/>
      <c r="E200" s="691"/>
      <c r="F200" s="703"/>
      <c r="G200" s="555">
        <f t="shared" si="6"/>
        <v>0</v>
      </c>
    </row>
    <row r="201" spans="1:7">
      <c r="A201" s="704" t="s">
        <v>928</v>
      </c>
      <c r="B201" s="948"/>
      <c r="C201" s="948"/>
      <c r="D201" s="705"/>
      <c r="F201" s="177"/>
      <c r="G201" s="555">
        <f t="shared" si="6"/>
        <v>0</v>
      </c>
    </row>
    <row r="202" spans="1:7">
      <c r="A202" s="706" t="s">
        <v>202</v>
      </c>
      <c r="B202" s="948"/>
      <c r="C202" s="948"/>
      <c r="D202" s="705"/>
      <c r="E202" s="691">
        <v>354.58</v>
      </c>
      <c r="F202" s="691">
        <v>0</v>
      </c>
      <c r="G202" s="555">
        <f t="shared" si="6"/>
        <v>3.5458000000000003E-2</v>
      </c>
    </row>
    <row r="203" spans="1:7">
      <c r="A203" s="706"/>
      <c r="B203" s="948"/>
      <c r="C203" s="948"/>
      <c r="D203" s="705"/>
      <c r="E203" s="691"/>
      <c r="F203" s="691"/>
      <c r="G203" s="555">
        <f t="shared" si="6"/>
        <v>0</v>
      </c>
    </row>
    <row r="204" spans="1:7">
      <c r="A204" s="704" t="s">
        <v>925</v>
      </c>
      <c r="B204" s="154"/>
      <c r="C204" s="154"/>
      <c r="D204" s="903"/>
      <c r="E204" s="691"/>
      <c r="F204" s="691"/>
      <c r="G204" s="555">
        <f t="shared" si="6"/>
        <v>0</v>
      </c>
    </row>
    <row r="205" spans="1:7">
      <c r="A205" s="704" t="s">
        <v>159</v>
      </c>
      <c r="B205" s="154"/>
      <c r="C205" s="154"/>
      <c r="D205" s="903"/>
      <c r="E205" s="691"/>
      <c r="F205" s="691"/>
      <c r="G205" s="555">
        <f t="shared" si="6"/>
        <v>0</v>
      </c>
    </row>
    <row r="206" spans="1:7">
      <c r="A206" s="706" t="s">
        <v>644</v>
      </c>
      <c r="B206" s="154"/>
      <c r="C206" s="154"/>
      <c r="D206" s="903"/>
      <c r="E206" s="691">
        <v>8991.4850000000006</v>
      </c>
      <c r="F206" s="691">
        <v>22558.654999999999</v>
      </c>
      <c r="G206" s="555">
        <f t="shared" si="6"/>
        <v>0.89914850000000002</v>
      </c>
    </row>
    <row r="207" spans="1:7">
      <c r="A207" s="704" t="s">
        <v>991</v>
      </c>
      <c r="B207" s="154"/>
      <c r="C207" s="154"/>
      <c r="D207" s="903"/>
      <c r="E207" s="691"/>
      <c r="F207" s="691"/>
      <c r="G207" s="555">
        <f t="shared" si="6"/>
        <v>0</v>
      </c>
    </row>
    <row r="208" spans="1:7">
      <c r="A208" s="706" t="s">
        <v>158</v>
      </c>
      <c r="B208" s="154"/>
      <c r="C208" s="154"/>
      <c r="D208" s="903"/>
      <c r="E208" s="691">
        <v>3000</v>
      </c>
      <c r="F208" s="691">
        <v>0</v>
      </c>
      <c r="G208" s="555">
        <f t="shared" si="6"/>
        <v>0.3</v>
      </c>
    </row>
    <row r="209" spans="1:7">
      <c r="A209" s="706" t="s">
        <v>1538</v>
      </c>
      <c r="B209" s="154"/>
      <c r="C209" s="154"/>
      <c r="D209" s="903"/>
      <c r="E209" s="691">
        <v>1.6379999999999999</v>
      </c>
      <c r="F209" s="691">
        <v>0</v>
      </c>
      <c r="G209" s="555">
        <f t="shared" si="6"/>
        <v>1.638E-4</v>
      </c>
    </row>
    <row r="210" spans="1:7">
      <c r="A210" s="706" t="s">
        <v>981</v>
      </c>
      <c r="B210" s="154"/>
      <c r="C210" s="154"/>
      <c r="D210" s="903"/>
      <c r="E210" s="735">
        <v>0</v>
      </c>
      <c r="F210" s="691">
        <v>1443.8770099999999</v>
      </c>
      <c r="G210" s="555">
        <f t="shared" si="6"/>
        <v>0</v>
      </c>
    </row>
    <row r="211" spans="1:7">
      <c r="A211" s="706" t="s">
        <v>431</v>
      </c>
      <c r="B211" s="154"/>
      <c r="C211" s="154"/>
      <c r="D211" s="903"/>
      <c r="E211" s="691">
        <v>635.75418999999999</v>
      </c>
      <c r="F211" s="691">
        <v>124.59987</v>
      </c>
      <c r="G211" s="555">
        <f t="shared" si="6"/>
        <v>6.3575418999999994E-2</v>
      </c>
    </row>
    <row r="212" spans="1:7">
      <c r="A212" s="706" t="s">
        <v>993</v>
      </c>
      <c r="B212" s="154"/>
      <c r="C212" s="154"/>
      <c r="D212" s="903"/>
      <c r="E212" s="691">
        <v>12956.533170000001</v>
      </c>
      <c r="F212" s="691">
        <v>11493.723179999999</v>
      </c>
      <c r="G212" s="555">
        <f t="shared" si="6"/>
        <v>1.295653317</v>
      </c>
    </row>
    <row r="213" spans="1:7">
      <c r="A213" s="704" t="s">
        <v>933</v>
      </c>
      <c r="B213" s="154"/>
      <c r="C213" s="154"/>
      <c r="D213" s="903"/>
      <c r="E213" s="691"/>
      <c r="F213" s="691"/>
      <c r="G213" s="555">
        <f t="shared" si="6"/>
        <v>0</v>
      </c>
    </row>
    <row r="214" spans="1:7">
      <c r="A214" s="706" t="s">
        <v>976</v>
      </c>
      <c r="B214" s="154"/>
      <c r="C214" s="154"/>
      <c r="D214" s="903"/>
      <c r="E214" s="691">
        <v>600</v>
      </c>
      <c r="F214" s="691">
        <v>1983.48</v>
      </c>
      <c r="G214" s="555">
        <f t="shared" si="6"/>
        <v>0.06</v>
      </c>
    </row>
    <row r="215" spans="1:7">
      <c r="A215" s="706" t="s">
        <v>935</v>
      </c>
      <c r="B215" s="154"/>
      <c r="C215" s="154"/>
      <c r="D215" s="903"/>
      <c r="E215" s="691">
        <v>1421.0420000000001</v>
      </c>
      <c r="F215" s="177">
        <v>127.121</v>
      </c>
      <c r="G215" s="555">
        <f t="shared" si="6"/>
        <v>0.14210420000000001</v>
      </c>
    </row>
    <row r="216" spans="1:7">
      <c r="A216" s="706"/>
      <c r="B216" s="154"/>
      <c r="C216" s="154"/>
      <c r="D216" s="903"/>
      <c r="E216" s="691"/>
      <c r="F216" s="707"/>
      <c r="G216" s="555">
        <f t="shared" si="6"/>
        <v>0</v>
      </c>
    </row>
    <row r="217" spans="1:7">
      <c r="A217" s="643" t="s">
        <v>93</v>
      </c>
      <c r="B217" s="708"/>
      <c r="C217" s="708"/>
      <c r="D217" s="709"/>
      <c r="E217" s="185">
        <v>27606.452360000003</v>
      </c>
      <c r="F217" s="185">
        <v>37731.456059999997</v>
      </c>
      <c r="G217" s="555">
        <f t="shared" si="6"/>
        <v>2.7606452360000002</v>
      </c>
    </row>
    <row r="218" spans="1:7">
      <c r="A218" s="174"/>
      <c r="D218" s="151"/>
      <c r="E218" s="710"/>
      <c r="F218" s="710"/>
      <c r="G218" s="555">
        <f t="shared" si="6"/>
        <v>0</v>
      </c>
    </row>
    <row r="250" ht="12.75" customHeight="1"/>
    <row r="260" ht="12.75" customHeight="1"/>
    <row r="261" ht="12.75" customHeight="1"/>
    <row r="262" ht="12.75" customHeight="1"/>
    <row r="263" ht="12.75" customHeight="1"/>
    <row r="265" ht="12.75" customHeight="1"/>
    <row r="266" ht="12.75" customHeight="1"/>
    <row r="267" ht="12.75" customHeight="1"/>
    <row r="268" ht="12.75" customHeight="1"/>
    <row r="269" ht="12.75" customHeight="1"/>
    <row r="270" ht="12.75" customHeight="1"/>
  </sheetData>
  <mergeCells count="27">
    <mergeCell ref="A2:F2"/>
    <mergeCell ref="A21:D21"/>
    <mergeCell ref="A22:D22"/>
    <mergeCell ref="A57:D57"/>
    <mergeCell ref="A62:D62"/>
    <mergeCell ref="A93:B93"/>
    <mergeCell ref="A63:D63"/>
    <mergeCell ref="A82:F82"/>
    <mergeCell ref="A83:B84"/>
    <mergeCell ref="C83:F83"/>
    <mergeCell ref="A85:B85"/>
    <mergeCell ref="A86:B86"/>
    <mergeCell ref="A87:B87"/>
    <mergeCell ref="A88:B88"/>
    <mergeCell ref="A90:F90"/>
    <mergeCell ref="A91:B92"/>
    <mergeCell ref="C91:F91"/>
    <mergeCell ref="A174:F174"/>
    <mergeCell ref="G174:H174"/>
    <mergeCell ref="A175:A176"/>
    <mergeCell ref="B175:F175"/>
    <mergeCell ref="A94:B94"/>
    <mergeCell ref="A95:B95"/>
    <mergeCell ref="A96:B96"/>
    <mergeCell ref="A166:F166"/>
    <mergeCell ref="A167:A168"/>
    <mergeCell ref="B167:F1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TB-22</vt:lpstr>
      <vt:lpstr>Link Sheet</vt:lpstr>
      <vt:lpstr>STI </vt:lpstr>
      <vt:lpstr>115JB </vt:lpstr>
      <vt:lpstr>Dep IT</vt:lpstr>
      <vt:lpstr>Key Ratios</vt:lpstr>
      <vt:lpstr>FA Additions</vt:lpstr>
      <vt:lpstr>BS</vt:lpstr>
      <vt:lpstr>PL</vt:lpstr>
      <vt:lpstr>BS Notes</vt:lpstr>
      <vt:lpstr>PL Notes</vt:lpstr>
      <vt:lpstr>CFS</vt:lpstr>
      <vt:lpstr>Dep - co</vt:lpstr>
      <vt:lpstr>Def Tax</vt:lpstr>
      <vt:lpstr>FA  Register</vt:lpstr>
      <vt:lpstr>Debtors Ageing</vt:lpstr>
      <vt:lpstr>Sheet1</vt:lpstr>
      <vt:lpstr>Sheet2</vt:lpstr>
      <vt:lpstr>'115JB '!Print_Area</vt:lpstr>
      <vt:lpstr>BS!Print_Area</vt:lpstr>
      <vt:lpstr>'BS Notes'!Print_Area</vt:lpstr>
      <vt:lpstr>CFS!Print_Area</vt:lpstr>
      <vt:lpstr>'Def Tax'!Print_Area</vt:lpstr>
      <vt:lpstr>'Dep - co'!Print_Area</vt:lpstr>
      <vt:lpstr>'Dep IT'!Print_Area</vt:lpstr>
      <vt:lpstr>'FA Additions'!Print_Area</vt:lpstr>
      <vt:lpstr>'Key Ratios'!Print_Area</vt:lpstr>
      <vt:lpstr>PL!Print_Area</vt:lpstr>
      <vt:lpstr>'PL Notes'!Print_Area</vt:lpstr>
      <vt:lpstr>'STI '!Print_Area</vt:lpstr>
      <vt:lpstr>'BS Notes'!Print_Titles</vt:lpstr>
      <vt:lpstr>CFS!Print_Titles</vt:lpstr>
      <vt:lpstr>'PL Notes'!Print_Titles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dc:creator>
  <cp:lastModifiedBy>Madhu  Rathi</cp:lastModifiedBy>
  <cp:lastPrinted>2022-11-09T12:50:40Z</cp:lastPrinted>
  <dcterms:created xsi:type="dcterms:W3CDTF">1996-10-14T23:33:28Z</dcterms:created>
  <dcterms:modified xsi:type="dcterms:W3CDTF">2024-12-18T10:54:26Z</dcterms:modified>
</cp:coreProperties>
</file>