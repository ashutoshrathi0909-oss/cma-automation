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3896" tabRatio="766" firstSheet="0" activeTab="3" autoFilterDateGrouping="1"/>
  </bookViews>
  <sheets>
    <sheet xmlns:r="http://schemas.openxmlformats.org/officeDocument/2006/relationships" name="Details" sheetId="1" state="visible" r:id="rId1"/>
    <sheet xmlns:r="http://schemas.openxmlformats.org/officeDocument/2006/relationships" name="Sheet1" sheetId="2" state="visible" r:id="rId2"/>
    <sheet xmlns:r="http://schemas.openxmlformats.org/officeDocument/2006/relationships" name="TL" sheetId="3" state="visible" r:id="rId3"/>
    <sheet xmlns:r="http://schemas.openxmlformats.org/officeDocument/2006/relationships" name="INPUT SHEET" sheetId="4" state="visible" r:id="rId4"/>
    <sheet xmlns:r="http://schemas.openxmlformats.org/officeDocument/2006/relationships" name="Summary spread" sheetId="5" state="hidden" r:id="rId5"/>
    <sheet xmlns:r="http://schemas.openxmlformats.org/officeDocument/2006/relationships" name="Cash flows" sheetId="6" state="hidden" r:id="rId6"/>
    <sheet xmlns:r="http://schemas.openxmlformats.org/officeDocument/2006/relationships" name="Key Financials" sheetId="7" state="visible" r:id="rId7"/>
    <sheet xmlns:r="http://schemas.openxmlformats.org/officeDocument/2006/relationships" name="Form_IV" sheetId="8" state="visible" r:id="rId8"/>
    <sheet xmlns:r="http://schemas.openxmlformats.org/officeDocument/2006/relationships" name="Trend Analysis" sheetId="9" state="hidden" r:id="rId9"/>
    <sheet xmlns:r="http://schemas.openxmlformats.org/officeDocument/2006/relationships" name="Form_II" sheetId="10" state="visible" r:id="rId10"/>
    <sheet xmlns:r="http://schemas.openxmlformats.org/officeDocument/2006/relationships" name="Form_III" sheetId="11" state="visible" r:id="rId11"/>
    <sheet xmlns:r="http://schemas.openxmlformats.org/officeDocument/2006/relationships" name="Form_V" sheetId="12" state="visible" r:id="rId12"/>
    <sheet xmlns:r="http://schemas.openxmlformats.org/officeDocument/2006/relationships" name="Form_VI" sheetId="13" state="hidden" r:id="rId13"/>
    <sheet xmlns:r="http://schemas.openxmlformats.org/officeDocument/2006/relationships" name="Financials improper" sheetId="14" state="hidden" r:id="rId14"/>
    <sheet xmlns:r="http://schemas.openxmlformats.org/officeDocument/2006/relationships" name="CMAcode" sheetId="15" state="hidden" r:id="rId15"/>
    <sheet xmlns:r="http://schemas.openxmlformats.org/officeDocument/2006/relationships" name="assumptions" sheetId="16" state="hidden" r:id="rId16"/>
  </sheets>
  <definedNames>
    <definedName name="Excel_BuiltIn_Criteria">"$#REF!.#REF!#REF!"</definedName>
    <definedName name="Excel_BuiltIn_Extract">"$#REF!.#REF!#REF!"</definedName>
    <definedName name="Excel_BuiltIn_Recorder">"$#REF!.$A$1:$A$65536"</definedName>
    <definedName name="Print">"$#REF!.$A$1"</definedName>
    <definedName name="_xlnm.Print_Titles" localSheetId="7">'Form_IV'!$9:$9</definedName>
    <definedName name="_xlnm.Print_Titles" localSheetId="10">'Form_III'!$8:$8</definedName>
    <definedName name="_xlnm.Print_Area" localSheetId="11">'Form_V'!$A$1:$L$30</definedName>
  </definedNames>
  <calcPr calcId="191029" fullCalcOnLoad="1"/>
</workbook>
</file>

<file path=xl/styles.xml><?xml version="1.0" encoding="utf-8"?>
<styleSheet xmlns="http://schemas.openxmlformats.org/spreadsheetml/2006/main">
  <numFmts count="14">
    <numFmt numFmtId="164" formatCode="0.0"/>
    <numFmt numFmtId="165" formatCode="0.0%"/>
    <numFmt numFmtId="166" formatCode="#,##0.0\ ;&quot; (&quot;#,##0.0\);&quot; -&quot;#\ ;@\ "/>
    <numFmt numFmtId="167" formatCode="0\ ;\(0\)"/>
    <numFmt numFmtId="168" formatCode="#,##0.00\ ;&quot; (&quot;#,##0.00\);&quot; -&quot;#\ ;@\ "/>
    <numFmt numFmtId="169" formatCode="0.0\ ;[Red]\(0.0\)"/>
    <numFmt numFmtId="170" formatCode="0.0\ ;\(0.0\)"/>
    <numFmt numFmtId="171" formatCode="#,##0.00\ ;&quot; (&quot;#,##0.00\);&quot; - &quot;;@\ "/>
    <numFmt numFmtId="172" formatCode="#,##0\ ;&quot; (&quot;#,##0\);&quot; - &quot;;@\ "/>
    <numFmt numFmtId="173" formatCode="#,##0\ ;&quot; (&quot;#,##0\);&quot; -&quot;#\ ;@\ "/>
    <numFmt numFmtId="174" formatCode="0.00000000"/>
    <numFmt numFmtId="175" formatCode="0.000000"/>
    <numFmt numFmtId="176" formatCode="0.0000000"/>
    <numFmt numFmtId="177" formatCode="0.000000000"/>
  </numFmts>
  <fonts count="30">
    <font>
      <name val="Arial"/>
      <sz val="10"/>
    </font>
    <font>
      <name val="Arial"/>
      <family val="2"/>
      <b val="1"/>
      <sz val="10"/>
    </font>
    <font>
      <name val="Arial"/>
      <family val="2"/>
      <b val="1"/>
      <i val="1"/>
      <sz val="10"/>
    </font>
    <font>
      <name val="Arial"/>
      <family val="2"/>
      <sz val="10"/>
    </font>
    <font>
      <name val="Arial"/>
      <family val="2"/>
      <i val="1"/>
      <sz val="10"/>
    </font>
    <font>
      <name val="Arial"/>
      <family val="2"/>
      <color indexed="10"/>
      <sz val="10"/>
    </font>
    <font>
      <name val="Arial"/>
      <family val="2"/>
      <b val="1"/>
      <color indexed="10"/>
      <sz val="10"/>
    </font>
    <font>
      <name val="Arial"/>
      <family val="2"/>
      <b val="1"/>
      <sz val="10"/>
      <u val="single"/>
    </font>
    <font>
      <name val="Arial"/>
      <family val="2"/>
      <b val="1"/>
      <sz val="12"/>
    </font>
    <font>
      <name val="Zurich Blk BT"/>
      <family val="2"/>
      <sz val="11"/>
    </font>
    <font>
      <name val="Zurich BT"/>
      <family val="2"/>
      <sz val="11"/>
    </font>
    <font>
      <name val="Zurich BT"/>
      <family val="2"/>
      <sz val="10"/>
    </font>
    <font>
      <name val="Arial"/>
      <family val="2"/>
      <b val="1"/>
      <i val="1"/>
      <sz val="9"/>
    </font>
    <font>
      <name val="Arial"/>
      <family val="2"/>
      <b val="1"/>
      <sz val="10"/>
    </font>
    <font>
      <name val="Arial"/>
      <family val="2"/>
      <i val="1"/>
      <sz val="8"/>
    </font>
    <font>
      <name val="Arial"/>
      <family val="2"/>
      <i val="1"/>
      <sz val="10"/>
    </font>
    <font>
      <name val="Arial"/>
      <family val="2"/>
      <color indexed="8"/>
      <sz val="10"/>
    </font>
    <font>
      <name val="Arial"/>
      <family val="2"/>
      <b val="1"/>
      <color indexed="8"/>
      <sz val="10"/>
    </font>
    <font>
      <name val="Arial"/>
      <family val="2"/>
      <sz val="8"/>
    </font>
    <font>
      <name val="Arial"/>
      <family val="2"/>
      <sz val="8"/>
    </font>
    <font>
      <name val="Arial"/>
      <family val="2"/>
      <i val="1"/>
      <sz val="8"/>
    </font>
    <font>
      <name val="Arial"/>
      <family val="2"/>
      <b val="1"/>
      <sz val="10"/>
      <u val="single"/>
    </font>
    <font>
      <name val="Arial"/>
      <family val="2"/>
      <sz val="10"/>
      <u val="single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b val="1"/>
      <color indexed="8"/>
      <sz val="11"/>
      <scheme val="minor"/>
    </font>
    <font>
      <name val="Calibri"/>
      <family val="2"/>
      <i val="1"/>
      <sz val="11"/>
      <scheme val="minor"/>
    </font>
    <font>
      <name val="Arial"/>
      <family val="2"/>
      <b val="1"/>
      <color rgb="FF339933"/>
      <sz val="9"/>
    </font>
  </fonts>
  <fills count="8">
    <fill>
      <patternFill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/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</borders>
  <cellStyleXfs count="3">
    <xf numFmtId="0" fontId="0" fillId="0" borderId="0"/>
    <xf numFmtId="168" fontId="23" fillId="0" borderId="0"/>
    <xf numFmtId="9" fontId="23" fillId="0" borderId="0"/>
  </cellStyleXfs>
  <cellXfs count="654">
    <xf numFmtId="0" fontId="0" fillId="0" borderId="0" pivotButton="0" quotePrefix="0" xfId="0"/>
    <xf numFmtId="164" fontId="0" fillId="0" borderId="0" applyProtection="1" pivotButton="0" quotePrefix="0" xfId="0">
      <protection locked="0" hidden="0"/>
    </xf>
    <xf numFmtId="1" fontId="0" fillId="2" borderId="1" applyProtection="1" pivotButton="0" quotePrefix="0" xfId="0">
      <protection locked="0" hidden="0"/>
    </xf>
    <xf numFmtId="1" fontId="0" fillId="2" borderId="2" applyProtection="1" pivotButton="0" quotePrefix="0" xfId="0">
      <protection locked="0" hidden="0"/>
    </xf>
    <xf numFmtId="1" fontId="1" fillId="2" borderId="3" applyAlignment="1" applyProtection="1" pivotButton="0" quotePrefix="0" xfId="0">
      <alignment horizontal="left"/>
      <protection locked="0" hidden="0"/>
    </xf>
    <xf numFmtId="1" fontId="1" fillId="2" borderId="0" applyAlignment="1" applyProtection="1" pivotButton="0" quotePrefix="0" xfId="0">
      <alignment horizontal="center"/>
      <protection locked="0" hidden="0"/>
    </xf>
    <xf numFmtId="1" fontId="1" fillId="2" borderId="3" applyAlignment="1" applyProtection="1" pivotButton="0" quotePrefix="0" xfId="0">
      <alignment horizontal="center"/>
      <protection locked="0" hidden="0"/>
    </xf>
    <xf numFmtId="1" fontId="1" fillId="2" borderId="0" applyAlignment="1" applyProtection="1" pivotButton="0" quotePrefix="0" xfId="0">
      <alignment horizontal="left"/>
      <protection locked="0" hidden="0"/>
    </xf>
    <xf numFmtId="1" fontId="1" fillId="2" borderId="4" applyAlignment="1" applyProtection="1" pivotButton="0" quotePrefix="0" xfId="0">
      <alignment horizontal="left"/>
      <protection locked="0" hidden="0"/>
    </xf>
    <xf numFmtId="1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1" fillId="3" borderId="11" pivotButton="0" quotePrefix="0" xfId="0"/>
    <xf numFmtId="164" fontId="0" fillId="0" borderId="9" applyProtection="1" pivotButton="0" quotePrefix="0" xfId="0">
      <protection locked="0" hidden="0"/>
    </xf>
    <xf numFmtId="164" fontId="3" fillId="3" borderId="11" pivotButton="0" quotePrefix="0" xfId="0"/>
    <xf numFmtId="164" fontId="3" fillId="3" borderId="10" pivotButton="0" quotePrefix="0" xfId="0"/>
    <xf numFmtId="164" fontId="3" fillId="2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" fontId="1" fillId="0" borderId="6" applyProtection="1" pivotButton="0" quotePrefix="0" xfId="0">
      <protection locked="0" hidden="0"/>
    </xf>
    <xf numFmtId="1" fontId="1" fillId="0" borderId="1" applyAlignment="1" applyProtection="1" pivotButton="0" quotePrefix="0" xfId="0">
      <alignment horizontal="center"/>
      <protection locked="0" hidden="0"/>
    </xf>
    <xf numFmtId="1" fontId="1" fillId="0" borderId="2" applyAlignment="1" applyProtection="1" pivotButton="0" quotePrefix="0" xfId="0">
      <alignment horizontal="center"/>
      <protection locked="0" hidden="0"/>
    </xf>
    <xf numFmtId="1" fontId="1" fillId="0" borderId="14" applyAlignment="1" applyProtection="1" pivotButton="0" quotePrefix="0" xfId="0">
      <alignment vertical="center" wrapText="1"/>
      <protection locked="0" hidden="0"/>
    </xf>
    <xf numFmtId="1" fontId="1" fillId="0" borderId="4" applyAlignment="1" applyProtection="1" pivotButton="0" quotePrefix="0" xfId="0">
      <alignment horizontal="center"/>
      <protection locked="0" hidden="0"/>
    </xf>
    <xf numFmtId="1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11" applyProtection="1" pivotButton="0" quotePrefix="0" xfId="0"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2" fillId="0" borderId="9" applyAlignment="1" applyProtection="1" pivotButton="0" quotePrefix="0" xfId="0">
      <alignment vertical="center" wrapText="1"/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0" fontId="0" fillId="4" borderId="0" pivotButton="0" quotePrefix="0" xfId="0"/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1" fontId="1" fillId="4" borderId="0" applyAlignment="1" pivotButton="0" quotePrefix="0" xfId="0">
      <alignment horizontal="center"/>
    </xf>
    <xf numFmtId="0" fontId="1" fillId="4" borderId="0" pivotButton="0" quotePrefix="0" xfId="0"/>
    <xf numFmtId="0" fontId="7" fillId="3" borderId="18" pivotButton="0" quotePrefix="0" xfId="0"/>
    <xf numFmtId="1" fontId="1" fillId="3" borderId="19" applyAlignment="1" pivotButton="0" quotePrefix="0" xfId="0">
      <alignment horizontal="center"/>
    </xf>
    <xf numFmtId="0" fontId="7" fillId="3" borderId="20" pivotButton="0" quotePrefix="0" xfId="0"/>
    <xf numFmtId="0" fontId="1" fillId="3" borderId="18" pivotButton="0" quotePrefix="0" xfId="0"/>
    <xf numFmtId="0" fontId="0" fillId="4" borderId="21" pivotButton="0" quotePrefix="0" xfId="0"/>
    <xf numFmtId="164" fontId="0" fillId="4" borderId="22" pivotButton="0" quotePrefix="0" xfId="0"/>
    <xf numFmtId="0" fontId="0" fillId="4" borderId="23" pivotButton="0" quotePrefix="0" xfId="0"/>
    <xf numFmtId="0" fontId="0" fillId="4" borderId="24" pivotButton="0" quotePrefix="0" xfId="0"/>
    <xf numFmtId="164" fontId="0" fillId="4" borderId="10" pivotButton="0" quotePrefix="0" xfId="0"/>
    <xf numFmtId="164" fontId="0" fillId="4" borderId="13" pivotButton="0" quotePrefix="0" xfId="0"/>
    <xf numFmtId="0" fontId="1" fillId="4" borderId="24" pivotButton="0" quotePrefix="0" xfId="0"/>
    <xf numFmtId="164" fontId="1" fillId="4" borderId="19" pivotButton="0" quotePrefix="0" xfId="0"/>
    <xf numFmtId="0" fontId="0" fillId="4" borderId="25" pivotButton="0" quotePrefix="0" xfId="0"/>
    <xf numFmtId="0" fontId="0" fillId="4" borderId="13" pivotButton="0" quotePrefix="0" xfId="0"/>
    <xf numFmtId="0" fontId="0" fillId="4" borderId="17" pivotButton="0" quotePrefix="0" xfId="0"/>
    <xf numFmtId="0" fontId="1" fillId="4" borderId="21" pivotButton="0" quotePrefix="0" xfId="0"/>
    <xf numFmtId="0" fontId="1" fillId="4" borderId="22" pivotButton="0" quotePrefix="0" xfId="0"/>
    <xf numFmtId="0" fontId="1" fillId="4" borderId="23" pivotButton="0" quotePrefix="0" xfId="0"/>
    <xf numFmtId="0" fontId="3" fillId="4" borderId="22" pivotButton="0" quotePrefix="0" xfId="0"/>
    <xf numFmtId="164" fontId="3" fillId="4" borderId="10" pivotButton="0" quotePrefix="0" xfId="0"/>
    <xf numFmtId="164" fontId="3" fillId="4" borderId="26" pivotButton="0" quotePrefix="0" xfId="0"/>
    <xf numFmtId="0" fontId="0" fillId="0" borderId="27" pivotButton="0" quotePrefix="0" xfId="0"/>
    <xf numFmtId="0" fontId="0" fillId="0" borderId="26" pivotButton="0" quotePrefix="0" xfId="0"/>
    <xf numFmtId="0" fontId="1" fillId="4" borderId="10" pivotButton="0" quotePrefix="0" xfId="0"/>
    <xf numFmtId="0" fontId="1" fillId="4" borderId="25" pivotButton="0" quotePrefix="0" xfId="0"/>
    <xf numFmtId="0" fontId="1" fillId="4" borderId="13" pivotButton="0" quotePrefix="0" xfId="0"/>
    <xf numFmtId="0" fontId="1" fillId="4" borderId="28" pivotButton="0" quotePrefix="0" xfId="0"/>
    <xf numFmtId="0" fontId="1" fillId="4" borderId="29" pivotButton="0" quotePrefix="0" xfId="0"/>
    <xf numFmtId="1" fontId="1" fillId="3" borderId="30" applyAlignment="1" pivotButton="0" quotePrefix="0" xfId="0">
      <alignment horizontal="center"/>
    </xf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0" fontId="0" fillId="4" borderId="22" pivotButton="0" quotePrefix="0" xfId="0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0" fontId="0" fillId="4" borderId="10" pivotButton="0" quotePrefix="0" xfId="0"/>
    <xf numFmtId="0" fontId="0" fillId="4" borderId="26" pivotButton="0" quotePrefix="0" xfId="0"/>
    <xf numFmtId="1" fontId="0" fillId="4" borderId="24" pivotButton="0" quotePrefix="0" xfId="0"/>
    <xf numFmtId="1" fontId="0" fillId="4" borderId="10" pivotButton="0" quotePrefix="0" xfId="0"/>
    <xf numFmtId="1" fontId="0" fillId="4" borderId="0" pivotButton="0" quotePrefix="0" xfId="0"/>
    <xf numFmtId="1" fontId="0" fillId="4" borderId="26" pivotButton="0" quotePrefix="0" xfId="0"/>
    <xf numFmtId="0" fontId="0" fillId="4" borderId="32" pivotButton="0" quotePrefix="0" xfId="0"/>
    <xf numFmtId="0" fontId="3" fillId="4" borderId="0" pivotButton="0" quotePrefix="0" xfId="0"/>
    <xf numFmtId="0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right"/>
    </xf>
    <xf numFmtId="0" fontId="2" fillId="4" borderId="22" applyAlignment="1" pivotButton="0" quotePrefix="0" xfId="0">
      <alignment horizontal="right"/>
    </xf>
    <xf numFmtId="0" fontId="1" fillId="3" borderId="19" applyAlignment="1" pivotButton="0" quotePrefix="0" xfId="0">
      <alignment horizontal="center"/>
    </xf>
    <xf numFmtId="0" fontId="2" fillId="4" borderId="10" applyAlignment="1" pivotButton="0" quotePrefix="0" xfId="0">
      <alignment horizontal="right"/>
    </xf>
    <xf numFmtId="0" fontId="3" fillId="4" borderId="13" pivotButton="0" quotePrefix="0" xfId="0"/>
    <xf numFmtId="0" fontId="3" fillId="4" borderId="10" pivotButton="0" quotePrefix="0" xfId="0"/>
    <xf numFmtId="0" fontId="1" fillId="3" borderId="19" pivotButton="0" quotePrefix="0" xfId="0"/>
    <xf numFmtId="0" fontId="3" fillId="4" borderId="24" pivotButton="0" quotePrefix="0" xfId="0"/>
    <xf numFmtId="0" fontId="4" fillId="4" borderId="24" pivotButton="0" quotePrefix="0" xfId="0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0" fontId="1" fillId="0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0" fontId="3" fillId="4" borderId="21" pivotButton="0" quotePrefix="0" xfId="0"/>
    <xf numFmtId="164" fontId="1" fillId="4" borderId="22" pivotButton="0" quotePrefix="0" xfId="0"/>
    <xf numFmtId="164" fontId="1" fillId="4" borderId="13" pivotButton="0" quotePrefix="0" xfId="0"/>
    <xf numFmtId="0" fontId="1" fillId="0" borderId="14" pivotButton="0" quotePrefix="0" xfId="0"/>
    <xf numFmtId="0" fontId="0" fillId="0" borderId="5" pivotButton="0" quotePrefix="0" xfId="0"/>
    <xf numFmtId="1" fontId="9" fillId="3" borderId="33" applyAlignment="1" pivotButton="0" quotePrefix="0" xfId="0">
      <alignment horizontal="right"/>
    </xf>
    <xf numFmtId="1" fontId="9" fillId="3" borderId="34" applyAlignment="1" pivotButton="0" quotePrefix="0" xfId="0">
      <alignment horizontal="right"/>
    </xf>
    <xf numFmtId="1" fontId="9" fillId="3" borderId="19" applyAlignment="1" pivotButton="0" quotePrefix="0" xfId="0">
      <alignment horizontal="center"/>
    </xf>
    <xf numFmtId="1" fontId="9" fillId="3" borderId="35" applyAlignment="1" pivotButton="0" quotePrefix="0" xfId="0">
      <alignment horizontal="center"/>
    </xf>
    <xf numFmtId="0" fontId="9" fillId="3" borderId="36" applyAlignment="1" pivotButton="0" quotePrefix="0" xfId="0">
      <alignment horizontal="center" vertical="top" wrapText="1"/>
    </xf>
    <xf numFmtId="0" fontId="9" fillId="3" borderId="37" applyAlignment="1" pivotButton="0" quotePrefix="0" xfId="0">
      <alignment vertical="top" wrapText="1"/>
    </xf>
    <xf numFmtId="1" fontId="9" fillId="3" borderId="37" applyAlignment="1" pivotButton="0" quotePrefix="0" xfId="0">
      <alignment horizontal="center"/>
    </xf>
    <xf numFmtId="1" fontId="9" fillId="3" borderId="38" applyAlignment="1" pivotButton="0" quotePrefix="0" xfId="0">
      <alignment horizontal="center"/>
    </xf>
    <xf numFmtId="0" fontId="10" fillId="0" borderId="10" applyAlignment="1" pivotButton="0" quotePrefix="0" xfId="0">
      <alignment horizontal="center" vertical="center"/>
    </xf>
    <xf numFmtId="0" fontId="10" fillId="0" borderId="10" applyAlignment="1" pivotButton="0" quotePrefix="0" xfId="0">
      <alignment vertical="center"/>
    </xf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0" fontId="10" fillId="0" borderId="24" applyAlignment="1" pivotButton="0" quotePrefix="0" xfId="0">
      <alignment horizontal="center"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0" fontId="10" fillId="4" borderId="10" applyAlignment="1" pivotButton="0" quotePrefix="0" xfId="0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0" fontId="10" fillId="0" borderId="10" pivotButton="0" quotePrefix="0" xfId="0"/>
    <xf numFmtId="166" fontId="10" fillId="0" borderId="24" pivotButton="0" quotePrefix="0" xfId="1"/>
    <xf numFmtId="166" fontId="10" fillId="0" borderId="10" pivotButton="0" quotePrefix="0" xfId="1"/>
    <xf numFmtId="0" fontId="10" fillId="0" borderId="24" applyAlignment="1" pivotButton="0" quotePrefix="0" xfId="0">
      <alignment vertical="center"/>
    </xf>
    <xf numFmtId="0" fontId="10" fillId="0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/>
    </xf>
    <xf numFmtId="0" fontId="10" fillId="0" borderId="25" applyAlignment="1" pivotButton="0" quotePrefix="0" xfId="0">
      <alignment horizontal="center" vertical="center"/>
    </xf>
    <xf numFmtId="0" fontId="10" fillId="4" borderId="25" applyAlignment="1" pivotButton="0" quotePrefix="0" xfId="0">
      <alignment vertical="center"/>
    </xf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0" fontId="10" fillId="0" borderId="0" applyAlignment="1" pivotButton="0" quotePrefix="0" xfId="0">
      <alignment horizontal="center" vertical="center"/>
    </xf>
    <xf numFmtId="0" fontId="10" fillId="4" borderId="0" applyAlignment="1" pivotButton="0" quotePrefix="0" xfId="0">
      <alignment vertical="center"/>
    </xf>
    <xf numFmtId="164" fontId="10" fillId="4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2" fontId="10" fillId="0" borderId="0" applyAlignment="1" pivotButton="0" quotePrefix="0" xfId="0">
      <alignment vertical="center"/>
    </xf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0" fontId="11" fillId="0" borderId="0" pivotButton="0" quotePrefix="0" xfId="0"/>
    <xf numFmtId="0" fontId="9" fillId="0" borderId="0" pivotButton="0" quotePrefix="0" xfId="0"/>
    <xf numFmtId="0" fontId="10" fillId="0" borderId="0" pivotButton="0" quotePrefix="0" xfId="0"/>
    <xf numFmtId="0" fontId="10" fillId="0" borderId="18" pivotButton="0" quotePrefix="0" xfId="0"/>
    <xf numFmtId="0" fontId="10" fillId="0" borderId="20" pivotButton="0" quotePrefix="0" xfId="0"/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0" fontId="10" fillId="0" borderId="24" pivotButton="0" quotePrefix="0" xfId="0"/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0" fontId="10" fillId="0" borderId="0" applyAlignment="1" pivotButton="0" quotePrefix="0" xfId="0">
      <alignment horizontal="left"/>
    </xf>
    <xf numFmtId="1" fontId="12" fillId="4" borderId="6" applyAlignment="1" pivotButton="0" quotePrefix="0" xfId="0">
      <alignment horizontal="right"/>
    </xf>
    <xf numFmtId="1" fontId="1" fillId="3" borderId="40" applyAlignment="1" pivotButton="0" quotePrefix="0" xfId="0">
      <alignment horizontal="center"/>
    </xf>
    <xf numFmtId="1" fontId="1" fillId="3" borderId="2" applyAlignment="1" pivotButton="0" quotePrefix="0" xfId="0">
      <alignment horizontal="center"/>
    </xf>
    <xf numFmtId="1" fontId="12" fillId="4" borderId="7" applyAlignment="1" pivotButton="0" quotePrefix="0" xfId="0">
      <alignment horizontal="right"/>
    </xf>
    <xf numFmtId="1" fontId="1" fillId="3" borderId="10" applyAlignment="1" pivotButton="0" quotePrefix="0" xfId="0">
      <alignment horizontal="center"/>
    </xf>
    <xf numFmtId="1" fontId="1" fillId="3" borderId="3" applyAlignment="1" pivotButton="0" quotePrefix="0" xfId="0">
      <alignment horizontal="center"/>
    </xf>
    <xf numFmtId="0" fontId="0" fillId="4" borderId="14" pivotButton="0" quotePrefix="0" xfId="0"/>
    <xf numFmtId="1" fontId="1" fillId="3" borderId="41" applyAlignment="1" pivotButton="0" quotePrefix="0" xfId="0">
      <alignment horizontal="center"/>
    </xf>
    <xf numFmtId="1" fontId="1" fillId="3" borderId="5" applyAlignment="1" pivotButton="0" quotePrefix="0" xfId="0">
      <alignment horizontal="center"/>
    </xf>
    <xf numFmtId="0" fontId="0" fillId="4" borderId="7" pivotButton="0" quotePrefix="0" xfId="0"/>
    <xf numFmtId="0" fontId="0" fillId="4" borderId="3" pivotButton="0" quotePrefix="0" xfId="0"/>
    <xf numFmtId="0" fontId="7" fillId="4" borderId="7" pivotButton="0" quotePrefix="0" xfId="0"/>
    <xf numFmtId="164" fontId="0" fillId="4" borderId="0" pivotButton="0" quotePrefix="0" xfId="0"/>
    <xf numFmtId="164" fontId="0" fillId="4" borderId="3" pivotButton="0" quotePrefix="0" xfId="0"/>
    <xf numFmtId="0" fontId="1" fillId="3" borderId="42" pivotButton="0" quotePrefix="0" xfId="0"/>
    <xf numFmtId="165" fontId="1" fillId="3" borderId="20" pivotButton="0" quotePrefix="0" xfId="0"/>
    <xf numFmtId="0" fontId="1" fillId="3" borderId="7" pivotButton="0" quotePrefix="0" xfId="0"/>
    <xf numFmtId="165" fontId="1" fillId="3" borderId="10" pivotButton="0" quotePrefix="0" xfId="0"/>
    <xf numFmtId="165" fontId="0" fillId="4" borderId="10" pivotButton="0" quotePrefix="0" xfId="0"/>
    <xf numFmtId="0" fontId="1" fillId="3" borderId="14" pivotButton="0" quotePrefix="0" xfId="0"/>
    <xf numFmtId="165" fontId="1" fillId="3" borderId="41" pivotButton="0" quotePrefix="0" xfId="0"/>
    <xf numFmtId="0" fontId="1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pivotButton="0" quotePrefix="0" xfId="0"/>
    <xf numFmtId="0" fontId="13" fillId="0" borderId="0" pivotButton="0" quotePrefix="0" xfId="0"/>
    <xf numFmtId="0" fontId="13" fillId="0" borderId="0" applyAlignment="1" pivotButton="0" quotePrefix="0" xfId="0">
      <alignment horizontal="right"/>
    </xf>
    <xf numFmtId="0" fontId="0" fillId="3" borderId="19" applyAlignment="1" applyProtection="1" pivotButton="0" quotePrefix="0" xfId="0">
      <alignment horizontal="center"/>
      <protection locked="0" hidden="0"/>
    </xf>
    <xf numFmtId="0" fontId="14" fillId="0" borderId="0" applyAlignment="1" pivotButton="0" quotePrefix="0" xfId="0">
      <alignment horizontal="right"/>
    </xf>
    <xf numFmtId="0" fontId="13" fillId="0" borderId="0" applyAlignment="1" pivotButton="0" quotePrefix="0" xfId="0">
      <alignment horizontal="left"/>
    </xf>
    <xf numFmtId="164" fontId="0" fillId="0" borderId="22" pivotButton="0" quotePrefix="0" xfId="0"/>
    <xf numFmtId="0" fontId="0" fillId="0" borderId="0" applyAlignment="1" pivotButton="0" quotePrefix="0" xfId="0">
      <alignment horizontal="left"/>
    </xf>
    <xf numFmtId="164" fontId="11" fillId="0" borderId="10" pivotButton="0" quotePrefix="0" xfId="0"/>
    <xf numFmtId="164" fontId="0" fillId="0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3" fillId="0" borderId="10" pivotButton="0" quotePrefix="0" xfId="0"/>
    <xf numFmtId="164" fontId="3" fillId="0" borderId="0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8" fontId="0" fillId="0" borderId="0" pivotButton="0" quotePrefix="0" xfId="0"/>
    <xf numFmtId="0" fontId="16" fillId="0" borderId="0" pivotButton="0" quotePrefix="0" xfId="0"/>
    <xf numFmtId="0" fontId="17" fillId="0" borderId="0" applyAlignment="1" pivotButton="0" quotePrefix="0" xfId="0">
      <alignment horizontal="left"/>
    </xf>
    <xf numFmtId="0" fontId="0" fillId="3" borderId="19" applyAlignment="1" pivotButton="0" quotePrefix="0" xfId="0">
      <alignment horizontal="center"/>
    </xf>
    <xf numFmtId="1" fontId="0" fillId="3" borderId="19" applyAlignment="1" pivotButton="0" quotePrefix="0" xfId="0">
      <alignment horizontal="center"/>
    </xf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0" fontId="0" fillId="0" borderId="0" applyProtection="1" pivotButton="0" quotePrefix="0" xfId="0">
      <protection locked="0" hidden="0"/>
    </xf>
    <xf numFmtId="0" fontId="3" fillId="0" borderId="0" pivotButton="0" quotePrefix="0" xfId="0"/>
    <xf numFmtId="164" fontId="13" fillId="3" borderId="18" pivotButton="0" quotePrefix="0" xfId="0"/>
    <xf numFmtId="164" fontId="13" fillId="0" borderId="0" pivotButton="0" quotePrefix="0" xfId="0"/>
    <xf numFmtId="2" fontId="0" fillId="3" borderId="19" applyAlignment="1" pivotButton="0" quotePrefix="0" xfId="0">
      <alignment horizontal="center"/>
    </xf>
    <xf numFmtId="0" fontId="3" fillId="0" borderId="0" applyAlignment="1" pivotButton="0" quotePrefix="0" xfId="0">
      <alignment horizontal="left"/>
    </xf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0" fontId="3" fillId="3" borderId="19" applyAlignment="1" applyProtection="1" pivotButton="0" quotePrefix="0" xfId="0">
      <alignment horizontal="center"/>
      <protection locked="0" hidden="0"/>
    </xf>
    <xf numFmtId="0" fontId="20" fillId="0" borderId="0" applyAlignment="1" pivotButton="0" quotePrefix="0" xfId="0">
      <alignment horizontal="right"/>
    </xf>
    <xf numFmtId="164" fontId="3" fillId="0" borderId="22" pivotButton="0" quotePrefix="0" xfId="0"/>
    <xf numFmtId="49" fontId="3" fillId="0" borderId="0" applyAlignment="1" pivotButton="0" quotePrefix="0" xfId="0">
      <alignment horizontal="right"/>
    </xf>
    <xf numFmtId="1" fontId="3" fillId="0" borderId="0" applyAlignment="1" pivotButton="0" quotePrefix="0" xfId="0">
      <alignment horizontal="right"/>
    </xf>
    <xf numFmtId="169" fontId="3" fillId="0" borderId="10" pivotButton="0" quotePrefix="0" xfId="0"/>
    <xf numFmtId="170" fontId="3" fillId="0" borderId="10" pivotButton="0" quotePrefix="0" xfId="0"/>
    <xf numFmtId="1" fontId="3" fillId="0" borderId="0" pivotButton="0" quotePrefix="0" xfId="0"/>
    <xf numFmtId="49" fontId="1" fillId="0" borderId="0" applyAlignment="1" pivotButton="0" quotePrefix="0" xfId="0">
      <alignment horizontal="right"/>
    </xf>
    <xf numFmtId="164" fontId="1" fillId="0" borderId="19" pivotButton="0" quotePrefix="0" xfId="0"/>
    <xf numFmtId="164" fontId="1" fillId="0" borderId="0" pivotButton="0" quotePrefix="0" xfId="0"/>
    <xf numFmtId="0" fontId="18" fillId="0" borderId="0" pivotButton="0" quotePrefix="0" xfId="0"/>
    <xf numFmtId="164" fontId="12" fillId="0" borderId="0" pivotButton="0" quotePrefix="0" xfId="0"/>
    <xf numFmtId="0" fontId="4" fillId="0" borderId="0" pivotButton="0" quotePrefix="0" xfId="0"/>
    <xf numFmtId="164" fontId="3" fillId="5" borderId="10" pivotButton="0" quotePrefix="0" xfId="0"/>
    <xf numFmtId="2" fontId="3" fillId="0" borderId="10" pivotButton="0" quotePrefix="0" xfId="0"/>
    <xf numFmtId="0" fontId="21" fillId="0" borderId="0" pivotButton="0" quotePrefix="0" xfId="0"/>
    <xf numFmtId="49" fontId="0" fillId="0" borderId="0" applyAlignment="1" pivotButton="0" quotePrefix="0" xfId="0">
      <alignment horizontal="right"/>
    </xf>
    <xf numFmtId="0" fontId="0" fillId="3" borderId="19" pivotButton="0" quotePrefix="0" xfId="0"/>
    <xf numFmtId="0" fontId="3" fillId="3" borderId="19" applyAlignment="1" pivotButton="0" quotePrefix="0" xfId="0">
      <alignment horizontal="center"/>
    </xf>
    <xf numFmtId="0" fontId="4" fillId="0" borderId="0" applyAlignment="1" pivotButton="0" quotePrefix="0" xfId="0">
      <alignment horizontal="right"/>
    </xf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49" fontId="22" fillId="0" borderId="0" applyAlignment="1" pivotButton="0" quotePrefix="0" xfId="0">
      <alignment horizontal="left"/>
    </xf>
    <xf numFmtId="164" fontId="0" fillId="0" borderId="20" pivotButton="0" quotePrefix="0" xfId="0"/>
    <xf numFmtId="2" fontId="0" fillId="0" borderId="0" pivotButton="0" quotePrefix="0" xfId="0"/>
    <xf numFmtId="0" fontId="0" fillId="0" borderId="19" applyAlignment="1" pivotButton="0" quotePrefix="0" xfId="0">
      <alignment horizontal="left"/>
    </xf>
    <xf numFmtId="0" fontId="0" fillId="0" borderId="19" pivotButton="0" quotePrefix="0" xfId="0"/>
    <xf numFmtId="0" fontId="0" fillId="0" borderId="19" applyAlignment="1" pivotButton="0" quotePrefix="0" xfId="0">
      <alignment horizontal="right"/>
    </xf>
    <xf numFmtId="2" fontId="0" fillId="0" borderId="19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0" fontId="0" fillId="0" borderId="19" pivotButton="0" quotePrefix="0" xfId="2"/>
    <xf numFmtId="10" fontId="0" fillId="0" borderId="19" pivotButton="0" quotePrefix="0" xfId="0"/>
    <xf numFmtId="0" fontId="3" fillId="0" borderId="19" pivotButton="0" quotePrefix="0" xfId="0"/>
    <xf numFmtId="0" fontId="24" fillId="0" borderId="0" pivotButton="0" quotePrefix="0" xfId="0"/>
    <xf numFmtId="0" fontId="25" fillId="0" borderId="0" applyAlignment="1" pivotButton="0" quotePrefix="0" xfId="0">
      <alignment horizontal="center"/>
    </xf>
    <xf numFmtId="165" fontId="26" fillId="6" borderId="0" applyAlignment="1" pivotButton="0" quotePrefix="0" xfId="2">
      <alignment horizontal="center"/>
    </xf>
    <xf numFmtId="165" fontId="26" fillId="6" borderId="0" applyAlignment="1" pivotButton="0" quotePrefix="0" xfId="2">
      <alignment horizontal="right"/>
    </xf>
    <xf numFmtId="165" fontId="24" fillId="7" borderId="0" pivotButton="0" quotePrefix="0" xfId="0"/>
    <xf numFmtId="168" fontId="24" fillId="0" borderId="0" pivotButton="0" quotePrefix="0" xfId="1"/>
    <xf numFmtId="0" fontId="27" fillId="0" borderId="0" pivotButton="0" quotePrefix="0" xfId="0"/>
    <xf numFmtId="168" fontId="25" fillId="0" borderId="0" pivotButton="0" quotePrefix="0" xfId="1"/>
    <xf numFmtId="10" fontId="24" fillId="0" borderId="0" pivotButton="0" quotePrefix="0" xfId="0"/>
    <xf numFmtId="10" fontId="24" fillId="7" borderId="0" pivotButton="0" quotePrefix="0" xfId="0"/>
    <xf numFmtId="10" fontId="24" fillId="6" borderId="0" pivotButton="0" quotePrefix="0" xfId="0"/>
    <xf numFmtId="43" fontId="24" fillId="0" borderId="0" pivotButton="0" quotePrefix="0" xfId="1"/>
    <xf numFmtId="168" fontId="24" fillId="7" borderId="0" pivotButton="0" quotePrefix="0" xfId="1"/>
    <xf numFmtId="168" fontId="24" fillId="6" borderId="0" pivotButton="0" quotePrefix="0" xfId="1"/>
    <xf numFmtId="164" fontId="24" fillId="0" borderId="0" pivotButton="0" quotePrefix="0" xfId="0"/>
    <xf numFmtId="0" fontId="25" fillId="0" borderId="0" pivotButton="0" quotePrefix="0" xfId="0"/>
    <xf numFmtId="0" fontId="28" fillId="0" borderId="0" pivotButton="0" quotePrefix="0" xfId="0"/>
    <xf numFmtId="168" fontId="3" fillId="2" borderId="43" applyProtection="1" pivotButton="0" quotePrefix="0" xfId="1">
      <protection locked="0" hidden="0"/>
    </xf>
    <xf numFmtId="164" fontId="3" fillId="2" borderId="43" applyProtection="1" pivotButton="0" quotePrefix="0" xfId="1">
      <protection locked="0" hidden="0"/>
    </xf>
    <xf numFmtId="15" fontId="24" fillId="0" borderId="0" pivotButton="0" quotePrefix="0" xfId="0"/>
    <xf numFmtId="15" fontId="25" fillId="0" borderId="0" applyAlignment="1" pivotButton="0" quotePrefix="0" xfId="0">
      <alignment horizontal="center"/>
    </xf>
    <xf numFmtId="0" fontId="25" fillId="0" borderId="43" applyAlignment="1" pivotButton="0" quotePrefix="0" xfId="0">
      <alignment horizontal="center"/>
    </xf>
    <xf numFmtId="15" fontId="25" fillId="0" borderId="0" pivotButton="0" quotePrefix="0" xfId="0"/>
    <xf numFmtId="165" fontId="24" fillId="7" borderId="0" pivotButton="0" quotePrefix="0" xfId="2"/>
    <xf numFmtId="165" fontId="24" fillId="7" borderId="43" pivotButton="0" quotePrefix="0" xfId="2"/>
    <xf numFmtId="173" fontId="24" fillId="0" borderId="0" pivotButton="0" quotePrefix="0" xfId="1"/>
    <xf numFmtId="173" fontId="24" fillId="0" borderId="43" pivotButton="0" quotePrefix="0" xfId="1"/>
    <xf numFmtId="174" fontId="1" fillId="0" borderId="10" applyProtection="1" pivotButton="0" quotePrefix="0" xfId="0">
      <protection locked="0" hidden="0"/>
    </xf>
    <xf numFmtId="173" fontId="24" fillId="7" borderId="0" pivotButton="0" quotePrefix="0" xfId="1"/>
    <xf numFmtId="9" fontId="23" fillId="0" borderId="0" pivotButton="0" quotePrefix="0" xfId="2"/>
    <xf numFmtId="9" fontId="4" fillId="0" borderId="0" pivotButton="0" quotePrefix="0" xfId="2"/>
    <xf numFmtId="166" fontId="23" fillId="0" borderId="0" pivotButton="0" quotePrefix="0" xfId="1"/>
    <xf numFmtId="173" fontId="23" fillId="0" borderId="0" pivotButton="0" quotePrefix="0" xfId="1"/>
    <xf numFmtId="165" fontId="23" fillId="0" borderId="0" pivotButton="0" quotePrefix="0" xfId="2"/>
    <xf numFmtId="165" fontId="1" fillId="0" borderId="0" pivotButton="0" quotePrefix="0" xfId="2"/>
    <xf numFmtId="173" fontId="1" fillId="0" borderId="0" pivotButton="0" quotePrefix="0" xfId="1"/>
    <xf numFmtId="175" fontId="1" fillId="0" borderId="10" applyProtection="1" pivotButton="0" quotePrefix="0" xfId="0"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74" fontId="0" fillId="0" borderId="10" applyProtection="1" pivotButton="0" quotePrefix="0" xfId="0">
      <protection locked="0" hidden="0"/>
    </xf>
    <xf numFmtId="176" fontId="0" fillId="0" borderId="10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76" fontId="3" fillId="0" borderId="10" applyProtection="1" pivotButton="0" quotePrefix="0" xfId="0">
      <protection locked="0" hidden="0"/>
    </xf>
    <xf numFmtId="176" fontId="3" fillId="0" borderId="0" applyProtection="1" pivotButton="0" quotePrefix="0" xfId="0">
      <protection locked="0" hidden="0"/>
    </xf>
    <xf numFmtId="165" fontId="24" fillId="0" borderId="0" pivotButton="0" quotePrefix="0" xfId="2"/>
    <xf numFmtId="173" fontId="24" fillId="0" borderId="0" pivotButton="0" quotePrefix="0" xfId="1"/>
    <xf numFmtId="168" fontId="23" fillId="0" borderId="0" pivotButton="0" quotePrefix="0" xfId="1"/>
    <xf numFmtId="0" fontId="3" fillId="0" borderId="46" pivotButton="0" quotePrefix="0" xfId="0"/>
    <xf numFmtId="0" fontId="0" fillId="0" borderId="46" pivotButton="0" quotePrefix="0" xfId="0"/>
    <xf numFmtId="168" fontId="23" fillId="0" borderId="46" pivotButton="0" quotePrefix="0" xfId="1"/>
    <xf numFmtId="0" fontId="1" fillId="0" borderId="46" pivotButton="0" quotePrefix="0" xfId="0"/>
    <xf numFmtId="168" fontId="1" fillId="0" borderId="46" pivotButton="0" quotePrefix="0" xfId="1"/>
    <xf numFmtId="2" fontId="10" fillId="0" borderId="24" applyAlignment="1" pivotButton="0" quotePrefix="0" xfId="0">
      <alignment vertical="center"/>
    </xf>
    <xf numFmtId="2" fontId="10" fillId="0" borderId="10" applyAlignment="1" pivotButton="0" quotePrefix="0" xfId="0">
      <alignment vertical="center"/>
    </xf>
    <xf numFmtId="164" fontId="3" fillId="2" borderId="47" applyProtection="1" pivotButton="0" quotePrefix="0" xfId="0">
      <protection locked="0" hidden="0"/>
    </xf>
    <xf numFmtId="165" fontId="24" fillId="6" borderId="0" pivotButton="0" quotePrefix="0" xfId="0"/>
    <xf numFmtId="165" fontId="26" fillId="7" borderId="0" applyAlignment="1" pivotButton="0" quotePrefix="0" xfId="2">
      <alignment horizontal="right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2" fontId="1" fillId="3" borderId="10" pivotButton="0" quotePrefix="0" xfId="0"/>
    <xf numFmtId="1" fontId="1" fillId="2" borderId="0" applyProtection="1" pivotButton="0" quotePrefix="0" xfId="0">
      <protection locked="0" hidden="0"/>
    </xf>
    <xf numFmtId="1" fontId="1" fillId="2" borderId="3" applyProtection="1" pivotButton="0" quotePrefix="0" xfId="0">
      <protection locked="0" hidden="0"/>
    </xf>
    <xf numFmtId="1" fontId="0" fillId="3" borderId="6" pivotButton="0" quotePrefix="0" xfId="0"/>
    <xf numFmtId="1" fontId="1" fillId="3" borderId="7" pivotButton="0" quotePrefix="0" xfId="0"/>
    <xf numFmtId="1" fontId="1" fillId="3" borderId="14" pivotButton="0" quotePrefix="0" xfId="0"/>
    <xf numFmtId="164" fontId="0" fillId="0" borderId="3" applyProtection="1" pivotButton="0" quotePrefix="0" xfId="0">
      <protection locked="0" hidden="0"/>
    </xf>
    <xf numFmtId="1" fontId="0" fillId="2" borderId="48" applyProtection="1" pivotButton="0" quotePrefix="0" xfId="0">
      <protection locked="0" hidden="0"/>
    </xf>
    <xf numFmtId="1" fontId="0" fillId="2" borderId="49" applyProtection="1" pivotButton="0" quotePrefix="0" xfId="0">
      <protection locked="0" hidden="0"/>
    </xf>
    <xf numFmtId="1" fontId="0" fillId="2" borderId="50" applyProtection="1" pivotButton="0" quotePrefix="0" xfId="0">
      <protection locked="0" hidden="0"/>
    </xf>
    <xf numFmtId="1" fontId="1" fillId="2" borderId="51" applyProtection="1" pivotButton="0" quotePrefix="0" xfId="0">
      <protection locked="0" hidden="0"/>
    </xf>
    <xf numFmtId="1" fontId="1" fillId="2" borderId="52" applyProtection="1" pivotButton="0" quotePrefix="0" xfId="0">
      <protection locked="0" hidden="0"/>
    </xf>
    <xf numFmtId="1" fontId="1" fillId="2" borderId="51" applyAlignment="1" applyProtection="1" pivotButton="0" quotePrefix="0" xfId="0">
      <alignment horizontal="center"/>
      <protection locked="0" hidden="0"/>
    </xf>
    <xf numFmtId="1" fontId="1" fillId="2" borderId="52" applyAlignment="1" applyProtection="1" pivotButton="0" quotePrefix="0" xfId="0">
      <alignment horizontal="center"/>
      <protection locked="0" hidden="0"/>
    </xf>
    <xf numFmtId="1" fontId="1" fillId="2" borderId="51" applyAlignment="1" applyProtection="1" pivotButton="0" quotePrefix="0" xfId="0">
      <alignment horizontal="left"/>
      <protection locked="0" hidden="0"/>
    </xf>
    <xf numFmtId="1" fontId="1" fillId="2" borderId="52" applyAlignment="1" applyProtection="1" pivotButton="0" quotePrefix="0" xfId="0">
      <alignment horizontal="left"/>
      <protection locked="0" hidden="0"/>
    </xf>
    <xf numFmtId="1" fontId="1" fillId="2" borderId="53" applyAlignment="1" applyProtection="1" pivotButton="0" quotePrefix="0" xfId="0">
      <alignment horizontal="left"/>
      <protection locked="0" hidden="0"/>
    </xf>
    <xf numFmtId="1" fontId="1" fillId="2" borderId="54" applyAlignment="1" applyProtection="1" pivotButton="0" quotePrefix="0" xfId="0">
      <alignment horizontal="left"/>
      <protection locked="0" hidden="0"/>
    </xf>
    <xf numFmtId="1" fontId="1" fillId="2" borderId="55" applyAlignment="1" applyProtection="1" pivotButton="0" quotePrefix="0" xfId="0">
      <alignment horizontal="left"/>
      <protection locked="0" hidden="0"/>
    </xf>
    <xf numFmtId="1" fontId="25" fillId="0" borderId="0" applyAlignment="1" pivotButton="0" quotePrefix="0" xfId="0">
      <alignment horizontal="left"/>
    </xf>
    <xf numFmtId="173" fontId="24" fillId="0" borderId="43" pivotButton="0" quotePrefix="0" xfId="1"/>
    <xf numFmtId="0" fontId="25" fillId="0" borderId="0" applyAlignment="1" pivotButton="0" quotePrefix="0" xfId="0">
      <alignment horizontal="center"/>
    </xf>
    <xf numFmtId="0" fontId="25" fillId="0" borderId="43" applyAlignment="1" pivotButton="0" quotePrefix="0" xfId="0">
      <alignment horizontal="center"/>
    </xf>
    <xf numFmtId="1" fontId="7" fillId="0" borderId="0" applyAlignment="1" pivotButton="0" quotePrefix="0" xfId="0">
      <alignment horizontal="left"/>
    </xf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0" fontId="1" fillId="4" borderId="0" applyAlignment="1" pivotButton="0" quotePrefix="0" xfId="0">
      <alignment horizontal="center"/>
    </xf>
    <xf numFmtId="0" fontId="10" fillId="0" borderId="25" applyAlignment="1" pivotButton="0" quotePrefix="0" xfId="0">
      <alignment horizontal="left"/>
    </xf>
    <xf numFmtId="0" fontId="10" fillId="0" borderId="24" applyAlignment="1" pivotButton="0" quotePrefix="0" xfId="0">
      <alignment vertical="center"/>
    </xf>
    <xf numFmtId="0" fontId="10" fillId="0" borderId="25" applyAlignment="1" pivotButton="0" quotePrefix="0" xfId="0">
      <alignment vertical="center" wrapText="1"/>
    </xf>
    <xf numFmtId="0" fontId="8" fillId="0" borderId="15" applyAlignment="1" pivotButton="0" quotePrefix="0" xfId="0">
      <alignment horizontal="center"/>
    </xf>
    <xf numFmtId="0" fontId="9" fillId="3" borderId="56" applyAlignment="1" pivotButton="0" quotePrefix="0" xfId="0">
      <alignment horizontal="center" vertical="top" wrapText="1"/>
    </xf>
    <xf numFmtId="0" fontId="9" fillId="3" borderId="33" applyAlignment="1" pivotButton="0" quotePrefix="0" xfId="0">
      <alignment horizontal="center" vertical="top" wrapText="1"/>
    </xf>
    <xf numFmtId="0" fontId="9" fillId="3" borderId="18" applyAlignment="1" pivotButton="0" quotePrefix="0" xfId="0">
      <alignment vertical="center"/>
    </xf>
    <xf numFmtId="0" fontId="3" fillId="0" borderId="0" applyAlignment="1" pivotButton="0" quotePrefix="0" xfId="0">
      <alignment horizontal="left"/>
    </xf>
    <xf numFmtId="0" fontId="3" fillId="0" borderId="0" applyAlignment="1" pivotButton="0" quotePrefix="0" xfId="0">
      <alignment wrapText="1"/>
    </xf>
    <xf numFmtId="0" fontId="1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left" wrapText="1"/>
    </xf>
    <xf numFmtId="0" fontId="4" fillId="0" borderId="0" applyAlignment="1" pivotButton="0" quotePrefix="0" xfId="0">
      <alignment horizontal="left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 wrapText="1"/>
    </xf>
    <xf numFmtId="165" fontId="26" fillId="6" borderId="0" applyAlignment="1" pivotButton="0" quotePrefix="0" xfId="2">
      <alignment horizontal="center"/>
    </xf>
    <xf numFmtId="165" fontId="26" fillId="6" borderId="0" applyAlignment="1" pivotButton="0" quotePrefix="0" xfId="2">
      <alignment horizontal="right"/>
    </xf>
    <xf numFmtId="165" fontId="26" fillId="7" borderId="0" applyAlignment="1" pivotButton="0" quotePrefix="0" xfId="2">
      <alignment horizontal="right"/>
    </xf>
    <xf numFmtId="165" fontId="24" fillId="7" borderId="0" pivotButton="0" quotePrefix="0" xfId="0"/>
    <xf numFmtId="168" fontId="24" fillId="0" borderId="0" pivotButton="0" quotePrefix="0" xfId="1"/>
    <xf numFmtId="168" fontId="25" fillId="0" borderId="0" pivotButton="0" quotePrefix="0" xfId="1"/>
    <xf numFmtId="165" fontId="24" fillId="6" borderId="0" pivotButton="0" quotePrefix="0" xfId="0"/>
    <xf numFmtId="43" fontId="24" fillId="0" borderId="0" pivotButton="0" quotePrefix="0" xfId="1"/>
    <xf numFmtId="168" fontId="24" fillId="7" borderId="0" pivotButton="0" quotePrefix="0" xfId="1"/>
    <xf numFmtId="168" fontId="24" fillId="6" borderId="0" pivotButton="0" quotePrefix="0" xfId="1"/>
    <xf numFmtId="164" fontId="24" fillId="0" borderId="0" pivotButton="0" quotePrefix="0" xfId="0"/>
    <xf numFmtId="0" fontId="0" fillId="0" borderId="43" pivotButton="0" quotePrefix="0" xfId="0"/>
    <xf numFmtId="165" fontId="24" fillId="0" borderId="0" pivotButton="0" quotePrefix="0" xfId="2"/>
    <xf numFmtId="165" fontId="24" fillId="7" borderId="0" pivotButton="0" quotePrefix="0" xfId="2"/>
    <xf numFmtId="165" fontId="24" fillId="7" borderId="43" pivotButton="0" quotePrefix="0" xfId="2"/>
    <xf numFmtId="173" fontId="24" fillId="0" borderId="0" pivotButton="0" quotePrefix="0" xfId="1"/>
    <xf numFmtId="173" fontId="24" fillId="7" borderId="0" pivotButton="0" quotePrefix="0" xfId="1"/>
    <xf numFmtId="173" fontId="24" fillId="0" borderId="43" pivotButton="0" quotePrefix="0" xfId="1"/>
    <xf numFmtId="164" fontId="0" fillId="0" borderId="0" applyProtection="1" pivotButton="0" quotePrefix="0" xfId="0">
      <protection locked="0" hidden="0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3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8" fontId="3" fillId="2" borderId="43" applyProtection="1" pivotButton="0" quotePrefix="0" xfId="1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0" fillId="0" borderId="9" applyProtection="1" pivotButton="0" quotePrefix="0" xfId="0">
      <protection locked="0" hidden="0"/>
    </xf>
    <xf numFmtId="164" fontId="3" fillId="2" borderId="43" applyProtection="1" pivotButton="0" quotePrefix="0" xfId="1">
      <protection locked="0" hidden="0"/>
    </xf>
    <xf numFmtId="164" fontId="1" fillId="3" borderId="11" pivotButton="0" quotePrefix="0" xfId="0"/>
    <xf numFmtId="164" fontId="3" fillId="3" borderId="10" pivotButton="0" quotePrefix="0" xfId="0"/>
    <xf numFmtId="174" fontId="0" fillId="0" borderId="10" applyProtection="1" pivotButton="0" quotePrefix="0" xfId="0">
      <protection locked="0" hidden="0"/>
    </xf>
    <xf numFmtId="164" fontId="3" fillId="2" borderId="10" applyProtection="1" pivotButton="0" quotePrefix="0" xfId="0">
      <protection locked="0" hidden="0"/>
    </xf>
    <xf numFmtId="174" fontId="1" fillId="0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75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3" fillId="3" borderId="11" pivotButton="0" quotePrefix="0" xfId="0"/>
    <xf numFmtId="164" fontId="2" fillId="0" borderId="9" applyAlignment="1" applyProtection="1" pivotButton="0" quotePrefix="0" xfId="0">
      <alignment vertical="center" wrapText="1"/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3" fillId="2" borderId="47" applyProtection="1" pivotButton="0" quotePrefix="0" xfId="0">
      <protection locked="0" hidden="0"/>
    </xf>
    <xf numFmtId="164" fontId="3" fillId="0" borderId="11" applyProtection="1" pivotButton="0" quotePrefix="0" xfId="0"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0" fontId="0" fillId="0" borderId="1" pivotButton="0" quotePrefix="0" xfId="0"/>
    <xf numFmtId="0" fontId="0" fillId="0" borderId="4" pivotButton="0" quotePrefix="0" xfId="0"/>
    <xf numFmtId="164" fontId="0" fillId="4" borderId="22" pivotButton="0" quotePrefix="0" xfId="0"/>
    <xf numFmtId="164" fontId="0" fillId="4" borderId="10" pivotButton="0" quotePrefix="0" xfId="0"/>
    <xf numFmtId="164" fontId="0" fillId="4" borderId="13" pivotButton="0" quotePrefix="0" xfId="0"/>
    <xf numFmtId="164" fontId="1" fillId="4" borderId="19" pivotButton="0" quotePrefix="0" xfId="0"/>
    <xf numFmtId="164" fontId="3" fillId="4" borderId="10" pivotButton="0" quotePrefix="0" xfId="0"/>
    <xf numFmtId="164" fontId="3" fillId="4" borderId="26" pivotButton="0" quotePrefix="0" xfId="0"/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164" fontId="1" fillId="4" borderId="22" pivotButton="0" quotePrefix="0" xfId="0"/>
    <xf numFmtId="164" fontId="1" fillId="4" borderId="13" pivotButton="0" quotePrefix="0" xfId="0"/>
    <xf numFmtId="0" fontId="0" fillId="0" borderId="2" pivotButton="0" quotePrefix="0" xfId="0"/>
    <xf numFmtId="0" fontId="0" fillId="0" borderId="58" pivotButton="0" quotePrefix="0" xfId="0"/>
    <xf numFmtId="0" fontId="0" fillId="0" borderId="13" pivotButton="0" quotePrefix="0" xfId="0"/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166" fontId="10" fillId="0" borderId="24" pivotButton="0" quotePrefix="0" xfId="1"/>
    <xf numFmtId="166" fontId="10" fillId="0" borderId="10" pivotButton="0" quotePrefix="0" xfId="1"/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164" fontId="10" fillId="4" borderId="0" applyAlignment="1" pivotButton="0" quotePrefix="0" xfId="0">
      <alignment vertical="center"/>
    </xf>
    <xf numFmtId="0" fontId="0" fillId="0" borderId="20" pivotButton="0" quotePrefix="0" xfId="0"/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0" fontId="0" fillId="0" borderId="17" pivotButton="0" quotePrefix="0" xfId="0"/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168" fontId="23" fillId="0" borderId="46" pivotButton="0" quotePrefix="0" xfId="1"/>
    <xf numFmtId="168" fontId="1" fillId="0" borderId="46" pivotButton="0" quotePrefix="0" xfId="1"/>
    <xf numFmtId="168" fontId="23" fillId="0" borderId="0" pivotButton="0" quotePrefix="0" xfId="1"/>
    <xf numFmtId="168" fontId="0" fillId="0" borderId="0" pivotButton="0" quotePrefix="0" xfId="0"/>
    <xf numFmtId="164" fontId="3" fillId="0" borderId="22" pivotButton="0" quotePrefix="0" xfId="0"/>
    <xf numFmtId="164" fontId="3" fillId="0" borderId="10" pivotButton="0" quotePrefix="0" xfId="0"/>
    <xf numFmtId="169" fontId="3" fillId="0" borderId="10" pivotButton="0" quotePrefix="0" xfId="0"/>
    <xf numFmtId="170" fontId="3" fillId="0" borderId="10" pivotButton="0" quotePrefix="0" xfId="0"/>
    <xf numFmtId="164" fontId="1" fillId="0" borderId="19" pivotButton="0" quotePrefix="0" xfId="0"/>
    <xf numFmtId="164" fontId="1" fillId="0" borderId="0" pivotButton="0" quotePrefix="0" xfId="0"/>
    <xf numFmtId="164" fontId="12" fillId="0" borderId="0" pivotButton="0" quotePrefix="0" xfId="0"/>
    <xf numFmtId="164" fontId="3" fillId="0" borderId="0" pivotButton="0" quotePrefix="0" xfId="0"/>
    <xf numFmtId="164" fontId="3" fillId="5" borderId="10" pivotButton="0" quotePrefix="0" xfId="0"/>
    <xf numFmtId="164" fontId="0" fillId="4" borderId="0" pivotButton="0" quotePrefix="0" xfId="0"/>
    <xf numFmtId="164" fontId="0" fillId="4" borderId="3" pivotButton="0" quotePrefix="0" xfId="0"/>
    <xf numFmtId="165" fontId="1" fillId="3" borderId="20" pivotButton="0" quotePrefix="0" xfId="0"/>
    <xf numFmtId="165" fontId="1" fillId="3" borderId="10" pivotButton="0" quotePrefix="0" xfId="0"/>
    <xf numFmtId="165" fontId="0" fillId="4" borderId="10" pivotButton="0" quotePrefix="0" xfId="0"/>
    <xf numFmtId="165" fontId="1" fillId="3" borderId="41" pivotButton="0" quotePrefix="0" xfId="0"/>
    <xf numFmtId="164" fontId="0" fillId="0" borderId="22" pivotButton="0" quotePrefix="0" xfId="0"/>
    <xf numFmtId="164" fontId="11" fillId="0" borderId="10" pivotButton="0" quotePrefix="0" xfId="0"/>
    <xf numFmtId="164" fontId="0" fillId="0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164" fontId="13" fillId="3" borderId="18" pivotButton="0" quotePrefix="0" xfId="0"/>
    <xf numFmtId="164" fontId="13" fillId="0" borderId="0" pivotButton="0" quotePrefix="0" xfId="0"/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164" fontId="0" fillId="0" borderId="20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73" fontId="23" fillId="0" borderId="0" pivotButton="0" quotePrefix="0" xfId="1"/>
    <xf numFmtId="166" fontId="23" fillId="0" borderId="0" pivotButton="0" quotePrefix="0" xfId="1"/>
    <xf numFmtId="165" fontId="23" fillId="0" borderId="0" pivotButton="0" quotePrefix="0" xfId="2"/>
    <xf numFmtId="165" fontId="1" fillId="0" borderId="0" pivotButton="0" quotePrefix="0" xfId="2"/>
    <xf numFmtId="173" fontId="1" fillId="0" borderId="0" pivotButton="0" quotePrefix="0" xfId="1"/>
  </cellXfs>
  <cellStyles count="3">
    <cellStyle name="Normal" xfId="0" builtinId="0"/>
    <cellStyle name="Comma" xfId="1" builtinId="3"/>
    <cellStyle name="Percent" xfId="2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33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4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38" sqref="D38"/>
    </sheetView>
  </sheetViews>
  <sheetFormatPr baseColWidth="8" defaultRowHeight="13.2"/>
  <cols>
    <col width="29.88671875" bestFit="1" customWidth="1" min="1" max="1"/>
    <col width="8.44140625" bestFit="1" customWidth="1" min="2" max="3"/>
    <col width="8.5546875" bestFit="1" customWidth="1" min="4" max="5"/>
    <col width="10" bestFit="1" customWidth="1" min="6" max="10"/>
    <col width="10" customWidth="1" min="11" max="11"/>
    <col hidden="1" outlineLevel="1" width="9.109375" customWidth="1" min="12" max="13"/>
    <col collapsed="1" width="9.109375" customWidth="1" min="14" max="14"/>
  </cols>
  <sheetData>
    <row r="1">
      <c r="A1" s="411">
        <f>'INPUT SHEET'!B7</f>
        <v/>
      </c>
    </row>
    <row r="3" ht="14.4" customHeight="1">
      <c r="A3" s="326" t="n"/>
      <c r="B3" s="409">
        <f>Form_IV!E8</f>
        <v/>
      </c>
      <c r="C3" s="409">
        <f>Form_IV!F8</f>
        <v/>
      </c>
      <c r="D3" s="409">
        <f>Form_IV!G8</f>
        <v/>
      </c>
      <c r="E3" s="409">
        <f>Form_IV!H8</f>
        <v/>
      </c>
      <c r="F3" s="409">
        <f>Form_IV!I8</f>
        <v/>
      </c>
      <c r="G3" s="409">
        <f>Form_IV!J8</f>
        <v/>
      </c>
      <c r="H3" s="409">
        <f>Form_IV!K8</f>
        <v/>
      </c>
      <c r="I3" s="409">
        <f>Form_IV!L8</f>
        <v/>
      </c>
      <c r="J3" s="409">
        <f>Form_IV!M8</f>
        <v/>
      </c>
      <c r="K3" s="409">
        <f>Form_IV!N8</f>
        <v/>
      </c>
      <c r="L3" s="409">
        <f>Form_IV!O8</f>
        <v/>
      </c>
      <c r="M3" s="409">
        <f>Form_IV!P8</f>
        <v/>
      </c>
    </row>
    <row r="4" ht="14.4" customHeight="1">
      <c r="A4" s="326" t="n"/>
      <c r="B4" s="409">
        <f>Form_IV!E9</f>
        <v/>
      </c>
      <c r="C4" s="409">
        <f>Form_IV!F9</f>
        <v/>
      </c>
      <c r="D4" s="409">
        <f>Form_IV!G9</f>
        <v/>
      </c>
      <c r="E4" s="409">
        <f>Form_IV!H9</f>
        <v/>
      </c>
      <c r="F4" s="409">
        <f>Form_IV!I9</f>
        <v/>
      </c>
      <c r="G4" s="409">
        <f>Form_IV!J9</f>
        <v/>
      </c>
      <c r="H4" s="409">
        <f>Form_IV!K9</f>
        <v/>
      </c>
      <c r="I4" s="409">
        <f>Form_IV!L9</f>
        <v/>
      </c>
      <c r="J4" s="409">
        <f>Form_IV!M9</f>
        <v/>
      </c>
      <c r="K4" s="409">
        <f>Form_IV!N9</f>
        <v/>
      </c>
      <c r="L4" s="409">
        <f>Form_IV!O9</f>
        <v/>
      </c>
      <c r="M4" s="409">
        <f>Form_IV!P9</f>
        <v/>
      </c>
    </row>
    <row r="5" ht="14.4" customHeight="1">
      <c r="A5" s="326" t="n"/>
      <c r="B5" s="326" t="n"/>
      <c r="C5" s="326" t="n"/>
      <c r="D5" s="326" t="n"/>
      <c r="E5" s="326" t="n"/>
      <c r="F5" s="326" t="n"/>
      <c r="G5" s="326" t="n"/>
      <c r="H5" s="326" t="n"/>
      <c r="I5" s="326" t="n"/>
      <c r="J5" s="326" t="n"/>
      <c r="K5" s="326" t="n"/>
    </row>
    <row r="6" ht="14.4" customHeight="1">
      <c r="A6" s="326" t="inlineStr">
        <is>
          <t>Increase in Sales</t>
        </is>
      </c>
      <c r="B6" s="434">
        <f>Form_II!E16</f>
        <v/>
      </c>
      <c r="C6" s="435">
        <f>Form_II!F16</f>
        <v/>
      </c>
      <c r="D6" s="435">
        <f>Form_II!G16</f>
        <v/>
      </c>
      <c r="E6" s="435">
        <f>Form_II!H16</f>
        <v/>
      </c>
      <c r="F6" s="435">
        <f>Form_II!I16</f>
        <v/>
      </c>
      <c r="G6" s="436">
        <f>Form_II!J16</f>
        <v/>
      </c>
      <c r="H6" s="436">
        <f>Form_II!K16</f>
        <v/>
      </c>
      <c r="I6" s="436">
        <f>Form_II!L16</f>
        <v/>
      </c>
      <c r="J6" s="436">
        <f>Form_II!M16</f>
        <v/>
      </c>
      <c r="K6" s="436">
        <f>Form_II!N16</f>
        <v/>
      </c>
      <c r="L6" s="437" t="n"/>
      <c r="M6" s="437" t="n"/>
    </row>
    <row r="7" ht="14.4" customHeight="1">
      <c r="A7" s="326" t="inlineStr">
        <is>
          <t>Domestic Sales</t>
        </is>
      </c>
      <c r="B7" s="438">
        <f>'INPUT SHEET'!B22</f>
        <v/>
      </c>
      <c r="C7" s="438">
        <f>'INPUT SHEET'!C22</f>
        <v/>
      </c>
      <c r="D7" s="438">
        <f>'INPUT SHEET'!D22</f>
        <v/>
      </c>
      <c r="E7" s="438">
        <f>'INPUT SHEET'!E22</f>
        <v/>
      </c>
      <c r="F7" s="438">
        <f>'INPUT SHEET'!F22</f>
        <v/>
      </c>
      <c r="G7" s="438">
        <f>'INPUT SHEET'!G22</f>
        <v/>
      </c>
      <c r="H7" s="438">
        <f>'INPUT SHEET'!H22</f>
        <v/>
      </c>
      <c r="I7" s="438">
        <f>'INPUT SHEET'!I22</f>
        <v/>
      </c>
      <c r="J7" s="438">
        <f>'INPUT SHEET'!J22</f>
        <v/>
      </c>
      <c r="K7" s="438">
        <f>'INPUT SHEET'!K22</f>
        <v/>
      </c>
      <c r="L7" s="438">
        <f>'INPUT SHEET'!L22</f>
        <v/>
      </c>
      <c r="M7" s="438">
        <f>'INPUT SHEET'!M22</f>
        <v/>
      </c>
    </row>
    <row r="8" ht="14.4" customHeight="1">
      <c r="A8" s="326" t="inlineStr">
        <is>
          <t>Export Sales</t>
        </is>
      </c>
      <c r="B8" s="438">
        <f>'INPUT SHEET'!B23</f>
        <v/>
      </c>
      <c r="C8" s="438">
        <f>'INPUT SHEET'!C23</f>
        <v/>
      </c>
      <c r="D8" s="438">
        <f>'INPUT SHEET'!D23</f>
        <v/>
      </c>
      <c r="E8" s="438">
        <f>'INPUT SHEET'!E23</f>
        <v/>
      </c>
      <c r="F8" s="438">
        <f>'INPUT SHEET'!F23</f>
        <v/>
      </c>
      <c r="G8" s="438">
        <f>'INPUT SHEET'!G23</f>
        <v/>
      </c>
      <c r="H8" s="438">
        <f>'INPUT SHEET'!H23</f>
        <v/>
      </c>
      <c r="I8" s="438">
        <f>'INPUT SHEET'!I23</f>
        <v/>
      </c>
      <c r="J8" s="438">
        <f>'INPUT SHEET'!J23</f>
        <v/>
      </c>
      <c r="K8" s="438">
        <f>'INPUT SHEET'!K23</f>
        <v/>
      </c>
      <c r="L8" s="438">
        <f>'INPUT SHEET'!L23</f>
        <v/>
      </c>
      <c r="M8" s="438">
        <f>'INPUT SHEET'!M23</f>
        <v/>
      </c>
    </row>
    <row r="9" ht="14.4" customHeight="1">
      <c r="A9" s="332" t="inlineStr">
        <is>
          <t>Total Sales</t>
        </is>
      </c>
      <c r="B9" s="438">
        <f>B7+B8</f>
        <v/>
      </c>
      <c r="C9" s="438">
        <f>C7+C8</f>
        <v/>
      </c>
      <c r="D9" s="438">
        <f>D7+D8</f>
        <v/>
      </c>
      <c r="E9" s="438">
        <f>E7+E8</f>
        <v/>
      </c>
      <c r="F9" s="438">
        <f>F7+F8</f>
        <v/>
      </c>
      <c r="G9" s="438">
        <f>G7+G8</f>
        <v/>
      </c>
      <c r="H9" s="438">
        <f>H7+H8</f>
        <v/>
      </c>
      <c r="I9" s="438">
        <f>I7+I8</f>
        <v/>
      </c>
      <c r="J9" s="438">
        <f>J7+J8</f>
        <v/>
      </c>
      <c r="K9" s="438">
        <f>K7+K8</f>
        <v/>
      </c>
      <c r="L9" s="438">
        <f>L7+L8</f>
        <v/>
      </c>
      <c r="M9" s="438">
        <f>M7+M8</f>
        <v/>
      </c>
    </row>
    <row r="10" ht="14.4" customHeight="1">
      <c r="A10" s="326" t="inlineStr">
        <is>
          <t>Less: Excise duty</t>
        </is>
      </c>
      <c r="B10" s="438">
        <f>'INPUT SHEET'!B25</f>
        <v/>
      </c>
      <c r="C10" s="438">
        <f>'INPUT SHEET'!C25</f>
        <v/>
      </c>
      <c r="D10" s="438">
        <f>'INPUT SHEET'!D25</f>
        <v/>
      </c>
      <c r="E10" s="438">
        <f>'INPUT SHEET'!E25</f>
        <v/>
      </c>
      <c r="F10" s="438">
        <f>'INPUT SHEET'!F25</f>
        <v/>
      </c>
      <c r="G10" s="438">
        <f>'INPUT SHEET'!G25</f>
        <v/>
      </c>
      <c r="H10" s="438">
        <f>'INPUT SHEET'!H25</f>
        <v/>
      </c>
      <c r="I10" s="438">
        <f>'INPUT SHEET'!I25</f>
        <v/>
      </c>
      <c r="J10" s="438">
        <f>'INPUT SHEET'!J25</f>
        <v/>
      </c>
      <c r="K10" s="438">
        <f>'INPUT SHEET'!K25</f>
        <v/>
      </c>
      <c r="L10" s="438">
        <f>'INPUT SHEET'!L25</f>
        <v/>
      </c>
      <c r="M10" s="438">
        <f>'INPUT SHEET'!M25</f>
        <v/>
      </c>
    </row>
    <row r="11" ht="14.4" customHeight="1">
      <c r="A11" s="332" t="inlineStr">
        <is>
          <t>Net Sales</t>
        </is>
      </c>
      <c r="B11" s="439">
        <f>B9-B10</f>
        <v/>
      </c>
      <c r="C11" s="439">
        <f>C9-C10</f>
        <v/>
      </c>
      <c r="D11" s="439">
        <f>D9-D10</f>
        <v/>
      </c>
      <c r="E11" s="439">
        <f>E9-E10</f>
        <v/>
      </c>
      <c r="F11" s="439">
        <f>F9-F10</f>
        <v/>
      </c>
      <c r="G11" s="439">
        <f>G9-G10</f>
        <v/>
      </c>
      <c r="H11" s="439">
        <f>H9-H10</f>
        <v/>
      </c>
      <c r="I11" s="439">
        <f>I9-I10</f>
        <v/>
      </c>
      <c r="J11" s="439">
        <f>J9-J10</f>
        <v/>
      </c>
      <c r="K11" s="439">
        <f>K9-K10</f>
        <v/>
      </c>
      <c r="L11" s="439">
        <f>L9-L10</f>
        <v/>
      </c>
      <c r="M11" s="439">
        <f>M9-M10</f>
        <v/>
      </c>
    </row>
    <row r="12" ht="14.4" customHeight="1">
      <c r="A12" s="326" t="n"/>
      <c r="B12" s="326" t="n"/>
      <c r="C12" s="326" t="n"/>
      <c r="D12" s="326" t="n"/>
      <c r="E12" s="326" t="n"/>
      <c r="F12" s="326" t="n"/>
      <c r="G12" s="326" t="n"/>
      <c r="H12" s="326" t="n"/>
      <c r="I12" s="326" t="n"/>
      <c r="J12" s="326" t="n"/>
      <c r="K12" s="326" t="n"/>
      <c r="L12" s="326" t="n"/>
      <c r="M12" s="326" t="n"/>
    </row>
    <row r="13" ht="14.4" customHeight="1">
      <c r="A13" s="326" t="inlineStr">
        <is>
          <t>Proposed EBIDTA %</t>
        </is>
      </c>
      <c r="B13" s="334" t="n"/>
      <c r="C13" s="334" t="n"/>
      <c r="D13" s="334" t="n"/>
      <c r="E13" s="334" t="n">
        <v>0</v>
      </c>
      <c r="F13" s="437" t="n"/>
      <c r="G13" s="437" t="n">
        <v>0</v>
      </c>
      <c r="H13" s="437" t="n">
        <v>0</v>
      </c>
      <c r="I13" s="437">
        <f>H13</f>
        <v/>
      </c>
      <c r="J13" s="437">
        <f>I13</f>
        <v/>
      </c>
      <c r="K13" s="437" t="n">
        <v>0</v>
      </c>
      <c r="L13" s="335" t="n">
        <v>0.25</v>
      </c>
      <c r="M13" s="335" t="n">
        <v>0.25</v>
      </c>
    </row>
    <row r="14" ht="14.4" customHeight="1">
      <c r="A14" s="326" t="inlineStr">
        <is>
          <t>EBIDTA %</t>
        </is>
      </c>
      <c r="B14" s="336">
        <f>'Key Financials'!C9</f>
        <v/>
      </c>
      <c r="C14" s="336">
        <f>'Key Financials'!D9</f>
        <v/>
      </c>
      <c r="D14" s="336">
        <f>'Key Financials'!E9</f>
        <v/>
      </c>
      <c r="E14" s="336">
        <f>'Key Financials'!F9</f>
        <v/>
      </c>
      <c r="F14" s="440">
        <f>'Key Financials'!G9</f>
        <v/>
      </c>
      <c r="G14" s="440">
        <f>'Key Financials'!H9</f>
        <v/>
      </c>
      <c r="H14" s="440">
        <f>'Key Financials'!I9</f>
        <v/>
      </c>
      <c r="I14" s="440">
        <f>'Key Financials'!J9</f>
        <v/>
      </c>
      <c r="J14" s="336">
        <f>'Key Financials'!K9</f>
        <v/>
      </c>
      <c r="K14" s="336">
        <f>'Key Financials'!L9</f>
        <v/>
      </c>
      <c r="L14" s="336">
        <f>'Key Financials'!M9</f>
        <v/>
      </c>
      <c r="M14" s="336">
        <f>'Key Financials'!N9</f>
        <v/>
      </c>
    </row>
    <row r="15" ht="14.4" customHeight="1">
      <c r="A15" s="326" t="inlineStr">
        <is>
          <t>Add to Expense</t>
        </is>
      </c>
      <c r="B15" s="326" t="n"/>
      <c r="C15" s="441" t="n"/>
      <c r="D15" s="441" t="n"/>
      <c r="E15" s="441" t="n"/>
      <c r="F15" s="441">
        <f>F11*(F14-F13)</f>
        <v/>
      </c>
      <c r="G15" s="441">
        <f>G11*(G14-G13)</f>
        <v/>
      </c>
      <c r="H15" s="441">
        <f>H11*(H14-H13)</f>
        <v/>
      </c>
      <c r="I15" s="441">
        <f>I11*(I14-I13)</f>
        <v/>
      </c>
      <c r="J15" s="441">
        <f>J11*(J14-J13)</f>
        <v/>
      </c>
      <c r="K15" s="441">
        <f>K11*(K14-K13)</f>
        <v/>
      </c>
      <c r="L15" s="441">
        <f>L11*(L14-L13)</f>
        <v/>
      </c>
      <c r="M15" s="441">
        <f>M11*(M14-M13)</f>
        <v/>
      </c>
    </row>
    <row r="16" ht="14.4" customHeight="1">
      <c r="A16" s="326" t="n"/>
      <c r="B16" s="326" t="n"/>
      <c r="C16" s="326" t="n"/>
      <c r="D16" s="326" t="n"/>
      <c r="E16" s="326" t="n"/>
      <c r="F16" s="326" t="n"/>
      <c r="G16" s="326" t="n"/>
      <c r="H16" s="326" t="n"/>
      <c r="I16" s="326" t="n"/>
      <c r="J16" s="326" t="n"/>
      <c r="K16" s="326" t="n"/>
    </row>
    <row r="17" ht="14.4" customHeight="1">
      <c r="A17" s="326" t="inlineStr">
        <is>
          <t>RM - Indigenous in months</t>
        </is>
      </c>
      <c r="B17" s="438" t="n"/>
      <c r="C17" s="438" t="n"/>
      <c r="D17" s="438" t="n"/>
      <c r="E17" s="438" t="n"/>
      <c r="F17" s="442" t="n"/>
      <c r="G17" s="442" t="n">
        <v>0</v>
      </c>
      <c r="H17" s="442">
        <f>G17</f>
        <v/>
      </c>
      <c r="I17" s="442">
        <f>H17</f>
        <v/>
      </c>
      <c r="J17" s="442">
        <f>I17</f>
        <v/>
      </c>
      <c r="K17" s="442">
        <f>J17</f>
        <v/>
      </c>
      <c r="L17" s="442">
        <f>K17</f>
        <v/>
      </c>
      <c r="M17" s="442">
        <f>L17</f>
        <v/>
      </c>
    </row>
    <row r="18" ht="14.4" customHeight="1">
      <c r="A18" s="326" t="inlineStr">
        <is>
          <t>As per Form IV</t>
        </is>
      </c>
      <c r="B18" s="443">
        <f>Form_IV!E15</f>
        <v/>
      </c>
      <c r="C18" s="443">
        <f>Form_IV!F15</f>
        <v/>
      </c>
      <c r="D18" s="443">
        <f>Form_IV!G15</f>
        <v/>
      </c>
      <c r="E18" s="443">
        <f>Form_IV!H15</f>
        <v/>
      </c>
      <c r="F18" s="443">
        <f>Form_IV!I15</f>
        <v/>
      </c>
      <c r="G18" s="443">
        <f>Form_IV!J15</f>
        <v/>
      </c>
      <c r="H18" s="443">
        <f>Form_IV!K15</f>
        <v/>
      </c>
      <c r="I18" s="443">
        <f>Form_IV!L15</f>
        <v/>
      </c>
      <c r="J18" s="443">
        <f>Form_IV!M15</f>
        <v/>
      </c>
      <c r="K18" s="443">
        <f>Form_IV!N15</f>
        <v/>
      </c>
      <c r="L18" s="443">
        <f>Form_IV!O15</f>
        <v/>
      </c>
      <c r="M18" s="443">
        <f>Form_IV!P15</f>
        <v/>
      </c>
    </row>
    <row r="19" ht="14.4" customHeight="1">
      <c r="A19" s="326" t="n"/>
      <c r="B19" s="438" t="n"/>
      <c r="C19" s="438" t="n"/>
      <c r="D19" s="438" t="n"/>
      <c r="E19" s="438" t="n"/>
      <c r="F19" s="438" t="n"/>
      <c r="G19" s="438" t="n"/>
      <c r="H19" s="438" t="n"/>
      <c r="I19" s="438" t="n"/>
      <c r="J19" s="438" t="n"/>
      <c r="K19" s="438" t="n"/>
    </row>
    <row r="20" ht="14.4" customHeight="1">
      <c r="A20" s="326" t="inlineStr">
        <is>
          <t>WIP in months</t>
        </is>
      </c>
      <c r="B20" s="438" t="n"/>
      <c r="C20" s="438" t="n"/>
      <c r="D20" s="438" t="n"/>
      <c r="E20" s="438" t="n"/>
      <c r="F20" s="442" t="n">
        <v>0</v>
      </c>
      <c r="G20" s="442" t="n">
        <v>0</v>
      </c>
      <c r="H20" s="442" t="n">
        <v>0</v>
      </c>
      <c r="I20" s="442" t="n">
        <v>0</v>
      </c>
      <c r="J20" s="442">
        <f>I20</f>
        <v/>
      </c>
      <c r="K20" s="442">
        <f>J20</f>
        <v/>
      </c>
      <c r="L20" s="442">
        <f>K20</f>
        <v/>
      </c>
      <c r="M20" s="442">
        <f>L20</f>
        <v/>
      </c>
    </row>
    <row r="21" ht="14.4" customHeight="1">
      <c r="A21" s="326" t="inlineStr">
        <is>
          <t>As per Form IV</t>
        </is>
      </c>
      <c r="B21" s="443">
        <f>Form_IV!E22</f>
        <v/>
      </c>
      <c r="C21" s="443">
        <f>Form_IV!F22</f>
        <v/>
      </c>
      <c r="D21" s="443">
        <f>Form_IV!G22</f>
        <v/>
      </c>
      <c r="E21" s="443">
        <f>Form_IV!H22</f>
        <v/>
      </c>
      <c r="F21" s="443">
        <f>Form_IV!I22</f>
        <v/>
      </c>
      <c r="G21" s="443">
        <f>Form_IV!J22</f>
        <v/>
      </c>
      <c r="H21" s="443">
        <f>Form_IV!K22</f>
        <v/>
      </c>
      <c r="I21" s="443">
        <f>Form_IV!L22</f>
        <v/>
      </c>
      <c r="J21" s="443">
        <f>Form_IV!M22</f>
        <v/>
      </c>
      <c r="K21" s="443">
        <f>Form_IV!N22</f>
        <v/>
      </c>
      <c r="L21" s="443">
        <f>Form_IV!O22</f>
        <v/>
      </c>
      <c r="M21" s="443">
        <f>Form_IV!P22</f>
        <v/>
      </c>
    </row>
    <row r="22" ht="14.4" customHeight="1">
      <c r="A22" s="326" t="n"/>
      <c r="B22" s="438" t="n"/>
      <c r="C22" s="438" t="n"/>
      <c r="D22" s="438" t="n"/>
      <c r="E22" s="438" t="n"/>
      <c r="F22" s="438" t="n"/>
      <c r="G22" s="438" t="n"/>
      <c r="H22" s="438" t="n"/>
      <c r="I22" s="438" t="n"/>
      <c r="J22" s="438" t="n"/>
      <c r="K22" s="438" t="n"/>
    </row>
    <row r="23" ht="14.4" customHeight="1">
      <c r="A23" s="326" t="inlineStr">
        <is>
          <t>FG in months</t>
        </is>
      </c>
      <c r="B23" s="438" t="n"/>
      <c r="C23" s="438" t="n"/>
      <c r="D23" s="438" t="n"/>
      <c r="E23" s="438" t="n"/>
      <c r="F23" s="442" t="n">
        <v>0</v>
      </c>
      <c r="G23" s="442" t="n">
        <v>0</v>
      </c>
      <c r="H23" s="442" t="n">
        <v>0</v>
      </c>
      <c r="I23" s="442" t="n">
        <v>0</v>
      </c>
      <c r="J23" s="442">
        <f>I23</f>
        <v/>
      </c>
      <c r="K23" s="442">
        <f>J23</f>
        <v/>
      </c>
      <c r="L23" s="442">
        <f>K23</f>
        <v/>
      </c>
      <c r="M23" s="442">
        <f>L23</f>
        <v/>
      </c>
    </row>
    <row r="24" ht="14.4" customHeight="1">
      <c r="A24" s="326" t="inlineStr">
        <is>
          <t>As per Form IV</t>
        </is>
      </c>
      <c r="B24" s="443">
        <f>Form_IV!E24</f>
        <v/>
      </c>
      <c r="C24" s="443">
        <f>Form_IV!F24</f>
        <v/>
      </c>
      <c r="D24" s="443">
        <f>Form_IV!G24</f>
        <v/>
      </c>
      <c r="E24" s="443">
        <f>Form_IV!H24</f>
        <v/>
      </c>
      <c r="F24" s="443">
        <f>Form_IV!I24</f>
        <v/>
      </c>
      <c r="G24" s="443">
        <f>Form_IV!J24</f>
        <v/>
      </c>
      <c r="H24" s="443">
        <f>Form_IV!K24</f>
        <v/>
      </c>
      <c r="I24" s="443">
        <f>Form_IV!L24</f>
        <v/>
      </c>
      <c r="J24" s="443">
        <f>Form_IV!M24</f>
        <v/>
      </c>
      <c r="K24" s="443">
        <f>Form_IV!N24</f>
        <v/>
      </c>
      <c r="L24" s="443">
        <f>Form_IV!O24</f>
        <v/>
      </c>
      <c r="M24" s="443">
        <f>Form_IV!P24</f>
        <v/>
      </c>
    </row>
    <row r="25" ht="14.4" customHeight="1">
      <c r="A25" s="326" t="n"/>
      <c r="B25" s="438" t="n"/>
      <c r="C25" s="438" t="n"/>
      <c r="D25" s="438" t="n"/>
      <c r="E25" s="438" t="n"/>
      <c r="F25" s="438" t="n"/>
      <c r="G25" s="438" t="n"/>
      <c r="H25" s="438" t="n"/>
      <c r="I25" s="438" t="n"/>
      <c r="J25" s="438" t="n"/>
      <c r="K25" s="438" t="n"/>
      <c r="L25" s="438" t="n"/>
      <c r="M25" s="438" t="n"/>
    </row>
    <row r="26" ht="14.4" customHeight="1">
      <c r="A26" s="326" t="inlineStr">
        <is>
          <t>Domestic receivables in months</t>
        </is>
      </c>
      <c r="B26" s="334" t="n"/>
      <c r="C26" s="334" t="n"/>
      <c r="D26" s="334" t="n"/>
      <c r="E26" s="334" t="n"/>
      <c r="F26" s="442" t="n">
        <v>0</v>
      </c>
      <c r="G26" s="442">
        <f>F26</f>
        <v/>
      </c>
      <c r="H26" s="442">
        <f>G26</f>
        <v/>
      </c>
      <c r="I26" s="442">
        <f>H26</f>
        <v/>
      </c>
      <c r="J26" s="442">
        <f>I26</f>
        <v/>
      </c>
      <c r="K26" s="442">
        <f>J26</f>
        <v/>
      </c>
      <c r="L26" s="442">
        <f>K26</f>
        <v/>
      </c>
      <c r="M26" s="442">
        <f>L26</f>
        <v/>
      </c>
    </row>
    <row r="27" ht="14.4" customHeight="1">
      <c r="A27" s="326" t="inlineStr">
        <is>
          <t>As per Form IV</t>
        </is>
      </c>
      <c r="B27" s="443">
        <f>Form_IV!E26</f>
        <v/>
      </c>
      <c r="C27" s="443">
        <f>Form_IV!F26</f>
        <v/>
      </c>
      <c r="D27" s="443">
        <f>Form_IV!G26</f>
        <v/>
      </c>
      <c r="E27" s="443">
        <f>Form_IV!H26</f>
        <v/>
      </c>
      <c r="F27" s="443">
        <f>Form_IV!I26</f>
        <v/>
      </c>
      <c r="G27" s="443">
        <f>Form_IV!J26</f>
        <v/>
      </c>
      <c r="H27" s="443">
        <f>Form_IV!K26</f>
        <v/>
      </c>
      <c r="I27" s="443">
        <f>Form_IV!L26</f>
        <v/>
      </c>
      <c r="J27" s="443">
        <f>Form_IV!M26</f>
        <v/>
      </c>
      <c r="K27" s="443">
        <f>Form_IV!N26</f>
        <v/>
      </c>
      <c r="L27" s="443">
        <f>Form_IV!O26</f>
        <v/>
      </c>
      <c r="M27" s="443">
        <f>Form_IV!P26</f>
        <v/>
      </c>
    </row>
    <row r="28" ht="14.4" customHeight="1">
      <c r="A28" s="326" t="n"/>
      <c r="B28" s="438" t="n"/>
      <c r="C28" s="438" t="n"/>
      <c r="D28" s="438" t="n"/>
      <c r="E28" s="438" t="n"/>
      <c r="F28" s="438" t="n"/>
      <c r="G28" s="438" t="n"/>
      <c r="H28" s="438" t="n"/>
      <c r="I28" s="438" t="n"/>
      <c r="J28" s="438" t="n"/>
      <c r="K28" s="438" t="n"/>
      <c r="L28" s="438" t="n"/>
      <c r="M28" s="438" t="n"/>
    </row>
    <row r="29" ht="14.4" customHeight="1">
      <c r="A29" s="326" t="inlineStr">
        <is>
          <t>Export receivables in months</t>
        </is>
      </c>
      <c r="B29" s="334" t="n"/>
      <c r="C29" s="334" t="n"/>
      <c r="D29" s="334" t="n"/>
      <c r="E29" s="334" t="n"/>
      <c r="F29" s="442" t="n"/>
      <c r="G29" s="442" t="n"/>
      <c r="H29" s="442" t="n"/>
      <c r="I29" s="442" t="n"/>
      <c r="J29" s="442" t="n"/>
      <c r="K29" s="442" t="n"/>
      <c r="L29" s="442" t="n"/>
      <c r="M29" s="442" t="n"/>
    </row>
    <row r="30" ht="14.4" customHeight="1">
      <c r="A30" s="326" t="inlineStr">
        <is>
          <t>As per Form IV</t>
        </is>
      </c>
      <c r="B30" s="443">
        <f>Form_IV!E28</f>
        <v/>
      </c>
      <c r="C30" s="443">
        <f>Form_IV!F28</f>
        <v/>
      </c>
      <c r="D30" s="443">
        <f>Form_IV!G28</f>
        <v/>
      </c>
      <c r="E30" s="443">
        <f>Form_IV!H28</f>
        <v/>
      </c>
      <c r="F30" s="443">
        <f>Form_IV!I28</f>
        <v/>
      </c>
      <c r="G30" s="443">
        <f>Form_IV!J28</f>
        <v/>
      </c>
      <c r="H30" s="443">
        <f>Form_IV!K28</f>
        <v/>
      </c>
      <c r="I30" s="443">
        <f>Form_IV!L28</f>
        <v/>
      </c>
      <c r="J30" s="443">
        <f>Form_IV!M28</f>
        <v/>
      </c>
      <c r="K30" s="443">
        <f>Form_IV!N28</f>
        <v/>
      </c>
      <c r="L30" s="443">
        <f>Form_IV!O28</f>
        <v/>
      </c>
      <c r="M30" s="443">
        <f>Form_IV!P28</f>
        <v/>
      </c>
    </row>
    <row r="31" ht="14.4" customHeight="1">
      <c r="A31" s="326" t="n"/>
      <c r="B31" s="438" t="n"/>
      <c r="C31" s="438" t="n"/>
      <c r="D31" s="438" t="n"/>
      <c r="E31" s="438" t="n"/>
      <c r="F31" s="438" t="n"/>
      <c r="G31" s="438" t="n"/>
      <c r="H31" s="438" t="n"/>
      <c r="I31" s="438" t="n"/>
      <c r="J31" s="438" t="n"/>
      <c r="K31" s="438" t="n"/>
      <c r="L31" s="438" t="n"/>
      <c r="M31" s="438" t="n"/>
    </row>
    <row r="32" ht="14.4" customHeight="1">
      <c r="A32" s="326" t="inlineStr">
        <is>
          <t>Sundry Creditors in months</t>
        </is>
      </c>
      <c r="B32" s="334" t="n"/>
      <c r="C32" s="334" t="n"/>
      <c r="D32" s="334" t="n"/>
      <c r="E32" s="334" t="n"/>
      <c r="F32" s="442" t="n">
        <v>0</v>
      </c>
      <c r="G32" s="442" t="n">
        <v>0</v>
      </c>
      <c r="H32" s="442" t="n">
        <v>0</v>
      </c>
      <c r="I32" s="442" t="n">
        <v>0</v>
      </c>
      <c r="J32" s="442" t="n">
        <v>0</v>
      </c>
      <c r="K32" s="442">
        <f>J32</f>
        <v/>
      </c>
      <c r="L32" s="442">
        <f>K32</f>
        <v/>
      </c>
      <c r="M32" s="442">
        <f>L32</f>
        <v/>
      </c>
    </row>
    <row r="33" ht="14.4" customHeight="1">
      <c r="A33" s="326" t="inlineStr">
        <is>
          <t>As per Form IV</t>
        </is>
      </c>
      <c r="B33" s="443">
        <f>Form_IV!E51</f>
        <v/>
      </c>
      <c r="C33" s="443">
        <f>Form_IV!F51</f>
        <v/>
      </c>
      <c r="D33" s="443">
        <f>Form_IV!G51</f>
        <v/>
      </c>
      <c r="E33" s="443">
        <f>Form_IV!H51</f>
        <v/>
      </c>
      <c r="F33" s="443">
        <f>Form_IV!I51</f>
        <v/>
      </c>
      <c r="G33" s="443">
        <f>Form_IV!J51</f>
        <v/>
      </c>
      <c r="H33" s="443">
        <f>Form_IV!K51</f>
        <v/>
      </c>
      <c r="I33" s="443">
        <f>Form_IV!L51</f>
        <v/>
      </c>
      <c r="J33" s="443">
        <f>Form_IV!M51</f>
        <v/>
      </c>
      <c r="K33" s="443">
        <f>Form_IV!N51</f>
        <v/>
      </c>
      <c r="L33" s="443">
        <f>Form_IV!O51</f>
        <v/>
      </c>
      <c r="M33" s="443">
        <f>Form_IV!P51</f>
        <v/>
      </c>
    </row>
    <row r="34" ht="14.4" customHeight="1">
      <c r="A34" s="326" t="n"/>
      <c r="B34" s="326" t="n"/>
      <c r="C34" s="326" t="n"/>
      <c r="D34" s="326" t="n"/>
      <c r="E34" s="326" t="n"/>
      <c r="F34" s="326" t="n"/>
      <c r="G34" s="326" t="n"/>
      <c r="H34" s="326" t="n"/>
      <c r="I34" s="326" t="n"/>
      <c r="J34" s="326" t="n"/>
      <c r="K34" s="326" t="n"/>
      <c r="L34" s="326" t="n"/>
      <c r="M34" s="326" t="n"/>
    </row>
    <row r="35" ht="14.4" customHeight="1">
      <c r="A35" s="326" t="inlineStr">
        <is>
          <t>Excess borrowings</t>
        </is>
      </c>
      <c r="B35" s="444">
        <f>Form_V!E30-'Key Financials'!C24</f>
        <v/>
      </c>
      <c r="C35" s="444">
        <f>Form_V!F30-'Key Financials'!D24</f>
        <v/>
      </c>
      <c r="D35" s="444">
        <f>Form_V!G30-'Key Financials'!E24</f>
        <v/>
      </c>
      <c r="E35" s="444">
        <f>Form_V!H30-'Key Financials'!F24</f>
        <v/>
      </c>
      <c r="F35" s="444">
        <f>Form_V!I30-'Key Financials'!G24</f>
        <v/>
      </c>
      <c r="G35" s="444">
        <f>Form_V!J30-'Key Financials'!H24</f>
        <v/>
      </c>
      <c r="H35" s="444">
        <f>Form_V!K30-'Key Financials'!I24</f>
        <v/>
      </c>
      <c r="I35" s="444">
        <f>Form_V!L30-'Key Financials'!J24</f>
        <v/>
      </c>
      <c r="J35" s="444">
        <f>Form_V!M30-'Key Financials'!K24</f>
        <v/>
      </c>
      <c r="K35" s="444">
        <f>Form_V!N30-'Key Financials'!L24</f>
        <v/>
      </c>
      <c r="L35" s="444">
        <f>Form_V!O30-'Key Financials'!M24</f>
        <v/>
      </c>
      <c r="M35" s="444">
        <f>Form_V!P30-'Key Financials'!N24</f>
        <v/>
      </c>
    </row>
    <row r="36" ht="14.4" customHeight="1">
      <c r="A36" s="326" t="n"/>
      <c r="B36" s="326" t="n"/>
      <c r="C36" s="326" t="n"/>
      <c r="D36" s="326" t="n"/>
      <c r="E36" s="326" t="n"/>
      <c r="F36" s="326" t="n"/>
      <c r="G36" s="326" t="n"/>
      <c r="H36" s="326" t="n"/>
      <c r="I36" s="326" t="n"/>
      <c r="J36" s="326" t="n"/>
      <c r="K36" s="326" t="n"/>
      <c r="L36" s="326" t="n"/>
      <c r="M36" s="326" t="n"/>
    </row>
    <row r="37" ht="14.4" customHeight="1">
      <c r="A37" s="341" t="inlineStr">
        <is>
          <t>Balance sheet tallying</t>
        </is>
      </c>
      <c r="B37" s="326" t="n"/>
      <c r="C37" s="326" t="n"/>
      <c r="D37" s="326" t="n"/>
      <c r="E37" s="326" t="n"/>
      <c r="F37" s="326" t="n"/>
      <c r="G37" s="326" t="n"/>
      <c r="H37" s="326" t="n"/>
      <c r="I37" s="326" t="n"/>
      <c r="J37" s="326" t="n"/>
      <c r="K37" s="326" t="n"/>
      <c r="L37" s="326" t="n"/>
      <c r="M37" s="326" t="n"/>
    </row>
    <row r="38" ht="14.4" customHeight="1">
      <c r="A38" s="326" t="inlineStr">
        <is>
          <t>Total Assets</t>
        </is>
      </c>
      <c r="B38" s="438">
        <f>'INPUT SHEET'!B260</f>
        <v/>
      </c>
      <c r="C38" s="438">
        <f>'INPUT SHEET'!C260</f>
        <v/>
      </c>
      <c r="D38" s="438">
        <f>'INPUT SHEET'!D260</f>
        <v/>
      </c>
      <c r="E38" s="438">
        <f>'INPUT SHEET'!E260</f>
        <v/>
      </c>
      <c r="F38" s="438">
        <f>'INPUT SHEET'!F260</f>
        <v/>
      </c>
      <c r="G38" s="438">
        <f>'INPUT SHEET'!G260</f>
        <v/>
      </c>
      <c r="H38" s="438">
        <f>'INPUT SHEET'!H260</f>
        <v/>
      </c>
      <c r="I38" s="438">
        <f>'INPUT SHEET'!I260</f>
        <v/>
      </c>
      <c r="J38" s="438">
        <f>'INPUT SHEET'!J260</f>
        <v/>
      </c>
      <c r="K38" s="438">
        <f>'INPUT SHEET'!K260</f>
        <v/>
      </c>
      <c r="L38" s="438">
        <f>'INPUT SHEET'!L260</f>
        <v/>
      </c>
      <c r="M38" s="438">
        <f>'INPUT SHEET'!M260</f>
        <v/>
      </c>
    </row>
    <row r="39" ht="14.4" customHeight="1">
      <c r="A39" s="326" t="inlineStr">
        <is>
          <t>Total Liabilities</t>
        </is>
      </c>
      <c r="B39" s="438">
        <f>'INPUT SHEET'!B261</f>
        <v/>
      </c>
      <c r="C39" s="438">
        <f>'INPUT SHEET'!C261</f>
        <v/>
      </c>
      <c r="D39" s="438">
        <f>'INPUT SHEET'!D261</f>
        <v/>
      </c>
      <c r="E39" s="438">
        <f>'INPUT SHEET'!E261</f>
        <v/>
      </c>
      <c r="F39" s="438">
        <f>'INPUT SHEET'!F261</f>
        <v/>
      </c>
      <c r="G39" s="438">
        <f>'INPUT SHEET'!G261</f>
        <v/>
      </c>
      <c r="H39" s="438">
        <f>'INPUT SHEET'!H261</f>
        <v/>
      </c>
      <c r="I39" s="438">
        <f>'INPUT SHEET'!I261</f>
        <v/>
      </c>
      <c r="J39" s="438">
        <f>'INPUT SHEET'!J261</f>
        <v/>
      </c>
      <c r="K39" s="438">
        <f>'INPUT SHEET'!K261</f>
        <v/>
      </c>
      <c r="L39" s="438">
        <f>'INPUT SHEET'!L261</f>
        <v/>
      </c>
      <c r="M39" s="438">
        <f>'INPUT SHEET'!M261</f>
        <v/>
      </c>
    </row>
    <row r="40" ht="14.4" customHeight="1">
      <c r="A40" s="342" t="inlineStr">
        <is>
          <t>Difference</t>
        </is>
      </c>
      <c r="B40" s="438">
        <f>'INPUT SHEET'!B262</f>
        <v/>
      </c>
      <c r="C40" s="438">
        <f>'INPUT SHEET'!C262</f>
        <v/>
      </c>
      <c r="D40" s="438">
        <f>'INPUT SHEET'!D262</f>
        <v/>
      </c>
      <c r="E40" s="438">
        <f>'INPUT SHEET'!E262</f>
        <v/>
      </c>
      <c r="F40" s="438">
        <f>'INPUT SHEET'!F262</f>
        <v/>
      </c>
      <c r="G40" s="438">
        <f>'INPUT SHEET'!G262</f>
        <v/>
      </c>
      <c r="H40" s="438">
        <f>'INPUT SHEET'!H262</f>
        <v/>
      </c>
      <c r="I40" s="438">
        <f>'INPUT SHEET'!I262</f>
        <v/>
      </c>
      <c r="J40" s="438">
        <f>'INPUT SHEET'!J262</f>
        <v/>
      </c>
      <c r="K40" s="438">
        <f>'INPUT SHEET'!K262</f>
        <v/>
      </c>
      <c r="L40" s="438">
        <f>'INPUT SHEET'!L262</f>
        <v/>
      </c>
      <c r="M40" s="438">
        <f>'INPUT SHEET'!M262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3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I5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6" sqref="I6"/>
    </sheetView>
  </sheetViews>
  <sheetFormatPr baseColWidth="8" defaultRowHeight="13.2"/>
  <cols>
    <col width="12.109375" bestFit="1" customWidth="1" min="1" max="1"/>
    <col width="12.6640625" bestFit="1" customWidth="1" min="2" max="2"/>
    <col width="11.33203125" bestFit="1" customWidth="1" min="3" max="3"/>
    <col width="12.6640625" bestFit="1" customWidth="1" min="4" max="4"/>
    <col width="9.6640625" bestFit="1" customWidth="1" min="5" max="5"/>
    <col width="12.6640625" bestFit="1" customWidth="1" min="6" max="6"/>
    <col width="11.88671875" customWidth="1" min="7" max="7"/>
    <col width="12.6640625" bestFit="1" customWidth="1" min="8" max="8"/>
    <col width="9.88671875" bestFit="1" customWidth="1" min="9" max="9"/>
  </cols>
  <sheetData>
    <row r="1" ht="14.4" customHeight="1">
      <c r="A1" s="407">
        <f>'INPUT SHEET'!B7</f>
        <v/>
      </c>
    </row>
    <row r="2" ht="14.4" customHeight="1">
      <c r="A2" s="345" t="n"/>
      <c r="B2" s="410" t="inlineStr">
        <is>
          <t>Term Loan</t>
        </is>
      </c>
      <c r="E2" s="445" t="n"/>
      <c r="F2" s="410" t="inlineStr">
        <is>
          <t>Working Capital Loan</t>
        </is>
      </c>
      <c r="I2" s="445" t="n"/>
    </row>
    <row r="3" ht="14.4" customHeight="1">
      <c r="A3" s="346" t="n"/>
      <c r="B3" s="409" t="inlineStr">
        <is>
          <t>OB</t>
        </is>
      </c>
      <c r="C3" s="409" t="inlineStr">
        <is>
          <t>Payment</t>
        </is>
      </c>
      <c r="D3" s="409" t="inlineStr">
        <is>
          <t>CB</t>
        </is>
      </c>
      <c r="E3" s="410" t="inlineStr">
        <is>
          <t>Interest</t>
        </is>
      </c>
      <c r="F3" s="409" t="inlineStr">
        <is>
          <t>OB</t>
        </is>
      </c>
      <c r="G3" s="409" t="inlineStr">
        <is>
          <t>Additions</t>
        </is>
      </c>
      <c r="H3" s="409" t="inlineStr">
        <is>
          <t>CB</t>
        </is>
      </c>
      <c r="I3" s="410" t="inlineStr">
        <is>
          <t>Interest</t>
        </is>
      </c>
    </row>
    <row r="4" ht="14.4" customHeight="1">
      <c r="A4" s="348" t="inlineStr">
        <is>
          <t>Interest rate</t>
        </is>
      </c>
      <c r="B4" s="446" t="n"/>
      <c r="C4" s="447" t="n"/>
      <c r="D4" s="446" t="n"/>
      <c r="E4" s="448" t="n"/>
      <c r="F4" s="446" t="n"/>
      <c r="G4" s="446" t="n"/>
      <c r="H4" s="446" t="n"/>
      <c r="I4" s="448" t="n"/>
    </row>
    <row r="5" ht="14.4" customHeight="1">
      <c r="A5" s="345" t="n">
        <v>45747</v>
      </c>
      <c r="B5" s="449" t="n"/>
      <c r="C5" s="449" t="n"/>
      <c r="D5" s="450">
        <f>0</f>
        <v/>
      </c>
      <c r="E5" s="451" t="n"/>
      <c r="F5" s="449" t="n"/>
      <c r="G5" s="449" t="n"/>
      <c r="H5" s="450">
        <f>0</f>
        <v/>
      </c>
      <c r="I5" s="451" t="n"/>
    </row>
    <row r="6" ht="14.4" customHeight="1">
      <c r="A6" s="345" t="n">
        <v>45777</v>
      </c>
      <c r="B6" s="449">
        <f>D5</f>
        <v/>
      </c>
      <c r="C6" s="449">
        <f>$C$4-E6</f>
        <v/>
      </c>
      <c r="D6" s="449">
        <f>B6-C6</f>
        <v/>
      </c>
      <c r="E6" s="451">
        <f>0</f>
        <v/>
      </c>
      <c r="F6" s="449">
        <f>H5</f>
        <v/>
      </c>
      <c r="G6" s="449">
        <f>0</f>
        <v/>
      </c>
      <c r="H6" s="449">
        <f>F6+G6</f>
        <v/>
      </c>
      <c r="I6" s="451" t="inlineStr">
        <is>
          <t>ś</t>
        </is>
      </c>
    </row>
    <row r="7" ht="14.4" customHeight="1">
      <c r="A7" s="345" t="n">
        <v>45808</v>
      </c>
      <c r="B7" s="449">
        <f>D6</f>
        <v/>
      </c>
      <c r="C7" s="449">
        <f>$C$4-E7</f>
        <v/>
      </c>
      <c r="D7" s="449">
        <f>B7-C7</f>
        <v/>
      </c>
      <c r="E7" s="451">
        <f>0</f>
        <v/>
      </c>
      <c r="F7" s="449">
        <f>H6</f>
        <v/>
      </c>
      <c r="G7" s="449">
        <f>0</f>
        <v/>
      </c>
      <c r="H7" s="449">
        <f>F7+G7</f>
        <v/>
      </c>
      <c r="I7" s="451">
        <f>H7*$I$4/12</f>
        <v/>
      </c>
    </row>
    <row r="8" ht="14.4" customHeight="1">
      <c r="A8" s="345" t="n">
        <v>45838</v>
      </c>
      <c r="B8" s="449">
        <f>D7</f>
        <v/>
      </c>
      <c r="C8" s="449">
        <f>$C$4-E8</f>
        <v/>
      </c>
      <c r="D8" s="449">
        <f>B8-C8</f>
        <v/>
      </c>
      <c r="E8" s="451">
        <f>0</f>
        <v/>
      </c>
      <c r="F8" s="449">
        <f>H7</f>
        <v/>
      </c>
      <c r="G8" s="449">
        <f>0</f>
        <v/>
      </c>
      <c r="H8" s="449">
        <f>F8+G8</f>
        <v/>
      </c>
      <c r="I8" s="451">
        <f>H8*$I$4/12</f>
        <v/>
      </c>
    </row>
    <row r="9" ht="14.4" customHeight="1">
      <c r="A9" s="345" t="n">
        <v>45869</v>
      </c>
      <c r="B9" s="449">
        <f>D8</f>
        <v/>
      </c>
      <c r="C9" s="449">
        <f>$C$4-E9</f>
        <v/>
      </c>
      <c r="D9" s="449">
        <f>B9-C9</f>
        <v/>
      </c>
      <c r="E9" s="451">
        <f>0</f>
        <v/>
      </c>
      <c r="F9" s="449">
        <f>H8</f>
        <v/>
      </c>
      <c r="G9" s="449">
        <f>0</f>
        <v/>
      </c>
      <c r="H9" s="449">
        <f>F9+G9</f>
        <v/>
      </c>
      <c r="I9" s="451">
        <f>H9*$I$4/12</f>
        <v/>
      </c>
    </row>
    <row r="10" ht="14.4" customHeight="1">
      <c r="A10" s="345" t="n">
        <v>45900</v>
      </c>
      <c r="B10" s="449">
        <f>D9</f>
        <v/>
      </c>
      <c r="C10" s="449">
        <f>$C$4-E10</f>
        <v/>
      </c>
      <c r="D10" s="449">
        <f>B10-C10</f>
        <v/>
      </c>
      <c r="E10" s="451">
        <f>0</f>
        <v/>
      </c>
      <c r="F10" s="449">
        <f>H9</f>
        <v/>
      </c>
      <c r="G10" s="449">
        <f>0</f>
        <v/>
      </c>
      <c r="H10" s="449">
        <f>F10+G10</f>
        <v/>
      </c>
      <c r="I10" s="451">
        <f>H10*$I$4/12</f>
        <v/>
      </c>
    </row>
    <row r="11" ht="14.4" customHeight="1">
      <c r="A11" s="345" t="n">
        <v>45930</v>
      </c>
      <c r="B11" s="449">
        <f>D10</f>
        <v/>
      </c>
      <c r="C11" s="449">
        <f>$C$4-E11</f>
        <v/>
      </c>
      <c r="D11" s="449">
        <f>B11-C11</f>
        <v/>
      </c>
      <c r="E11" s="451">
        <f>0</f>
        <v/>
      </c>
      <c r="F11" s="449">
        <f>H10</f>
        <v/>
      </c>
      <c r="G11" s="449">
        <f>0</f>
        <v/>
      </c>
      <c r="H11" s="449">
        <f>F11+G11</f>
        <v/>
      </c>
      <c r="I11" s="451">
        <f>H11*$I$4/12</f>
        <v/>
      </c>
    </row>
    <row r="12" ht="14.4" customHeight="1">
      <c r="A12" s="345" t="n">
        <v>45961</v>
      </c>
      <c r="B12" s="449">
        <f>D11</f>
        <v/>
      </c>
      <c r="C12" s="449">
        <f>$C$4-E12</f>
        <v/>
      </c>
      <c r="D12" s="449">
        <f>B12-C12</f>
        <v/>
      </c>
      <c r="E12" s="451">
        <f>0</f>
        <v/>
      </c>
      <c r="F12" s="449">
        <f>H11</f>
        <v/>
      </c>
      <c r="G12" s="449">
        <f>0</f>
        <v/>
      </c>
      <c r="H12" s="449">
        <f>F12+G12</f>
        <v/>
      </c>
      <c r="I12" s="451">
        <f>H12*$I$4/12</f>
        <v/>
      </c>
    </row>
    <row r="13" ht="14.4" customHeight="1">
      <c r="A13" s="345" t="n">
        <v>45991</v>
      </c>
      <c r="B13" s="449">
        <f>D12</f>
        <v/>
      </c>
      <c r="C13" s="449">
        <f>$C$4-E13</f>
        <v/>
      </c>
      <c r="D13" s="449">
        <f>B13-C13</f>
        <v/>
      </c>
      <c r="E13" s="451">
        <f>0</f>
        <v/>
      </c>
      <c r="F13" s="449">
        <f>H12</f>
        <v/>
      </c>
      <c r="G13" s="449">
        <f>0</f>
        <v/>
      </c>
      <c r="H13" s="449">
        <f>F13+G13</f>
        <v/>
      </c>
      <c r="I13" s="451">
        <f>H13*$I$4/12</f>
        <v/>
      </c>
    </row>
    <row r="14" ht="14.4" customHeight="1">
      <c r="A14" s="345" t="n">
        <v>46022</v>
      </c>
      <c r="B14" s="449">
        <f>D13</f>
        <v/>
      </c>
      <c r="C14" s="449">
        <f>$C$4-E14</f>
        <v/>
      </c>
      <c r="D14" s="449">
        <f>B14-C14</f>
        <v/>
      </c>
      <c r="E14" s="451">
        <f>0</f>
        <v/>
      </c>
      <c r="F14" s="449">
        <f>H13</f>
        <v/>
      </c>
      <c r="G14" s="449">
        <f>0</f>
        <v/>
      </c>
      <c r="H14" s="449">
        <f>F14+G14</f>
        <v/>
      </c>
      <c r="I14" s="451">
        <f>H14*$I$4/12</f>
        <v/>
      </c>
    </row>
    <row r="15" ht="14.4" customHeight="1">
      <c r="A15" s="345" t="n">
        <v>46053</v>
      </c>
      <c r="B15" s="449">
        <f>D14</f>
        <v/>
      </c>
      <c r="C15" s="449">
        <f>$C$4-E15</f>
        <v/>
      </c>
      <c r="D15" s="449">
        <f>B15-C15</f>
        <v/>
      </c>
      <c r="E15" s="451">
        <f>0</f>
        <v/>
      </c>
      <c r="F15" s="449">
        <f>H14</f>
        <v/>
      </c>
      <c r="G15" s="449">
        <f>0</f>
        <v/>
      </c>
      <c r="H15" s="449">
        <f>F15+G15</f>
        <v/>
      </c>
      <c r="I15" s="451">
        <f>H15*$I$4/12</f>
        <v/>
      </c>
    </row>
    <row r="16" ht="14.4" customHeight="1">
      <c r="A16" s="345" t="n">
        <v>46081</v>
      </c>
      <c r="B16" s="449">
        <f>D15</f>
        <v/>
      </c>
      <c r="C16" s="449">
        <f>$C$4-E16</f>
        <v/>
      </c>
      <c r="D16" s="449">
        <f>B16-C16</f>
        <v/>
      </c>
      <c r="E16" s="451">
        <f>0</f>
        <v/>
      </c>
      <c r="F16" s="449">
        <f>H15</f>
        <v/>
      </c>
      <c r="G16" s="449">
        <f>0</f>
        <v/>
      </c>
      <c r="H16" s="449">
        <f>F16+G16</f>
        <v/>
      </c>
      <c r="I16" s="451">
        <f>H16*$I$4/12</f>
        <v/>
      </c>
    </row>
    <row r="17" ht="14.4" customHeight="1">
      <c r="A17" s="345" t="n">
        <v>46112</v>
      </c>
      <c r="B17" s="449">
        <f>D16</f>
        <v/>
      </c>
      <c r="C17" s="449">
        <f>$C$4-E17</f>
        <v/>
      </c>
      <c r="D17" s="449">
        <f>B17-C17</f>
        <v/>
      </c>
      <c r="E17" s="451">
        <f>0</f>
        <v/>
      </c>
      <c r="F17" s="449">
        <f>H16</f>
        <v/>
      </c>
      <c r="G17" s="449">
        <f>0</f>
        <v/>
      </c>
      <c r="H17" s="449">
        <f>F17+G17</f>
        <v/>
      </c>
      <c r="I17" s="451">
        <f>H17*$I$4/12</f>
        <v/>
      </c>
    </row>
    <row r="18" ht="14.4" customHeight="1">
      <c r="A18" s="345" t="n">
        <v>46142</v>
      </c>
      <c r="B18" s="449">
        <f>D17</f>
        <v/>
      </c>
      <c r="C18" s="449">
        <f>$C$4-E18</f>
        <v/>
      </c>
      <c r="D18" s="449">
        <f>B18-C18</f>
        <v/>
      </c>
      <c r="E18" s="451">
        <f>0</f>
        <v/>
      </c>
      <c r="F18" s="449">
        <f>H17</f>
        <v/>
      </c>
      <c r="G18" s="449">
        <f>0</f>
        <v/>
      </c>
      <c r="H18" s="449">
        <f>F18+G18</f>
        <v/>
      </c>
      <c r="I18" s="451">
        <f>H18*$I$4/12</f>
        <v/>
      </c>
    </row>
    <row r="19" ht="14.4" customHeight="1">
      <c r="A19" s="345" t="n">
        <v>46173</v>
      </c>
      <c r="B19" s="449">
        <f>D18</f>
        <v/>
      </c>
      <c r="C19" s="449">
        <f>$C$4-E19</f>
        <v/>
      </c>
      <c r="D19" s="449">
        <f>B19-C19</f>
        <v/>
      </c>
      <c r="E19" s="451">
        <f>0</f>
        <v/>
      </c>
      <c r="F19" s="449">
        <f>H18</f>
        <v/>
      </c>
      <c r="G19" s="449">
        <f>0</f>
        <v/>
      </c>
      <c r="H19" s="449">
        <f>F19+G19</f>
        <v/>
      </c>
      <c r="I19" s="451">
        <f>H19*$I$4/12</f>
        <v/>
      </c>
    </row>
    <row r="20" ht="14.4" customHeight="1">
      <c r="A20" s="345" t="n">
        <v>46203</v>
      </c>
      <c r="B20" s="449">
        <f>D19</f>
        <v/>
      </c>
      <c r="C20" s="449">
        <f>$C$4-E20</f>
        <v/>
      </c>
      <c r="D20" s="449">
        <f>B20-C20</f>
        <v/>
      </c>
      <c r="E20" s="451">
        <f>0</f>
        <v/>
      </c>
      <c r="F20" s="449">
        <f>H19</f>
        <v/>
      </c>
      <c r="G20" s="449">
        <f>0</f>
        <v/>
      </c>
      <c r="H20" s="449">
        <f>F20+G20</f>
        <v/>
      </c>
      <c r="I20" s="451">
        <f>H20*$I$4/12</f>
        <v/>
      </c>
    </row>
    <row r="21" ht="14.4" customHeight="1">
      <c r="A21" s="345" t="n">
        <v>46234</v>
      </c>
      <c r="B21" s="449">
        <f>D20</f>
        <v/>
      </c>
      <c r="C21" s="449">
        <f>$C$4-E21</f>
        <v/>
      </c>
      <c r="D21" s="449">
        <f>B21-C21</f>
        <v/>
      </c>
      <c r="E21" s="451">
        <f>0</f>
        <v/>
      </c>
      <c r="F21" s="449">
        <f>H20</f>
        <v/>
      </c>
      <c r="G21" s="449">
        <f>0</f>
        <v/>
      </c>
      <c r="H21" s="449">
        <f>F21+G21</f>
        <v/>
      </c>
      <c r="I21" s="451">
        <f>H21*$I$4/12</f>
        <v/>
      </c>
    </row>
    <row r="22" ht="14.4" customHeight="1">
      <c r="A22" s="345" t="n">
        <v>46265</v>
      </c>
      <c r="B22" s="449">
        <f>D21</f>
        <v/>
      </c>
      <c r="C22" s="449">
        <f>$C$4-E22</f>
        <v/>
      </c>
      <c r="D22" s="449">
        <f>B22-C22</f>
        <v/>
      </c>
      <c r="E22" s="451">
        <f>0</f>
        <v/>
      </c>
      <c r="F22" s="449">
        <f>H21</f>
        <v/>
      </c>
      <c r="G22" s="449">
        <f>0</f>
        <v/>
      </c>
      <c r="H22" s="449">
        <f>F22+G22</f>
        <v/>
      </c>
      <c r="I22" s="451">
        <f>H22*$I$4/12</f>
        <v/>
      </c>
    </row>
    <row r="23" ht="14.4" customHeight="1">
      <c r="A23" s="345" t="n">
        <v>46295</v>
      </c>
      <c r="B23" s="449">
        <f>D22</f>
        <v/>
      </c>
      <c r="C23" s="449">
        <f>$C$4-E23</f>
        <v/>
      </c>
      <c r="D23" s="449">
        <f>B23-C23</f>
        <v/>
      </c>
      <c r="E23" s="451">
        <f>0</f>
        <v/>
      </c>
      <c r="F23" s="449">
        <f>H22</f>
        <v/>
      </c>
      <c r="G23" s="449">
        <f>0</f>
        <v/>
      </c>
      <c r="H23" s="449">
        <f>F23+G23</f>
        <v/>
      </c>
      <c r="I23" s="451">
        <f>H23*$I$4/12</f>
        <v/>
      </c>
    </row>
    <row r="24" ht="14.4" customHeight="1">
      <c r="A24" s="345" t="n">
        <v>46326</v>
      </c>
      <c r="B24" s="449">
        <f>D23</f>
        <v/>
      </c>
      <c r="C24" s="449">
        <f>$C$4-E24</f>
        <v/>
      </c>
      <c r="D24" s="449">
        <f>B24-C24</f>
        <v/>
      </c>
      <c r="E24" s="451">
        <f>0</f>
        <v/>
      </c>
      <c r="F24" s="449">
        <f>H23</f>
        <v/>
      </c>
      <c r="G24" s="449">
        <f>0</f>
        <v/>
      </c>
      <c r="H24" s="449">
        <f>F24+G24</f>
        <v/>
      </c>
      <c r="I24" s="451">
        <f>H24*$I$4/12</f>
        <v/>
      </c>
    </row>
    <row r="25" ht="14.4" customHeight="1">
      <c r="A25" s="345" t="n">
        <v>46356</v>
      </c>
      <c r="B25" s="449">
        <f>D24</f>
        <v/>
      </c>
      <c r="C25" s="449">
        <f>$C$4-E25</f>
        <v/>
      </c>
      <c r="D25" s="449">
        <f>B25-C25</f>
        <v/>
      </c>
      <c r="E25" s="451">
        <f>0</f>
        <v/>
      </c>
      <c r="F25" s="449">
        <f>H24</f>
        <v/>
      </c>
      <c r="G25" s="449">
        <f>0</f>
        <v/>
      </c>
      <c r="H25" s="449">
        <f>F25+G25</f>
        <v/>
      </c>
      <c r="I25" s="451">
        <f>H25*$I$4/12</f>
        <v/>
      </c>
    </row>
    <row r="26" ht="14.4" customHeight="1">
      <c r="A26" s="345" t="n">
        <v>46387</v>
      </c>
      <c r="B26" s="449">
        <f>D25</f>
        <v/>
      </c>
      <c r="C26" s="449">
        <f>$C$4-E26</f>
        <v/>
      </c>
      <c r="D26" s="449">
        <f>B26-C26</f>
        <v/>
      </c>
      <c r="E26" s="451">
        <f>0</f>
        <v/>
      </c>
      <c r="F26" s="449">
        <f>H25</f>
        <v/>
      </c>
      <c r="G26" s="449">
        <f>0</f>
        <v/>
      </c>
      <c r="H26" s="449">
        <f>F26+G26</f>
        <v/>
      </c>
      <c r="I26" s="451">
        <f>H26*$I$4/12</f>
        <v/>
      </c>
    </row>
    <row r="27" ht="14.4" customHeight="1">
      <c r="A27" s="345" t="n">
        <v>46418</v>
      </c>
      <c r="B27" s="449">
        <f>D26</f>
        <v/>
      </c>
      <c r="C27" s="449">
        <f>$C$4-E27</f>
        <v/>
      </c>
      <c r="D27" s="449">
        <f>B27-C27</f>
        <v/>
      </c>
      <c r="E27" s="451">
        <f>0</f>
        <v/>
      </c>
      <c r="F27" s="449">
        <f>H26</f>
        <v/>
      </c>
      <c r="G27" s="449">
        <f>0</f>
        <v/>
      </c>
      <c r="H27" s="449">
        <f>F27+G27</f>
        <v/>
      </c>
      <c r="I27" s="451">
        <f>H27*$I$4/12</f>
        <v/>
      </c>
    </row>
    <row r="28" ht="14.4" customHeight="1">
      <c r="A28" s="345" t="n">
        <v>46446</v>
      </c>
      <c r="B28" s="449">
        <f>D27</f>
        <v/>
      </c>
      <c r="C28" s="449">
        <f>$C$4-E28</f>
        <v/>
      </c>
      <c r="D28" s="449">
        <f>B28-C28</f>
        <v/>
      </c>
      <c r="E28" s="451">
        <f>0</f>
        <v/>
      </c>
      <c r="F28" s="449">
        <f>H27</f>
        <v/>
      </c>
      <c r="G28" s="449">
        <f>0</f>
        <v/>
      </c>
      <c r="H28" s="449">
        <f>F28+G28</f>
        <v/>
      </c>
      <c r="I28" s="451">
        <f>H28*$I$4/12</f>
        <v/>
      </c>
    </row>
    <row r="29" ht="14.4" customHeight="1">
      <c r="A29" s="345" t="n">
        <v>46477</v>
      </c>
      <c r="B29" s="449">
        <f>D28</f>
        <v/>
      </c>
      <c r="C29" s="449">
        <f>$C$4-E29</f>
        <v/>
      </c>
      <c r="D29" s="449">
        <f>B29-C29</f>
        <v/>
      </c>
      <c r="E29" s="451">
        <f>0</f>
        <v/>
      </c>
      <c r="F29" s="449">
        <f>H28</f>
        <v/>
      </c>
      <c r="G29" s="449">
        <f>0</f>
        <v/>
      </c>
      <c r="H29" s="449">
        <f>F29+G29</f>
        <v/>
      </c>
      <c r="I29" s="451">
        <f>H29*$I$4/12</f>
        <v/>
      </c>
    </row>
    <row r="30" ht="14.4" customHeight="1">
      <c r="A30" s="345" t="n">
        <v>46507</v>
      </c>
      <c r="B30" s="449">
        <f>D29</f>
        <v/>
      </c>
      <c r="C30" s="449">
        <f>$C$4-E30</f>
        <v/>
      </c>
      <c r="D30" s="449">
        <f>B30-C30</f>
        <v/>
      </c>
      <c r="E30" s="451">
        <f>0</f>
        <v/>
      </c>
      <c r="F30" s="449">
        <f>H29</f>
        <v/>
      </c>
      <c r="G30" s="449">
        <f>0</f>
        <v/>
      </c>
      <c r="H30" s="449">
        <f>F30+G30</f>
        <v/>
      </c>
      <c r="I30" s="451">
        <f>H30*$I$4/12</f>
        <v/>
      </c>
    </row>
    <row r="31" ht="14.4" customHeight="1">
      <c r="A31" s="345" t="n">
        <v>46538</v>
      </c>
      <c r="B31" s="449">
        <f>D30</f>
        <v/>
      </c>
      <c r="C31" s="449">
        <f>$C$4-E31</f>
        <v/>
      </c>
      <c r="D31" s="449">
        <f>B31-C31</f>
        <v/>
      </c>
      <c r="E31" s="451">
        <f>0</f>
        <v/>
      </c>
      <c r="F31" s="449">
        <f>H30</f>
        <v/>
      </c>
      <c r="G31" s="449">
        <f>0</f>
        <v/>
      </c>
      <c r="H31" s="449">
        <f>F31+G31</f>
        <v/>
      </c>
      <c r="I31" s="451">
        <f>H31*$I$4/12</f>
        <v/>
      </c>
    </row>
    <row r="32" ht="14.4" customHeight="1">
      <c r="A32" s="345" t="n">
        <v>46568</v>
      </c>
      <c r="B32" s="449">
        <f>D31</f>
        <v/>
      </c>
      <c r="C32" s="449">
        <f>$C$4-E32</f>
        <v/>
      </c>
      <c r="D32" s="449">
        <f>B32-C32</f>
        <v/>
      </c>
      <c r="E32" s="451">
        <f>0</f>
        <v/>
      </c>
      <c r="F32" s="449">
        <f>H31</f>
        <v/>
      </c>
      <c r="G32" s="449">
        <f>0</f>
        <v/>
      </c>
      <c r="H32" s="449">
        <f>F32+G32</f>
        <v/>
      </c>
      <c r="I32" s="451">
        <f>H32*$I$4/12</f>
        <v/>
      </c>
    </row>
    <row r="33" ht="14.4" customHeight="1">
      <c r="A33" s="345" t="n">
        <v>46599</v>
      </c>
      <c r="B33" s="449">
        <f>D32</f>
        <v/>
      </c>
      <c r="C33" s="449">
        <f>$C$4-E33</f>
        <v/>
      </c>
      <c r="D33" s="449">
        <f>B33-C33</f>
        <v/>
      </c>
      <c r="E33" s="451">
        <f>0</f>
        <v/>
      </c>
      <c r="F33" s="449">
        <f>H32</f>
        <v/>
      </c>
      <c r="G33" s="449">
        <f>0</f>
        <v/>
      </c>
      <c r="H33" s="449">
        <f>F33+G33</f>
        <v/>
      </c>
      <c r="I33" s="451">
        <f>H33*$I$4/12</f>
        <v/>
      </c>
    </row>
    <row r="34" ht="14.4" customHeight="1">
      <c r="A34" s="345" t="n">
        <v>46630</v>
      </c>
      <c r="B34" s="449">
        <f>D33</f>
        <v/>
      </c>
      <c r="C34" s="449">
        <f>$C$4-E34</f>
        <v/>
      </c>
      <c r="D34" s="449">
        <f>B34-C34</f>
        <v/>
      </c>
      <c r="E34" s="451">
        <f>0</f>
        <v/>
      </c>
      <c r="F34" s="449">
        <f>H33</f>
        <v/>
      </c>
      <c r="G34" s="449">
        <f>0</f>
        <v/>
      </c>
      <c r="H34" s="449">
        <f>F34+G34</f>
        <v/>
      </c>
      <c r="I34" s="451">
        <f>H34*$I$4/12</f>
        <v/>
      </c>
    </row>
    <row r="35" ht="14.4" customHeight="1">
      <c r="A35" s="345" t="n">
        <v>46660</v>
      </c>
      <c r="B35" s="449">
        <f>D34</f>
        <v/>
      </c>
      <c r="C35" s="449">
        <f>$C$4-E35</f>
        <v/>
      </c>
      <c r="D35" s="449">
        <f>B35-C35</f>
        <v/>
      </c>
      <c r="E35" s="451">
        <f>0</f>
        <v/>
      </c>
      <c r="F35" s="449">
        <f>H34</f>
        <v/>
      </c>
      <c r="G35" s="449">
        <f>0</f>
        <v/>
      </c>
      <c r="H35" s="449">
        <f>F35+G35</f>
        <v/>
      </c>
      <c r="I35" s="451">
        <f>H35*$I$4/12</f>
        <v/>
      </c>
    </row>
    <row r="36" ht="14.4" customHeight="1">
      <c r="A36" s="345" t="n">
        <v>46691</v>
      </c>
      <c r="B36" s="449">
        <f>D35</f>
        <v/>
      </c>
      <c r="C36" s="449">
        <f>$C$4-E36</f>
        <v/>
      </c>
      <c r="D36" s="449">
        <f>B36-C36</f>
        <v/>
      </c>
      <c r="E36" s="451">
        <f>0</f>
        <v/>
      </c>
      <c r="F36" s="449">
        <f>H35</f>
        <v/>
      </c>
      <c r="G36" s="449">
        <f>0</f>
        <v/>
      </c>
      <c r="H36" s="449">
        <f>F36+G36</f>
        <v/>
      </c>
      <c r="I36" s="451">
        <f>H36*$I$4/12</f>
        <v/>
      </c>
    </row>
    <row r="37" ht="14.4" customHeight="1">
      <c r="A37" s="345" t="n">
        <v>46721</v>
      </c>
      <c r="B37" s="449">
        <f>D36</f>
        <v/>
      </c>
      <c r="C37" s="449">
        <f>$C$4-E37</f>
        <v/>
      </c>
      <c r="D37" s="449">
        <f>B37-C37</f>
        <v/>
      </c>
      <c r="E37" s="451">
        <f>0</f>
        <v/>
      </c>
      <c r="F37" s="449">
        <f>H36</f>
        <v/>
      </c>
      <c r="G37" s="449">
        <f>0</f>
        <v/>
      </c>
      <c r="H37" s="449">
        <f>F37+G37</f>
        <v/>
      </c>
      <c r="I37" s="451">
        <f>H37*$I$4/12</f>
        <v/>
      </c>
    </row>
    <row r="38" ht="14.4" customHeight="1">
      <c r="A38" s="345" t="n">
        <v>46752</v>
      </c>
      <c r="B38" s="449">
        <f>D37</f>
        <v/>
      </c>
      <c r="C38" s="449">
        <f>$C$4-E38</f>
        <v/>
      </c>
      <c r="D38" s="449">
        <f>B38-C38</f>
        <v/>
      </c>
      <c r="E38" s="451">
        <f>0</f>
        <v/>
      </c>
      <c r="F38" s="449">
        <f>H37</f>
        <v/>
      </c>
      <c r="G38" s="449">
        <f>0</f>
        <v/>
      </c>
      <c r="H38" s="449">
        <f>F38+G38</f>
        <v/>
      </c>
      <c r="I38" s="451">
        <f>H38*$I$4/12</f>
        <v/>
      </c>
    </row>
    <row r="39" ht="14.4" customHeight="1">
      <c r="A39" s="345" t="n">
        <v>46783</v>
      </c>
      <c r="B39" s="449">
        <f>D38</f>
        <v/>
      </c>
      <c r="C39" s="449">
        <f>$C$4-E39</f>
        <v/>
      </c>
      <c r="D39" s="449">
        <f>B39-C39</f>
        <v/>
      </c>
      <c r="E39" s="451">
        <f>0</f>
        <v/>
      </c>
      <c r="F39" s="449">
        <f>H38</f>
        <v/>
      </c>
      <c r="G39" s="449">
        <f>0</f>
        <v/>
      </c>
      <c r="H39" s="449">
        <f>F39+G39</f>
        <v/>
      </c>
      <c r="I39" s="451">
        <f>H39*$I$4/12</f>
        <v/>
      </c>
    </row>
    <row r="40" ht="14.4" customHeight="1">
      <c r="A40" s="345" t="n">
        <v>46812</v>
      </c>
      <c r="B40" s="449">
        <f>D39</f>
        <v/>
      </c>
      <c r="C40" s="449">
        <f>$C$4-E40</f>
        <v/>
      </c>
      <c r="D40" s="449">
        <f>B40-C40</f>
        <v/>
      </c>
      <c r="E40" s="451">
        <f>0</f>
        <v/>
      </c>
      <c r="F40" s="449">
        <f>H39</f>
        <v/>
      </c>
      <c r="G40" s="449">
        <f>0</f>
        <v/>
      </c>
      <c r="H40" s="449">
        <f>F40+G40</f>
        <v/>
      </c>
      <c r="I40" s="451">
        <f>H40*$I$4/12</f>
        <v/>
      </c>
    </row>
    <row r="41" ht="14.4" customHeight="1">
      <c r="A41" s="345" t="n">
        <v>46843</v>
      </c>
      <c r="B41" s="449">
        <f>D40</f>
        <v/>
      </c>
      <c r="C41" s="449">
        <f>$C$4-E41</f>
        <v/>
      </c>
      <c r="D41" s="449">
        <f>B41-C41</f>
        <v/>
      </c>
      <c r="E41" s="451">
        <f>0</f>
        <v/>
      </c>
      <c r="F41" s="449">
        <f>H40</f>
        <v/>
      </c>
      <c r="G41" s="449">
        <f>0</f>
        <v/>
      </c>
      <c r="H41" s="449">
        <f>F41+G41</f>
        <v/>
      </c>
      <c r="I41" s="451">
        <f>H41*$I$4/12</f>
        <v/>
      </c>
    </row>
    <row r="42" ht="14.4" customHeight="1">
      <c r="A42" s="345" t="n">
        <v>46873</v>
      </c>
      <c r="B42" s="449">
        <f>D41</f>
        <v/>
      </c>
      <c r="C42" s="449">
        <f>$C$4-E42</f>
        <v/>
      </c>
      <c r="D42" s="449">
        <f>B42-C42</f>
        <v/>
      </c>
      <c r="E42" s="451">
        <f>0</f>
        <v/>
      </c>
      <c r="F42" s="449">
        <f>H41</f>
        <v/>
      </c>
      <c r="G42" s="449">
        <f>0</f>
        <v/>
      </c>
      <c r="H42" s="449">
        <f>F42+G42</f>
        <v/>
      </c>
      <c r="I42" s="451">
        <f>H42*$I$4/12</f>
        <v/>
      </c>
    </row>
    <row r="43" ht="14.4" customHeight="1">
      <c r="A43" s="345" t="n">
        <v>46904</v>
      </c>
      <c r="B43" s="449">
        <f>D42</f>
        <v/>
      </c>
      <c r="C43" s="449">
        <f>$C$4-E43</f>
        <v/>
      </c>
      <c r="D43" s="449">
        <f>B43-C43</f>
        <v/>
      </c>
      <c r="E43" s="451">
        <f>0</f>
        <v/>
      </c>
      <c r="F43" s="449">
        <f>H42</f>
        <v/>
      </c>
      <c r="G43" s="449">
        <f>0</f>
        <v/>
      </c>
      <c r="H43" s="449">
        <f>F43+G43</f>
        <v/>
      </c>
      <c r="I43" s="451">
        <f>H43*$I$4/12</f>
        <v/>
      </c>
    </row>
    <row r="44" ht="14.4" customHeight="1">
      <c r="A44" s="345" t="n">
        <v>46934</v>
      </c>
      <c r="B44" s="449">
        <f>D43</f>
        <v/>
      </c>
      <c r="C44" s="449">
        <f>$C$4-E44</f>
        <v/>
      </c>
      <c r="D44" s="449">
        <f>B44-C44</f>
        <v/>
      </c>
      <c r="E44" s="451">
        <f>0</f>
        <v/>
      </c>
      <c r="F44" s="449">
        <f>H43</f>
        <v/>
      </c>
      <c r="G44" s="449">
        <f>0</f>
        <v/>
      </c>
      <c r="H44" s="449">
        <f>F44+G44</f>
        <v/>
      </c>
      <c r="I44" s="451">
        <f>H44*$I$4/12</f>
        <v/>
      </c>
    </row>
    <row r="45" ht="14.4" customHeight="1">
      <c r="A45" s="345" t="n">
        <v>46965</v>
      </c>
      <c r="B45" s="449">
        <f>D44</f>
        <v/>
      </c>
      <c r="C45" s="449">
        <f>$C$4-E45</f>
        <v/>
      </c>
      <c r="D45" s="449">
        <f>B45-C45</f>
        <v/>
      </c>
      <c r="E45" s="451">
        <f>0</f>
        <v/>
      </c>
      <c r="F45" s="449">
        <f>H44</f>
        <v/>
      </c>
      <c r="G45" s="449">
        <f>0</f>
        <v/>
      </c>
      <c r="H45" s="449">
        <f>F45+G45</f>
        <v/>
      </c>
      <c r="I45" s="451">
        <f>H45*$I$4/12</f>
        <v/>
      </c>
    </row>
    <row r="46" ht="14.4" customHeight="1">
      <c r="A46" s="345" t="n">
        <v>46996</v>
      </c>
      <c r="B46" s="449">
        <f>D45</f>
        <v/>
      </c>
      <c r="C46" s="449">
        <f>$C$4-E46</f>
        <v/>
      </c>
      <c r="D46" s="449">
        <f>B46-C46</f>
        <v/>
      </c>
      <c r="E46" s="451">
        <f>0</f>
        <v/>
      </c>
      <c r="F46" s="449">
        <f>H45</f>
        <v/>
      </c>
      <c r="G46" s="449">
        <f>0</f>
        <v/>
      </c>
      <c r="H46" s="449">
        <f>F46+G46</f>
        <v/>
      </c>
      <c r="I46" s="451">
        <f>H46*$I$4/12</f>
        <v/>
      </c>
    </row>
    <row r="47" ht="14.4" customHeight="1">
      <c r="A47" s="345" t="n">
        <v>47026</v>
      </c>
      <c r="B47" s="449">
        <f>D46</f>
        <v/>
      </c>
      <c r="C47" s="449">
        <f>$C$4-E47</f>
        <v/>
      </c>
      <c r="D47" s="449">
        <f>B47-C47</f>
        <v/>
      </c>
      <c r="E47" s="451">
        <f>0</f>
        <v/>
      </c>
      <c r="F47" s="449">
        <f>H46</f>
        <v/>
      </c>
      <c r="G47" s="449">
        <f>0</f>
        <v/>
      </c>
      <c r="H47" s="449">
        <f>F47+G47</f>
        <v/>
      </c>
      <c r="I47" s="451">
        <f>H47*$I$4/12</f>
        <v/>
      </c>
    </row>
    <row r="48" ht="14.4" customHeight="1">
      <c r="A48" s="345" t="n">
        <v>47057</v>
      </c>
      <c r="B48" s="449">
        <f>D47</f>
        <v/>
      </c>
      <c r="C48" s="449">
        <f>$C$4-E48</f>
        <v/>
      </c>
      <c r="D48" s="449">
        <f>B48-C48</f>
        <v/>
      </c>
      <c r="E48" s="451">
        <f>0</f>
        <v/>
      </c>
      <c r="F48" s="449">
        <f>H47</f>
        <v/>
      </c>
      <c r="G48" s="449">
        <f>0</f>
        <v/>
      </c>
      <c r="H48" s="449">
        <f>F48+G48</f>
        <v/>
      </c>
      <c r="I48" s="451">
        <f>H48*$I$4/12</f>
        <v/>
      </c>
    </row>
    <row r="49" ht="14.4" customHeight="1">
      <c r="A49" s="345" t="n">
        <v>47087</v>
      </c>
      <c r="B49" s="449">
        <f>D48</f>
        <v/>
      </c>
      <c r="C49" s="449">
        <f>$C$4-E49</f>
        <v/>
      </c>
      <c r="D49" s="449">
        <f>B49-C49</f>
        <v/>
      </c>
      <c r="E49" s="451">
        <f>0</f>
        <v/>
      </c>
      <c r="F49" s="449">
        <f>H48</f>
        <v/>
      </c>
      <c r="G49" s="449">
        <f>0</f>
        <v/>
      </c>
      <c r="H49" s="449">
        <f>F49+G49</f>
        <v/>
      </c>
      <c r="I49" s="451">
        <f>H49*$I$4/12</f>
        <v/>
      </c>
    </row>
    <row r="50" ht="14.4" customHeight="1">
      <c r="A50" s="345" t="n">
        <v>47118</v>
      </c>
      <c r="B50" s="449">
        <f>D49</f>
        <v/>
      </c>
      <c r="C50" s="449">
        <f>$C$4-E50</f>
        <v/>
      </c>
      <c r="D50" s="449">
        <f>B50-C50</f>
        <v/>
      </c>
      <c r="E50" s="451">
        <f>0</f>
        <v/>
      </c>
      <c r="F50" s="449">
        <f>H49</f>
        <v/>
      </c>
      <c r="G50" s="449">
        <f>0</f>
        <v/>
      </c>
      <c r="H50" s="449">
        <f>F50+G50</f>
        <v/>
      </c>
      <c r="I50" s="451">
        <f>H50*$I$4/12</f>
        <v/>
      </c>
    </row>
    <row r="51" ht="14.4" customHeight="1">
      <c r="A51" s="345" t="n">
        <v>47149</v>
      </c>
      <c r="B51" s="449">
        <f>D50</f>
        <v/>
      </c>
      <c r="C51" s="449">
        <f>$C$4-E51</f>
        <v/>
      </c>
      <c r="D51" s="449">
        <f>B51-C51</f>
        <v/>
      </c>
      <c r="E51" s="451">
        <f>0</f>
        <v/>
      </c>
      <c r="F51" s="449">
        <f>H50</f>
        <v/>
      </c>
      <c r="G51" s="449">
        <f>0</f>
        <v/>
      </c>
      <c r="H51" s="449">
        <f>F51+G51</f>
        <v/>
      </c>
      <c r="I51" s="451">
        <f>H51*$I$4/12</f>
        <v/>
      </c>
    </row>
    <row r="52" ht="14.4" customHeight="1">
      <c r="A52" s="345" t="n">
        <v>47177</v>
      </c>
      <c r="B52" s="449">
        <f>D51</f>
        <v/>
      </c>
      <c r="C52" s="449">
        <f>$C$4-E52</f>
        <v/>
      </c>
      <c r="D52" s="449">
        <f>B52-C52</f>
        <v/>
      </c>
      <c r="E52" s="451">
        <f>0</f>
        <v/>
      </c>
      <c r="F52" s="449">
        <f>H51</f>
        <v/>
      </c>
      <c r="G52" s="449">
        <f>0</f>
        <v/>
      </c>
      <c r="H52" s="449">
        <f>F52+G52</f>
        <v/>
      </c>
      <c r="I52" s="451">
        <f>H52*$I$4/12</f>
        <v/>
      </c>
    </row>
    <row r="53" ht="14.4" customHeight="1">
      <c r="A53" s="345" t="n">
        <v>47208</v>
      </c>
      <c r="B53" s="449">
        <f>D52</f>
        <v/>
      </c>
      <c r="C53" s="449">
        <f>$C$4-E53</f>
        <v/>
      </c>
      <c r="D53" s="449">
        <f>B53-C53</f>
        <v/>
      </c>
      <c r="E53" s="451">
        <f>0</f>
        <v/>
      </c>
      <c r="F53" s="449">
        <f>H52</f>
        <v/>
      </c>
      <c r="G53" s="449">
        <f>0</f>
        <v/>
      </c>
      <c r="H53" s="449">
        <f>F53+G53</f>
        <v/>
      </c>
      <c r="I53" s="451">
        <f>H53*$I$4/12</f>
        <v/>
      </c>
    </row>
    <row r="54" ht="14.4" customHeight="1">
      <c r="E54" s="449" t="n"/>
    </row>
  </sheetData>
  <mergeCells count="2">
    <mergeCell ref="F2:I2"/>
    <mergeCell ref="B2:E2"/>
  </mergeCells>
  <pageMargins left="0.7" right="0.7" top="0.75" bottom="0.75" header="0.3" footer="0.3"/>
  <pageSetup orientation="portrait" paperSize="9" verticalDpi="0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289"/>
  <sheetViews>
    <sheetView showGridLines="0" tabSelected="1" topLeftCell="A6" zoomScale="90" zoomScaleNormal="90" workbookViewId="0">
      <pane ySplit="3" topLeftCell="A66" activePane="bottomLeft" state="frozen"/>
      <selection activeCell="A6" sqref="A6"/>
      <selection pane="bottomLeft" activeCell="B28" sqref="B28"/>
    </sheetView>
  </sheetViews>
  <sheetFormatPr baseColWidth="8" defaultColWidth="9.109375" defaultRowHeight="13.2"/>
  <cols>
    <col width="45.109375" customWidth="1" style="452" min="1" max="1"/>
    <col width="17.6640625" customWidth="1" style="452" min="2" max="2"/>
    <col width="18.88671875" customWidth="1" style="452" min="3" max="3"/>
    <col width="14.6640625" customWidth="1" style="452" min="4" max="4"/>
    <col width="14.5546875" customWidth="1" style="452" min="5" max="5"/>
    <col width="14.6640625" customWidth="1" style="452" min="6" max="10"/>
    <col width="13.88671875" customWidth="1" style="452" min="11" max="11"/>
    <col outlineLevel="1" width="14.6640625" customWidth="1" style="452" min="12" max="13"/>
    <col width="9.109375" customWidth="1" style="452" min="14" max="16384"/>
  </cols>
  <sheetData>
    <row r="1" hidden="1">
      <c r="A1" s="452" t="inlineStr">
        <is>
          <t>Audited</t>
        </is>
      </c>
    </row>
    <row r="2" hidden="1">
      <c r="A2" s="452" t="inlineStr">
        <is>
          <t>Provisionals</t>
        </is>
      </c>
    </row>
    <row r="3" hidden="1">
      <c r="A3" s="452" t="inlineStr">
        <is>
          <t>Projected</t>
        </is>
      </c>
    </row>
    <row r="4" hidden="1">
      <c r="A4" s="452" t="inlineStr">
        <is>
          <t>Qualified</t>
        </is>
      </c>
    </row>
    <row r="5" hidden="1">
      <c r="A5" s="452" t="inlineStr">
        <is>
          <t>Unqualified</t>
        </is>
      </c>
    </row>
    <row r="6">
      <c r="A6" s="391" t="n"/>
      <c r="B6" s="395" t="n"/>
      <c r="C6" s="396" t="n"/>
      <c r="D6" s="397" t="n"/>
      <c r="E6" s="2" t="n"/>
      <c r="F6" s="453" t="n"/>
      <c r="G6" s="3" t="n"/>
      <c r="H6" s="3" t="n"/>
      <c r="I6" s="3" t="n"/>
      <c r="J6" s="3" t="n"/>
      <c r="K6" s="3" t="n"/>
      <c r="L6" s="3" t="n"/>
      <c r="M6" s="3" t="n"/>
    </row>
    <row r="7">
      <c r="A7" s="392" t="inlineStr">
        <is>
          <t xml:space="preserve">Mehata Computer </t>
        </is>
      </c>
      <c r="B7" s="398" t="n"/>
      <c r="C7" s="389" t="n"/>
      <c r="D7" s="399" t="n"/>
      <c r="E7" s="389" t="n"/>
      <c r="F7" s="390" t="n"/>
      <c r="G7" s="4" t="n"/>
      <c r="H7" s="4" t="n"/>
      <c r="I7" s="4" t="n"/>
      <c r="J7" s="4" t="n"/>
      <c r="K7" s="4" t="n"/>
      <c r="L7" s="4" t="n"/>
      <c r="M7" s="4" t="n"/>
    </row>
    <row r="8">
      <c r="A8" s="392" t="inlineStr">
        <is>
          <t>Year</t>
        </is>
      </c>
      <c r="B8" s="400" t="n">
        <v>2022</v>
      </c>
      <c r="C8" s="5" t="n">
        <v>2023</v>
      </c>
      <c r="D8" s="401" t="n">
        <v>2024</v>
      </c>
      <c r="E8" s="5" t="n">
        <v>2025</v>
      </c>
      <c r="F8" s="6" t="n">
        <v>2026</v>
      </c>
      <c r="G8" s="6" t="n">
        <v>2027</v>
      </c>
      <c r="H8" s="6" t="n">
        <v>2028</v>
      </c>
      <c r="I8" s="6">
        <f>H8+1</f>
        <v/>
      </c>
      <c r="J8" s="6">
        <f>I8+1</f>
        <v/>
      </c>
      <c r="K8" s="6">
        <f>J8+1</f>
        <v/>
      </c>
      <c r="L8" s="6">
        <f>K8+1</f>
        <v/>
      </c>
      <c r="M8" s="6">
        <f>L8+1</f>
        <v/>
      </c>
    </row>
    <row r="9">
      <c r="A9" s="392" t="inlineStr">
        <is>
          <t>Number of months</t>
        </is>
      </c>
      <c r="B9" s="400" t="n">
        <v>12</v>
      </c>
      <c r="C9" s="5" t="n">
        <v>12</v>
      </c>
      <c r="D9" s="401" t="n">
        <v>12</v>
      </c>
      <c r="E9" s="5" t="n">
        <v>12</v>
      </c>
      <c r="F9" s="6" t="n">
        <v>12</v>
      </c>
      <c r="G9" s="6" t="n">
        <v>12</v>
      </c>
      <c r="H9" s="6" t="n">
        <v>12</v>
      </c>
      <c r="I9" s="6" t="n">
        <v>12</v>
      </c>
      <c r="J9" s="6" t="n">
        <v>12</v>
      </c>
      <c r="K9" s="6" t="n">
        <v>12</v>
      </c>
      <c r="L9" s="6" t="n">
        <v>12</v>
      </c>
      <c r="M9" s="6" t="n">
        <v>12</v>
      </c>
    </row>
    <row r="10">
      <c r="A10" s="392" t="inlineStr">
        <is>
          <t>Nature of Financials</t>
        </is>
      </c>
      <c r="B10" s="400" t="inlineStr">
        <is>
          <t>audited</t>
        </is>
      </c>
      <c r="C10" s="5" t="inlineStr">
        <is>
          <t>audited</t>
        </is>
      </c>
      <c r="D10" s="401" t="inlineStr">
        <is>
          <t>audited</t>
        </is>
      </c>
      <c r="E10" s="5" t="inlineStr">
        <is>
          <t>Projected</t>
        </is>
      </c>
      <c r="F10" s="454" t="inlineStr">
        <is>
          <t>Projected</t>
        </is>
      </c>
      <c r="G10" s="6" t="inlineStr">
        <is>
          <t>Projected</t>
        </is>
      </c>
      <c r="H10" s="6" t="inlineStr">
        <is>
          <t>Projected</t>
        </is>
      </c>
      <c r="I10" s="6" t="inlineStr">
        <is>
          <t>Projected</t>
        </is>
      </c>
      <c r="J10" s="6" t="inlineStr">
        <is>
          <t>Projected</t>
        </is>
      </c>
      <c r="K10" s="6" t="inlineStr">
        <is>
          <t>Projected</t>
        </is>
      </c>
      <c r="L10" s="6" t="inlineStr">
        <is>
          <t>Projected</t>
        </is>
      </c>
      <c r="M10" s="6" t="inlineStr">
        <is>
          <t>Projected</t>
        </is>
      </c>
    </row>
    <row r="11">
      <c r="A11" s="392" t="inlineStr">
        <is>
          <t>Financial Year ending</t>
        </is>
      </c>
      <c r="B11" s="398" t="inlineStr">
        <is>
          <t>31st March</t>
        </is>
      </c>
      <c r="C11" s="389" t="n"/>
      <c r="D11" s="399" t="n"/>
      <c r="E11" s="389" t="n"/>
      <c r="F11" s="390" t="n"/>
      <c r="G11" s="4" t="n"/>
      <c r="H11" s="4" t="n"/>
      <c r="I11" s="4" t="n"/>
      <c r="J11" s="4" t="n"/>
      <c r="K11" s="4" t="n"/>
      <c r="L11" s="4" t="n"/>
      <c r="M11" s="4" t="n"/>
    </row>
    <row r="12">
      <c r="A12" s="392" t="inlineStr">
        <is>
          <t>Currency</t>
        </is>
      </c>
      <c r="B12" s="398" t="inlineStr">
        <is>
          <t>INR</t>
        </is>
      </c>
      <c r="C12" s="389" t="n"/>
      <c r="D12" s="399" t="n"/>
      <c r="E12" s="389" t="n"/>
      <c r="F12" s="390" t="n"/>
      <c r="G12" s="4" t="n"/>
      <c r="H12" s="4" t="n"/>
      <c r="I12" s="4" t="n"/>
      <c r="J12" s="4" t="n"/>
      <c r="K12" s="4" t="n"/>
      <c r="L12" s="4" t="n"/>
      <c r="M12" s="4" t="n"/>
    </row>
    <row r="13">
      <c r="A13" s="392" t="inlineStr">
        <is>
          <t>Units</t>
        </is>
      </c>
      <c r="B13" s="402" t="inlineStr">
        <is>
          <t xml:space="preserve">In </t>
        </is>
      </c>
      <c r="C13" s="7" t="n"/>
      <c r="D13" s="403" t="n"/>
      <c r="E13" s="7" t="n"/>
      <c r="F13" s="455" t="n"/>
      <c r="G13" s="4" t="n"/>
      <c r="H13" s="4" t="n"/>
      <c r="I13" s="4" t="n"/>
      <c r="J13" s="4" t="n"/>
      <c r="K13" s="4" t="n"/>
      <c r="L13" s="4" t="n"/>
      <c r="M13" s="4" t="n"/>
    </row>
    <row r="14">
      <c r="A14" s="392" t="inlineStr">
        <is>
          <t>Auditors</t>
        </is>
      </c>
      <c r="B14" s="398" t="n"/>
      <c r="C14" s="389" t="n"/>
      <c r="D14" s="399" t="n"/>
      <c r="E14" s="389" t="n"/>
      <c r="F14" s="390" t="n"/>
      <c r="G14" s="4" t="n"/>
      <c r="H14" s="4" t="n"/>
      <c r="I14" s="4" t="n"/>
      <c r="J14" s="4" t="n"/>
      <c r="K14" s="4" t="n"/>
      <c r="L14" s="4" t="n"/>
      <c r="M14" s="4" t="n"/>
    </row>
    <row r="15">
      <c r="A15" s="393" t="inlineStr">
        <is>
          <t>Auditors Opinion</t>
        </is>
      </c>
      <c r="B15" s="404" t="inlineStr">
        <is>
          <t>Unqualified</t>
        </is>
      </c>
      <c r="C15" s="405" t="n"/>
      <c r="D15" s="406" t="n"/>
      <c r="E15" s="8" t="n"/>
      <c r="F15" s="456" t="n"/>
      <c r="G15" s="9" t="n"/>
      <c r="H15" s="9" t="n"/>
      <c r="I15" s="9" t="n"/>
      <c r="J15" s="9" t="n"/>
      <c r="K15" s="9" t="n"/>
      <c r="L15" s="9" t="n"/>
      <c r="M15" s="9" t="n"/>
    </row>
    <row r="16">
      <c r="A16" s="457" t="n"/>
      <c r="D16" s="458" t="n"/>
      <c r="E16" s="459" t="n"/>
      <c r="F16" s="460" t="n"/>
      <c r="G16" s="460" t="n"/>
      <c r="H16" s="460" t="n"/>
      <c r="I16" s="460" t="n"/>
      <c r="J16" s="460" t="n"/>
      <c r="K16" s="460" t="n"/>
      <c r="L16" s="460" t="n"/>
      <c r="M16" s="460" t="n"/>
    </row>
    <row r="17">
      <c r="A17" s="461" t="inlineStr">
        <is>
          <t xml:space="preserve">Profit and Loss </t>
        </is>
      </c>
      <c r="B17" s="462" t="n"/>
      <c r="C17" s="462" t="n"/>
      <c r="D17" s="463" t="n"/>
      <c r="E17" s="462" t="n"/>
      <c r="F17" s="463" t="n"/>
      <c r="G17" s="463" t="n"/>
      <c r="H17" s="463" t="n"/>
      <c r="I17" s="463" t="n"/>
      <c r="J17" s="463" t="n"/>
      <c r="K17" s="463" t="n"/>
      <c r="L17" s="463" t="n"/>
      <c r="M17" s="463" t="n"/>
    </row>
    <row r="18">
      <c r="A18" s="464" t="n"/>
      <c r="B18" s="465" t="n"/>
      <c r="C18" s="465" t="n"/>
      <c r="D18" s="466" t="n"/>
      <c r="E18" s="466">
        <f>1.05</f>
        <v/>
      </c>
      <c r="F18" s="466" t="n">
        <v>1.05</v>
      </c>
      <c r="G18" s="466" t="n">
        <v>1.05</v>
      </c>
      <c r="H18" s="466" t="n">
        <v>1.05</v>
      </c>
      <c r="I18" s="466" t="n">
        <v>1.05</v>
      </c>
      <c r="J18" s="466" t="n">
        <v>1.05</v>
      </c>
      <c r="K18" s="466" t="n">
        <v>1.05</v>
      </c>
      <c r="L18" s="466" t="n">
        <v>1.05</v>
      </c>
      <c r="M18" s="466" t="n">
        <v>1.05</v>
      </c>
    </row>
    <row r="19" ht="12" customHeight="1">
      <c r="A19" s="467" t="inlineStr">
        <is>
          <t xml:space="preserve">Income </t>
        </is>
      </c>
      <c r="B19" s="468" t="n"/>
      <c r="C19" s="468" t="n"/>
      <c r="D19" s="468" t="n"/>
      <c r="E19" s="468" t="n"/>
      <c r="F19" s="468" t="n"/>
      <c r="G19" s="468" t="n"/>
      <c r="H19" s="468" t="n"/>
      <c r="I19" s="468" t="n"/>
      <c r="J19" s="468" t="n"/>
      <c r="K19" s="468" t="n"/>
      <c r="L19" s="468" t="n"/>
      <c r="M19" s="468" t="n"/>
    </row>
    <row r="20">
      <c r="A20" s="469" t="n"/>
      <c r="B20" s="468" t="n"/>
      <c r="C20" s="468" t="n"/>
      <c r="D20" s="468" t="n"/>
      <c r="E20" s="468" t="n"/>
      <c r="F20" s="468" t="n"/>
      <c r="G20" s="468" t="n"/>
      <c r="H20" s="468" t="n"/>
      <c r="I20" s="468" t="n"/>
      <c r="J20" s="468" t="n"/>
      <c r="K20" s="468" t="n"/>
      <c r="L20" s="468" t="n"/>
      <c r="M20" s="468" t="n"/>
    </row>
    <row r="21">
      <c r="A21" s="469" t="inlineStr">
        <is>
          <t>Sales</t>
        </is>
      </c>
      <c r="B21" s="470" t="n"/>
      <c r="C21" s="470" t="n"/>
      <c r="D21" s="470" t="n"/>
      <c r="E21" s="470" t="n"/>
      <c r="F21" s="470" t="n"/>
      <c r="G21" s="470" t="n"/>
      <c r="H21" s="470" t="n"/>
      <c r="I21" s="470" t="n"/>
      <c r="J21" s="470" t="n"/>
      <c r="K21" s="470" t="n"/>
      <c r="L21" s="470" t="n"/>
      <c r="M21" s="470" t="n"/>
    </row>
    <row r="22">
      <c r="A22" s="471" t="inlineStr">
        <is>
          <t>Domestic</t>
        </is>
      </c>
      <c r="B22" s="472" t="n">
        <v>126.98</v>
      </c>
      <c r="C22" s="472" t="n">
        <v>327.17</v>
      </c>
      <c r="D22" s="472" t="n">
        <v>230.56</v>
      </c>
      <c r="E22" s="472" t="n">
        <v>0</v>
      </c>
      <c r="F22" s="472" t="n">
        <v>0</v>
      </c>
      <c r="G22" s="472" t="n">
        <v>0</v>
      </c>
      <c r="H22" s="472" t="n">
        <v>0</v>
      </c>
      <c r="I22" s="472">
        <f>H22*I$18</f>
        <v/>
      </c>
      <c r="J22" s="472" t="n">
        <v>0</v>
      </c>
      <c r="K22" s="472" t="n">
        <v>0</v>
      </c>
      <c r="L22" s="472" t="n">
        <v>0</v>
      </c>
      <c r="M22" s="472" t="n">
        <v>0</v>
      </c>
    </row>
    <row r="23">
      <c r="A23" s="471" t="inlineStr">
        <is>
          <t>Exports</t>
        </is>
      </c>
      <c r="B23" s="473" t="n"/>
      <c r="C23" s="473">
        <f>B23*1.05</f>
        <v/>
      </c>
      <c r="D23" s="473" t="n">
        <v>0</v>
      </c>
      <c r="E23" s="473">
        <f>D23*1.05</f>
        <v/>
      </c>
      <c r="F23" s="473">
        <f>E23*1.05</f>
        <v/>
      </c>
      <c r="G23" s="473">
        <f>F23*1.05</f>
        <v/>
      </c>
      <c r="H23" s="473" t="n">
        <v>0</v>
      </c>
      <c r="I23" s="473">
        <f>H23*1.05</f>
        <v/>
      </c>
      <c r="J23" s="473" t="n">
        <v>0</v>
      </c>
      <c r="K23" s="473" t="n">
        <v>0</v>
      </c>
      <c r="L23" s="473" t="n">
        <v>0</v>
      </c>
      <c r="M23" s="473" t="n">
        <v>0</v>
      </c>
    </row>
    <row r="24">
      <c r="A24" s="474" t="inlineStr">
        <is>
          <t>Sub Total</t>
        </is>
      </c>
      <c r="B24" s="475">
        <f>SUM(B22:B23)</f>
        <v/>
      </c>
      <c r="C24" s="475">
        <f>SUM(C22:C23)</f>
        <v/>
      </c>
      <c r="D24" s="475">
        <f>SUM(D22:D23)</f>
        <v/>
      </c>
      <c r="E24" s="475">
        <f>SUM(E22:E23)</f>
        <v/>
      </c>
      <c r="F24" s="475">
        <f>SUM(F22:F23)</f>
        <v/>
      </c>
      <c r="G24" s="475">
        <f>SUM(G22:G23)</f>
        <v/>
      </c>
      <c r="H24" s="475">
        <f>SUM(H22:H23)</f>
        <v/>
      </c>
      <c r="I24" s="475">
        <f>SUM(I22:I23)</f>
        <v/>
      </c>
      <c r="J24" s="475">
        <f>SUM(J22:J23)</f>
        <v/>
      </c>
      <c r="K24" s="475">
        <f>SUM(K22:K23)</f>
        <v/>
      </c>
      <c r="L24" s="475">
        <f>SUM(L22:L23)</f>
        <v/>
      </c>
      <c r="M24" s="475">
        <f>SUM(M22:M23)</f>
        <v/>
      </c>
    </row>
    <row r="25">
      <c r="A25" s="471" t="inlineStr">
        <is>
          <t>Less Excise Duty and Cess</t>
        </is>
      </c>
      <c r="B25" s="472" t="n"/>
      <c r="C25" s="472" t="n"/>
      <c r="D25" s="472" t="n"/>
      <c r="E25" s="472" t="n"/>
      <c r="F25" s="472" t="n"/>
      <c r="G25" s="472" t="n"/>
      <c r="H25" s="472" t="n"/>
      <c r="I25" s="472" t="n"/>
      <c r="J25" s="472" t="n"/>
      <c r="K25" s="472" t="n"/>
      <c r="L25" s="472" t="n"/>
      <c r="M25" s="472" t="n"/>
    </row>
    <row r="26">
      <c r="A26" s="469" t="inlineStr">
        <is>
          <t>Net Sales</t>
        </is>
      </c>
      <c r="B26" s="476">
        <f>B24-B25</f>
        <v/>
      </c>
      <c r="C26" s="476">
        <f>C24-C25</f>
        <v/>
      </c>
      <c r="D26" s="476">
        <f>D24-D25</f>
        <v/>
      </c>
      <c r="E26" s="476">
        <f>E24-E25</f>
        <v/>
      </c>
      <c r="F26" s="476">
        <f>F24-F25</f>
        <v/>
      </c>
      <c r="G26" s="476">
        <f>G24-G25</f>
        <v/>
      </c>
      <c r="H26" s="476">
        <f>H24-H25</f>
        <v/>
      </c>
      <c r="I26" s="476">
        <f>I24-I25</f>
        <v/>
      </c>
      <c r="J26" s="476">
        <f>J24-J25</f>
        <v/>
      </c>
      <c r="K26" s="476">
        <f>K24-K25</f>
        <v/>
      </c>
      <c r="L26" s="476">
        <f>L24-L25</f>
        <v/>
      </c>
      <c r="M26" s="476">
        <f>M24-M25</f>
        <v/>
      </c>
    </row>
    <row r="27">
      <c r="A27" s="471" t="n"/>
      <c r="B27" s="468" t="n"/>
      <c r="C27" s="468" t="n"/>
      <c r="D27" s="468" t="n"/>
      <c r="E27" s="468" t="n"/>
      <c r="F27" s="468" t="n"/>
      <c r="G27" s="468" t="n"/>
      <c r="H27" s="468" t="n"/>
      <c r="I27" s="468" t="n"/>
      <c r="J27" s="468" t="n"/>
      <c r="K27" s="468" t="n"/>
      <c r="L27" s="468" t="n"/>
      <c r="M27" s="468" t="n"/>
    </row>
    <row r="28">
      <c r="A28" s="469" t="inlineStr">
        <is>
          <t xml:space="preserve">Non Operating Income </t>
        </is>
      </c>
      <c r="B28" s="468" t="n"/>
      <c r="C28" s="468" t="n"/>
      <c r="D28" s="468" t="n"/>
      <c r="E28" s="468" t="n"/>
      <c r="F28" s="468" t="n"/>
      <c r="G28" s="468" t="n"/>
      <c r="H28" s="468" t="n"/>
      <c r="I28" s="468" t="n"/>
      <c r="J28" s="468" t="n"/>
      <c r="K28" s="468" t="n"/>
      <c r="L28" s="468" t="n"/>
      <c r="M28" s="468" t="n"/>
    </row>
    <row r="29">
      <c r="A29" s="471" t="inlineStr">
        <is>
          <t>Dividends received from Mutual Funds</t>
        </is>
      </c>
      <c r="B29" s="472" t="n">
        <v>0</v>
      </c>
      <c r="C29" s="472" t="n"/>
      <c r="D29" s="472" t="n"/>
      <c r="E29" s="472" t="n"/>
      <c r="F29" s="472" t="n"/>
      <c r="G29" s="472" t="n"/>
      <c r="H29" s="472" t="n"/>
      <c r="I29" s="472" t="n"/>
      <c r="J29" s="472" t="n"/>
      <c r="K29" s="472" t="n"/>
      <c r="L29" s="472" t="n"/>
      <c r="M29" s="472" t="n"/>
    </row>
    <row r="30">
      <c r="A30" s="471" t="inlineStr">
        <is>
          <t>Interest Received</t>
        </is>
      </c>
      <c r="B30" s="472" t="n">
        <v>0.18</v>
      </c>
      <c r="C30" s="472" t="n">
        <v>1.04</v>
      </c>
      <c r="D30" s="472" t="n">
        <v>1.03</v>
      </c>
      <c r="E30" s="472">
        <f>D30</f>
        <v/>
      </c>
      <c r="F30" s="472" t="n">
        <v>0</v>
      </c>
      <c r="G30" s="472">
        <f>F30</f>
        <v/>
      </c>
      <c r="H30" s="472" t="n"/>
      <c r="I30" s="472" t="n"/>
      <c r="J30" s="472" t="n"/>
      <c r="K30" s="472" t="n"/>
      <c r="L30" s="472" t="n"/>
      <c r="M30" s="472" t="n"/>
    </row>
    <row r="31">
      <c r="A31" s="471" t="inlineStr">
        <is>
          <t>Profit on sale of fixed assets / Investments</t>
        </is>
      </c>
      <c r="B31" s="472" t="n"/>
      <c r="C31" s="472" t="n"/>
      <c r="D31" s="472" t="n"/>
      <c r="E31" s="472" t="n"/>
      <c r="F31" s="472" t="n"/>
      <c r="G31" s="472" t="n"/>
      <c r="H31" s="472" t="n"/>
      <c r="I31" s="472" t="n"/>
      <c r="J31" s="472" t="n"/>
      <c r="K31" s="472" t="n"/>
      <c r="L31" s="472" t="n"/>
      <c r="M31" s="472" t="n"/>
    </row>
    <row r="32">
      <c r="A32" s="471" t="inlineStr">
        <is>
          <t>Gain on Exchange Fluctuations</t>
        </is>
      </c>
      <c r="B32" s="472" t="n"/>
      <c r="C32" s="472" t="n"/>
      <c r="D32" s="472" t="n"/>
      <c r="E32" s="472" t="n"/>
      <c r="F32" s="472" t="n"/>
      <c r="G32" s="472" t="n"/>
      <c r="H32" s="472" t="n"/>
      <c r="I32" s="472" t="n"/>
      <c r="J32" s="472" t="n"/>
      <c r="K32" s="472" t="n"/>
      <c r="L32" s="472" t="n"/>
      <c r="M32" s="472" t="n"/>
    </row>
    <row r="33">
      <c r="A33" s="471" t="inlineStr">
        <is>
          <t>Extraordinary income</t>
        </is>
      </c>
      <c r="B33" s="472" t="n">
        <v>0</v>
      </c>
      <c r="C33" s="472" t="n">
        <v>0</v>
      </c>
      <c r="D33" s="472" t="n">
        <v>0</v>
      </c>
      <c r="E33" s="472" t="n"/>
      <c r="F33" s="472" t="n"/>
      <c r="G33" s="472" t="n"/>
      <c r="H33" s="472" t="n"/>
      <c r="I33" s="472" t="n"/>
      <c r="J33" s="472" t="n"/>
      <c r="K33" s="472" t="n"/>
      <c r="L33" s="472" t="n"/>
      <c r="M33" s="472" t="n"/>
    </row>
    <row r="34">
      <c r="A34" s="471" t="inlineStr">
        <is>
          <t>Others</t>
        </is>
      </c>
      <c r="B34" s="472" t="n">
        <v>1.12</v>
      </c>
      <c r="C34" s="472" t="n">
        <v>1.17</v>
      </c>
      <c r="D34" s="472" t="n">
        <v>1.62</v>
      </c>
      <c r="E34" s="472">
        <f>0</f>
        <v/>
      </c>
      <c r="F34" s="472" t="n">
        <v>0</v>
      </c>
      <c r="G34" s="472" t="n">
        <v>0</v>
      </c>
      <c r="H34" s="472" t="n"/>
      <c r="I34" s="472" t="n"/>
      <c r="J34" s="472" t="n"/>
      <c r="K34" s="472" t="n"/>
      <c r="L34" s="472" t="n"/>
      <c r="M34" s="472" t="n"/>
    </row>
    <row r="35">
      <c r="A35" s="469" t="inlineStr">
        <is>
          <t>Total</t>
        </is>
      </c>
      <c r="B35" s="476">
        <f>SUM(B29:B34)</f>
        <v/>
      </c>
      <c r="C35" s="476">
        <f>SUM(C29:C34)</f>
        <v/>
      </c>
      <c r="D35" s="476">
        <f>SUM(D29:D34)</f>
        <v/>
      </c>
      <c r="E35" s="476">
        <f>SUM(E29:E34)</f>
        <v/>
      </c>
      <c r="F35" s="476">
        <f>SUM(F29:F34)</f>
        <v/>
      </c>
      <c r="G35" s="476">
        <f>SUM(G29:G34)</f>
        <v/>
      </c>
      <c r="H35" s="476">
        <f>SUM(H29:H34)</f>
        <v/>
      </c>
      <c r="I35" s="476">
        <f>SUM(I29:I34)</f>
        <v/>
      </c>
      <c r="J35" s="476">
        <f>SUM(J29:J34)</f>
        <v/>
      </c>
      <c r="K35" s="476">
        <f>SUM(K29:K34)</f>
        <v/>
      </c>
      <c r="L35" s="476">
        <f>SUM(L29:L34)</f>
        <v/>
      </c>
      <c r="M35" s="476">
        <f>SUM(M29:M34)</f>
        <v/>
      </c>
    </row>
    <row r="36">
      <c r="A36" s="477" t="n"/>
      <c r="B36" s="468" t="n"/>
      <c r="C36" s="468" t="n"/>
      <c r="D36" s="468" t="n"/>
      <c r="E36" s="468" t="n"/>
      <c r="F36" s="468" t="n"/>
      <c r="G36" s="468" t="n"/>
      <c r="H36" s="468" t="n"/>
      <c r="I36" s="468" t="n"/>
      <c r="J36" s="468" t="n"/>
      <c r="K36" s="468" t="n"/>
      <c r="L36" s="468" t="n"/>
      <c r="M36" s="468" t="n"/>
    </row>
    <row r="37">
      <c r="A37" s="477" t="n"/>
      <c r="B37" s="468" t="n"/>
      <c r="C37" s="468" t="n"/>
      <c r="D37" s="468" t="n"/>
      <c r="E37" s="468" t="n"/>
      <c r="F37" s="468" t="n"/>
      <c r="G37" s="468" t="n"/>
      <c r="H37" s="468" t="n"/>
      <c r="I37" s="468" t="n"/>
      <c r="J37" s="468" t="n"/>
      <c r="K37" s="468" t="n"/>
      <c r="L37" s="468" t="n"/>
      <c r="M37" s="468" t="n"/>
    </row>
    <row r="38">
      <c r="A38" s="467" t="inlineStr">
        <is>
          <t>Expenditure</t>
        </is>
      </c>
      <c r="B38" s="468" t="n"/>
      <c r="C38" s="468" t="n"/>
      <c r="D38" s="468" t="n"/>
      <c r="E38" s="468" t="n"/>
      <c r="F38" s="468" t="n"/>
      <c r="G38" s="468" t="n"/>
      <c r="H38" s="468" t="n"/>
      <c r="I38" s="468" t="n"/>
      <c r="J38" s="468" t="n"/>
      <c r="K38" s="468" t="n"/>
      <c r="L38" s="468" t="n"/>
      <c r="M38" s="468" t="n"/>
    </row>
    <row r="39">
      <c r="A39" s="477" t="n"/>
      <c r="B39" s="468" t="n"/>
      <c r="C39" s="468" t="n"/>
      <c r="D39" s="468" t="n"/>
      <c r="E39" s="468" t="n"/>
      <c r="F39" s="468" t="n"/>
      <c r="G39" s="468" t="n"/>
      <c r="H39" s="468" t="n"/>
      <c r="I39" s="468" t="n"/>
      <c r="J39" s="468" t="n"/>
      <c r="K39" s="468" t="n"/>
      <c r="L39" s="468" t="n"/>
      <c r="M39" s="468" t="n"/>
    </row>
    <row r="40">
      <c r="A40" s="469" t="inlineStr">
        <is>
          <t>Manufacturing Expenses</t>
        </is>
      </c>
      <c r="B40" s="366" t="n"/>
      <c r="C40" s="468" t="n"/>
      <c r="D40" s="468" t="n"/>
      <c r="E40" s="468" t="n"/>
      <c r="F40" s="468" t="n"/>
      <c r="G40" s="468" t="n"/>
      <c r="H40" s="468" t="n"/>
      <c r="I40" s="468" t="n"/>
      <c r="J40" s="468" t="n"/>
      <c r="K40" s="468" t="n"/>
      <c r="L40" s="468" t="n"/>
      <c r="M40" s="468" t="n"/>
    </row>
    <row r="41">
      <c r="A41" s="477" t="inlineStr">
        <is>
          <t>Raw Materials Consumed ( Imported)</t>
        </is>
      </c>
      <c r="B41" s="472">
        <f>0</f>
        <v/>
      </c>
      <c r="C41" s="472">
        <f>0</f>
        <v/>
      </c>
      <c r="D41" s="472">
        <f>0</f>
        <v/>
      </c>
      <c r="E41" s="478">
        <f>D41*E18</f>
        <v/>
      </c>
      <c r="F41" s="478">
        <f>E41*F18</f>
        <v/>
      </c>
      <c r="G41" s="478">
        <f>F41*G18</f>
        <v/>
      </c>
      <c r="H41" s="478" t="n">
        <v>0</v>
      </c>
      <c r="I41" s="478">
        <f>H41*I$18</f>
        <v/>
      </c>
      <c r="J41" s="478" t="n">
        <v>0</v>
      </c>
      <c r="K41" s="478" t="n">
        <v>0</v>
      </c>
      <c r="L41" s="478" t="n">
        <v>0</v>
      </c>
      <c r="M41" s="478" t="n">
        <v>0</v>
      </c>
    </row>
    <row r="42">
      <c r="A42" s="477" t="inlineStr">
        <is>
          <t>Raw Materials Consumed ( Indigenous)</t>
        </is>
      </c>
      <c r="B42" s="472" t="n">
        <v>-0.01</v>
      </c>
      <c r="C42" s="472" t="n">
        <v>0.03</v>
      </c>
      <c r="D42" s="472" t="n">
        <v>-0.06</v>
      </c>
      <c r="E42" s="478">
        <f>D42*E18</f>
        <v/>
      </c>
      <c r="F42" s="478">
        <f>E42*F18</f>
        <v/>
      </c>
      <c r="G42" s="478">
        <f>F42*G18</f>
        <v/>
      </c>
      <c r="H42" s="478" t="n">
        <v>0</v>
      </c>
      <c r="I42" s="478">
        <f>H42*I$18-0.01</f>
        <v/>
      </c>
      <c r="J42" s="478" t="n">
        <v>0</v>
      </c>
      <c r="K42" s="478" t="n">
        <v>0</v>
      </c>
      <c r="L42" s="478" t="n">
        <v>0</v>
      </c>
      <c r="M42" s="478" t="n">
        <v>0</v>
      </c>
    </row>
    <row r="43">
      <c r="A43" s="477" t="inlineStr">
        <is>
          <t>Stores and spares consumed ( Imported)</t>
        </is>
      </c>
      <c r="B43" s="472">
        <f>0</f>
        <v/>
      </c>
      <c r="C43" s="472">
        <f>0</f>
        <v/>
      </c>
      <c r="D43" s="472">
        <f>0</f>
        <v/>
      </c>
      <c r="E43" s="472" t="n"/>
      <c r="F43" s="472" t="n"/>
      <c r="G43" s="472" t="n"/>
      <c r="H43" s="472" t="n"/>
      <c r="I43" s="472" t="n"/>
      <c r="J43" s="472" t="n"/>
      <c r="K43" s="472" t="n"/>
      <c r="L43" s="472" t="n"/>
      <c r="M43" s="472" t="n"/>
    </row>
    <row r="44">
      <c r="A44" s="477" t="inlineStr">
        <is>
          <t>Stores and spares consumed ( Indigenous)</t>
        </is>
      </c>
      <c r="B44" s="472">
        <f>0</f>
        <v/>
      </c>
      <c r="C44" s="472">
        <f>0</f>
        <v/>
      </c>
      <c r="D44" s="472">
        <f>0</f>
        <v/>
      </c>
      <c r="E44" s="478">
        <f>D44*E18</f>
        <v/>
      </c>
      <c r="F44" s="478">
        <f>E44*F18</f>
        <v/>
      </c>
      <c r="G44" s="478">
        <f>F44*G18</f>
        <v/>
      </c>
      <c r="H44" s="478" t="n">
        <v>0</v>
      </c>
      <c r="I44" s="478">
        <f>H44*I$18</f>
        <v/>
      </c>
      <c r="J44" s="478" t="n">
        <v>0</v>
      </c>
      <c r="K44" s="478" t="n">
        <v>0</v>
      </c>
      <c r="L44" s="478" t="n">
        <v>0</v>
      </c>
      <c r="M44" s="478" t="n">
        <v>0</v>
      </c>
    </row>
    <row r="45">
      <c r="A45" s="477" t="inlineStr">
        <is>
          <t xml:space="preserve">Wages </t>
        </is>
      </c>
      <c r="B45" s="472" t="n">
        <v>0.35</v>
      </c>
      <c r="C45" s="472" t="n">
        <v>0.57</v>
      </c>
      <c r="D45" s="472" t="n">
        <v>0.5600000000000001</v>
      </c>
      <c r="E45" s="478">
        <f>D45*E18</f>
        <v/>
      </c>
      <c r="F45" s="478">
        <f>E45*F18</f>
        <v/>
      </c>
      <c r="G45" s="478">
        <f>F45*G18</f>
        <v/>
      </c>
      <c r="H45" s="478" t="n">
        <v>0</v>
      </c>
      <c r="I45" s="478">
        <f>H45*I$18</f>
        <v/>
      </c>
      <c r="J45" s="478" t="n">
        <v>0</v>
      </c>
      <c r="K45" s="478" t="n">
        <v>0</v>
      </c>
      <c r="L45" s="478" t="n">
        <v>0</v>
      </c>
      <c r="M45" s="478" t="n">
        <v>0</v>
      </c>
    </row>
    <row r="46">
      <c r="A46" s="477" t="inlineStr">
        <is>
          <t>Processing / Job Work Charges</t>
        </is>
      </c>
      <c r="B46" s="472">
        <f>0</f>
        <v/>
      </c>
      <c r="C46" s="472">
        <f>0</f>
        <v/>
      </c>
      <c r="D46" s="472">
        <f>0</f>
        <v/>
      </c>
      <c r="E46" s="478">
        <f>D46*E18</f>
        <v/>
      </c>
      <c r="F46" s="478">
        <f>E46*F18</f>
        <v/>
      </c>
      <c r="G46" s="478">
        <f>F46*G18</f>
        <v/>
      </c>
      <c r="H46" s="478" t="n">
        <v>0</v>
      </c>
      <c r="I46" s="478">
        <f>H46*I$18</f>
        <v/>
      </c>
      <c r="J46" s="478" t="n">
        <v>0</v>
      </c>
      <c r="K46" s="478" t="n">
        <v>0</v>
      </c>
      <c r="L46" s="478" t="n">
        <v>0</v>
      </c>
      <c r="M46" s="478" t="n">
        <v>0</v>
      </c>
    </row>
    <row r="47">
      <c r="A47" s="477" t="inlineStr">
        <is>
          <t>Freight and Transportation Charges</t>
        </is>
      </c>
      <c r="B47" s="472" t="n">
        <v>0</v>
      </c>
      <c r="C47" s="472" t="n">
        <v>0.37</v>
      </c>
      <c r="D47" s="472" t="n">
        <v>0.9400000000000001</v>
      </c>
      <c r="E47" s="478">
        <f>D47*E18</f>
        <v/>
      </c>
      <c r="F47" s="478">
        <f>E47*F18</f>
        <v/>
      </c>
      <c r="G47" s="478">
        <f>F47*G18</f>
        <v/>
      </c>
      <c r="H47" s="478" t="n">
        <v>0</v>
      </c>
      <c r="I47" s="478">
        <f>H47*I$18</f>
        <v/>
      </c>
      <c r="J47" s="478" t="n">
        <v>0</v>
      </c>
      <c r="K47" s="478" t="n">
        <v>0</v>
      </c>
      <c r="L47" s="478" t="n">
        <v>0</v>
      </c>
      <c r="M47" s="478" t="n">
        <v>0</v>
      </c>
    </row>
    <row r="48">
      <c r="A48" s="477" t="inlineStr">
        <is>
          <t>Power, Coal, Fuel and Water</t>
        </is>
      </c>
      <c r="B48" s="472" t="n">
        <v>0.14</v>
      </c>
      <c r="C48" s="472" t="n">
        <v>0.07000000000000001</v>
      </c>
      <c r="D48" s="472" t="n">
        <v>0.27</v>
      </c>
      <c r="E48" s="478">
        <f>D48*E18</f>
        <v/>
      </c>
      <c r="F48" s="478">
        <f>E48*F18</f>
        <v/>
      </c>
      <c r="G48" s="478">
        <f>F48*G18</f>
        <v/>
      </c>
      <c r="H48" s="478" t="n">
        <v>0</v>
      </c>
      <c r="I48" s="478">
        <f>H48*I$18</f>
        <v/>
      </c>
      <c r="J48" s="478" t="n">
        <v>0</v>
      </c>
      <c r="K48" s="478" t="n">
        <v>0</v>
      </c>
      <c r="L48" s="478" t="n">
        <v>0</v>
      </c>
      <c r="M48" s="478" t="n">
        <v>0</v>
      </c>
    </row>
    <row r="49">
      <c r="A49" s="477" t="inlineStr">
        <is>
          <t>Others</t>
        </is>
      </c>
      <c r="B49" s="472" t="n">
        <v>0.37</v>
      </c>
      <c r="C49" s="472" t="n">
        <v>0.44</v>
      </c>
      <c r="D49" s="472" t="n">
        <v>2.19</v>
      </c>
      <c r="E49" s="478">
        <f>D49*E18</f>
        <v/>
      </c>
      <c r="F49" s="478">
        <f>E49*F18</f>
        <v/>
      </c>
      <c r="G49" s="478">
        <f>F49*G18</f>
        <v/>
      </c>
      <c r="H49" s="478" t="n">
        <v>0</v>
      </c>
      <c r="I49" s="478">
        <f>H49*I$18</f>
        <v/>
      </c>
      <c r="J49" s="478" t="n">
        <v>0</v>
      </c>
      <c r="K49" s="478" t="n">
        <v>0</v>
      </c>
      <c r="L49" s="478" t="n">
        <v>0</v>
      </c>
      <c r="M49" s="478" t="n">
        <v>0</v>
      </c>
    </row>
    <row r="50">
      <c r="A50" s="477" t="inlineStr">
        <is>
          <t>Repairs &amp; Maintenance</t>
        </is>
      </c>
      <c r="B50" s="472" t="n">
        <v>0.42</v>
      </c>
      <c r="C50" s="472" t="n">
        <v>0.3799999999999999</v>
      </c>
      <c r="D50" s="472" t="n">
        <v>0.42</v>
      </c>
      <c r="E50" s="478">
        <f>D50*E18</f>
        <v/>
      </c>
      <c r="F50" s="478">
        <f>E50*F18</f>
        <v/>
      </c>
      <c r="G50" s="478">
        <f>F50*G18</f>
        <v/>
      </c>
      <c r="H50" s="478" t="n">
        <v>0</v>
      </c>
      <c r="I50" s="478">
        <f>H50*I$18</f>
        <v/>
      </c>
      <c r="J50" s="478" t="n">
        <v>0</v>
      </c>
      <c r="K50" s="478" t="n">
        <v>0</v>
      </c>
      <c r="L50" s="478" t="n">
        <v>0</v>
      </c>
      <c r="M50" s="478" t="n">
        <v>0</v>
      </c>
    </row>
    <row r="51">
      <c r="A51" s="477" t="inlineStr">
        <is>
          <t>Security Service Charges</t>
        </is>
      </c>
      <c r="B51" s="472">
        <f>0</f>
        <v/>
      </c>
      <c r="C51" s="472">
        <f>0</f>
        <v/>
      </c>
      <c r="D51" s="472">
        <f>0</f>
        <v/>
      </c>
      <c r="E51" s="478">
        <f>D51*E18</f>
        <v/>
      </c>
      <c r="F51" s="478">
        <f>E51*F18</f>
        <v/>
      </c>
      <c r="G51" s="478">
        <f>F51*G18</f>
        <v/>
      </c>
      <c r="H51" s="478" t="n">
        <v>0</v>
      </c>
      <c r="I51" s="478">
        <f>H51*I$18</f>
        <v/>
      </c>
      <c r="J51" s="478" t="n">
        <v>0</v>
      </c>
      <c r="K51" s="478" t="n">
        <v>0</v>
      </c>
      <c r="L51" s="478" t="n">
        <v>0</v>
      </c>
      <c r="M51" s="478" t="n">
        <v>0</v>
      </c>
    </row>
    <row r="52">
      <c r="A52" s="467" t="inlineStr">
        <is>
          <t>Sub Total</t>
        </is>
      </c>
      <c r="B52" s="479">
        <f>SUM(B41:B51)</f>
        <v/>
      </c>
      <c r="C52" s="476">
        <f>SUM(C41:C51)</f>
        <v/>
      </c>
      <c r="D52" s="476">
        <f>SUM(D41:D51)</f>
        <v/>
      </c>
      <c r="E52" s="476">
        <f>SUM(E41:E51)</f>
        <v/>
      </c>
      <c r="F52" s="476">
        <f>SUM(F41:F51)</f>
        <v/>
      </c>
      <c r="G52" s="476">
        <f>SUM(G41:G51)</f>
        <v/>
      </c>
      <c r="H52" s="476">
        <f>SUM(H41:H51)</f>
        <v/>
      </c>
      <c r="I52" s="476">
        <f>SUM(I41:I51)</f>
        <v/>
      </c>
      <c r="J52" s="476">
        <f>SUM(J41:J51)</f>
        <v/>
      </c>
      <c r="K52" s="476">
        <f>SUM(K41:K51)</f>
        <v/>
      </c>
      <c r="L52" s="476">
        <f>SUM(L41:L51)</f>
        <v/>
      </c>
      <c r="M52" s="476">
        <f>SUM(M41:M51)</f>
        <v/>
      </c>
    </row>
    <row r="53">
      <c r="A53" s="477" t="inlineStr">
        <is>
          <t>Stock in process Opening Balance</t>
        </is>
      </c>
      <c r="B53" s="472" t="n">
        <v>0</v>
      </c>
      <c r="C53" s="475">
        <f>B54</f>
        <v/>
      </c>
      <c r="D53" s="475">
        <f>C54</f>
        <v/>
      </c>
      <c r="E53" s="475">
        <f>D54</f>
        <v/>
      </c>
      <c r="F53" s="475">
        <f>E54</f>
        <v/>
      </c>
      <c r="G53" s="475">
        <f>F54</f>
        <v/>
      </c>
      <c r="H53" s="475">
        <f>G54</f>
        <v/>
      </c>
      <c r="I53" s="475">
        <f>H54</f>
        <v/>
      </c>
      <c r="J53" s="475">
        <f>I54</f>
        <v/>
      </c>
      <c r="K53" s="475">
        <f>J54</f>
        <v/>
      </c>
      <c r="L53" s="475">
        <f>K54</f>
        <v/>
      </c>
      <c r="M53" s="475">
        <f>L54</f>
        <v/>
      </c>
    </row>
    <row r="54">
      <c r="A54" s="477" t="inlineStr">
        <is>
          <t>Stock in process Closing Balance</t>
        </is>
      </c>
      <c r="B54" s="472">
        <f>0</f>
        <v/>
      </c>
      <c r="C54" s="472">
        <f>0</f>
        <v/>
      </c>
      <c r="D54" s="472">
        <f>0</f>
        <v/>
      </c>
      <c r="E54" s="472">
        <f>(E52+E56)/E9*Details!E20</f>
        <v/>
      </c>
      <c r="F54" s="472">
        <f>(F52+F56)/F9*Details!F20</f>
        <v/>
      </c>
      <c r="G54" s="472">
        <f>(G52+G56)/G9*Details!G20</f>
        <v/>
      </c>
      <c r="H54" s="472" t="n">
        <v>0</v>
      </c>
      <c r="I54" s="472">
        <f>(I52+I56)/I9*Details!I20</f>
        <v/>
      </c>
      <c r="J54" s="472">
        <f>(J52+J56)/J9*Details!J20</f>
        <v/>
      </c>
      <c r="K54" s="472" t="n">
        <v>0</v>
      </c>
      <c r="L54" s="472">
        <f>(L52+L56)/L9*Details!L20</f>
        <v/>
      </c>
      <c r="M54" s="472" t="n">
        <v>0</v>
      </c>
    </row>
    <row r="55">
      <c r="A55" s="467" t="inlineStr">
        <is>
          <t>Sub total  -- WIP change in stock</t>
        </is>
      </c>
      <c r="B55" s="476">
        <f>B53-B54</f>
        <v/>
      </c>
      <c r="C55" s="476">
        <f>C53-C54</f>
        <v/>
      </c>
      <c r="D55" s="476">
        <f>D53-D54</f>
        <v/>
      </c>
      <c r="E55" s="476">
        <f>E53-E54</f>
        <v/>
      </c>
      <c r="F55" s="476">
        <f>F53-F54</f>
        <v/>
      </c>
      <c r="G55" s="476">
        <f>G53-G54</f>
        <v/>
      </c>
      <c r="H55" s="476">
        <f>H53-H54</f>
        <v/>
      </c>
      <c r="I55" s="476">
        <f>I53-I54</f>
        <v/>
      </c>
      <c r="J55" s="476">
        <f>J53-J54</f>
        <v/>
      </c>
      <c r="K55" s="476">
        <f>K53-K54</f>
        <v/>
      </c>
      <c r="L55" s="476">
        <f>L53-L54</f>
        <v/>
      </c>
      <c r="M55" s="476">
        <f>M53-M54</f>
        <v/>
      </c>
    </row>
    <row r="56">
      <c r="A56" s="471" t="inlineStr">
        <is>
          <t>Depreciation</t>
        </is>
      </c>
      <c r="B56" s="472" t="n">
        <v>0.33</v>
      </c>
      <c r="C56" s="472" t="n">
        <v>0.39</v>
      </c>
      <c r="D56" s="472" t="n">
        <v>0.4</v>
      </c>
      <c r="E56" s="472">
        <f>D56</f>
        <v/>
      </c>
      <c r="F56" s="472">
        <f>E56</f>
        <v/>
      </c>
      <c r="G56" s="472">
        <f>F56</f>
        <v/>
      </c>
      <c r="H56" s="472" t="n">
        <v>0</v>
      </c>
      <c r="I56" s="472" t="n">
        <v>0</v>
      </c>
      <c r="J56" s="472">
        <f>I56</f>
        <v/>
      </c>
      <c r="K56" s="472" t="n">
        <v>0</v>
      </c>
      <c r="L56" s="472">
        <f>K56</f>
        <v/>
      </c>
      <c r="M56" s="472" t="n">
        <v>0</v>
      </c>
    </row>
    <row r="57">
      <c r="A57" s="467" t="inlineStr">
        <is>
          <t>Cost Of Production</t>
        </is>
      </c>
      <c r="B57" s="476">
        <f>B52+B55+B56</f>
        <v/>
      </c>
      <c r="C57" s="476">
        <f>C52+C55+C56</f>
        <v/>
      </c>
      <c r="D57" s="476">
        <f>D52+D55+D56</f>
        <v/>
      </c>
      <c r="E57" s="476">
        <f>E52+E55+E56</f>
        <v/>
      </c>
      <c r="F57" s="476">
        <f>F52+F55+F56</f>
        <v/>
      </c>
      <c r="G57" s="476">
        <f>G52+G55+G56</f>
        <v/>
      </c>
      <c r="H57" s="476">
        <f>H52+H55+H56</f>
        <v/>
      </c>
      <c r="I57" s="476">
        <f>I52+I55+I56</f>
        <v/>
      </c>
      <c r="J57" s="476">
        <f>J52+J55+J56</f>
        <v/>
      </c>
      <c r="K57" s="476">
        <f>K52+K55+K56</f>
        <v/>
      </c>
      <c r="L57" s="476">
        <f>L52+L55+L56</f>
        <v/>
      </c>
      <c r="M57" s="476">
        <f>M52+M55+M56</f>
        <v/>
      </c>
    </row>
    <row r="58">
      <c r="A58" s="477" t="inlineStr">
        <is>
          <t>Finished Goods Opening Balance</t>
        </is>
      </c>
      <c r="B58" s="472" t="n">
        <v>2.21</v>
      </c>
      <c r="C58" s="475">
        <f>B59</f>
        <v/>
      </c>
      <c r="D58" s="475">
        <f>C59</f>
        <v/>
      </c>
      <c r="E58" s="475">
        <f>D59</f>
        <v/>
      </c>
      <c r="F58" s="475">
        <f>E59</f>
        <v/>
      </c>
      <c r="G58" s="475">
        <f>F59</f>
        <v/>
      </c>
      <c r="H58" s="475">
        <f>G59</f>
        <v/>
      </c>
      <c r="I58" s="475">
        <f>H59</f>
        <v/>
      </c>
      <c r="J58" s="475">
        <f>I59</f>
        <v/>
      </c>
      <c r="K58" s="475">
        <f>J59</f>
        <v/>
      </c>
      <c r="L58" s="475">
        <f>K59</f>
        <v/>
      </c>
      <c r="M58" s="475">
        <f>L59</f>
        <v/>
      </c>
    </row>
    <row r="59">
      <c r="A59" s="477" t="inlineStr">
        <is>
          <t>Finished Goods Closing Balance</t>
        </is>
      </c>
      <c r="B59" s="472" t="n">
        <v>0</v>
      </c>
      <c r="C59" s="472" t="n">
        <v>0</v>
      </c>
      <c r="D59" s="472">
        <f>0</f>
        <v/>
      </c>
      <c r="E59" s="472">
        <f>(E52+E56)/E9*Details!E23</f>
        <v/>
      </c>
      <c r="F59" s="472">
        <f>(F52+F56)/F9*Details!F23</f>
        <v/>
      </c>
      <c r="G59" s="472">
        <f>(G52+G56)/G9*Details!G23</f>
        <v/>
      </c>
      <c r="H59" s="472" t="n">
        <v>0</v>
      </c>
      <c r="I59" s="472" t="n">
        <v>0</v>
      </c>
      <c r="J59" s="472">
        <f>(J52+J56)/J9*Details!J23</f>
        <v/>
      </c>
      <c r="K59" s="472" t="n">
        <v>0</v>
      </c>
      <c r="L59" s="472">
        <f>(L52+L56)/L9*Details!L23</f>
        <v/>
      </c>
      <c r="M59" s="472" t="n">
        <v>0</v>
      </c>
    </row>
    <row r="60">
      <c r="A60" s="467" t="inlineStr">
        <is>
          <t>Sub total  -- Finished goods change in stock</t>
        </is>
      </c>
      <c r="B60" s="476">
        <f>B58-B59</f>
        <v/>
      </c>
      <c r="C60" s="476">
        <f>C58-C59</f>
        <v/>
      </c>
      <c r="D60" s="476">
        <f>D58-D59</f>
        <v/>
      </c>
      <c r="E60" s="476">
        <f>E58-E59</f>
        <v/>
      </c>
      <c r="F60" s="476">
        <f>F58-F59</f>
        <v/>
      </c>
      <c r="G60" s="476">
        <f>G58-G59</f>
        <v/>
      </c>
      <c r="H60" s="476">
        <f>H58-H59</f>
        <v/>
      </c>
      <c r="I60" s="476">
        <f>I58-I59</f>
        <v/>
      </c>
      <c r="J60" s="476">
        <f>J58-J59</f>
        <v/>
      </c>
      <c r="K60" s="476">
        <f>K58-K59</f>
        <v/>
      </c>
      <c r="L60" s="476">
        <f>L58-L59</f>
        <v/>
      </c>
      <c r="M60" s="476">
        <f>M58-M59</f>
        <v/>
      </c>
    </row>
    <row r="61">
      <c r="A61" s="467" t="inlineStr">
        <is>
          <t>Cost Of Sales</t>
        </is>
      </c>
      <c r="B61" s="476">
        <f>B57+B60</f>
        <v/>
      </c>
      <c r="C61" s="476">
        <f>C57+C60</f>
        <v/>
      </c>
      <c r="D61" s="476">
        <f>D57+D60</f>
        <v/>
      </c>
      <c r="E61" s="476">
        <f>E57+E60</f>
        <v/>
      </c>
      <c r="F61" s="476">
        <f>F57+F60</f>
        <v/>
      </c>
      <c r="G61" s="476">
        <f>G57+G60</f>
        <v/>
      </c>
      <c r="H61" s="476">
        <f>H57+H60</f>
        <v/>
      </c>
      <c r="I61" s="476">
        <f>I57+I60</f>
        <v/>
      </c>
      <c r="J61" s="476">
        <f>J57+J60</f>
        <v/>
      </c>
      <c r="K61" s="476">
        <f>K57+K60</f>
        <v/>
      </c>
      <c r="L61" s="476">
        <f>L57+L60</f>
        <v/>
      </c>
      <c r="M61" s="476">
        <f>M57+M60</f>
        <v/>
      </c>
    </row>
    <row r="62">
      <c r="A62" s="467" t="inlineStr">
        <is>
          <t>Manufacturing Expenses ( for CMA purpose)</t>
        </is>
      </c>
      <c r="B62" s="468" t="n"/>
      <c r="C62" s="468" t="n"/>
      <c r="D62" s="468" t="n"/>
      <c r="E62" s="468" t="n"/>
      <c r="F62" s="468" t="n"/>
      <c r="G62" s="468" t="n"/>
      <c r="H62" s="468" t="n"/>
      <c r="I62" s="468" t="n"/>
      <c r="J62" s="468" t="n"/>
      <c r="K62" s="468" t="n"/>
      <c r="L62" s="468" t="n"/>
      <c r="M62" s="468" t="n"/>
    </row>
    <row r="63">
      <c r="A63" s="471" t="inlineStr">
        <is>
          <t>Depreciation</t>
        </is>
      </c>
      <c r="B63" s="480">
        <f>B56</f>
        <v/>
      </c>
      <c r="C63" s="480">
        <f>C56</f>
        <v/>
      </c>
      <c r="D63" s="480">
        <f>D56</f>
        <v/>
      </c>
      <c r="E63" s="480">
        <f>E56</f>
        <v/>
      </c>
      <c r="F63" s="480">
        <f>F56</f>
        <v/>
      </c>
      <c r="G63" s="480">
        <f>G56</f>
        <v/>
      </c>
      <c r="H63" s="480">
        <f>H56</f>
        <v/>
      </c>
      <c r="I63" s="480">
        <f>I56</f>
        <v/>
      </c>
      <c r="J63" s="480">
        <f>J56</f>
        <v/>
      </c>
      <c r="K63" s="480">
        <f>K56</f>
        <v/>
      </c>
      <c r="L63" s="480">
        <f>L56</f>
        <v/>
      </c>
      <c r="M63" s="480">
        <f>M56</f>
        <v/>
      </c>
    </row>
    <row r="64">
      <c r="A64" s="471" t="inlineStr">
        <is>
          <t>Other Manufacturing Exp</t>
        </is>
      </c>
      <c r="B64" s="480">
        <f>B52-B41-B42-B43-B44</f>
        <v/>
      </c>
      <c r="C64" s="480">
        <f>C52-C41-C42-C43-C44</f>
        <v/>
      </c>
      <c r="D64" s="480">
        <f>D52-D41-D42-D43-D44</f>
        <v/>
      </c>
      <c r="E64" s="480">
        <f>E52-E41-E42-E43-E44</f>
        <v/>
      </c>
      <c r="F64" s="480">
        <f>F52-F41-F42-F43-F44</f>
        <v/>
      </c>
      <c r="G64" s="480">
        <f>G52-G41-G42-G43-G44</f>
        <v/>
      </c>
      <c r="H64" s="480">
        <f>H52-H41-H42-H43-H44</f>
        <v/>
      </c>
      <c r="I64" s="480">
        <f>I52-I41-I42-I43-I44</f>
        <v/>
      </c>
      <c r="J64" s="480">
        <f>J52-J41-J42-J43-J44</f>
        <v/>
      </c>
      <c r="K64" s="480">
        <f>K52-K41-K42-K43-K44</f>
        <v/>
      </c>
      <c r="L64" s="480">
        <f>L52-L41-L42-L43-L44</f>
        <v/>
      </c>
      <c r="M64" s="480">
        <f>M52-M41-M42-M43-M44</f>
        <v/>
      </c>
    </row>
    <row r="65">
      <c r="A65" s="477" t="n"/>
      <c r="B65" s="468" t="n"/>
      <c r="C65" s="468" t="n"/>
      <c r="D65" s="468" t="n"/>
      <c r="E65" s="468" t="n"/>
      <c r="F65" s="468" t="n"/>
      <c r="G65" s="468" t="n"/>
      <c r="H65" s="468" t="n"/>
      <c r="I65" s="468" t="n"/>
      <c r="J65" s="468" t="n"/>
      <c r="K65" s="468" t="n"/>
      <c r="L65" s="468" t="n"/>
      <c r="M65" s="468" t="n"/>
    </row>
    <row r="66">
      <c r="A66" s="469" t="inlineStr">
        <is>
          <t>Administrative and Selling Expenses</t>
        </is>
      </c>
      <c r="B66" s="468" t="n"/>
      <c r="C66" s="468" t="n"/>
      <c r="D66" s="468" t="n"/>
      <c r="E66" s="468" t="n"/>
      <c r="F66" s="468" t="n"/>
      <c r="G66" s="468" t="n"/>
      <c r="H66" s="468" t="n"/>
      <c r="I66" s="468" t="n"/>
      <c r="J66" s="468" t="n"/>
      <c r="K66" s="468" t="n"/>
      <c r="L66" s="468" t="n"/>
      <c r="M66" s="468" t="n"/>
    </row>
    <row r="67">
      <c r="A67" s="471" t="inlineStr">
        <is>
          <t xml:space="preserve">Salary and staff expenses </t>
        </is>
      </c>
      <c r="B67" s="472" t="n">
        <v>11.98</v>
      </c>
      <c r="C67" s="472" t="n">
        <v>5.37</v>
      </c>
      <c r="D67" s="472" t="n">
        <v>14.3</v>
      </c>
      <c r="E67" s="478">
        <f>D67*1.05</f>
        <v/>
      </c>
      <c r="F67" s="478">
        <f>E67*1.05</f>
        <v/>
      </c>
      <c r="G67" s="478">
        <f>F67*1.05</f>
        <v/>
      </c>
      <c r="H67" s="478">
        <f>G67*1.05</f>
        <v/>
      </c>
      <c r="I67" s="478">
        <f>H67*1.05</f>
        <v/>
      </c>
      <c r="J67" s="478">
        <f>I67*1.05</f>
        <v/>
      </c>
      <c r="K67" s="478" t="n">
        <v>0</v>
      </c>
      <c r="L67" s="478">
        <f>K67*1.05</f>
        <v/>
      </c>
      <c r="M67" s="478" t="n">
        <v>0</v>
      </c>
    </row>
    <row r="68">
      <c r="A68" s="471" t="inlineStr">
        <is>
          <t>Rent , Rates and Taxes</t>
        </is>
      </c>
      <c r="B68" s="472" t="n">
        <v>0.03</v>
      </c>
      <c r="C68" s="472" t="n">
        <v>0.05</v>
      </c>
      <c r="D68" s="472" t="n">
        <v>0.07000000000000001</v>
      </c>
      <c r="E68" s="478">
        <f>D68*1.05</f>
        <v/>
      </c>
      <c r="F68" s="478">
        <f>E68*1.05</f>
        <v/>
      </c>
      <c r="G68" s="478">
        <f>F68*1.05</f>
        <v/>
      </c>
      <c r="H68" s="478">
        <f>G68*1.05</f>
        <v/>
      </c>
      <c r="I68" s="478">
        <f>H68*1.05</f>
        <v/>
      </c>
      <c r="J68" s="478">
        <f>I68*1.05</f>
        <v/>
      </c>
      <c r="K68" s="478" t="n">
        <v>0</v>
      </c>
      <c r="L68" s="478">
        <f>K68*1.05</f>
        <v/>
      </c>
      <c r="M68" s="478" t="n">
        <v>0</v>
      </c>
    </row>
    <row r="69">
      <c r="A69" s="471" t="inlineStr">
        <is>
          <t>Bad Debts</t>
        </is>
      </c>
      <c r="B69" s="472">
        <f>0</f>
        <v/>
      </c>
      <c r="C69" s="472">
        <f>0</f>
        <v/>
      </c>
      <c r="D69" s="472" t="n">
        <v>3.41</v>
      </c>
      <c r="E69" s="478">
        <f>D69*1.05</f>
        <v/>
      </c>
      <c r="F69" s="478">
        <f>E69*1.05</f>
        <v/>
      </c>
      <c r="G69" s="478">
        <f>F69*1.05</f>
        <v/>
      </c>
      <c r="H69" s="478">
        <f>G69*1.05</f>
        <v/>
      </c>
      <c r="I69" s="478">
        <f>H69*1.05</f>
        <v/>
      </c>
      <c r="J69" s="478">
        <f>I69*1.05</f>
        <v/>
      </c>
      <c r="K69" s="478" t="n">
        <v>0</v>
      </c>
      <c r="L69" s="478">
        <f>K69*1.05</f>
        <v/>
      </c>
      <c r="M69" s="478" t="n">
        <v>0</v>
      </c>
    </row>
    <row r="70">
      <c r="A70" s="471" t="inlineStr">
        <is>
          <t>Advertisements and Sales Promotions</t>
        </is>
      </c>
      <c r="B70" s="472" t="n">
        <v>70.63</v>
      </c>
      <c r="C70" s="472" t="n">
        <v>10.73</v>
      </c>
      <c r="D70" s="472" t="n">
        <v>7.34</v>
      </c>
      <c r="E70" s="478">
        <f>D70*1.05</f>
        <v/>
      </c>
      <c r="F70" s="478">
        <f>E70*1.05</f>
        <v/>
      </c>
      <c r="G70" s="478">
        <f>F70*1.05</f>
        <v/>
      </c>
      <c r="H70" s="478">
        <f>G70*1.05</f>
        <v/>
      </c>
      <c r="I70" s="478">
        <f>H70*1.05</f>
        <v/>
      </c>
      <c r="J70" s="478">
        <f>I70*1.05</f>
        <v/>
      </c>
      <c r="K70" s="478" t="n">
        <v>0</v>
      </c>
      <c r="L70" s="478">
        <f>K70*1.05</f>
        <v/>
      </c>
      <c r="M70" s="478" t="n">
        <v>0</v>
      </c>
    </row>
    <row r="71">
      <c r="A71" s="471" t="inlineStr">
        <is>
          <t>Others</t>
        </is>
      </c>
      <c r="B71" s="472" t="n">
        <v>102.12</v>
      </c>
      <c r="C71" s="472" t="n">
        <v>489.0399999999997</v>
      </c>
      <c r="D71" s="472" t="n">
        <v>315.8599999999999</v>
      </c>
      <c r="E71" s="478">
        <f>D71*1.05</f>
        <v/>
      </c>
      <c r="F71" s="478">
        <f>E71*1.05</f>
        <v/>
      </c>
      <c r="G71" s="478">
        <f>F71*1.05</f>
        <v/>
      </c>
      <c r="H71" s="478">
        <f>G71*1.05</f>
        <v/>
      </c>
      <c r="I71" s="478">
        <f>H71*1.05</f>
        <v/>
      </c>
      <c r="J71" s="478">
        <f>I71*1.05</f>
        <v/>
      </c>
      <c r="K71" s="478" t="n">
        <v>0</v>
      </c>
      <c r="L71" s="478">
        <f>K71*1.05</f>
        <v/>
      </c>
      <c r="M71" s="478" t="n">
        <v>0</v>
      </c>
    </row>
    <row r="72">
      <c r="A72" s="474" t="inlineStr">
        <is>
          <t>Repairs &amp; Maintenance</t>
        </is>
      </c>
      <c r="B72" s="472" t="n">
        <v>0.16</v>
      </c>
      <c r="C72" s="472" t="n">
        <v>0.28</v>
      </c>
      <c r="D72" s="472" t="n">
        <v>0.12</v>
      </c>
      <c r="E72" s="478">
        <f>D72*1.05</f>
        <v/>
      </c>
      <c r="F72" s="478">
        <f>E72*1.05</f>
        <v/>
      </c>
      <c r="G72" s="478">
        <f>F72*1.05</f>
        <v/>
      </c>
      <c r="H72" s="478">
        <f>G72*1.05</f>
        <v/>
      </c>
      <c r="I72" s="478">
        <f>H72*1.05</f>
        <v/>
      </c>
      <c r="J72" s="478">
        <f>I72*1.05</f>
        <v/>
      </c>
      <c r="K72" s="478" t="n">
        <v>0</v>
      </c>
      <c r="L72" s="478">
        <f>K72*1.05</f>
        <v/>
      </c>
      <c r="M72" s="478" t="n">
        <v>0</v>
      </c>
    </row>
    <row r="73">
      <c r="A73" s="474" t="inlineStr">
        <is>
          <t>Audit Fees &amp; Directors Remuneration</t>
        </is>
      </c>
      <c r="B73" s="472" t="n">
        <v>0.05</v>
      </c>
      <c r="C73" s="472">
        <f>0</f>
        <v/>
      </c>
      <c r="D73" s="472" t="n">
        <v>0.15</v>
      </c>
      <c r="E73" s="478">
        <f>D73*1.05</f>
        <v/>
      </c>
      <c r="F73" s="478">
        <f>E73*1.05</f>
        <v/>
      </c>
      <c r="G73" s="478">
        <f>F73*1.05</f>
        <v/>
      </c>
      <c r="H73" s="478">
        <f>G73*1.05</f>
        <v/>
      </c>
      <c r="I73" s="478">
        <f>H73*1.05</f>
        <v/>
      </c>
      <c r="J73" s="478">
        <f>I73*1.05</f>
        <v/>
      </c>
      <c r="K73" s="478" t="n">
        <v>0</v>
      </c>
      <c r="L73" s="478">
        <f>K73*1.05</f>
        <v/>
      </c>
      <c r="M73" s="478" t="n">
        <v>0</v>
      </c>
    </row>
    <row r="74">
      <c r="A74" s="467" t="inlineStr">
        <is>
          <t>Sub Total</t>
        </is>
      </c>
      <c r="B74" s="479">
        <f>SUM(B67:B73)</f>
        <v/>
      </c>
      <c r="C74" s="476">
        <f>SUM(C67:C73)</f>
        <v/>
      </c>
      <c r="D74" s="476">
        <f>SUM(D67:D73)</f>
        <v/>
      </c>
      <c r="E74" s="476">
        <f>SUM(E67:E73)</f>
        <v/>
      </c>
      <c r="F74" s="476">
        <f>SUM(F67:F73)</f>
        <v/>
      </c>
      <c r="G74" s="476">
        <f>SUM(G67:G73)</f>
        <v/>
      </c>
      <c r="H74" s="476">
        <f>SUM(H67:H73)</f>
        <v/>
      </c>
      <c r="I74" s="476">
        <f>SUM(I67:I73)</f>
        <v/>
      </c>
      <c r="J74" s="476">
        <f>SUM(J67:J73)</f>
        <v/>
      </c>
      <c r="K74" s="476">
        <f>SUM(K67:K73)</f>
        <v/>
      </c>
      <c r="L74" s="476">
        <f>SUM(L67:L73)</f>
        <v/>
      </c>
      <c r="M74" s="476">
        <f>SUM(M67:M73)</f>
        <v/>
      </c>
    </row>
    <row r="75">
      <c r="A75" s="477" t="inlineStr">
        <is>
          <t>Miscellaneous Expenses written off</t>
        </is>
      </c>
      <c r="B75" s="472" t="n"/>
      <c r="C75" s="472" t="n"/>
      <c r="D75" s="472" t="n"/>
      <c r="E75" s="472" t="n"/>
      <c r="F75" s="472" t="n"/>
      <c r="G75" s="472" t="n"/>
      <c r="H75" s="472" t="n"/>
      <c r="I75" s="472" t="n"/>
      <c r="J75" s="472" t="n"/>
      <c r="K75" s="472" t="n"/>
      <c r="L75" s="472" t="n"/>
      <c r="M75" s="472" t="n"/>
    </row>
    <row r="76">
      <c r="A76" s="477" t="inlineStr">
        <is>
          <t>Deferred Revenue Expenditures</t>
        </is>
      </c>
      <c r="B76" s="472" t="n"/>
      <c r="C76" s="472" t="n"/>
      <c r="D76" s="472" t="n"/>
      <c r="E76" s="472" t="n"/>
      <c r="F76" s="472" t="n"/>
      <c r="G76" s="472" t="n"/>
      <c r="H76" s="472" t="n"/>
      <c r="I76" s="472" t="n"/>
      <c r="J76" s="472" t="n"/>
      <c r="K76" s="472" t="n"/>
      <c r="L76" s="472" t="n"/>
      <c r="M76" s="472" t="n"/>
    </row>
    <row r="77">
      <c r="A77" s="471" t="inlineStr">
        <is>
          <t>Other Amortisations</t>
        </is>
      </c>
      <c r="B77" s="472" t="n"/>
      <c r="C77" s="472" t="n"/>
      <c r="D77" s="472" t="n"/>
      <c r="E77" s="472" t="n"/>
      <c r="F77" s="472" t="n"/>
      <c r="G77" s="472" t="n"/>
      <c r="H77" s="472" t="n"/>
      <c r="I77" s="472" t="n"/>
      <c r="J77" s="472" t="n"/>
      <c r="K77" s="472" t="n"/>
      <c r="L77" s="472" t="n"/>
      <c r="M77" s="472" t="n"/>
    </row>
    <row r="78">
      <c r="A78" s="467" t="inlineStr">
        <is>
          <t>Sub Total</t>
        </is>
      </c>
      <c r="B78" s="476">
        <f>SUM(B75:B77)</f>
        <v/>
      </c>
      <c r="C78" s="476">
        <f>SUM(C75:C77)</f>
        <v/>
      </c>
      <c r="D78" s="476">
        <f>SUM(D75:D77)</f>
        <v/>
      </c>
      <c r="E78" s="476">
        <f>SUM(E75:E77)</f>
        <v/>
      </c>
      <c r="F78" s="476">
        <f>SUM(F75:F77)</f>
        <v/>
      </c>
      <c r="G78" s="476">
        <f>SUM(G75:G77)</f>
        <v/>
      </c>
      <c r="H78" s="476">
        <f>SUM(H75:H77)</f>
        <v/>
      </c>
      <c r="I78" s="476">
        <f>SUM(I75:I77)</f>
        <v/>
      </c>
      <c r="J78" s="476">
        <f>SUM(J75:J77)</f>
        <v/>
      </c>
      <c r="K78" s="476">
        <f>SUM(K75:K77)</f>
        <v/>
      </c>
      <c r="L78" s="476">
        <f>SUM(L75:L77)</f>
        <v/>
      </c>
      <c r="M78" s="476">
        <f>SUM(M75:M77)</f>
        <v/>
      </c>
    </row>
    <row r="79">
      <c r="A79" s="477" t="n"/>
      <c r="B79" s="468" t="n"/>
      <c r="C79" s="468" t="n"/>
      <c r="D79" s="468" t="n"/>
      <c r="E79" s="468" t="n"/>
      <c r="F79" s="468" t="n"/>
      <c r="G79" s="468" t="n"/>
      <c r="H79" s="468" t="n"/>
      <c r="I79" s="468" t="n"/>
      <c r="J79" s="468" t="n"/>
      <c r="K79" s="468" t="n"/>
      <c r="L79" s="468" t="n"/>
      <c r="M79" s="468" t="n"/>
    </row>
    <row r="80">
      <c r="A80" s="469" t="inlineStr">
        <is>
          <t>Total</t>
        </is>
      </c>
      <c r="B80" s="476">
        <f>B74+B78</f>
        <v/>
      </c>
      <c r="C80" s="476">
        <f>C74+C78</f>
        <v/>
      </c>
      <c r="D80" s="476">
        <f>D74+D78</f>
        <v/>
      </c>
      <c r="E80" s="476">
        <f>E74+E78</f>
        <v/>
      </c>
      <c r="F80" s="476">
        <f>F74+F78</f>
        <v/>
      </c>
      <c r="G80" s="476">
        <f>G74+G78</f>
        <v/>
      </c>
      <c r="H80" s="476">
        <f>H74+H78</f>
        <v/>
      </c>
      <c r="I80" s="476">
        <f>I74+I78</f>
        <v/>
      </c>
      <c r="J80" s="476">
        <f>J74+J78</f>
        <v/>
      </c>
      <c r="K80" s="476">
        <f>K74+K78</f>
        <v/>
      </c>
      <c r="L80" s="476">
        <f>L74+L78</f>
        <v/>
      </c>
      <c r="M80" s="476">
        <f>M74+M78</f>
        <v/>
      </c>
    </row>
    <row r="81">
      <c r="A81" s="477" t="n"/>
      <c r="B81" s="468" t="n"/>
      <c r="C81" s="468" t="n"/>
      <c r="D81" s="468" t="n"/>
      <c r="E81" s="468" t="n"/>
      <c r="F81" s="468" t="n"/>
      <c r="G81" s="468" t="n"/>
      <c r="H81" s="468" t="n"/>
      <c r="I81" s="468" t="n"/>
      <c r="J81" s="468" t="n"/>
      <c r="K81" s="468" t="n"/>
      <c r="L81" s="468" t="n"/>
      <c r="M81" s="468" t="n"/>
    </row>
    <row r="82">
      <c r="A82" s="469" t="inlineStr">
        <is>
          <t xml:space="preserve">Finance Charges </t>
        </is>
      </c>
      <c r="B82" s="468" t="n"/>
      <c r="C82" s="468" t="n"/>
      <c r="D82" s="468" t="n"/>
      <c r="E82" s="468" t="n"/>
      <c r="F82" s="468" t="n"/>
      <c r="G82" s="468" t="n"/>
      <c r="H82" s="468" t="n"/>
      <c r="I82" s="468" t="n"/>
      <c r="J82" s="468" t="n"/>
      <c r="K82" s="468" t="n"/>
      <c r="L82" s="468" t="n"/>
      <c r="M82" s="468" t="n"/>
    </row>
    <row r="83">
      <c r="A83" s="477" t="inlineStr">
        <is>
          <t>Interest on Fixed Loans / Term loans</t>
        </is>
      </c>
      <c r="B83" s="472" t="n">
        <v>3.66</v>
      </c>
      <c r="C83" s="472" t="n">
        <v>3.38</v>
      </c>
      <c r="D83" s="472" t="n">
        <v>2.7</v>
      </c>
      <c r="E83" s="472">
        <f>SUM(TL!$E$6:$E$17)/10^7</f>
        <v/>
      </c>
      <c r="F83" s="472">
        <f>SUM(TL!$E$18:$E$29)/10^7</f>
        <v/>
      </c>
      <c r="G83" s="472">
        <f>SUM(TL!$E$30:$E$41)/10^7</f>
        <v/>
      </c>
      <c r="H83" s="472">
        <f>SUM(TL!$E$42:$E$53)/10^7</f>
        <v/>
      </c>
      <c r="I83" s="472">
        <f>SUM(TL!$E$54:$E$65)/10^7</f>
        <v/>
      </c>
      <c r="J83" s="472" t="n"/>
      <c r="K83" s="472" t="n"/>
      <c r="L83" s="472" t="n"/>
      <c r="M83" s="472" t="n"/>
    </row>
    <row r="84">
      <c r="A84" s="477" t="inlineStr">
        <is>
          <t>Interest on Working capital loans</t>
        </is>
      </c>
      <c r="B84" s="472" t="n">
        <v>1.91</v>
      </c>
      <c r="C84" s="472" t="n">
        <v>1.65</v>
      </c>
      <c r="D84" s="472" t="n">
        <v>1.28</v>
      </c>
      <c r="E84" s="472">
        <f>SUM(TL!$I$6:$I$17)/10^7</f>
        <v/>
      </c>
      <c r="F84" s="472">
        <f>SUM(TL!$I$18:$I$29)/10^7</f>
        <v/>
      </c>
      <c r="G84" s="472">
        <f>SUM(TL!$I$30:$I$41)/10^7</f>
        <v/>
      </c>
      <c r="H84" s="472">
        <f>SUM(TL!$I$42:$I$53)/10^7</f>
        <v/>
      </c>
      <c r="I84" s="472">
        <f>SUM(TL!$I$54:$I$65)/10^7</f>
        <v/>
      </c>
      <c r="J84" s="472" t="n"/>
      <c r="K84" s="472" t="n"/>
      <c r="L84" s="472" t="n"/>
      <c r="M84" s="472" t="n"/>
    </row>
    <row r="85">
      <c r="A85" s="477" t="inlineStr">
        <is>
          <t>Bank Charges</t>
        </is>
      </c>
      <c r="B85" s="472" t="n">
        <v>0.01</v>
      </c>
      <c r="C85" s="472" t="n">
        <v>0.01</v>
      </c>
      <c r="D85" s="472" t="n">
        <v>0.03</v>
      </c>
      <c r="E85" s="472">
        <f>D85</f>
        <v/>
      </c>
      <c r="F85" s="472">
        <f>E85</f>
        <v/>
      </c>
      <c r="G85" s="472">
        <f>F85</f>
        <v/>
      </c>
      <c r="H85" s="472" t="n">
        <v>0</v>
      </c>
      <c r="I85" s="472">
        <f>H85</f>
        <v/>
      </c>
      <c r="J85" s="472" t="n">
        <v>0</v>
      </c>
      <c r="K85" s="472" t="n">
        <v>0</v>
      </c>
      <c r="L85" s="472" t="n">
        <v>0</v>
      </c>
      <c r="M85" s="472" t="n">
        <v>0</v>
      </c>
    </row>
    <row r="86">
      <c r="A86" s="469" t="inlineStr">
        <is>
          <t>Total</t>
        </is>
      </c>
      <c r="B86" s="476">
        <f>SUM(B83:B85)</f>
        <v/>
      </c>
      <c r="C86" s="476">
        <f>SUM(C83:C85)</f>
        <v/>
      </c>
      <c r="D86" s="476">
        <f>SUM(D83:D85)</f>
        <v/>
      </c>
      <c r="E86" s="476">
        <f>SUM(E83:E85)</f>
        <v/>
      </c>
      <c r="F86" s="476">
        <f>SUM(F83:F85)</f>
        <v/>
      </c>
      <c r="G86" s="476">
        <f>SUM(G83:G85)</f>
        <v/>
      </c>
      <c r="H86" s="476">
        <f>SUM(H83:H85)</f>
        <v/>
      </c>
      <c r="I86" s="476">
        <f>SUM(I83:I85)</f>
        <v/>
      </c>
      <c r="J86" s="476">
        <f>SUM(J83:J85)</f>
        <v/>
      </c>
      <c r="K86" s="476">
        <f>SUM(K83:K85)</f>
        <v/>
      </c>
      <c r="L86" s="476">
        <f>SUM(L83:L85)</f>
        <v/>
      </c>
      <c r="M86" s="476">
        <f>SUM(M83:M85)</f>
        <v/>
      </c>
    </row>
    <row r="87">
      <c r="A87" s="477" t="n"/>
      <c r="B87" s="468" t="n"/>
      <c r="C87" s="468" t="n"/>
      <c r="D87" s="468" t="n"/>
      <c r="E87" s="468" t="n"/>
      <c r="F87" s="468" t="n"/>
      <c r="G87" s="468" t="n"/>
      <c r="H87" s="468" t="n"/>
      <c r="I87" s="468" t="n"/>
      <c r="J87" s="468" t="n"/>
      <c r="K87" s="468" t="n"/>
      <c r="L87" s="468" t="n"/>
      <c r="M87" s="468" t="n"/>
    </row>
    <row r="88">
      <c r="A88" s="469" t="inlineStr">
        <is>
          <t xml:space="preserve">Non Operating Expenses </t>
        </is>
      </c>
      <c r="B88" s="468" t="n"/>
      <c r="C88" s="468" t="n"/>
      <c r="D88" s="468" t="n"/>
      <c r="E88" s="468" t="n"/>
      <c r="F88" s="468" t="n"/>
      <c r="G88" s="468" t="n"/>
      <c r="H88" s="468" t="n"/>
      <c r="I88" s="468" t="n"/>
      <c r="J88" s="468" t="n"/>
      <c r="K88" s="468" t="n"/>
      <c r="L88" s="468" t="n"/>
      <c r="M88" s="468" t="n"/>
    </row>
    <row r="89">
      <c r="A89" s="471" t="inlineStr">
        <is>
          <t>Loss on sale of fixed assets / Investments</t>
        </is>
      </c>
      <c r="B89" s="472" t="n"/>
      <c r="C89" s="472" t="n"/>
      <c r="D89" s="472" t="n"/>
      <c r="E89" s="472" t="n"/>
      <c r="F89" s="472" t="n"/>
      <c r="G89" s="472" t="n"/>
      <c r="H89" s="472" t="n"/>
      <c r="I89" s="472" t="n"/>
      <c r="J89" s="472" t="n"/>
      <c r="K89" s="472" t="n"/>
      <c r="L89" s="472" t="n"/>
      <c r="M89" s="472" t="n"/>
    </row>
    <row r="90">
      <c r="A90" s="471" t="inlineStr">
        <is>
          <t>Sundry Balances Written off</t>
        </is>
      </c>
      <c r="B90" s="472" t="n"/>
      <c r="C90" s="472" t="n">
        <v>0.01</v>
      </c>
      <c r="D90" s="472" t="n">
        <v>0</v>
      </c>
      <c r="E90" s="472" t="n"/>
      <c r="F90" s="472" t="n"/>
      <c r="G90" s="472" t="n"/>
      <c r="H90" s="472" t="n"/>
      <c r="I90" s="472" t="n"/>
      <c r="J90" s="472" t="n"/>
      <c r="K90" s="472" t="n"/>
      <c r="L90" s="472" t="n"/>
      <c r="M90" s="472" t="n"/>
    </row>
    <row r="91">
      <c r="A91" s="471" t="inlineStr">
        <is>
          <t>Loss on Exchange Fluctuations</t>
        </is>
      </c>
      <c r="B91" s="472" t="n"/>
      <c r="C91" s="472" t="n"/>
      <c r="D91" s="472" t="n"/>
      <c r="E91" s="472" t="n"/>
      <c r="F91" s="472" t="n"/>
      <c r="G91" s="472" t="n"/>
      <c r="H91" s="472" t="n"/>
      <c r="I91" s="472" t="n"/>
      <c r="J91" s="472" t="n"/>
      <c r="K91" s="472" t="n"/>
      <c r="L91" s="472" t="n"/>
      <c r="M91" s="472" t="n"/>
    </row>
    <row r="92">
      <c r="A92" s="471" t="inlineStr">
        <is>
          <t>Extraordinary losses</t>
        </is>
      </c>
      <c r="B92" s="472" t="n"/>
      <c r="C92" s="472" t="n"/>
      <c r="D92" s="472" t="n"/>
      <c r="E92" s="472" t="n"/>
      <c r="F92" s="472" t="n"/>
      <c r="G92" s="472" t="n"/>
      <c r="H92" s="472" t="n"/>
      <c r="I92" s="472" t="n"/>
      <c r="J92" s="472" t="n"/>
      <c r="K92" s="472" t="n"/>
      <c r="L92" s="472" t="n"/>
      <c r="M92" s="472" t="n"/>
    </row>
    <row r="93">
      <c r="A93" s="471" t="inlineStr">
        <is>
          <t>Others</t>
        </is>
      </c>
      <c r="B93" s="472" t="n"/>
      <c r="C93" s="472" t="n">
        <v>0.01</v>
      </c>
      <c r="D93" s="472" t="n">
        <v>0.06</v>
      </c>
      <c r="E93" s="472" t="n"/>
      <c r="F93" s="472" t="n"/>
      <c r="G93" s="472" t="n"/>
      <c r="H93" s="472" t="n"/>
      <c r="I93" s="472" t="n"/>
      <c r="J93" s="472" t="n"/>
      <c r="K93" s="472" t="n"/>
      <c r="L93" s="472" t="n"/>
      <c r="M93" s="472" t="n"/>
    </row>
    <row r="94">
      <c r="A94" s="469" t="inlineStr">
        <is>
          <t>Total</t>
        </is>
      </c>
      <c r="B94" s="476">
        <f>SUM(B89:B93)</f>
        <v/>
      </c>
      <c r="C94" s="476">
        <f>SUM(C89:C93)</f>
        <v/>
      </c>
      <c r="D94" s="476">
        <f>SUM(D89:D93)</f>
        <v/>
      </c>
      <c r="E94" s="476">
        <f>SUM(E89:E93)</f>
        <v/>
      </c>
      <c r="F94" s="476">
        <f>SUM(F89:F93)</f>
        <v/>
      </c>
      <c r="G94" s="476">
        <f>SUM(G89:G93)</f>
        <v/>
      </c>
      <c r="H94" s="476">
        <f>SUM(H89:H93)</f>
        <v/>
      </c>
      <c r="I94" s="476">
        <f>SUM(I89:I93)</f>
        <v/>
      </c>
      <c r="J94" s="476">
        <f>SUM(J89:J93)</f>
        <v/>
      </c>
      <c r="K94" s="476">
        <f>SUM(K89:K93)</f>
        <v/>
      </c>
      <c r="L94" s="476">
        <f>SUM(L89:L93)</f>
        <v/>
      </c>
      <c r="M94" s="476">
        <f>SUM(M89:M93)</f>
        <v/>
      </c>
    </row>
    <row r="95">
      <c r="A95" s="469" t="n"/>
      <c r="B95" s="468" t="n"/>
      <c r="C95" s="468" t="n"/>
      <c r="D95" s="468" t="n"/>
      <c r="E95" s="468" t="n"/>
      <c r="F95" s="468" t="n"/>
      <c r="G95" s="468" t="n"/>
      <c r="H95" s="468" t="n"/>
      <c r="I95" s="468" t="n"/>
      <c r="J95" s="468" t="n"/>
      <c r="K95" s="468" t="n"/>
      <c r="L95" s="468" t="n"/>
      <c r="M95" s="468" t="n"/>
    </row>
    <row r="96">
      <c r="A96" s="469" t="inlineStr">
        <is>
          <t>Profit Before Tax</t>
        </is>
      </c>
      <c r="B96" s="476">
        <f>B26+B35-B61-B80-B86-B94</f>
        <v/>
      </c>
      <c r="C96" s="476">
        <f>C26+C35-C61-C80-C86-C94</f>
        <v/>
      </c>
      <c r="D96" s="476">
        <f>D26+D35-D61-D80-D86-D94</f>
        <v/>
      </c>
      <c r="E96" s="476">
        <f>E26+E35-E61-E80-E86-E94</f>
        <v/>
      </c>
      <c r="F96" s="388">
        <f>F26+F35-F61-F80-F86-F94</f>
        <v/>
      </c>
      <c r="G96" s="476">
        <f>G26+G35-G61-G80-G86-G94</f>
        <v/>
      </c>
      <c r="H96" s="476">
        <f>H26+H35-H61-H80-H86-H94</f>
        <v/>
      </c>
      <c r="I96" s="476">
        <f>I26+I35-I61-I80-I86-I94</f>
        <v/>
      </c>
      <c r="J96" s="476">
        <f>J26+J35-J61-J80-J86-J94</f>
        <v/>
      </c>
      <c r="K96" s="476">
        <f>K26+K35-K61-K80-K86-K94</f>
        <v/>
      </c>
      <c r="L96" s="476">
        <f>L26+L35-L61-L80-L86-L94</f>
        <v/>
      </c>
      <c r="M96" s="476">
        <f>M26+M35-M61-M80-M86-M94</f>
        <v/>
      </c>
    </row>
    <row r="97">
      <c r="A97" s="469" t="n"/>
      <c r="B97" s="481" t="n"/>
      <c r="C97" s="366" t="n"/>
      <c r="D97" s="468" t="n"/>
      <c r="E97" s="468" t="n"/>
      <c r="F97" s="468" t="n"/>
      <c r="G97" s="468" t="n"/>
      <c r="H97" s="468" t="n"/>
      <c r="I97" s="468" t="n"/>
      <c r="J97" s="468" t="n"/>
      <c r="K97" s="468" t="n"/>
      <c r="L97" s="468" t="n"/>
      <c r="M97" s="468" t="n"/>
    </row>
    <row r="98">
      <c r="A98" s="469" t="inlineStr">
        <is>
          <t>Tax</t>
        </is>
      </c>
      <c r="B98" s="481" t="n"/>
      <c r="C98" s="468" t="n"/>
      <c r="D98" s="468" t="n"/>
      <c r="E98" s="468" t="n"/>
      <c r="F98" s="468" t="n"/>
      <c r="G98" s="468" t="n"/>
      <c r="H98" s="468" t="n"/>
      <c r="I98" s="468" t="n"/>
      <c r="J98" s="468" t="n"/>
      <c r="K98" s="468" t="n"/>
      <c r="L98" s="468" t="n"/>
      <c r="M98" s="468" t="n"/>
    </row>
    <row r="99">
      <c r="A99" s="471" t="inlineStr">
        <is>
          <t>Income Tax  provision</t>
        </is>
      </c>
      <c r="B99" s="472">
        <f>0</f>
        <v/>
      </c>
      <c r="C99" s="472">
        <f>0</f>
        <v/>
      </c>
      <c r="D99" s="472">
        <f>0</f>
        <v/>
      </c>
      <c r="E99" s="472">
        <f>IF(E96&gt;0,(E96*0.25),0)</f>
        <v/>
      </c>
      <c r="F99" s="472">
        <f>IF(F96&gt;0,(F96*0.25),0)</f>
        <v/>
      </c>
      <c r="G99" s="472">
        <f>IF(G96&gt;0,(G96*0.25),0)</f>
        <v/>
      </c>
      <c r="H99" s="472" t="n">
        <v>0</v>
      </c>
      <c r="I99" s="472">
        <f>IF(I96&gt;0,(I96*0.25),0)</f>
        <v/>
      </c>
      <c r="J99" s="472" t="n">
        <v>0</v>
      </c>
      <c r="K99" s="472" t="n">
        <v>0</v>
      </c>
      <c r="L99" s="472" t="n">
        <v>0</v>
      </c>
      <c r="M99" s="472" t="n">
        <v>0</v>
      </c>
    </row>
    <row r="100">
      <c r="A100" s="471" t="inlineStr">
        <is>
          <t>Deferred Tax Liability</t>
        </is>
      </c>
      <c r="B100" s="472">
        <f>0</f>
        <v/>
      </c>
      <c r="C100" s="472">
        <f>0</f>
        <v/>
      </c>
      <c r="D100" s="472">
        <f>0</f>
        <v/>
      </c>
      <c r="E100" s="472" t="n"/>
      <c r="F100" s="472" t="n"/>
      <c r="G100" s="472" t="n"/>
      <c r="H100" s="472" t="n"/>
      <c r="I100" s="472" t="n"/>
      <c r="J100" s="472" t="n"/>
      <c r="K100" s="472" t="n"/>
      <c r="L100" s="472" t="n"/>
      <c r="M100" s="472" t="n"/>
    </row>
    <row r="101">
      <c r="A101" s="471" t="inlineStr">
        <is>
          <t>Deferred Tax Asset</t>
        </is>
      </c>
      <c r="B101" s="472">
        <f>0</f>
        <v/>
      </c>
      <c r="C101" s="472">
        <f>0</f>
        <v/>
      </c>
      <c r="D101" s="472">
        <f>0</f>
        <v/>
      </c>
      <c r="E101" s="482" t="n"/>
      <c r="F101" s="482" t="n"/>
      <c r="G101" s="482" t="n"/>
      <c r="H101" s="482" t="n"/>
      <c r="I101" s="482" t="n"/>
      <c r="J101" s="482" t="n"/>
      <c r="K101" s="482" t="n"/>
      <c r="L101" s="482" t="n"/>
      <c r="M101" s="482" t="n"/>
    </row>
    <row r="102">
      <c r="A102" s="469" t="inlineStr">
        <is>
          <t>Total</t>
        </is>
      </c>
      <c r="B102" s="479">
        <f>B99+B100-B101</f>
        <v/>
      </c>
      <c r="C102" s="476">
        <f>C99+C100-C101</f>
        <v/>
      </c>
      <c r="D102" s="476">
        <f>D99+D100-D101</f>
        <v/>
      </c>
      <c r="E102" s="476">
        <f>E99+E100-E101</f>
        <v/>
      </c>
      <c r="F102" s="476">
        <f>F99+F100-F101</f>
        <v/>
      </c>
      <c r="G102" s="476">
        <f>G99+G100-G101</f>
        <v/>
      </c>
      <c r="H102" s="476">
        <f>H99+H100-H101</f>
        <v/>
      </c>
      <c r="I102" s="476">
        <f>I99+I100-I101</f>
        <v/>
      </c>
      <c r="J102" s="476">
        <f>J99+J100-J101</f>
        <v/>
      </c>
      <c r="K102" s="476">
        <f>K99+K100-K101</f>
        <v/>
      </c>
      <c r="L102" s="476">
        <f>L99+L100-L101</f>
        <v/>
      </c>
      <c r="M102" s="476">
        <f>M99+M100-M101</f>
        <v/>
      </c>
    </row>
    <row r="103">
      <c r="A103" s="469" t="n"/>
      <c r="B103" s="468" t="n"/>
      <c r="C103" s="468" t="n"/>
      <c r="D103" s="468" t="n"/>
      <c r="E103" s="468" t="n"/>
      <c r="F103" s="468" t="n"/>
      <c r="G103" s="468" t="n"/>
      <c r="H103" s="468" t="n"/>
      <c r="I103" s="468" t="n"/>
      <c r="J103" s="468" t="n"/>
      <c r="K103" s="468" t="n"/>
      <c r="L103" s="468" t="n"/>
      <c r="M103" s="468" t="n"/>
    </row>
    <row r="104">
      <c r="A104" s="469" t="inlineStr">
        <is>
          <t>Net Profit for the year ( PAT)</t>
        </is>
      </c>
      <c r="B104" s="476">
        <f>B96-B102</f>
        <v/>
      </c>
      <c r="C104" s="476">
        <f>C96-C102</f>
        <v/>
      </c>
      <c r="D104" s="476">
        <f>D96-D102</f>
        <v/>
      </c>
      <c r="E104" s="476">
        <f>E96-E102</f>
        <v/>
      </c>
      <c r="F104" s="476">
        <f>F96-F102</f>
        <v/>
      </c>
      <c r="G104" s="476">
        <f>G96-G102</f>
        <v/>
      </c>
      <c r="H104" s="476">
        <f>H96-H102</f>
        <v/>
      </c>
      <c r="I104" s="476">
        <f>I96-I102</f>
        <v/>
      </c>
      <c r="J104" s="476">
        <f>J96-J102</f>
        <v/>
      </c>
      <c r="K104" s="476">
        <f>K96-K102</f>
        <v/>
      </c>
      <c r="L104" s="476">
        <f>L96-L102</f>
        <v/>
      </c>
      <c r="M104" s="476">
        <f>M96-M102</f>
        <v/>
      </c>
    </row>
    <row r="105">
      <c r="A105" s="469" t="n"/>
      <c r="B105" s="483" t="n"/>
      <c r="C105" s="484" t="n"/>
      <c r="D105" s="484" t="n"/>
      <c r="E105" s="485" t="n"/>
      <c r="F105" s="484" t="n"/>
      <c r="G105" s="484" t="n"/>
      <c r="H105" s="484" t="n"/>
      <c r="I105" s="484" t="n"/>
      <c r="J105" s="484" t="n"/>
      <c r="K105" s="484" t="n"/>
      <c r="L105" s="484" t="n"/>
      <c r="M105" s="484" t="n"/>
    </row>
    <row r="106">
      <c r="A106" s="477" t="inlineStr">
        <is>
          <t>Brought forward from previous year</t>
        </is>
      </c>
      <c r="B106" s="472" t="n">
        <v>38.06</v>
      </c>
      <c r="C106" s="475">
        <f>B109</f>
        <v/>
      </c>
      <c r="D106" s="475">
        <f>C109</f>
        <v/>
      </c>
      <c r="E106" s="475">
        <f>D109</f>
        <v/>
      </c>
      <c r="F106" s="475">
        <f>E109</f>
        <v/>
      </c>
      <c r="G106" s="475">
        <f>F109</f>
        <v/>
      </c>
      <c r="H106" s="475">
        <f>G109</f>
        <v/>
      </c>
      <c r="I106" s="475">
        <f>H109</f>
        <v/>
      </c>
      <c r="J106" s="475">
        <f>I109</f>
        <v/>
      </c>
      <c r="K106" s="475">
        <f>J109</f>
        <v/>
      </c>
      <c r="L106" s="475">
        <f>K109</f>
        <v/>
      </c>
      <c r="M106" s="475">
        <f>L109</f>
        <v/>
      </c>
    </row>
    <row r="107">
      <c r="A107" s="477" t="inlineStr">
        <is>
          <t>Dividend ( Final + Interim , Including Dividend Tax )</t>
        </is>
      </c>
      <c r="B107" s="472" t="n"/>
      <c r="C107" s="472" t="n">
        <v>0</v>
      </c>
      <c r="D107" s="472" t="n">
        <v>0.01</v>
      </c>
      <c r="E107" s="472" t="n"/>
      <c r="F107" s="472" t="n"/>
      <c r="G107" s="472" t="n"/>
      <c r="H107" s="472" t="n"/>
      <c r="I107" s="472" t="n"/>
      <c r="J107" s="472" t="n"/>
      <c r="K107" s="472" t="n"/>
      <c r="L107" s="472" t="n"/>
      <c r="M107" s="472" t="n"/>
    </row>
    <row r="108">
      <c r="A108" s="477" t="inlineStr">
        <is>
          <t>Other Appropriation of profit</t>
        </is>
      </c>
      <c r="B108" s="472" t="n"/>
      <c r="C108" s="472" t="n"/>
      <c r="D108" s="472" t="n"/>
      <c r="E108" s="472" t="n"/>
      <c r="F108" s="472" t="n"/>
      <c r="G108" s="472" t="n"/>
      <c r="H108" s="472" t="n"/>
      <c r="I108" s="472" t="n"/>
      <c r="J108" s="472" t="n"/>
      <c r="K108" s="472" t="n"/>
      <c r="L108" s="472" t="n"/>
      <c r="M108" s="472" t="n"/>
    </row>
    <row r="109">
      <c r="A109" s="486" t="inlineStr">
        <is>
          <t>Balance carried to Balance Sheet</t>
        </is>
      </c>
      <c r="B109" s="487">
        <f>B104+B106-B107-B108</f>
        <v/>
      </c>
      <c r="C109" s="487">
        <f>C104+C106-C107-C108</f>
        <v/>
      </c>
      <c r="D109" s="487">
        <f>D104+D106-D107-D108</f>
        <v/>
      </c>
      <c r="E109" s="487">
        <f>E104+E106-E107-E108</f>
        <v/>
      </c>
      <c r="F109" s="487">
        <f>F104+F106-F107-F108</f>
        <v/>
      </c>
      <c r="G109" s="487">
        <f>G104+G106-G107-G108</f>
        <v/>
      </c>
      <c r="H109" s="487">
        <f>H104+H106-H107-H108</f>
        <v/>
      </c>
      <c r="I109" s="487">
        <f>I104+I106-I107-I108</f>
        <v/>
      </c>
      <c r="J109" s="487">
        <f>J104+J106-J107-J108</f>
        <v/>
      </c>
      <c r="K109" s="487">
        <f>K104+K106-K107-K108</f>
        <v/>
      </c>
      <c r="L109" s="487">
        <f>L104+L106-L107-L108</f>
        <v/>
      </c>
      <c r="M109" s="487">
        <f>M104+M106-M107-M108</f>
        <v/>
      </c>
    </row>
    <row r="110">
      <c r="A110" s="488" t="n"/>
    </row>
    <row r="111" customFormat="1" s="489">
      <c r="A111" s="490" t="inlineStr">
        <is>
          <t xml:space="preserve">Balance Sheet </t>
        </is>
      </c>
    </row>
    <row r="112" customFormat="1" s="489"/>
    <row r="113">
      <c r="A113" s="37">
        <f>A8</f>
        <v/>
      </c>
      <c r="B113" s="38">
        <f>B8</f>
        <v/>
      </c>
      <c r="C113" s="38">
        <f>C8</f>
        <v/>
      </c>
      <c r="D113" s="39">
        <f>D8</f>
        <v/>
      </c>
      <c r="E113" s="39">
        <f>E8</f>
        <v/>
      </c>
      <c r="F113" s="39">
        <f>F8</f>
        <v/>
      </c>
      <c r="G113" s="39">
        <f>G8</f>
        <v/>
      </c>
      <c r="H113" s="39">
        <f>H8</f>
        <v/>
      </c>
      <c r="I113" s="39">
        <f>I8</f>
        <v/>
      </c>
      <c r="J113" s="39">
        <f>J8</f>
        <v/>
      </c>
      <c r="K113" s="39">
        <f>K8</f>
        <v/>
      </c>
      <c r="L113" s="39">
        <f>L8</f>
        <v/>
      </c>
      <c r="M113" s="39">
        <f>M8</f>
        <v/>
      </c>
    </row>
    <row r="114" customFormat="1" s="489">
      <c r="A114" s="40">
        <f>A10</f>
        <v/>
      </c>
      <c r="B114" s="41">
        <f>B10</f>
        <v/>
      </c>
      <c r="C114" s="41">
        <f>C10</f>
        <v/>
      </c>
      <c r="D114" s="42">
        <f>D10</f>
        <v/>
      </c>
      <c r="E114" s="42">
        <f>E10</f>
        <v/>
      </c>
      <c r="F114" s="491">
        <f>F10</f>
        <v/>
      </c>
      <c r="G114" s="42">
        <f>G10</f>
        <v/>
      </c>
      <c r="H114" s="42">
        <f>H10</f>
        <v/>
      </c>
      <c r="I114" s="42">
        <f>I10</f>
        <v/>
      </c>
      <c r="J114" s="42">
        <f>J10</f>
        <v/>
      </c>
      <c r="K114" s="42">
        <f>K10</f>
        <v/>
      </c>
      <c r="L114" s="42">
        <f>L10</f>
        <v/>
      </c>
      <c r="M114" s="42">
        <f>M10</f>
        <v/>
      </c>
    </row>
    <row r="115" customFormat="1" s="489">
      <c r="A115" s="492" t="inlineStr">
        <is>
          <t>Share Capital</t>
        </is>
      </c>
      <c r="B115" s="493" t="n"/>
      <c r="C115" s="494" t="n"/>
      <c r="D115" s="494" t="n"/>
      <c r="E115" s="494" t="n"/>
      <c r="F115" s="494" t="n"/>
      <c r="G115" s="494" t="n"/>
      <c r="H115" s="494" t="n"/>
      <c r="I115" s="494" t="n"/>
      <c r="J115" s="494" t="n"/>
      <c r="K115" s="494" t="n"/>
      <c r="L115" s="494" t="n"/>
      <c r="M115" s="494" t="n"/>
    </row>
    <row r="116" customFormat="1" s="489">
      <c r="A116" s="495" t="inlineStr">
        <is>
          <t>Issued, Subscribed and Paid up</t>
        </is>
      </c>
      <c r="B116" s="472" t="n">
        <v>38.06</v>
      </c>
      <c r="C116" s="472" t="n">
        <v>42.48</v>
      </c>
      <c r="D116" s="472" t="n">
        <v>50.32</v>
      </c>
      <c r="E116" s="472">
        <f>D116</f>
        <v/>
      </c>
      <c r="F116" s="472">
        <f>E116</f>
        <v/>
      </c>
      <c r="G116" s="472">
        <f>F116</f>
        <v/>
      </c>
      <c r="H116" s="472" t="n">
        <v>0</v>
      </c>
      <c r="I116" s="472">
        <f>H116</f>
        <v/>
      </c>
      <c r="J116" s="472" t="n">
        <v>0</v>
      </c>
      <c r="K116" s="472" t="n">
        <v>0</v>
      </c>
      <c r="L116" s="472" t="n">
        <v>0</v>
      </c>
      <c r="M116" s="472" t="n">
        <v>0</v>
      </c>
    </row>
    <row r="117" customFormat="1" s="489">
      <c r="A117" s="495" t="inlineStr">
        <is>
          <t>Share Application Money</t>
        </is>
      </c>
      <c r="B117" s="472" t="n"/>
      <c r="C117" s="472" t="n"/>
      <c r="D117" s="472" t="n"/>
      <c r="E117" s="472" t="n"/>
      <c r="F117" s="472" t="n"/>
      <c r="G117" s="472" t="n"/>
      <c r="H117" s="472" t="n"/>
      <c r="I117" s="472" t="n"/>
      <c r="J117" s="472" t="n"/>
      <c r="K117" s="472" t="n"/>
      <c r="L117" s="472" t="n"/>
      <c r="M117" s="472" t="n"/>
    </row>
    <row r="118" customFormat="1" s="489">
      <c r="A118" s="496" t="inlineStr">
        <is>
          <t>Total</t>
        </is>
      </c>
      <c r="B118" s="479">
        <f>SUM(B116:B117)</f>
        <v/>
      </c>
      <c r="C118" s="479">
        <f>SUM(C116:C117)</f>
        <v/>
      </c>
      <c r="D118" s="479">
        <f>SUM(D116:D117)</f>
        <v/>
      </c>
      <c r="E118" s="479">
        <f>SUM(E116:E117)</f>
        <v/>
      </c>
      <c r="F118" s="479">
        <f>SUM(F116:F117)</f>
        <v/>
      </c>
      <c r="G118" s="479">
        <f>SUM(G116:G117)</f>
        <v/>
      </c>
      <c r="H118" s="479">
        <f>SUM(H116:H117)</f>
        <v/>
      </c>
      <c r="I118" s="479">
        <f>SUM(I116:I117)</f>
        <v/>
      </c>
      <c r="J118" s="479">
        <f>SUM(J116:J117)</f>
        <v/>
      </c>
      <c r="K118" s="479">
        <f>SUM(K116:K117)</f>
        <v/>
      </c>
      <c r="L118" s="479">
        <f>SUM(L116:L117)</f>
        <v/>
      </c>
      <c r="M118" s="479">
        <f>SUM(M116:M117)</f>
        <v/>
      </c>
    </row>
    <row r="119" customFormat="1" s="489">
      <c r="A119" s="495" t="n"/>
      <c r="B119" s="493" t="n"/>
      <c r="C119" s="494" t="n"/>
      <c r="D119" s="494" t="n"/>
      <c r="E119" s="494" t="n"/>
      <c r="F119" s="494" t="n"/>
      <c r="G119" s="494" t="n"/>
      <c r="H119" s="494" t="n"/>
      <c r="I119" s="494" t="n"/>
      <c r="J119" s="494" t="n"/>
      <c r="K119" s="494" t="n"/>
      <c r="L119" s="494" t="n"/>
      <c r="M119" s="494" t="n"/>
    </row>
    <row r="120" customFormat="1" s="489">
      <c r="A120" s="496" t="inlineStr">
        <is>
          <t>Reserves and Surplus</t>
        </is>
      </c>
      <c r="B120" s="493" t="n"/>
      <c r="C120" s="494" t="n"/>
      <c r="D120" s="494" t="n"/>
      <c r="E120" s="494" t="n"/>
      <c r="F120" s="494" t="n"/>
      <c r="G120" s="494" t="n"/>
      <c r="H120" s="494" t="n"/>
      <c r="I120" s="494" t="n"/>
      <c r="J120" s="494" t="n"/>
      <c r="K120" s="494" t="n"/>
      <c r="L120" s="494" t="n"/>
      <c r="M120" s="494" t="n"/>
    </row>
    <row r="121" customFormat="1" s="489">
      <c r="A121" s="495" t="inlineStr">
        <is>
          <t>General Reserve</t>
        </is>
      </c>
      <c r="B121" s="472" t="n"/>
      <c r="C121" s="472" t="n"/>
      <c r="D121" s="472" t="n"/>
      <c r="E121" s="472" t="n"/>
      <c r="F121" s="472" t="n"/>
      <c r="G121" s="472" t="n"/>
      <c r="H121" s="472" t="n"/>
      <c r="I121" s="472" t="n"/>
      <c r="J121" s="472" t="n"/>
      <c r="K121" s="472" t="n"/>
      <c r="L121" s="472" t="n"/>
      <c r="M121" s="472" t="n"/>
    </row>
    <row r="122" customFormat="1" s="489">
      <c r="A122" s="495" t="inlineStr">
        <is>
          <t>Balance transferred from profit and loss a/c</t>
        </is>
      </c>
      <c r="B122" s="497">
        <f>B109</f>
        <v/>
      </c>
      <c r="C122" s="497">
        <f>C109</f>
        <v/>
      </c>
      <c r="D122" s="497">
        <f>D109</f>
        <v/>
      </c>
      <c r="E122" s="497">
        <f>E109</f>
        <v/>
      </c>
      <c r="F122" s="497">
        <f>F109</f>
        <v/>
      </c>
      <c r="G122" s="497">
        <f>G109</f>
        <v/>
      </c>
      <c r="H122" s="497">
        <f>H109</f>
        <v/>
      </c>
      <c r="I122" s="497">
        <f>I109</f>
        <v/>
      </c>
      <c r="J122" s="497">
        <f>J109</f>
        <v/>
      </c>
      <c r="K122" s="497">
        <f>K109</f>
        <v/>
      </c>
      <c r="L122" s="497">
        <f>L109</f>
        <v/>
      </c>
      <c r="M122" s="497">
        <f>M109</f>
        <v/>
      </c>
    </row>
    <row r="123" customFormat="1" s="489">
      <c r="A123" s="495" t="inlineStr">
        <is>
          <t>Share Premium A/c</t>
        </is>
      </c>
      <c r="B123" s="472" t="n">
        <v>0</v>
      </c>
      <c r="C123" s="472" t="n">
        <v>0</v>
      </c>
      <c r="D123" s="472" t="n">
        <v>0</v>
      </c>
      <c r="E123" s="472">
        <f>D123</f>
        <v/>
      </c>
      <c r="F123" s="472">
        <f>E123</f>
        <v/>
      </c>
      <c r="G123" s="472">
        <f>F123</f>
        <v/>
      </c>
      <c r="H123" s="472">
        <f>G123</f>
        <v/>
      </c>
      <c r="I123" s="472">
        <f>H123</f>
        <v/>
      </c>
      <c r="J123" s="472" t="n">
        <v>0</v>
      </c>
      <c r="K123" s="472" t="n">
        <v>0</v>
      </c>
      <c r="L123" s="472" t="n">
        <v>0</v>
      </c>
      <c r="M123" s="472" t="n">
        <v>0</v>
      </c>
    </row>
    <row r="124" customFormat="1" s="489">
      <c r="A124" s="495" t="inlineStr">
        <is>
          <t xml:space="preserve">Revaluation Reserve </t>
        </is>
      </c>
      <c r="B124" s="472" t="n"/>
      <c r="C124" s="472" t="n"/>
      <c r="D124" s="472" t="n"/>
      <c r="E124" s="472" t="n"/>
      <c r="F124" s="472" t="n"/>
      <c r="G124" s="472" t="n"/>
      <c r="H124" s="472" t="n"/>
      <c r="I124" s="472" t="n"/>
      <c r="J124" s="472" t="n"/>
      <c r="K124" s="472" t="n"/>
      <c r="L124" s="472" t="n"/>
      <c r="M124" s="472" t="n"/>
    </row>
    <row r="125" customFormat="1" s="489">
      <c r="A125" s="495" t="inlineStr">
        <is>
          <t>Other Reserve</t>
        </is>
      </c>
      <c r="B125" s="472" t="n"/>
      <c r="C125" s="472" t="n"/>
      <c r="D125" s="472" t="n"/>
      <c r="E125" s="472" t="n"/>
      <c r="F125" s="472" t="n"/>
      <c r="G125" s="472" t="n"/>
      <c r="H125" s="472" t="n"/>
      <c r="I125" s="472" t="n"/>
      <c r="J125" s="472" t="n"/>
      <c r="K125" s="472" t="n"/>
      <c r="L125" s="472" t="n"/>
      <c r="M125" s="472" t="n"/>
    </row>
    <row r="126" customFormat="1" s="489">
      <c r="A126" s="496" t="inlineStr">
        <is>
          <t>Total</t>
        </is>
      </c>
      <c r="B126" s="479">
        <f>SUM(B121:B125)</f>
        <v/>
      </c>
      <c r="C126" s="479">
        <f>SUM(C121:C125)</f>
        <v/>
      </c>
      <c r="D126" s="479">
        <f>SUM(D121:D125)</f>
        <v/>
      </c>
      <c r="E126" s="479">
        <f>SUM(E121:E125)</f>
        <v/>
      </c>
      <c r="F126" s="479">
        <f>SUM(F121:F125)</f>
        <v/>
      </c>
      <c r="G126" s="479">
        <f>SUM(G121:G125)</f>
        <v/>
      </c>
      <c r="H126" s="479">
        <f>SUM(H121:H125)</f>
        <v/>
      </c>
      <c r="I126" s="479">
        <f>SUM(I121:I125)</f>
        <v/>
      </c>
      <c r="J126" s="479">
        <f>SUM(J121:J125)</f>
        <v/>
      </c>
      <c r="K126" s="479">
        <f>SUM(K121:K125)</f>
        <v/>
      </c>
      <c r="L126" s="479">
        <f>SUM(L121:L125)</f>
        <v/>
      </c>
      <c r="M126" s="479">
        <f>SUM(M121:M125)</f>
        <v/>
      </c>
    </row>
    <row r="127" customFormat="1" s="489">
      <c r="A127" s="495" t="n"/>
      <c r="B127" s="493" t="n"/>
      <c r="C127" s="494" t="n"/>
      <c r="D127" s="494" t="n"/>
      <c r="E127" s="494" t="n"/>
      <c r="F127" s="494" t="n"/>
      <c r="G127" s="494" t="n"/>
      <c r="H127" s="494" t="n"/>
      <c r="I127" s="494" t="n"/>
      <c r="J127" s="494" t="n"/>
      <c r="K127" s="494" t="n"/>
      <c r="L127" s="494" t="n"/>
      <c r="M127" s="494" t="n"/>
    </row>
    <row r="128" customFormat="1" s="489">
      <c r="A128" s="496" t="inlineStr">
        <is>
          <t>Secured and Unsecured Loans</t>
        </is>
      </c>
      <c r="B128" s="493" t="n"/>
      <c r="C128" s="494" t="n"/>
      <c r="D128" s="494" t="n"/>
      <c r="E128" s="494" t="n"/>
      <c r="F128" s="494" t="n"/>
      <c r="G128" s="494" t="n"/>
      <c r="H128" s="494" t="n"/>
      <c r="I128" s="494" t="n"/>
      <c r="J128" s="494" t="n"/>
      <c r="K128" s="494" t="n"/>
      <c r="L128" s="494" t="n"/>
      <c r="M128" s="494" t="n"/>
    </row>
    <row r="129" customFormat="1" s="489">
      <c r="A129" s="495" t="n"/>
      <c r="B129" s="493" t="n"/>
      <c r="C129" s="494" t="n"/>
      <c r="D129" s="494" t="n"/>
      <c r="E129" s="494" t="n"/>
      <c r="F129" s="494" t="n"/>
      <c r="G129" s="494" t="n"/>
      <c r="H129" s="494" t="n"/>
      <c r="I129" s="494" t="n"/>
      <c r="J129" s="494" t="n"/>
      <c r="K129" s="494" t="n"/>
      <c r="L129" s="494" t="n"/>
      <c r="M129" s="494" t="n"/>
    </row>
    <row r="130" customFormat="1" s="489">
      <c r="A130" s="498" t="inlineStr">
        <is>
          <t>Working Capital Bank Finance</t>
        </is>
      </c>
      <c r="B130" s="493" t="n"/>
      <c r="C130" s="494" t="n"/>
      <c r="D130" s="494" t="n"/>
      <c r="E130" s="494" t="n"/>
      <c r="F130" s="494" t="n"/>
      <c r="G130" s="494" t="n"/>
      <c r="H130" s="494" t="n"/>
      <c r="I130" s="494" t="n"/>
      <c r="J130" s="494" t="n"/>
      <c r="K130" s="494" t="n"/>
      <c r="L130" s="494" t="n"/>
      <c r="M130" s="494" t="n"/>
    </row>
    <row r="131" customFormat="1" s="489">
      <c r="A131" s="499" t="inlineStr">
        <is>
          <t>From Indian Bank</t>
        </is>
      </c>
      <c r="B131" s="472" t="n">
        <v>0</v>
      </c>
      <c r="C131" s="472" t="n">
        <v>0</v>
      </c>
      <c r="D131" s="472" t="n">
        <v>0</v>
      </c>
      <c r="E131" s="472">
        <f>TL!$H$17/10^7</f>
        <v/>
      </c>
      <c r="F131" s="472">
        <f>TL!$H$29/10^7</f>
        <v/>
      </c>
      <c r="G131" s="472">
        <f>TL!$H$41/10^7</f>
        <v/>
      </c>
      <c r="H131" s="472">
        <f>TL!$H$53/10^7</f>
        <v/>
      </c>
      <c r="I131" s="472">
        <f>TL!$H$65/10^7</f>
        <v/>
      </c>
      <c r="J131" s="472" t="n"/>
      <c r="K131" s="472" t="n"/>
      <c r="L131" s="472" t="n"/>
      <c r="M131" s="472" t="n"/>
    </row>
    <row r="132" customFormat="1" s="489">
      <c r="A132" s="495" t="inlineStr">
        <is>
          <t>From Indian Overseas Bank</t>
        </is>
      </c>
      <c r="B132" s="472" t="n"/>
      <c r="C132" s="472" t="n"/>
      <c r="D132" s="472" t="n"/>
      <c r="E132" s="472" t="n"/>
      <c r="F132" s="472" t="n"/>
      <c r="G132" s="472" t="n"/>
      <c r="H132" s="472" t="n"/>
      <c r="I132" s="472" t="n"/>
      <c r="J132" s="472" t="n"/>
      <c r="K132" s="472" t="n"/>
      <c r="L132" s="472" t="n"/>
      <c r="M132" s="472" t="n"/>
    </row>
    <row r="133" customFormat="1" s="489">
      <c r="A133" s="498" t="inlineStr">
        <is>
          <t>(o/s bill discounting balance to be included)</t>
        </is>
      </c>
      <c r="B133" s="493" t="n"/>
      <c r="C133" s="494" t="n"/>
      <c r="D133" s="494" t="n"/>
      <c r="E133" s="494" t="n"/>
      <c r="F133" s="494" t="n"/>
      <c r="G133" s="494" t="n"/>
      <c r="H133" s="494" t="n"/>
      <c r="I133" s="494" t="n"/>
      <c r="J133" s="494" t="n"/>
      <c r="K133" s="494" t="n"/>
      <c r="L133" s="494" t="n"/>
      <c r="M133" s="494" t="n"/>
    </row>
    <row r="134" customFormat="1" s="489">
      <c r="A134" s="498" t="inlineStr">
        <is>
          <t>Sub Total</t>
        </is>
      </c>
      <c r="B134" s="479">
        <f>SUM(B131:B132)</f>
        <v/>
      </c>
      <c r="C134" s="479">
        <f>SUM(C131:C132)</f>
        <v/>
      </c>
      <c r="D134" s="479">
        <f>SUM(D131:D132)</f>
        <v/>
      </c>
      <c r="E134" s="479">
        <f>SUM(E131:E132)</f>
        <v/>
      </c>
      <c r="F134" s="479">
        <f>SUM(F131:F132)</f>
        <v/>
      </c>
      <c r="G134" s="479">
        <f>SUM(G131:G132)</f>
        <v/>
      </c>
      <c r="H134" s="479">
        <f>SUM(H131:H132)</f>
        <v/>
      </c>
      <c r="I134" s="479">
        <f>SUM(I131:I132)</f>
        <v/>
      </c>
      <c r="J134" s="479">
        <f>SUM(J131:J132)</f>
        <v/>
      </c>
      <c r="K134" s="479">
        <f>SUM(K131:K132)</f>
        <v/>
      </c>
      <c r="L134" s="479">
        <f>SUM(L131:L132)</f>
        <v/>
      </c>
      <c r="M134" s="479">
        <f>SUM(M131:M132)</f>
        <v/>
      </c>
    </row>
    <row r="135" customFormat="1" s="489">
      <c r="A135" s="498" t="inlineStr">
        <is>
          <t xml:space="preserve">Term Loans </t>
        </is>
      </c>
      <c r="B135" s="493" t="n"/>
      <c r="C135" s="494" t="n"/>
      <c r="D135" s="494" t="n"/>
      <c r="E135" s="494" t="n"/>
      <c r="F135" s="494" t="n"/>
      <c r="G135" s="494" t="n"/>
      <c r="H135" s="494" t="n"/>
      <c r="I135" s="494" t="n"/>
      <c r="J135" s="494" t="n"/>
      <c r="K135" s="494" t="n"/>
      <c r="L135" s="494" t="n"/>
      <c r="M135" s="494" t="n"/>
    </row>
    <row r="136" customFormat="1" s="489">
      <c r="A136" s="495" t="inlineStr">
        <is>
          <t>Term Loan Repayable in next one year</t>
        </is>
      </c>
      <c r="B136" s="472" t="n">
        <v>0</v>
      </c>
      <c r="C136" s="472" t="n">
        <v>0</v>
      </c>
      <c r="D136" s="472" t="n">
        <v>32.45</v>
      </c>
      <c r="E136" s="472">
        <f>SUM(TL!C18:C29)/10^7</f>
        <v/>
      </c>
      <c r="F136" s="472">
        <f>SUM(TL!C30:C41)/10^7</f>
        <v/>
      </c>
      <c r="G136" s="472">
        <f>SUM(TL!C42:C53)/10^7</f>
        <v/>
      </c>
      <c r="H136" s="472">
        <f>0</f>
        <v/>
      </c>
      <c r="I136" s="472">
        <f>0</f>
        <v/>
      </c>
      <c r="J136" s="472" t="n"/>
      <c r="K136" s="472" t="n"/>
      <c r="L136" s="472" t="n"/>
      <c r="M136" s="472" t="n"/>
    </row>
    <row r="137" customFormat="1" s="489">
      <c r="A137" s="495" t="inlineStr">
        <is>
          <t>Balance Repayable after one year</t>
        </is>
      </c>
      <c r="B137" s="472" t="n">
        <v>33.19</v>
      </c>
      <c r="C137" s="472" t="n">
        <v>30.33</v>
      </c>
      <c r="D137" s="472" t="n">
        <v>38.48</v>
      </c>
      <c r="E137" s="472">
        <f>TL!D17/10^7-E136</f>
        <v/>
      </c>
      <c r="F137" s="472">
        <f>TL!D29/10^7-F136</f>
        <v/>
      </c>
      <c r="G137" s="472">
        <f>TL!D41/10^7-G136</f>
        <v/>
      </c>
      <c r="H137" s="472">
        <f>TL!D53/10^7-H136</f>
        <v/>
      </c>
      <c r="I137" s="472">
        <f>0</f>
        <v/>
      </c>
      <c r="J137" s="472" t="n">
        <v>0</v>
      </c>
      <c r="K137" s="472" t="n">
        <v>0</v>
      </c>
      <c r="L137" s="472" t="n">
        <v>0</v>
      </c>
      <c r="M137" s="472" t="n">
        <v>0</v>
      </c>
    </row>
    <row r="138" customFormat="1" s="489">
      <c r="A138" s="498" t="inlineStr">
        <is>
          <t>Sub Total</t>
        </is>
      </c>
      <c r="B138" s="479">
        <f>SUM(B136:B137)</f>
        <v/>
      </c>
      <c r="C138" s="479">
        <f>SUM(C136:C137)</f>
        <v/>
      </c>
      <c r="D138" s="479">
        <f>SUM(D136:D137)</f>
        <v/>
      </c>
      <c r="E138" s="479">
        <f>SUM(E136:E137)</f>
        <v/>
      </c>
      <c r="F138" s="479">
        <f>SUM(F136:F137)</f>
        <v/>
      </c>
      <c r="G138" s="479">
        <f>SUM(G136:G137)</f>
        <v/>
      </c>
      <c r="H138" s="479">
        <f>SUM(H136:H137)</f>
        <v/>
      </c>
      <c r="I138" s="479">
        <f>SUM(I136:I137)</f>
        <v/>
      </c>
      <c r="J138" s="479">
        <f>SUM(J136:J137)</f>
        <v/>
      </c>
      <c r="K138" s="479">
        <f>SUM(K136:K137)</f>
        <v/>
      </c>
      <c r="L138" s="479">
        <f>SUM(L136:L137)</f>
        <v/>
      </c>
      <c r="M138" s="479">
        <f>SUM(M136:M137)</f>
        <v/>
      </c>
    </row>
    <row r="139" customFormat="1" s="489">
      <c r="A139" s="498" t="inlineStr">
        <is>
          <t>Debentures</t>
        </is>
      </c>
      <c r="B139" s="493" t="n"/>
      <c r="C139" s="494" t="n"/>
      <c r="D139" s="494" t="n"/>
      <c r="E139" s="494" t="n"/>
      <c r="F139" s="494" t="n"/>
      <c r="G139" s="494" t="n"/>
      <c r="H139" s="494" t="n"/>
      <c r="I139" s="494" t="n"/>
      <c r="J139" s="494" t="n"/>
      <c r="K139" s="494" t="n"/>
      <c r="L139" s="494" t="n"/>
      <c r="M139" s="494" t="n"/>
    </row>
    <row r="140" customFormat="1" s="489">
      <c r="A140" s="499" t="inlineStr">
        <is>
          <t>Repayable in next one year</t>
        </is>
      </c>
      <c r="B140" s="500" t="n">
        <v>0</v>
      </c>
      <c r="C140" s="482" t="n">
        <v>0</v>
      </c>
      <c r="D140" s="482" t="n">
        <v>0</v>
      </c>
      <c r="E140" s="482">
        <f>0</f>
        <v/>
      </c>
      <c r="F140" s="482">
        <f>0</f>
        <v/>
      </c>
      <c r="G140" s="482">
        <f>0</f>
        <v/>
      </c>
      <c r="H140" s="482">
        <f>0</f>
        <v/>
      </c>
      <c r="I140" s="482">
        <f>0</f>
        <v/>
      </c>
      <c r="J140" s="482" t="n"/>
      <c r="K140" s="482" t="n"/>
      <c r="L140" s="482" t="n"/>
      <c r="M140" s="482" t="n"/>
    </row>
    <row r="141" customFormat="1" s="489">
      <c r="A141" s="495" t="inlineStr">
        <is>
          <t>Balance Repayable after one year</t>
        </is>
      </c>
      <c r="B141" s="500" t="n">
        <v>0</v>
      </c>
      <c r="C141" s="482" t="n">
        <v>0</v>
      </c>
      <c r="D141" s="482" t="n">
        <v>0</v>
      </c>
      <c r="E141" s="482">
        <f>0</f>
        <v/>
      </c>
      <c r="F141" s="482">
        <f>0</f>
        <v/>
      </c>
      <c r="G141" s="482">
        <f>0</f>
        <v/>
      </c>
      <c r="H141" s="482">
        <f>0</f>
        <v/>
      </c>
      <c r="I141" s="482">
        <f>0</f>
        <v/>
      </c>
      <c r="J141" s="482" t="n"/>
      <c r="K141" s="482" t="n"/>
      <c r="L141" s="482" t="n"/>
      <c r="M141" s="482" t="n"/>
    </row>
    <row r="142" customFormat="1" s="489">
      <c r="A142" s="498" t="inlineStr">
        <is>
          <t>Sub Total</t>
        </is>
      </c>
      <c r="B142" s="479">
        <f>SUM(B140:B141)</f>
        <v/>
      </c>
      <c r="C142" s="479">
        <f>SUM(C140:C141)</f>
        <v/>
      </c>
      <c r="D142" s="479">
        <f>SUM(D140:D141)</f>
        <v/>
      </c>
      <c r="E142" s="479">
        <f>SUM(E140:E141)</f>
        <v/>
      </c>
      <c r="F142" s="479">
        <f>SUM(F140:F141)</f>
        <v/>
      </c>
      <c r="G142" s="479">
        <f>SUM(G140:G141)</f>
        <v/>
      </c>
      <c r="H142" s="479">
        <f>SUM(H140:H141)</f>
        <v/>
      </c>
      <c r="I142" s="479">
        <f>SUM(I140:I141)</f>
        <v/>
      </c>
      <c r="J142" s="479">
        <f>SUM(J140:J141)</f>
        <v/>
      </c>
      <c r="K142" s="479">
        <f>SUM(K140:K141)</f>
        <v/>
      </c>
      <c r="L142" s="479">
        <f>SUM(L140:L141)</f>
        <v/>
      </c>
      <c r="M142" s="479">
        <f>SUM(M140:M141)</f>
        <v/>
      </c>
    </row>
    <row r="143" customFormat="1" s="489">
      <c r="A143" s="498" t="inlineStr">
        <is>
          <t>Preference Shares</t>
        </is>
      </c>
      <c r="B143" s="493" t="inlineStr">
        <is>
          <t xml:space="preserve"> </t>
        </is>
      </c>
      <c r="C143" s="494" t="inlineStr">
        <is>
          <t xml:space="preserve"> </t>
        </is>
      </c>
      <c r="D143" s="494" t="inlineStr">
        <is>
          <t xml:space="preserve"> </t>
        </is>
      </c>
      <c r="E143" s="494" t="inlineStr">
        <is>
          <t xml:space="preserve"> </t>
        </is>
      </c>
      <c r="F143" s="494" t="inlineStr">
        <is>
          <t xml:space="preserve"> </t>
        </is>
      </c>
      <c r="G143" s="494" t="inlineStr">
        <is>
          <t xml:space="preserve"> </t>
        </is>
      </c>
      <c r="H143" s="494" t="inlineStr">
        <is>
          <t xml:space="preserve"> </t>
        </is>
      </c>
      <c r="I143" s="494" t="inlineStr">
        <is>
          <t xml:space="preserve"> </t>
        </is>
      </c>
      <c r="J143" s="494" t="inlineStr">
        <is>
          <t xml:space="preserve"> </t>
        </is>
      </c>
      <c r="K143" s="494" t="inlineStr">
        <is>
          <t xml:space="preserve"> </t>
        </is>
      </c>
      <c r="L143" s="494" t="inlineStr">
        <is>
          <t xml:space="preserve"> </t>
        </is>
      </c>
      <c r="M143" s="494" t="inlineStr">
        <is>
          <t xml:space="preserve"> </t>
        </is>
      </c>
    </row>
    <row r="144" customFormat="1" s="489">
      <c r="A144" s="495" t="inlineStr">
        <is>
          <t>Repayable in next one year</t>
        </is>
      </c>
      <c r="B144" s="500" t="n"/>
      <c r="C144" s="482" t="n"/>
      <c r="D144" s="482" t="n"/>
      <c r="E144" s="482" t="n"/>
      <c r="F144" s="482" t="n"/>
      <c r="G144" s="482" t="n"/>
      <c r="H144" s="482" t="n"/>
      <c r="I144" s="482" t="n"/>
      <c r="J144" s="482" t="n"/>
      <c r="K144" s="482" t="n"/>
      <c r="L144" s="482" t="n"/>
      <c r="M144" s="482" t="n"/>
    </row>
    <row r="145" customFormat="1" s="489">
      <c r="A145" s="495" t="inlineStr">
        <is>
          <t>Balance Repayable after one year</t>
        </is>
      </c>
      <c r="B145" s="500" t="n"/>
      <c r="C145" s="482" t="n"/>
      <c r="D145" s="482" t="n"/>
      <c r="E145" s="482" t="n"/>
      <c r="F145" s="482" t="n"/>
      <c r="G145" s="482" t="n"/>
      <c r="H145" s="482" t="n"/>
      <c r="I145" s="482" t="n"/>
      <c r="J145" s="482" t="n"/>
      <c r="K145" s="482" t="n"/>
      <c r="L145" s="482" t="n"/>
      <c r="M145" s="482" t="n"/>
    </row>
    <row r="146" customFormat="1" s="489">
      <c r="A146" s="498" t="inlineStr">
        <is>
          <t>Sub Total</t>
        </is>
      </c>
      <c r="B146" s="479">
        <f>SUM(B144:B145)</f>
        <v/>
      </c>
      <c r="C146" s="479">
        <f>SUM(C144:C145)</f>
        <v/>
      </c>
      <c r="D146" s="479">
        <f>SUM(D144:D145)</f>
        <v/>
      </c>
      <c r="E146" s="479">
        <f>SUM(E144:E145)</f>
        <v/>
      </c>
      <c r="F146" s="479">
        <f>SUM(F144:F145)</f>
        <v/>
      </c>
      <c r="G146" s="479">
        <f>SUM(G144:G145)</f>
        <v/>
      </c>
      <c r="H146" s="479">
        <f>SUM(H144:H145)</f>
        <v/>
      </c>
      <c r="I146" s="479">
        <f>SUM(I144:I145)</f>
        <v/>
      </c>
      <c r="J146" s="479">
        <f>SUM(J144:J145)</f>
        <v/>
      </c>
      <c r="K146" s="479">
        <f>SUM(K144:K145)</f>
        <v/>
      </c>
      <c r="L146" s="479">
        <f>SUM(L144:L145)</f>
        <v/>
      </c>
      <c r="M146" s="479">
        <f>SUM(M144:M145)</f>
        <v/>
      </c>
    </row>
    <row r="147" customFormat="1" s="489">
      <c r="A147" s="498" t="inlineStr">
        <is>
          <t>Other Debts</t>
        </is>
      </c>
      <c r="B147" s="493" t="n"/>
      <c r="C147" s="494" t="n"/>
      <c r="D147" s="494" t="n"/>
      <c r="E147" s="494" t="n"/>
      <c r="F147" s="494" t="n"/>
      <c r="G147" s="494" t="n"/>
      <c r="H147" s="494" t="n"/>
      <c r="I147" s="494" t="n"/>
      <c r="J147" s="494" t="n"/>
      <c r="K147" s="494" t="n"/>
      <c r="L147" s="494" t="n"/>
      <c r="M147" s="494" t="n"/>
    </row>
    <row r="148" customFormat="1" s="489">
      <c r="A148" s="495" t="inlineStr">
        <is>
          <t>Debts Repayable in Next One year</t>
        </is>
      </c>
      <c r="B148" s="500" t="n"/>
      <c r="C148" s="482" t="n"/>
      <c r="D148" s="482" t="n"/>
      <c r="E148" s="482" t="n"/>
      <c r="F148" s="482" t="n"/>
      <c r="G148" s="482" t="n"/>
      <c r="H148" s="482" t="n"/>
      <c r="I148" s="482" t="n"/>
      <c r="J148" s="482" t="n"/>
      <c r="K148" s="482" t="n"/>
      <c r="L148" s="482" t="n"/>
      <c r="M148" s="482" t="n"/>
    </row>
    <row r="149" customFormat="1" s="489">
      <c r="A149" s="495" t="inlineStr">
        <is>
          <t>Balance Other Debts</t>
        </is>
      </c>
      <c r="B149" s="500" t="n"/>
      <c r="C149" s="482" t="n"/>
      <c r="D149" s="482" t="n"/>
      <c r="E149" s="482" t="n"/>
      <c r="F149" s="482" t="n"/>
      <c r="G149" s="482" t="n"/>
      <c r="H149" s="482" t="n"/>
      <c r="I149" s="482" t="n"/>
      <c r="J149" s="482" t="n"/>
      <c r="K149" s="482" t="n"/>
      <c r="L149" s="482" t="n"/>
      <c r="M149" s="482" t="n"/>
    </row>
    <row r="150" customFormat="1" s="489">
      <c r="A150" s="498" t="inlineStr">
        <is>
          <t>Sub Total</t>
        </is>
      </c>
      <c r="B150" s="479">
        <f>SUM(B148:B149)</f>
        <v/>
      </c>
      <c r="C150" s="479">
        <f>SUM(C148:C149)</f>
        <v/>
      </c>
      <c r="D150" s="479">
        <f>SUM(D148:D149)</f>
        <v/>
      </c>
      <c r="E150" s="479">
        <f>SUM(E148:E149)</f>
        <v/>
      </c>
      <c r="F150" s="479">
        <f>SUM(F148:F149)</f>
        <v/>
      </c>
      <c r="G150" s="479">
        <f>SUM(G148:G149)</f>
        <v/>
      </c>
      <c r="H150" s="479">
        <f>SUM(H148:H149)</f>
        <v/>
      </c>
      <c r="I150" s="479">
        <f>SUM(I148:I149)</f>
        <v/>
      </c>
      <c r="J150" s="479">
        <f>SUM(J148:J149)</f>
        <v/>
      </c>
      <c r="K150" s="479">
        <f>SUM(K148:K149)</f>
        <v/>
      </c>
      <c r="L150" s="479">
        <f>SUM(L148:L149)</f>
        <v/>
      </c>
      <c r="M150" s="479">
        <f>SUM(M148:M149)</f>
        <v/>
      </c>
    </row>
    <row r="151" customFormat="1" s="489">
      <c r="A151" s="498" t="inlineStr">
        <is>
          <t>Unsecured Loans</t>
        </is>
      </c>
      <c r="B151" s="493" t="n"/>
      <c r="C151" s="494" t="n"/>
      <c r="D151" s="494" t="n"/>
      <c r="E151" s="494" t="n"/>
      <c r="F151" s="494" t="n"/>
      <c r="G151" s="494" t="n"/>
      <c r="H151" s="494" t="n"/>
      <c r="I151" s="494" t="n"/>
      <c r="J151" s="494" t="n"/>
      <c r="K151" s="494" t="n"/>
      <c r="L151" s="494" t="n"/>
      <c r="M151" s="494" t="n"/>
    </row>
    <row r="152" customFormat="1" s="489">
      <c r="A152" s="495" t="inlineStr">
        <is>
          <t>As Quasi Equity</t>
        </is>
      </c>
      <c r="B152" s="472" t="n">
        <v>27.96</v>
      </c>
      <c r="C152" s="472" t="n">
        <v>70.43000000000001</v>
      </c>
      <c r="D152" s="472" t="n">
        <v>105.77</v>
      </c>
      <c r="E152" s="472">
        <f>D152</f>
        <v/>
      </c>
      <c r="F152" s="472">
        <f>E152</f>
        <v/>
      </c>
      <c r="G152" s="472">
        <f>F152</f>
        <v/>
      </c>
      <c r="H152" s="472" t="n">
        <v>0</v>
      </c>
      <c r="I152" s="472">
        <f>H152</f>
        <v/>
      </c>
      <c r="J152" s="472" t="n">
        <v>0</v>
      </c>
      <c r="K152" s="472" t="n">
        <v>0</v>
      </c>
      <c r="L152" s="472" t="n">
        <v>0</v>
      </c>
      <c r="M152" s="472" t="n">
        <v>0</v>
      </c>
    </row>
    <row r="153" customFormat="1" s="489">
      <c r="A153" s="495" t="inlineStr">
        <is>
          <t>As Long Term Debt</t>
        </is>
      </c>
      <c r="B153" s="482" t="n">
        <v>0</v>
      </c>
      <c r="C153" s="482" t="n">
        <v>0</v>
      </c>
      <c r="D153" s="472" t="n">
        <v>0</v>
      </c>
      <c r="E153" s="472">
        <f>D153</f>
        <v/>
      </c>
      <c r="F153" s="472">
        <f>E153</f>
        <v/>
      </c>
      <c r="G153" s="472">
        <f>F153</f>
        <v/>
      </c>
      <c r="H153" s="472" t="n">
        <v>0</v>
      </c>
      <c r="I153" s="472">
        <f>H153</f>
        <v/>
      </c>
      <c r="J153" s="472" t="n">
        <v>0</v>
      </c>
      <c r="K153" s="472" t="n">
        <v>0</v>
      </c>
      <c r="L153" s="472" t="n">
        <v>0</v>
      </c>
      <c r="M153" s="472" t="n">
        <v>0</v>
      </c>
    </row>
    <row r="154" customFormat="1" s="489">
      <c r="A154" s="495" t="inlineStr">
        <is>
          <t>As Short Term Debt</t>
        </is>
      </c>
      <c r="B154" s="472" t="n"/>
      <c r="C154" s="472" t="n"/>
      <c r="D154" s="472" t="n">
        <v>0</v>
      </c>
      <c r="E154" s="472">
        <f>D154</f>
        <v/>
      </c>
      <c r="F154" s="472">
        <f>E154</f>
        <v/>
      </c>
      <c r="G154" s="472">
        <f>F154</f>
        <v/>
      </c>
      <c r="H154" s="472" t="n">
        <v>0</v>
      </c>
      <c r="I154" s="472">
        <f>H154</f>
        <v/>
      </c>
      <c r="J154" s="472" t="n">
        <v>0</v>
      </c>
      <c r="K154" s="472" t="n">
        <v>0</v>
      </c>
      <c r="L154" s="472" t="n">
        <v>0</v>
      </c>
      <c r="M154" s="472" t="n">
        <v>0</v>
      </c>
    </row>
    <row r="155" customFormat="1" s="489">
      <c r="A155" s="498" t="inlineStr">
        <is>
          <t>Sub Total</t>
        </is>
      </c>
      <c r="B155" s="479">
        <f>SUM(B152:B154)</f>
        <v/>
      </c>
      <c r="C155" s="479">
        <f>SUM(C152:C154)</f>
        <v/>
      </c>
      <c r="D155" s="479">
        <f>SUM(D152:D154)</f>
        <v/>
      </c>
      <c r="E155" s="479">
        <f>SUM(E152:E154)</f>
        <v/>
      </c>
      <c r="F155" s="479">
        <f>SUM(F152:F154)</f>
        <v/>
      </c>
      <c r="G155" s="479">
        <f>SUM(G152:G154)</f>
        <v/>
      </c>
      <c r="H155" s="479">
        <f>SUM(H152:H154)</f>
        <v/>
      </c>
      <c r="I155" s="479">
        <f>SUM(I152:I154)</f>
        <v/>
      </c>
      <c r="J155" s="479">
        <f>SUM(J152:J154)</f>
        <v/>
      </c>
      <c r="K155" s="479">
        <f>SUM(K152:K154)</f>
        <v/>
      </c>
      <c r="L155" s="479">
        <f>SUM(L152:L154)</f>
        <v/>
      </c>
      <c r="M155" s="479">
        <f>SUM(M152:M154)</f>
        <v/>
      </c>
    </row>
    <row r="156" customFormat="1" s="489">
      <c r="A156" s="495" t="n"/>
      <c r="B156" s="493" t="n"/>
      <c r="C156" s="494" t="n"/>
      <c r="D156" s="494" t="n"/>
      <c r="E156" s="494" t="n"/>
      <c r="F156" s="494" t="n"/>
      <c r="G156" s="494" t="n"/>
      <c r="H156" s="494" t="n"/>
      <c r="I156" s="494" t="n"/>
      <c r="J156" s="494" t="n"/>
      <c r="K156" s="494" t="n"/>
      <c r="L156" s="494" t="n"/>
      <c r="M156" s="494" t="n"/>
    </row>
    <row r="157" customFormat="1" s="489">
      <c r="A157" s="496" t="inlineStr">
        <is>
          <t>Total</t>
        </is>
      </c>
      <c r="B157" s="501">
        <f>SUM(B134,B138,B142,B146,B150,B155)</f>
        <v/>
      </c>
      <c r="C157" s="476">
        <f>SUM(C134,C138,C142,C146,C150,C155)</f>
        <v/>
      </c>
      <c r="D157" s="476">
        <f>SUM(D134,D138,D142,D146,D150,D155)</f>
        <v/>
      </c>
      <c r="E157" s="476">
        <f>SUM(E134,E138,E142,E146,E150,E155)</f>
        <v/>
      </c>
      <c r="F157" s="476">
        <f>SUM(F134,F138,F142,F146,F150,F155)</f>
        <v/>
      </c>
      <c r="G157" s="476">
        <f>SUM(G134,G138,G142,G146,G150,G155)</f>
        <v/>
      </c>
      <c r="H157" s="476">
        <f>SUM(H134,H138,H142,H146,H150,H155)</f>
        <v/>
      </c>
      <c r="I157" s="476">
        <f>SUM(I134,I138,I142,I146,I150,I155)</f>
        <v/>
      </c>
      <c r="J157" s="476">
        <f>SUM(J134,J138,J142,J146,J150,J155)</f>
        <v/>
      </c>
      <c r="K157" s="476">
        <f>SUM(K134,K138,K142,K146,K150,K155)</f>
        <v/>
      </c>
      <c r="L157" s="476">
        <f>SUM(L134,L138,L142,L146,L150,L155)</f>
        <v/>
      </c>
      <c r="M157" s="476">
        <f>SUM(M134,M138,M142,M146,M150,M155)</f>
        <v/>
      </c>
    </row>
    <row r="158" customFormat="1" s="489">
      <c r="A158" s="502" t="n"/>
      <c r="B158" s="488" t="n"/>
      <c r="C158" s="484" t="n"/>
      <c r="D158" s="484" t="n"/>
      <c r="E158" s="484" t="n"/>
      <c r="F158" s="484" t="n"/>
      <c r="G158" s="484" t="n"/>
      <c r="H158" s="484" t="n"/>
      <c r="I158" s="484" t="n"/>
      <c r="J158" s="484" t="n"/>
      <c r="K158" s="484" t="n"/>
      <c r="L158" s="484" t="n"/>
      <c r="M158" s="484" t="n"/>
    </row>
    <row r="159" customFormat="1" s="489">
      <c r="A159" s="499" t="inlineStr">
        <is>
          <t>Deferred tax liability</t>
        </is>
      </c>
      <c r="B159" s="472" t="n">
        <v>0</v>
      </c>
      <c r="C159" s="472" t="n">
        <v>0</v>
      </c>
      <c r="D159" s="472" t="n">
        <v>0</v>
      </c>
      <c r="E159" s="472">
        <f>D159</f>
        <v/>
      </c>
      <c r="F159" s="472">
        <f>E159</f>
        <v/>
      </c>
      <c r="G159" s="472">
        <f>F159</f>
        <v/>
      </c>
      <c r="H159" s="472" t="n">
        <v>0</v>
      </c>
      <c r="I159" s="472">
        <f>H159</f>
        <v/>
      </c>
      <c r="J159" s="472" t="n">
        <v>0</v>
      </c>
      <c r="K159" s="472" t="n">
        <v>0</v>
      </c>
      <c r="L159" s="472" t="n">
        <v>0</v>
      </c>
      <c r="M159" s="472" t="n">
        <v>0</v>
      </c>
    </row>
    <row r="160" customFormat="1" s="489">
      <c r="A160" s="495" t="n"/>
      <c r="B160" s="493" t="n"/>
      <c r="C160" s="494" t="n"/>
      <c r="D160" s="494" t="n"/>
      <c r="E160" s="493" t="n"/>
      <c r="F160" s="494" t="n"/>
      <c r="G160" s="494" t="n"/>
      <c r="H160" s="494" t="n"/>
      <c r="I160" s="494" t="n"/>
      <c r="J160" s="494" t="n"/>
      <c r="K160" s="494" t="n"/>
      <c r="L160" s="494" t="n"/>
      <c r="M160" s="494" t="n"/>
    </row>
    <row r="161" customFormat="1" s="489">
      <c r="A161" s="496" t="inlineStr">
        <is>
          <t>Fixed Assets</t>
        </is>
      </c>
      <c r="B161" s="493" t="n"/>
      <c r="C161" s="494" t="n"/>
      <c r="D161" s="494" t="n"/>
      <c r="E161" s="493" t="n"/>
      <c r="F161" s="494" t="n"/>
      <c r="G161" s="494" t="n"/>
      <c r="H161" s="494" t="n"/>
      <c r="I161" s="494" t="n"/>
      <c r="J161" s="494" t="n"/>
      <c r="K161" s="494" t="n"/>
      <c r="L161" s="494" t="n"/>
      <c r="M161" s="494" t="n"/>
    </row>
    <row r="162" customFormat="1" s="489">
      <c r="A162" s="499" t="inlineStr">
        <is>
          <t>Gross Block</t>
        </is>
      </c>
      <c r="B162" s="472" t="n">
        <v>0.35</v>
      </c>
      <c r="C162" s="472" t="n">
        <v>0.36</v>
      </c>
      <c r="D162" s="472" t="n">
        <v>0.34</v>
      </c>
      <c r="E162" s="472">
        <f>D162+D165</f>
        <v/>
      </c>
      <c r="F162" s="472">
        <f>E162</f>
        <v/>
      </c>
      <c r="G162" s="472">
        <f>F162</f>
        <v/>
      </c>
      <c r="H162" s="472">
        <f>G162</f>
        <v/>
      </c>
      <c r="I162" s="472">
        <f>H162</f>
        <v/>
      </c>
      <c r="J162" s="472">
        <f>I162</f>
        <v/>
      </c>
      <c r="K162" s="472" t="n">
        <v>0</v>
      </c>
      <c r="L162" s="472">
        <f>K162</f>
        <v/>
      </c>
      <c r="M162" s="472" t="n">
        <v>0</v>
      </c>
    </row>
    <row r="163" customFormat="1" s="489">
      <c r="A163" s="499" t="inlineStr">
        <is>
          <t>Less Accumulated Depreciation</t>
        </is>
      </c>
      <c r="B163" s="472" t="n">
        <v>0</v>
      </c>
      <c r="C163" s="472" t="n">
        <v>0</v>
      </c>
      <c r="D163" s="472" t="n">
        <v>0</v>
      </c>
      <c r="E163" s="472">
        <f>D163+E63</f>
        <v/>
      </c>
      <c r="F163" s="472">
        <f>E163+F63</f>
        <v/>
      </c>
      <c r="G163" s="472">
        <f>F163+G63</f>
        <v/>
      </c>
      <c r="H163" s="472">
        <f>G163+H63</f>
        <v/>
      </c>
      <c r="I163" s="472">
        <f>H163+I63</f>
        <v/>
      </c>
      <c r="J163" s="472">
        <f>I163+J63</f>
        <v/>
      </c>
      <c r="K163" s="472" t="n">
        <v>0</v>
      </c>
      <c r="L163" s="472">
        <f>K163+L63</f>
        <v/>
      </c>
      <c r="M163" s="472" t="n">
        <v>0</v>
      </c>
    </row>
    <row r="164" customFormat="1" s="489">
      <c r="A164" s="498" t="inlineStr">
        <is>
          <t>Net Block</t>
        </is>
      </c>
      <c r="B164" s="479">
        <f>B162-B163</f>
        <v/>
      </c>
      <c r="C164" s="479">
        <f>C162-C163</f>
        <v/>
      </c>
      <c r="D164" s="479">
        <f>D162-D163</f>
        <v/>
      </c>
      <c r="E164" s="479">
        <f>E162-E163</f>
        <v/>
      </c>
      <c r="F164" s="479">
        <f>F162-F163</f>
        <v/>
      </c>
      <c r="G164" s="479">
        <f>G162-G163</f>
        <v/>
      </c>
      <c r="H164" s="479">
        <f>H162-H163</f>
        <v/>
      </c>
      <c r="I164" s="479">
        <f>I162-I163</f>
        <v/>
      </c>
      <c r="J164" s="479">
        <f>J162-J163</f>
        <v/>
      </c>
      <c r="K164" s="479">
        <f>K162-K163</f>
        <v/>
      </c>
      <c r="L164" s="479">
        <f>L162-L163</f>
        <v/>
      </c>
      <c r="M164" s="479">
        <f>M162-M163</f>
        <v/>
      </c>
    </row>
    <row r="165" customFormat="1" s="489">
      <c r="A165" s="499" t="inlineStr">
        <is>
          <t>Add : Capital Work in Progress</t>
        </is>
      </c>
      <c r="B165" s="472" t="n"/>
      <c r="C165" s="472" t="n"/>
      <c r="D165" s="472" t="n"/>
      <c r="E165" s="472" t="n"/>
      <c r="F165" s="472" t="n"/>
      <c r="G165" s="472" t="n"/>
      <c r="H165" s="472" t="n"/>
      <c r="I165" s="472" t="n"/>
      <c r="J165" s="472" t="n"/>
      <c r="K165" s="472" t="n"/>
      <c r="L165" s="472" t="n"/>
      <c r="M165" s="472" t="n"/>
    </row>
    <row r="166" customFormat="1" s="489">
      <c r="A166" s="496" t="inlineStr">
        <is>
          <t>Total</t>
        </is>
      </c>
      <c r="B166" s="479">
        <f>SUM(B164:B165)</f>
        <v/>
      </c>
      <c r="C166" s="479">
        <f>SUM(C164:C165)</f>
        <v/>
      </c>
      <c r="D166" s="479">
        <f>SUM(D164:D165)</f>
        <v/>
      </c>
      <c r="E166" s="479">
        <f>SUM(E164:E165)</f>
        <v/>
      </c>
      <c r="F166" s="479">
        <f>SUM(F164:F165)</f>
        <v/>
      </c>
      <c r="G166" s="479">
        <f>SUM(G164:G165)</f>
        <v/>
      </c>
      <c r="H166" s="479">
        <f>SUM(H164:H165)</f>
        <v/>
      </c>
      <c r="I166" s="479">
        <f>SUM(I164:I165)</f>
        <v/>
      </c>
      <c r="J166" s="479">
        <f>SUM(J164:J165)</f>
        <v/>
      </c>
      <c r="K166" s="479">
        <f>SUM(K164:K165)</f>
        <v/>
      </c>
      <c r="L166" s="479">
        <f>SUM(L164:L165)</f>
        <v/>
      </c>
      <c r="M166" s="479">
        <f>SUM(M164:M165)</f>
        <v/>
      </c>
    </row>
    <row r="167" customFormat="1" s="489">
      <c r="A167" s="496" t="n"/>
      <c r="B167" s="493" t="n"/>
      <c r="C167" s="494" t="n"/>
      <c r="D167" s="494" t="n"/>
      <c r="E167" s="494" t="n"/>
      <c r="F167" s="494" t="n"/>
      <c r="G167" s="494" t="n"/>
      <c r="H167" s="494" t="n"/>
      <c r="I167" s="494" t="n"/>
      <c r="J167" s="494" t="n"/>
      <c r="K167" s="494" t="n"/>
      <c r="L167" s="494" t="n"/>
      <c r="M167" s="494" t="n"/>
    </row>
    <row r="168" customFormat="1" s="489">
      <c r="A168" s="496" t="inlineStr">
        <is>
          <t xml:space="preserve">Intangibles </t>
        </is>
      </c>
      <c r="B168" s="493" t="n"/>
      <c r="C168" s="494" t="n"/>
      <c r="D168" s="494" t="n"/>
      <c r="E168" s="494" t="n"/>
      <c r="F168" s="494" t="n"/>
      <c r="G168" s="494" t="n"/>
      <c r="H168" s="494" t="n"/>
      <c r="I168" s="494" t="n"/>
      <c r="J168" s="494" t="n"/>
      <c r="K168" s="494" t="n"/>
      <c r="L168" s="494" t="n"/>
      <c r="M168" s="494" t="n"/>
    </row>
    <row r="169" customFormat="1" s="489">
      <c r="A169" s="499" t="inlineStr">
        <is>
          <t>Patents / goodwill / copyrights etc</t>
        </is>
      </c>
      <c r="B169" s="482" t="n"/>
      <c r="C169" s="482" t="n"/>
      <c r="D169" s="482" t="n"/>
      <c r="E169" s="482" t="n"/>
      <c r="F169" s="482" t="n"/>
      <c r="G169" s="482" t="n"/>
      <c r="H169" s="482" t="n"/>
      <c r="I169" s="482" t="n"/>
      <c r="J169" s="482" t="n"/>
      <c r="K169" s="482" t="n"/>
      <c r="L169" s="482" t="n"/>
      <c r="M169" s="482" t="n"/>
    </row>
    <row r="170" customFormat="1" s="489">
      <c r="A170" s="499" t="inlineStr">
        <is>
          <t>Misc Expenditure ( to the extent not w/o)</t>
        </is>
      </c>
      <c r="B170" s="482" t="n"/>
      <c r="C170" s="482" t="n"/>
      <c r="D170" s="482" t="n"/>
      <c r="E170" s="482" t="n"/>
      <c r="F170" s="482" t="n"/>
      <c r="G170" s="482" t="n"/>
      <c r="H170" s="482" t="n"/>
      <c r="I170" s="482" t="n"/>
      <c r="J170" s="482" t="n"/>
      <c r="K170" s="482" t="n"/>
      <c r="L170" s="482" t="n"/>
      <c r="M170" s="482" t="n"/>
    </row>
    <row r="171" customFormat="1" s="489">
      <c r="A171" s="499" t="inlineStr">
        <is>
          <t>Deferred Tax Asset</t>
        </is>
      </c>
      <c r="B171" s="482" t="n"/>
      <c r="C171" s="500" t="n"/>
      <c r="D171" s="482" t="n"/>
      <c r="E171" s="482" t="n"/>
      <c r="F171" s="482" t="n"/>
      <c r="G171" s="482" t="n"/>
      <c r="H171" s="482" t="n"/>
      <c r="I171" s="482" t="n"/>
      <c r="J171" s="482" t="n"/>
      <c r="K171" s="482" t="n"/>
      <c r="L171" s="482" t="n"/>
      <c r="M171" s="482" t="n"/>
    </row>
    <row r="172" customFormat="1" s="489">
      <c r="A172" s="499" t="inlineStr">
        <is>
          <t>Other Intangible assets</t>
        </is>
      </c>
      <c r="B172" s="482" t="n"/>
      <c r="C172" s="472" t="n"/>
      <c r="D172" s="472" t="n">
        <v>0</v>
      </c>
      <c r="E172" s="472" t="n"/>
      <c r="F172" s="472" t="n"/>
      <c r="G172" s="472" t="n"/>
      <c r="H172" s="472" t="n"/>
      <c r="I172" s="472" t="n"/>
      <c r="J172" s="472" t="n"/>
      <c r="K172" s="472" t="n"/>
      <c r="L172" s="472" t="n"/>
      <c r="M172" s="472" t="n"/>
    </row>
    <row r="173" customFormat="1" s="489">
      <c r="A173" s="496" t="inlineStr">
        <is>
          <t xml:space="preserve">Total </t>
        </is>
      </c>
      <c r="B173" s="479">
        <f>SUM(B169:B172)</f>
        <v/>
      </c>
      <c r="C173" s="479">
        <f>SUM(C169:C172)</f>
        <v/>
      </c>
      <c r="D173" s="479">
        <f>SUM(D169:D172)</f>
        <v/>
      </c>
      <c r="E173" s="479">
        <f>SUM(E169:E172)</f>
        <v/>
      </c>
      <c r="F173" s="479">
        <f>SUM(F169:F172)</f>
        <v/>
      </c>
      <c r="G173" s="479">
        <f>SUM(G169:G172)</f>
        <v/>
      </c>
      <c r="H173" s="479">
        <f>SUM(H169:H172)</f>
        <v/>
      </c>
      <c r="I173" s="479">
        <f>SUM(I169:I172)</f>
        <v/>
      </c>
      <c r="J173" s="479">
        <f>SUM(J169:J172)</f>
        <v/>
      </c>
      <c r="K173" s="479">
        <f>SUM(K169:K172)</f>
        <v/>
      </c>
      <c r="L173" s="479">
        <f>SUM(L169:L172)</f>
        <v/>
      </c>
      <c r="M173" s="479">
        <f>SUM(M169:M172)</f>
        <v/>
      </c>
    </row>
    <row r="174" customFormat="1" s="489">
      <c r="A174" s="496" t="n"/>
      <c r="B174" s="493" t="n"/>
      <c r="C174" s="494" t="n"/>
      <c r="D174" s="494" t="n"/>
      <c r="E174" s="494" t="n"/>
      <c r="F174" s="494" t="n"/>
      <c r="G174" s="494" t="n"/>
      <c r="H174" s="494" t="n"/>
      <c r="I174" s="494" t="n"/>
      <c r="J174" s="494" t="n"/>
      <c r="K174" s="494" t="n"/>
      <c r="L174" s="494" t="n"/>
      <c r="M174" s="494" t="n"/>
    </row>
    <row r="175" customFormat="1" s="489">
      <c r="A175" s="499" t="inlineStr">
        <is>
          <t xml:space="preserve">Additions to Fixed Assets </t>
        </is>
      </c>
      <c r="B175" s="472" t="n">
        <v>0</v>
      </c>
      <c r="C175" s="472">
        <f>C162+C165-B162-B165</f>
        <v/>
      </c>
      <c r="D175" s="472" t="n">
        <v>0</v>
      </c>
      <c r="E175" s="472">
        <f>E162+E165-D162-D165</f>
        <v/>
      </c>
      <c r="F175" s="472">
        <f>F162+F165-E162-E165</f>
        <v/>
      </c>
      <c r="G175" s="472">
        <f>G162+G165-F162-F165</f>
        <v/>
      </c>
      <c r="H175" s="472" t="n">
        <v>0</v>
      </c>
      <c r="I175" s="472">
        <f>I162+I165-H162-H165</f>
        <v/>
      </c>
      <c r="J175" s="472">
        <f>J162+J165-I162-I165</f>
        <v/>
      </c>
      <c r="K175" s="472" t="n">
        <v>0</v>
      </c>
      <c r="L175" s="472">
        <f>L162+L165-K162-K165</f>
        <v/>
      </c>
      <c r="M175" s="472" t="n">
        <v>0</v>
      </c>
    </row>
    <row r="176" customFormat="1" s="489">
      <c r="A176" s="499" t="inlineStr">
        <is>
          <t>Sale of  Fixed assets WDV of asset sold</t>
        </is>
      </c>
      <c r="B176" s="500" t="n"/>
      <c r="C176" s="482" t="n"/>
      <c r="D176" s="482" t="n"/>
      <c r="E176" s="482" t="n"/>
      <c r="F176" s="482" t="n"/>
      <c r="G176" s="482" t="n"/>
      <c r="H176" s="482" t="n"/>
      <c r="I176" s="482" t="n"/>
      <c r="J176" s="482" t="n"/>
      <c r="K176" s="482" t="n"/>
      <c r="L176" s="482" t="n"/>
      <c r="M176" s="482" t="n"/>
    </row>
    <row r="177" customFormat="1" s="489">
      <c r="A177" s="499" t="inlineStr">
        <is>
          <t>Profit on sale of Fixed assets / Investments</t>
        </is>
      </c>
      <c r="B177" s="497">
        <f>B31</f>
        <v/>
      </c>
      <c r="C177" s="497">
        <f>C31</f>
        <v/>
      </c>
      <c r="D177" s="497">
        <f>D31</f>
        <v/>
      </c>
      <c r="E177" s="497">
        <f>E31</f>
        <v/>
      </c>
      <c r="F177" s="497">
        <f>F31</f>
        <v/>
      </c>
      <c r="G177" s="497">
        <f>G31</f>
        <v/>
      </c>
      <c r="H177" s="497">
        <f>H31</f>
        <v/>
      </c>
      <c r="I177" s="497">
        <f>I31</f>
        <v/>
      </c>
      <c r="J177" s="497">
        <f>J31</f>
        <v/>
      </c>
      <c r="K177" s="497">
        <f>K31</f>
        <v/>
      </c>
      <c r="L177" s="497">
        <f>L31</f>
        <v/>
      </c>
      <c r="M177" s="497">
        <f>M31</f>
        <v/>
      </c>
    </row>
    <row r="178" customFormat="1" s="489">
      <c r="A178" s="499" t="inlineStr">
        <is>
          <t>Loss on sale of Fixed assets / Investments</t>
        </is>
      </c>
      <c r="B178" s="497">
        <f>B89</f>
        <v/>
      </c>
      <c r="C178" s="497">
        <f>C89</f>
        <v/>
      </c>
      <c r="D178" s="497">
        <f>D89</f>
        <v/>
      </c>
      <c r="E178" s="497">
        <f>E89</f>
        <v/>
      </c>
      <c r="F178" s="497">
        <f>F89</f>
        <v/>
      </c>
      <c r="G178" s="497">
        <f>G89</f>
        <v/>
      </c>
      <c r="H178" s="497">
        <f>H89</f>
        <v/>
      </c>
      <c r="I178" s="497">
        <f>I89</f>
        <v/>
      </c>
      <c r="J178" s="497">
        <f>J89</f>
        <v/>
      </c>
      <c r="K178" s="497">
        <f>K89</f>
        <v/>
      </c>
      <c r="L178" s="497">
        <f>L89</f>
        <v/>
      </c>
      <c r="M178" s="497">
        <f>M89</f>
        <v/>
      </c>
    </row>
    <row r="179" customFormat="1" s="489">
      <c r="A179" s="496" t="inlineStr">
        <is>
          <t>Total</t>
        </is>
      </c>
      <c r="B179" s="479">
        <f>B176-B175+B177-B178</f>
        <v/>
      </c>
      <c r="C179" s="479">
        <f>C176-C175+C177-C178</f>
        <v/>
      </c>
      <c r="D179" s="479">
        <f>D176-D175+D177-D178</f>
        <v/>
      </c>
      <c r="E179" s="479">
        <f>E176-E175+E177-E178</f>
        <v/>
      </c>
      <c r="F179" s="479">
        <f>F176-F175+F177-F178</f>
        <v/>
      </c>
      <c r="G179" s="479">
        <f>G176-G175+G177-G178</f>
        <v/>
      </c>
      <c r="H179" s="479">
        <f>H176-H175+H177-H178</f>
        <v/>
      </c>
      <c r="I179" s="479">
        <f>I176-I175+I177-I178</f>
        <v/>
      </c>
      <c r="J179" s="479">
        <f>J176-J175+J177-J178</f>
        <v/>
      </c>
      <c r="K179" s="479">
        <f>K176-K175+K177-K178</f>
        <v/>
      </c>
      <c r="L179" s="479">
        <f>L176-L175+L177-L178</f>
        <v/>
      </c>
      <c r="M179" s="479">
        <f>M176-M175+M177-M178</f>
        <v/>
      </c>
    </row>
    <row r="180" customFormat="1" s="489">
      <c r="A180" s="496" t="n"/>
      <c r="B180" s="493" t="n"/>
      <c r="C180" s="494" t="n"/>
      <c r="D180" s="494" t="n"/>
      <c r="E180" s="494" t="n"/>
      <c r="F180" s="494" t="n"/>
      <c r="G180" s="494" t="n"/>
      <c r="H180" s="494" t="n"/>
      <c r="I180" s="494" t="n"/>
      <c r="J180" s="494" t="n"/>
      <c r="K180" s="494" t="n"/>
      <c r="L180" s="494" t="n"/>
      <c r="M180" s="494" t="n"/>
    </row>
    <row r="181" customFormat="1" s="489">
      <c r="A181" s="496" t="inlineStr">
        <is>
          <t xml:space="preserve">Investments </t>
        </is>
      </c>
      <c r="B181" s="493" t="n"/>
      <c r="C181" s="494" t="n"/>
      <c r="D181" s="494" t="n"/>
      <c r="E181" s="494" t="n"/>
      <c r="F181" s="494" t="n"/>
      <c r="G181" s="494" t="n"/>
      <c r="H181" s="494" t="n"/>
      <c r="I181" s="494" t="n"/>
      <c r="J181" s="494" t="n"/>
      <c r="K181" s="494" t="n"/>
      <c r="L181" s="494" t="n"/>
      <c r="M181" s="494" t="n"/>
    </row>
    <row r="182" customFormat="1" s="489">
      <c r="A182" s="495" t="inlineStr">
        <is>
          <t>Investment in Govt. Securities ( Current )</t>
        </is>
      </c>
      <c r="B182" s="500" t="n">
        <v>0.74</v>
      </c>
      <c r="C182" s="482" t="n">
        <v>0.74</v>
      </c>
      <c r="D182" s="482" t="n">
        <v>0.74</v>
      </c>
      <c r="E182" s="482" t="n"/>
      <c r="F182" s="482" t="n"/>
      <c r="G182" s="482" t="n"/>
      <c r="H182" s="482" t="n"/>
      <c r="I182" s="482" t="n"/>
      <c r="J182" s="482" t="n"/>
      <c r="K182" s="482" t="n"/>
      <c r="L182" s="482" t="n"/>
      <c r="M182" s="482" t="n"/>
    </row>
    <row r="183" customFormat="1" s="489">
      <c r="A183" s="495" t="inlineStr">
        <is>
          <t>Investment in Govt. Securities ( Non Current )</t>
        </is>
      </c>
      <c r="B183" s="472" t="n"/>
      <c r="C183" s="472" t="n"/>
      <c r="D183" s="472" t="n"/>
      <c r="E183" s="472" t="n"/>
      <c r="F183" s="472" t="n"/>
      <c r="G183" s="472" t="n"/>
      <c r="H183" s="472" t="n"/>
      <c r="I183" s="472" t="n"/>
      <c r="J183" s="472" t="n"/>
      <c r="K183" s="472" t="n"/>
      <c r="L183" s="472" t="n"/>
      <c r="M183" s="472" t="n"/>
    </row>
    <row r="184" customFormat="1" s="489">
      <c r="A184" s="498" t="inlineStr">
        <is>
          <t>Sub Total</t>
        </is>
      </c>
      <c r="B184" s="501">
        <f>SUM(B182:B183)</f>
        <v/>
      </c>
      <c r="C184" s="476">
        <f>SUM(C182:C183)</f>
        <v/>
      </c>
      <c r="D184" s="476">
        <f>SUM(D182:D183)</f>
        <v/>
      </c>
      <c r="E184" s="476">
        <f>SUM(E182:E183)</f>
        <v/>
      </c>
      <c r="F184" s="476">
        <f>SUM(F182:F183)</f>
        <v/>
      </c>
      <c r="G184" s="476">
        <f>SUM(G182:G183)</f>
        <v/>
      </c>
      <c r="H184" s="476">
        <f>SUM(H182:H183)</f>
        <v/>
      </c>
      <c r="I184" s="476">
        <f>SUM(I182:I183)</f>
        <v/>
      </c>
      <c r="J184" s="476">
        <f>SUM(J182:J183)</f>
        <v/>
      </c>
      <c r="K184" s="476">
        <f>SUM(K182:K183)</f>
        <v/>
      </c>
      <c r="L184" s="476">
        <f>SUM(L182:L183)</f>
        <v/>
      </c>
      <c r="M184" s="476">
        <f>SUM(M182:M183)</f>
        <v/>
      </c>
    </row>
    <row r="185" customFormat="1" s="489">
      <c r="A185" s="495" t="inlineStr">
        <is>
          <t>Other current investments</t>
        </is>
      </c>
      <c r="B185" s="472" t="n">
        <v>2.5</v>
      </c>
      <c r="C185" s="472" t="n">
        <v>10.38</v>
      </c>
      <c r="D185" s="472" t="n">
        <v>5.439999999999999</v>
      </c>
      <c r="E185" s="472" t="n"/>
      <c r="F185" s="472" t="n"/>
      <c r="G185" s="472" t="n"/>
      <c r="H185" s="472" t="n"/>
      <c r="I185" s="472" t="n"/>
      <c r="J185" s="472" t="n"/>
      <c r="K185" s="472" t="n"/>
      <c r="L185" s="472" t="n"/>
      <c r="M185" s="472" t="n"/>
    </row>
    <row r="186" customFormat="1" s="489">
      <c r="A186" s="495" t="inlineStr">
        <is>
          <t>Other non current investments</t>
        </is>
      </c>
      <c r="B186" s="500" t="n">
        <v>26.98</v>
      </c>
      <c r="C186" s="482" t="n">
        <v>7.99</v>
      </c>
      <c r="D186" s="482" t="n">
        <v>26.98</v>
      </c>
      <c r="E186" s="482" t="n"/>
      <c r="F186" s="482" t="n"/>
      <c r="G186" s="482" t="n"/>
      <c r="H186" s="482" t="n"/>
      <c r="I186" s="482" t="n"/>
      <c r="J186" s="482" t="n"/>
      <c r="K186" s="482" t="n"/>
      <c r="L186" s="482" t="n"/>
      <c r="M186" s="482" t="n"/>
    </row>
    <row r="187" customFormat="1" s="489">
      <c r="A187" s="498" t="inlineStr">
        <is>
          <t>Sub Total</t>
        </is>
      </c>
      <c r="B187" s="501">
        <f>SUM(B185:B186)</f>
        <v/>
      </c>
      <c r="C187" s="476">
        <f>SUM(C185:C186)</f>
        <v/>
      </c>
      <c r="D187" s="476">
        <f>SUM(D185:D186)</f>
        <v/>
      </c>
      <c r="E187" s="476">
        <f>SUM(E185:E186)</f>
        <v/>
      </c>
      <c r="F187" s="476">
        <f>SUM(F185:F186)</f>
        <v/>
      </c>
      <c r="G187" s="476">
        <f>SUM(G185:G186)</f>
        <v/>
      </c>
      <c r="H187" s="476">
        <f>SUM(H185:H186)</f>
        <v/>
      </c>
      <c r="I187" s="476">
        <f>SUM(I185:I186)</f>
        <v/>
      </c>
      <c r="J187" s="476">
        <f>SUM(J185:J186)</f>
        <v/>
      </c>
      <c r="K187" s="476">
        <f>SUM(K185:K186)</f>
        <v/>
      </c>
      <c r="L187" s="476">
        <f>SUM(L185:L186)</f>
        <v/>
      </c>
      <c r="M187" s="476">
        <f>SUM(M185:M186)</f>
        <v/>
      </c>
    </row>
    <row r="188" customFormat="1" s="489">
      <c r="A188" s="495" t="inlineStr">
        <is>
          <t>Investment in group companies / subsidiaries</t>
        </is>
      </c>
      <c r="B188" s="500" t="n">
        <v>0.06</v>
      </c>
      <c r="C188" s="482" t="n">
        <v>0.06</v>
      </c>
      <c r="D188" s="482" t="n">
        <v>0.03</v>
      </c>
      <c r="E188" s="482" t="n"/>
      <c r="F188" s="482" t="n"/>
      <c r="G188" s="482" t="n"/>
      <c r="H188" s="482" t="n"/>
      <c r="I188" s="482" t="n"/>
      <c r="J188" s="482" t="n"/>
      <c r="K188" s="482" t="n"/>
      <c r="L188" s="482" t="n"/>
      <c r="M188" s="482" t="n"/>
    </row>
    <row r="189" customFormat="1" s="489">
      <c r="A189" s="496" t="inlineStr">
        <is>
          <t>Total</t>
        </is>
      </c>
      <c r="B189" s="479">
        <f>B184+B187+B188</f>
        <v/>
      </c>
      <c r="C189" s="479">
        <f>C184+C187+C188</f>
        <v/>
      </c>
      <c r="D189" s="479">
        <f>D184+D187+D188</f>
        <v/>
      </c>
      <c r="E189" s="479">
        <f>E184+E187+E188</f>
        <v/>
      </c>
      <c r="F189" s="479">
        <f>F184+F187+F188</f>
        <v/>
      </c>
      <c r="G189" s="479">
        <f>G184+G187+G188</f>
        <v/>
      </c>
      <c r="H189" s="479">
        <f>H184+H187+H188</f>
        <v/>
      </c>
      <c r="I189" s="479">
        <f>I184+I187+I188</f>
        <v/>
      </c>
      <c r="J189" s="479">
        <f>J184+J187+J188</f>
        <v/>
      </c>
      <c r="K189" s="479">
        <f>K184+K187+K188</f>
        <v/>
      </c>
      <c r="L189" s="479">
        <f>L184+L187+L188</f>
        <v/>
      </c>
      <c r="M189" s="479">
        <f>M184+M187+M188</f>
        <v/>
      </c>
    </row>
    <row r="190" customFormat="1" s="489">
      <c r="A190" s="495" t="n"/>
      <c r="B190" s="493" t="n"/>
      <c r="C190" s="494" t="n"/>
      <c r="D190" s="494" t="n"/>
      <c r="E190" s="494" t="n"/>
      <c r="F190" s="494" t="n"/>
      <c r="G190" s="494" t="n"/>
      <c r="H190" s="494" t="n"/>
      <c r="I190" s="494" t="n"/>
      <c r="J190" s="494" t="n"/>
      <c r="K190" s="494" t="n"/>
      <c r="L190" s="494" t="n"/>
      <c r="M190" s="494" t="n"/>
    </row>
    <row r="191" customFormat="1" s="489">
      <c r="A191" s="496" t="inlineStr">
        <is>
          <t>Inventories</t>
        </is>
      </c>
      <c r="B191" s="493" t="n"/>
      <c r="C191" s="494" t="n"/>
      <c r="D191" s="494" t="n"/>
      <c r="E191" s="494" t="n"/>
      <c r="F191" s="494" t="n"/>
      <c r="G191" s="494" t="n"/>
      <c r="H191" s="494" t="n"/>
      <c r="I191" s="494" t="n"/>
      <c r="J191" s="494" t="n"/>
      <c r="K191" s="494" t="n"/>
      <c r="L191" s="494" t="n"/>
      <c r="M191" s="494" t="n"/>
    </row>
    <row r="192" customFormat="1" s="489">
      <c r="A192" s="498" t="inlineStr">
        <is>
          <t>Raw Material</t>
        </is>
      </c>
      <c r="B192" s="493" t="n"/>
      <c r="C192" s="494" t="n"/>
      <c r="D192" s="494" t="n"/>
      <c r="E192" s="494" t="n"/>
      <c r="F192" s="494" t="n"/>
      <c r="G192" s="494" t="n"/>
      <c r="H192" s="494" t="n"/>
      <c r="I192" s="494" t="n"/>
      <c r="J192" s="494" t="n"/>
      <c r="K192" s="494" t="n"/>
      <c r="L192" s="494" t="n"/>
      <c r="M192" s="494" t="n"/>
    </row>
    <row r="193" customFormat="1" s="489">
      <c r="A193" s="499" t="inlineStr">
        <is>
          <t>Imported</t>
        </is>
      </c>
      <c r="B193" s="472" t="n"/>
      <c r="C193" s="472" t="n"/>
      <c r="D193" s="472" t="n"/>
      <c r="E193" s="472" t="n"/>
      <c r="F193" s="472" t="n"/>
      <c r="G193" s="472" t="n"/>
      <c r="H193" s="472" t="n"/>
      <c r="I193" s="472" t="n"/>
      <c r="J193" s="472" t="n"/>
      <c r="K193" s="472" t="n"/>
      <c r="L193" s="472" t="n"/>
      <c r="M193" s="472" t="n"/>
    </row>
    <row r="194" customFormat="1" s="489">
      <c r="A194" s="471" t="inlineStr">
        <is>
          <t>Indigenous</t>
        </is>
      </c>
      <c r="B194" s="472" t="n">
        <v>0</v>
      </c>
      <c r="C194" s="472" t="n">
        <v>0</v>
      </c>
      <c r="D194" s="472" t="n">
        <v>0</v>
      </c>
      <c r="E194" s="472">
        <f>(E42/E9)*Details!E17</f>
        <v/>
      </c>
      <c r="F194" s="472">
        <f>(F42/F9)*Details!F17</f>
        <v/>
      </c>
      <c r="G194" s="472">
        <f>(G42/G9)*Details!G17</f>
        <v/>
      </c>
      <c r="H194" s="472" t="n">
        <v>0</v>
      </c>
      <c r="I194" s="472">
        <f>(I42/I9)*Details!I17</f>
        <v/>
      </c>
      <c r="J194" s="472">
        <f>(J42/J9)*Details!J17</f>
        <v/>
      </c>
      <c r="K194" s="472">
        <f>(K42/K9)*Details!K17</f>
        <v/>
      </c>
      <c r="L194" s="472">
        <f>(L42/L9)*Details!L17</f>
        <v/>
      </c>
      <c r="M194" s="472">
        <f>(M42/M9)*Details!M17</f>
        <v/>
      </c>
    </row>
    <row r="195" customFormat="1" s="489">
      <c r="A195" s="498" t="inlineStr">
        <is>
          <t>Sub Total</t>
        </is>
      </c>
      <c r="B195" s="479">
        <f>SUM(B193:B194)</f>
        <v/>
      </c>
      <c r="C195" s="479">
        <f>SUM(C193:C194)</f>
        <v/>
      </c>
      <c r="D195" s="479">
        <f>SUM(D193:D194)</f>
        <v/>
      </c>
      <c r="E195" s="479">
        <f>SUM(E193:E194)</f>
        <v/>
      </c>
      <c r="F195" s="479">
        <f>SUM(F193:F194)</f>
        <v/>
      </c>
      <c r="G195" s="479">
        <f>SUM(G193:G194)</f>
        <v/>
      </c>
      <c r="H195" s="479">
        <f>SUM(H193:H194)</f>
        <v/>
      </c>
      <c r="I195" s="479">
        <f>SUM(I193:I194)</f>
        <v/>
      </c>
      <c r="J195" s="479">
        <f>SUM(J193:J194)</f>
        <v/>
      </c>
      <c r="K195" s="479">
        <f>SUM(K193:K194)</f>
        <v/>
      </c>
      <c r="L195" s="479">
        <f>SUM(L193:L194)</f>
        <v/>
      </c>
      <c r="M195" s="479">
        <f>SUM(M193:M194)</f>
        <v/>
      </c>
    </row>
    <row r="196" customFormat="1" s="489">
      <c r="A196" s="498" t="inlineStr">
        <is>
          <t>Stores and Spares</t>
        </is>
      </c>
      <c r="B196" s="493" t="n"/>
      <c r="C196" s="494" t="n"/>
      <c r="D196" s="494" t="n"/>
      <c r="E196" s="494" t="n"/>
      <c r="F196" s="494" t="n"/>
      <c r="G196" s="494" t="n"/>
      <c r="H196" s="494" t="n"/>
      <c r="I196" s="494" t="n"/>
      <c r="J196" s="494" t="n"/>
      <c r="K196" s="494" t="n"/>
      <c r="L196" s="494" t="n"/>
      <c r="M196" s="494" t="n"/>
    </row>
    <row r="197" customFormat="1" s="489">
      <c r="A197" s="499" t="inlineStr">
        <is>
          <t>Imported</t>
        </is>
      </c>
      <c r="B197" s="500" t="n"/>
      <c r="C197" s="482" t="n"/>
      <c r="D197" s="482" t="n"/>
      <c r="E197" s="482" t="n"/>
      <c r="F197" s="482" t="n"/>
      <c r="G197" s="482" t="n"/>
      <c r="H197" s="482" t="n"/>
      <c r="I197" s="482" t="n"/>
      <c r="J197" s="482" t="n"/>
      <c r="K197" s="482" t="n"/>
      <c r="L197" s="482" t="n"/>
      <c r="M197" s="482" t="n"/>
    </row>
    <row r="198" customFormat="1" s="489">
      <c r="A198" s="471" t="inlineStr">
        <is>
          <t>Indigenous</t>
        </is>
      </c>
      <c r="B198" s="500" t="n"/>
      <c r="C198" s="482" t="n"/>
      <c r="D198" s="472" t="n"/>
      <c r="E198" s="472" t="n"/>
      <c r="F198" s="472" t="n"/>
      <c r="G198" s="472" t="n"/>
      <c r="H198" s="472" t="n"/>
      <c r="I198" s="472" t="n"/>
      <c r="J198" s="472" t="n"/>
      <c r="K198" s="472" t="n"/>
      <c r="L198" s="472" t="n"/>
      <c r="M198" s="472" t="n"/>
    </row>
    <row r="199" customFormat="1" s="489">
      <c r="A199" s="498" t="inlineStr">
        <is>
          <t>Sub Total</t>
        </is>
      </c>
      <c r="B199" s="479">
        <f>SUM(B197:B198)</f>
        <v/>
      </c>
      <c r="C199" s="479">
        <f>SUM(C197:C198)</f>
        <v/>
      </c>
      <c r="D199" s="479">
        <f>SUM(D197:D198)</f>
        <v/>
      </c>
      <c r="E199" s="479">
        <f>SUM(E197:E198)</f>
        <v/>
      </c>
      <c r="F199" s="479">
        <f>SUM(F197:F198)</f>
        <v/>
      </c>
      <c r="G199" s="479">
        <f>SUM(G197:G198)</f>
        <v/>
      </c>
      <c r="H199" s="479">
        <f>SUM(H197:H198)</f>
        <v/>
      </c>
      <c r="I199" s="479">
        <f>SUM(I197:I198)</f>
        <v/>
      </c>
      <c r="J199" s="479">
        <f>SUM(J197:J198)</f>
        <v/>
      </c>
      <c r="K199" s="479">
        <f>SUM(K197:K198)</f>
        <v/>
      </c>
      <c r="L199" s="479">
        <f>SUM(L197:L198)</f>
        <v/>
      </c>
      <c r="M199" s="479">
        <f>SUM(M197:M198)</f>
        <v/>
      </c>
    </row>
    <row r="200" customFormat="1" s="489">
      <c r="A200" s="477" t="inlineStr">
        <is>
          <t>Stocks-in-process</t>
        </is>
      </c>
      <c r="B200" s="497">
        <f>B54</f>
        <v/>
      </c>
      <c r="C200" s="497">
        <f>C54</f>
        <v/>
      </c>
      <c r="D200" s="497">
        <f>D54</f>
        <v/>
      </c>
      <c r="E200" s="497">
        <f>E54</f>
        <v/>
      </c>
      <c r="F200" s="497">
        <f>F54</f>
        <v/>
      </c>
      <c r="G200" s="497">
        <f>G54</f>
        <v/>
      </c>
      <c r="H200" s="497">
        <f>H54</f>
        <v/>
      </c>
      <c r="I200" s="497">
        <f>I54</f>
        <v/>
      </c>
      <c r="J200" s="497">
        <f>J54</f>
        <v/>
      </c>
      <c r="K200" s="497">
        <f>K54</f>
        <v/>
      </c>
      <c r="L200" s="497">
        <f>L54</f>
        <v/>
      </c>
      <c r="M200" s="497">
        <f>M54</f>
        <v/>
      </c>
    </row>
    <row r="201" customFormat="1" s="489">
      <c r="A201" s="499" t="inlineStr">
        <is>
          <t>Finished Goods</t>
        </is>
      </c>
      <c r="B201" s="503">
        <f>B59</f>
        <v/>
      </c>
      <c r="C201" s="480">
        <f>C59</f>
        <v/>
      </c>
      <c r="D201" s="480">
        <f>D59</f>
        <v/>
      </c>
      <c r="E201" s="480">
        <f>E59</f>
        <v/>
      </c>
      <c r="F201" s="480">
        <f>F59</f>
        <v/>
      </c>
      <c r="G201" s="480">
        <f>G59</f>
        <v/>
      </c>
      <c r="H201" s="480">
        <f>H59</f>
        <v/>
      </c>
      <c r="I201" s="480">
        <f>I59</f>
        <v/>
      </c>
      <c r="J201" s="480">
        <f>J59</f>
        <v/>
      </c>
      <c r="K201" s="480">
        <f>K59</f>
        <v/>
      </c>
      <c r="L201" s="480">
        <f>L59</f>
        <v/>
      </c>
      <c r="M201" s="480">
        <f>M59</f>
        <v/>
      </c>
    </row>
    <row r="202" customFormat="1" s="489">
      <c r="A202" s="496" t="n"/>
      <c r="B202" s="493" t="n"/>
      <c r="C202" s="494" t="n"/>
      <c r="D202" s="494" t="n"/>
      <c r="E202" s="494" t="n"/>
      <c r="F202" s="494" t="n"/>
      <c r="G202" s="494" t="n"/>
      <c r="H202" s="494" t="n"/>
      <c r="I202" s="494" t="n"/>
      <c r="J202" s="494" t="n"/>
      <c r="K202" s="494" t="n"/>
      <c r="L202" s="494" t="n"/>
      <c r="M202" s="494" t="n"/>
    </row>
    <row r="203" customFormat="1" s="489">
      <c r="A203" s="496" t="inlineStr">
        <is>
          <t>Total</t>
        </is>
      </c>
      <c r="B203" s="479">
        <f>B195+B199+B200+B201</f>
        <v/>
      </c>
      <c r="C203" s="479">
        <f>C195+C199+C200+C201</f>
        <v/>
      </c>
      <c r="D203" s="479">
        <f>D195+D199+D200+D201</f>
        <v/>
      </c>
      <c r="E203" s="479">
        <f>E195+E199+E200+E201</f>
        <v/>
      </c>
      <c r="F203" s="479">
        <f>F195+F199+F200+F201</f>
        <v/>
      </c>
      <c r="G203" s="479">
        <f>G195+G199+G200+G201</f>
        <v/>
      </c>
      <c r="H203" s="479">
        <f>H195+H199+H200+H201</f>
        <v/>
      </c>
      <c r="I203" s="479">
        <f>I195+I199+I200+I201</f>
        <v/>
      </c>
      <c r="J203" s="479">
        <f>J195+J199+J200+J201</f>
        <v/>
      </c>
      <c r="K203" s="479">
        <f>K195+K199+K200+K201</f>
        <v/>
      </c>
      <c r="L203" s="479">
        <f>L195+L199+L200+L201</f>
        <v/>
      </c>
      <c r="M203" s="479">
        <f>M195+M199+M200+M201</f>
        <v/>
      </c>
    </row>
    <row r="204" customFormat="1" s="489">
      <c r="A204" s="496" t="n"/>
      <c r="B204" s="493" t="n"/>
      <c r="C204" s="494" t="n"/>
      <c r="D204" s="494" t="n"/>
      <c r="E204" s="494" t="n"/>
      <c r="F204" s="494" t="n"/>
      <c r="G204" s="494" t="n"/>
      <c r="H204" s="494" t="n"/>
      <c r="I204" s="494" t="n"/>
      <c r="J204" s="494" t="n"/>
      <c r="K204" s="494" t="n"/>
      <c r="L204" s="494" t="n"/>
      <c r="M204" s="494" t="n"/>
    </row>
    <row r="205" customFormat="1" s="489">
      <c r="A205" s="496" t="inlineStr">
        <is>
          <t>Sundry Debtors</t>
        </is>
      </c>
      <c r="B205" s="493" t="n"/>
      <c r="C205" s="494" t="n"/>
      <c r="D205" s="494" t="n"/>
      <c r="E205" s="494" t="n"/>
      <c r="F205" s="494" t="n"/>
      <c r="G205" s="494" t="n"/>
      <c r="H205" s="494" t="n"/>
      <c r="I205" s="494" t="n"/>
      <c r="J205" s="494" t="n"/>
      <c r="K205" s="494" t="n"/>
      <c r="L205" s="494" t="n"/>
      <c r="M205" s="494" t="n"/>
    </row>
    <row r="206" ht="26.4" customFormat="1" customHeight="1" s="489">
      <c r="A206" s="495" t="inlineStr">
        <is>
          <t>Domestic Receivables ( including bills purchased and discounted)</t>
        </is>
      </c>
      <c r="B206" s="472" t="n">
        <v>39.95</v>
      </c>
      <c r="C206" s="472" t="n">
        <v>15.31</v>
      </c>
      <c r="D206" s="472" t="n">
        <v>29.41</v>
      </c>
      <c r="E206" s="472">
        <f>+E22/12*Details!E26</f>
        <v/>
      </c>
      <c r="F206" s="472">
        <f>+F22/12*Details!F26</f>
        <v/>
      </c>
      <c r="G206" s="472">
        <f>+G22/12*Details!G26</f>
        <v/>
      </c>
      <c r="H206" s="472" t="n">
        <v>0</v>
      </c>
      <c r="I206" s="472">
        <f>+I22/12*Details!I26</f>
        <v/>
      </c>
      <c r="J206" s="472">
        <f>+J22/12*Details!J26</f>
        <v/>
      </c>
      <c r="K206" s="472">
        <f>+K22/12*Details!K26</f>
        <v/>
      </c>
      <c r="L206" s="472">
        <f>+L22/12*Details!L26</f>
        <v/>
      </c>
      <c r="M206" s="472">
        <f>+M22/12*Details!M26</f>
        <v/>
      </c>
    </row>
    <row r="207" ht="26.4" customFormat="1" customHeight="1" s="489">
      <c r="A207" s="495" t="inlineStr">
        <is>
          <t>Export Receivables ( including bills purchased and discounted)</t>
        </is>
      </c>
      <c r="B207" s="472" t="n"/>
      <c r="C207" s="472" t="n"/>
      <c r="D207" s="472" t="n">
        <v>0</v>
      </c>
      <c r="E207" s="472">
        <f>+F23/12*Details!F29</f>
        <v/>
      </c>
      <c r="F207" s="472">
        <f>+G23/12*Details!G29</f>
        <v/>
      </c>
      <c r="G207" s="472">
        <f>+H23/12*Details!H29</f>
        <v/>
      </c>
      <c r="H207" s="472" t="n">
        <v>0</v>
      </c>
      <c r="I207" s="472">
        <f>+J23/12*Details!J29</f>
        <v/>
      </c>
      <c r="J207" s="472">
        <f>+K23/12*Details!K29</f>
        <v/>
      </c>
      <c r="K207" s="472">
        <f>+L23/12*Details!L29</f>
        <v/>
      </c>
      <c r="L207" s="472">
        <f>+M23/12*Details!M29</f>
        <v/>
      </c>
      <c r="M207" s="472">
        <f>+N23/12*Details!N29</f>
        <v/>
      </c>
    </row>
    <row r="208" customFormat="1" s="489">
      <c r="A208" s="495" t="inlineStr">
        <is>
          <t>Debtors more than 6 months</t>
        </is>
      </c>
      <c r="B208" s="472" t="n">
        <v>0</v>
      </c>
      <c r="C208" s="472" t="n">
        <v>0</v>
      </c>
      <c r="D208" s="472" t="n">
        <v>0</v>
      </c>
      <c r="E208" s="472">
        <f>D208</f>
        <v/>
      </c>
      <c r="F208" s="472">
        <f>E208</f>
        <v/>
      </c>
      <c r="G208" s="472">
        <f>F208</f>
        <v/>
      </c>
      <c r="H208" s="472" t="n">
        <v>0</v>
      </c>
      <c r="I208" s="472">
        <f>H208</f>
        <v/>
      </c>
      <c r="J208" s="472">
        <f>I208</f>
        <v/>
      </c>
      <c r="K208" s="472">
        <f>J208</f>
        <v/>
      </c>
      <c r="L208" s="472">
        <f>K208</f>
        <v/>
      </c>
      <c r="M208" s="472">
        <f>L208</f>
        <v/>
      </c>
    </row>
    <row r="209" customFormat="1" s="489">
      <c r="A209" s="496" t="inlineStr">
        <is>
          <t>Total</t>
        </is>
      </c>
      <c r="B209" s="479">
        <f>SUM(B206:B208)</f>
        <v/>
      </c>
      <c r="C209" s="479">
        <f>SUM(C206:C208)</f>
        <v/>
      </c>
      <c r="D209" s="479">
        <f>SUM(D206:D208)</f>
        <v/>
      </c>
      <c r="E209" s="479">
        <f>SUM(E206:E208)</f>
        <v/>
      </c>
      <c r="F209" s="479">
        <f>SUM(F206:F208)</f>
        <v/>
      </c>
      <c r="G209" s="479">
        <f>SUM(G206:G208)</f>
        <v/>
      </c>
      <c r="H209" s="479">
        <f>SUM(H206:H208)</f>
        <v/>
      </c>
      <c r="I209" s="479">
        <f>SUM(I206:I208)</f>
        <v/>
      </c>
      <c r="J209" s="479">
        <f>SUM(J206:J208)</f>
        <v/>
      </c>
      <c r="K209" s="479">
        <f>SUM(K206:K208)</f>
        <v/>
      </c>
      <c r="L209" s="479">
        <f>SUM(L206:L208)</f>
        <v/>
      </c>
      <c r="M209" s="479">
        <f>SUM(M206:M208)</f>
        <v/>
      </c>
    </row>
    <row r="210" customFormat="1" s="489">
      <c r="A210" s="504" t="n"/>
      <c r="B210" s="493" t="n"/>
      <c r="C210" s="494" t="n"/>
      <c r="D210" s="494" t="n"/>
      <c r="E210" s="494" t="n"/>
      <c r="F210" s="494" t="n"/>
      <c r="G210" s="494" t="n"/>
      <c r="H210" s="494" t="n"/>
      <c r="I210" s="494" t="n"/>
      <c r="J210" s="494" t="n"/>
      <c r="K210" s="494" t="n"/>
      <c r="L210" s="494" t="n"/>
      <c r="M210" s="494" t="n"/>
    </row>
    <row r="211" customFormat="1" s="489">
      <c r="A211" s="469" t="inlineStr">
        <is>
          <t>Cash and Bank Balances</t>
        </is>
      </c>
      <c r="B211" s="493" t="n"/>
      <c r="C211" s="494" t="n"/>
      <c r="D211" s="494" t="n"/>
      <c r="E211" s="494" t="n"/>
      <c r="F211" s="494" t="n"/>
      <c r="G211" s="494" t="n"/>
      <c r="H211" s="494" t="n"/>
      <c r="I211" s="494" t="n"/>
      <c r="J211" s="494" t="n"/>
      <c r="K211" s="494" t="n"/>
      <c r="L211" s="494" t="n"/>
      <c r="M211" s="494" t="n"/>
    </row>
    <row r="212" customFormat="1" s="489">
      <c r="A212" s="495" t="inlineStr">
        <is>
          <t>Cash on Hand</t>
        </is>
      </c>
      <c r="B212" s="472" t="n">
        <v>0</v>
      </c>
      <c r="C212" s="472" t="n">
        <v>0</v>
      </c>
      <c r="D212" s="472" t="n">
        <v>0</v>
      </c>
      <c r="E212" s="472">
        <f>D212</f>
        <v/>
      </c>
      <c r="F212" s="472">
        <f>E212</f>
        <v/>
      </c>
      <c r="G212" s="472">
        <f>F212</f>
        <v/>
      </c>
      <c r="H212" s="472" t="n">
        <v>0</v>
      </c>
      <c r="I212" s="472">
        <f>H212</f>
        <v/>
      </c>
      <c r="J212" s="472">
        <f>I212</f>
        <v/>
      </c>
      <c r="K212" s="472" t="n">
        <v>0</v>
      </c>
      <c r="L212" s="472">
        <f>K212</f>
        <v/>
      </c>
      <c r="M212" s="472" t="n">
        <v>0</v>
      </c>
    </row>
    <row r="213" customFormat="1" s="489">
      <c r="A213" s="495" t="inlineStr">
        <is>
          <t xml:space="preserve">Bank Balances </t>
        </is>
      </c>
      <c r="B213" s="472" t="n">
        <v>30.95</v>
      </c>
      <c r="C213" s="472" t="n">
        <v>59.92999999999999</v>
      </c>
      <c r="D213" s="472" t="n">
        <v>16.61</v>
      </c>
      <c r="E213" s="472">
        <f>D213</f>
        <v/>
      </c>
      <c r="F213" s="472">
        <f>E213</f>
        <v/>
      </c>
      <c r="G213" s="472">
        <f>F213</f>
        <v/>
      </c>
      <c r="H213" s="472" t="n">
        <v>0</v>
      </c>
      <c r="I213" s="472">
        <f>H213</f>
        <v/>
      </c>
      <c r="J213" s="472">
        <f>I213</f>
        <v/>
      </c>
      <c r="K213" s="472" t="n">
        <v>0</v>
      </c>
      <c r="L213" s="472">
        <f>K213</f>
        <v/>
      </c>
      <c r="M213" s="472" t="n">
        <v>0</v>
      </c>
    </row>
    <row r="214" customFormat="1" s="489">
      <c r="A214" s="495" t="inlineStr">
        <is>
          <t>Fixed Deposit under lien</t>
        </is>
      </c>
      <c r="B214" s="472" t="n"/>
      <c r="C214" s="472" t="n"/>
      <c r="D214" s="472" t="n">
        <v>0</v>
      </c>
      <c r="E214" s="472">
        <f>D214</f>
        <v/>
      </c>
      <c r="F214" s="472">
        <f>E214</f>
        <v/>
      </c>
      <c r="G214" s="472">
        <f>F214</f>
        <v/>
      </c>
      <c r="H214" s="472" t="n">
        <v>0</v>
      </c>
      <c r="I214" s="472">
        <f>H214</f>
        <v/>
      </c>
      <c r="J214" s="472">
        <f>I214</f>
        <v/>
      </c>
      <c r="K214" s="472" t="n">
        <v>0</v>
      </c>
      <c r="L214" s="472">
        <f>K214</f>
        <v/>
      </c>
      <c r="M214" s="472" t="n">
        <v>0</v>
      </c>
    </row>
    <row r="215" customFormat="1" s="489">
      <c r="A215" s="495" t="inlineStr">
        <is>
          <t>Other Fixed Deposits</t>
        </is>
      </c>
      <c r="B215" s="472" t="n">
        <v>0.03</v>
      </c>
      <c r="C215" s="472" t="n">
        <v>0.33</v>
      </c>
      <c r="D215" s="472" t="n">
        <v>0</v>
      </c>
      <c r="E215" s="472">
        <f>D215</f>
        <v/>
      </c>
      <c r="F215" s="472">
        <f>E215</f>
        <v/>
      </c>
      <c r="G215" s="472">
        <f>F215</f>
        <v/>
      </c>
      <c r="H215" s="472" t="n">
        <v>0</v>
      </c>
      <c r="I215" s="472" t="n"/>
      <c r="J215" s="472" t="n"/>
      <c r="K215" s="472" t="n"/>
      <c r="L215" s="472" t="n"/>
      <c r="M215" s="472" t="n"/>
    </row>
    <row r="216" customFormat="1" s="489">
      <c r="A216" s="469" t="inlineStr">
        <is>
          <t>Total</t>
        </is>
      </c>
      <c r="B216" s="479">
        <f>SUM(B212:B215)</f>
        <v/>
      </c>
      <c r="C216" s="479">
        <f>SUM(C212:C215)</f>
        <v/>
      </c>
      <c r="D216" s="479">
        <f>SUM(D212:D215)</f>
        <v/>
      </c>
      <c r="E216" s="479">
        <f>SUM(E212:E215)</f>
        <v/>
      </c>
      <c r="F216" s="479">
        <f>SUM(F212:F215)</f>
        <v/>
      </c>
      <c r="G216" s="479">
        <f>SUM(G212:G215)</f>
        <v/>
      </c>
      <c r="H216" s="479">
        <f>SUM(H212:H215)</f>
        <v/>
      </c>
      <c r="I216" s="479">
        <f>SUM(I212:I215)</f>
        <v/>
      </c>
      <c r="J216" s="479">
        <f>SUM(J212:J215)</f>
        <v/>
      </c>
      <c r="K216" s="479">
        <f>SUM(K212:K215)</f>
        <v/>
      </c>
      <c r="L216" s="479">
        <f>SUM(L212:L215)</f>
        <v/>
      </c>
      <c r="M216" s="479">
        <f>SUM(M212:M215)</f>
        <v/>
      </c>
    </row>
    <row r="217" customFormat="1" s="489">
      <c r="A217" s="469" t="n"/>
      <c r="B217" s="488" t="n"/>
      <c r="C217" s="484" t="n"/>
      <c r="D217" s="484" t="n"/>
      <c r="E217" s="484" t="n"/>
      <c r="F217" s="484" t="n"/>
      <c r="G217" s="484" t="n"/>
      <c r="H217" s="484" t="n"/>
      <c r="I217" s="484" t="n"/>
      <c r="J217" s="484" t="n"/>
      <c r="K217" s="484" t="n"/>
      <c r="L217" s="484" t="n"/>
      <c r="M217" s="484" t="n"/>
    </row>
    <row r="218" ht="15" customFormat="1" customHeight="1" s="489">
      <c r="A218" s="469" t="inlineStr">
        <is>
          <t>Loans and Advances</t>
        </is>
      </c>
      <c r="B218" s="505" t="n"/>
      <c r="C218" s="484" t="n"/>
      <c r="D218" s="484" t="n"/>
      <c r="E218" s="484" t="n"/>
      <c r="F218" s="484" t="n"/>
      <c r="G218" s="484" t="n"/>
      <c r="H218" s="484" t="n"/>
      <c r="I218" s="484" t="n"/>
      <c r="J218" s="484" t="n"/>
      <c r="K218" s="484" t="n"/>
      <c r="L218" s="484" t="n"/>
      <c r="M218" s="484" t="n"/>
    </row>
    <row r="219" ht="18" customFormat="1" customHeight="1" s="489">
      <c r="A219" s="506" t="inlineStr">
        <is>
          <t xml:space="preserve">Advances recoverable in cash or in kind </t>
        </is>
      </c>
      <c r="B219" s="472" t="n">
        <v>11.19</v>
      </c>
      <c r="C219" s="472" t="n">
        <v>12.5</v>
      </c>
      <c r="D219" s="472" t="n">
        <v>15.89</v>
      </c>
      <c r="E219" s="472">
        <f>D219</f>
        <v/>
      </c>
      <c r="F219" s="472">
        <f>E219</f>
        <v/>
      </c>
      <c r="G219" s="472">
        <f>F219</f>
        <v/>
      </c>
      <c r="H219" s="472" t="n">
        <v>0</v>
      </c>
      <c r="I219" s="472">
        <f>H219</f>
        <v/>
      </c>
      <c r="J219" s="472">
        <f>I219</f>
        <v/>
      </c>
      <c r="K219" s="472" t="n">
        <v>0</v>
      </c>
      <c r="L219" s="472">
        <f>K219</f>
        <v/>
      </c>
      <c r="M219" s="472" t="n">
        <v>0</v>
      </c>
    </row>
    <row r="220" customFormat="1" s="489">
      <c r="A220" s="471" t="inlineStr">
        <is>
          <t>Advances to suppliers of raw materials</t>
        </is>
      </c>
      <c r="B220" s="472" t="n"/>
      <c r="C220" s="472" t="n"/>
      <c r="D220" s="472" t="n"/>
      <c r="E220" s="472">
        <f>D220</f>
        <v/>
      </c>
      <c r="F220" s="472">
        <f>E220</f>
        <v/>
      </c>
      <c r="G220" s="472">
        <f>F220</f>
        <v/>
      </c>
      <c r="H220" s="472" t="n">
        <v>0</v>
      </c>
      <c r="I220" s="472">
        <f>H220</f>
        <v/>
      </c>
      <c r="J220" s="472" t="n"/>
      <c r="K220" s="472" t="n"/>
      <c r="L220" s="472" t="n"/>
      <c r="M220" s="472" t="n"/>
    </row>
    <row r="221" customFormat="1" s="489">
      <c r="A221" s="471" t="inlineStr">
        <is>
          <t>Advance Income Tax</t>
        </is>
      </c>
      <c r="B221" s="472" t="n">
        <v>0.29</v>
      </c>
      <c r="C221" s="472" t="n">
        <v>0.43</v>
      </c>
      <c r="D221" s="472" t="n">
        <v>1.38</v>
      </c>
      <c r="E221" s="472">
        <f>E99</f>
        <v/>
      </c>
      <c r="F221" s="472">
        <f>F99</f>
        <v/>
      </c>
      <c r="G221" s="472">
        <f>G99</f>
        <v/>
      </c>
      <c r="H221" s="472" t="n">
        <v>0</v>
      </c>
      <c r="I221" s="472">
        <f>I99</f>
        <v/>
      </c>
      <c r="J221" s="472">
        <f>J99</f>
        <v/>
      </c>
      <c r="K221" s="472" t="n">
        <v>0</v>
      </c>
      <c r="L221" s="472">
        <f>L99</f>
        <v/>
      </c>
      <c r="M221" s="472" t="n">
        <v>0</v>
      </c>
    </row>
    <row r="222" customFormat="1" s="489">
      <c r="A222" s="471" t="inlineStr">
        <is>
          <t>Prepaid Expenses</t>
        </is>
      </c>
      <c r="B222" s="472" t="n"/>
      <c r="C222" s="472" t="n"/>
      <c r="D222" s="472" t="n">
        <v>0</v>
      </c>
      <c r="E222" s="472">
        <f>D222</f>
        <v/>
      </c>
      <c r="F222" s="472">
        <f>E222</f>
        <v/>
      </c>
      <c r="G222" s="472">
        <f>F222</f>
        <v/>
      </c>
      <c r="H222" s="472" t="n">
        <v>0</v>
      </c>
      <c r="I222" s="472">
        <f>H222</f>
        <v/>
      </c>
      <c r="J222" s="472">
        <f>I222</f>
        <v/>
      </c>
      <c r="K222" s="472" t="n">
        <v>0</v>
      </c>
      <c r="L222" s="472">
        <f>K222</f>
        <v/>
      </c>
      <c r="M222" s="472" t="n">
        <v>0</v>
      </c>
    </row>
    <row r="223" customFormat="1" s="489">
      <c r="A223" s="471" t="inlineStr">
        <is>
          <t>Other Advances / current asset</t>
        </is>
      </c>
      <c r="B223" s="472" t="n">
        <v>1</v>
      </c>
      <c r="C223" s="472" t="n">
        <v>14.51</v>
      </c>
      <c r="D223" s="472" t="n">
        <v>4.75</v>
      </c>
      <c r="E223" s="472">
        <f>D223</f>
        <v/>
      </c>
      <c r="F223" s="472">
        <f>E223</f>
        <v/>
      </c>
      <c r="G223" s="472">
        <f>F223</f>
        <v/>
      </c>
      <c r="H223" s="472" t="n">
        <v>0</v>
      </c>
      <c r="I223" s="472">
        <f>H223</f>
        <v/>
      </c>
      <c r="J223" s="472">
        <f>I223</f>
        <v/>
      </c>
      <c r="K223" s="472" t="n">
        <v>0</v>
      </c>
      <c r="L223" s="472">
        <f>K223+1</f>
        <v/>
      </c>
      <c r="M223" s="472" t="n">
        <v>0</v>
      </c>
    </row>
    <row r="224" customFormat="1" s="489">
      <c r="A224" s="471" t="inlineStr">
        <is>
          <t>Advances to group / subsidiaries companies</t>
        </is>
      </c>
      <c r="B224" s="472" t="n"/>
      <c r="C224" s="472" t="n"/>
      <c r="D224" s="472" t="n">
        <v>0</v>
      </c>
      <c r="E224" s="472">
        <f>D224</f>
        <v/>
      </c>
      <c r="F224" s="472">
        <f>E224</f>
        <v/>
      </c>
      <c r="G224" s="472">
        <f>F224</f>
        <v/>
      </c>
      <c r="H224" s="472" t="n">
        <v>0</v>
      </c>
      <c r="I224" s="472">
        <f>H224</f>
        <v/>
      </c>
      <c r="J224" s="472">
        <f>I224</f>
        <v/>
      </c>
      <c r="K224" s="472" t="n">
        <v>0</v>
      </c>
      <c r="L224" s="472">
        <f>K224</f>
        <v/>
      </c>
      <c r="M224" s="472" t="n">
        <v>0</v>
      </c>
    </row>
    <row r="225" customFormat="1" s="489">
      <c r="A225" s="469" t="inlineStr">
        <is>
          <t>Total</t>
        </is>
      </c>
      <c r="B225" s="479">
        <f>SUM(B219:B224)</f>
        <v/>
      </c>
      <c r="C225" s="479">
        <f>SUM(C219:C224)</f>
        <v/>
      </c>
      <c r="D225" s="479">
        <f>SUM(D219:D224)</f>
        <v/>
      </c>
      <c r="E225" s="479">
        <f>SUM(E219:E224)</f>
        <v/>
      </c>
      <c r="F225" s="479">
        <f>SUM(F219:F224)</f>
        <v/>
      </c>
      <c r="G225" s="479">
        <f>SUM(G219:G224)</f>
        <v/>
      </c>
      <c r="H225" s="479">
        <f>SUM(H219:H224)</f>
        <v/>
      </c>
      <c r="I225" s="479">
        <f>SUM(I219:I224)</f>
        <v/>
      </c>
      <c r="J225" s="479">
        <f>SUM(J219:J224)</f>
        <v/>
      </c>
      <c r="K225" s="479">
        <f>SUM(K219:K224)</f>
        <v/>
      </c>
      <c r="L225" s="479">
        <f>SUM(L219:L224)</f>
        <v/>
      </c>
      <c r="M225" s="479">
        <f>SUM(M219:M224)</f>
        <v/>
      </c>
    </row>
    <row r="226" customFormat="1" s="489">
      <c r="A226" s="469" t="n"/>
      <c r="B226" s="488" t="n"/>
      <c r="C226" s="484" t="n"/>
      <c r="D226" s="484" t="n"/>
      <c r="E226" s="484" t="n"/>
      <c r="F226" s="484" t="n"/>
      <c r="G226" s="484" t="n"/>
      <c r="H226" s="484" t="n"/>
      <c r="I226" s="484" t="n"/>
      <c r="J226" s="484" t="n"/>
      <c r="K226" s="484" t="n"/>
      <c r="L226" s="484" t="n"/>
      <c r="M226" s="484" t="n"/>
    </row>
    <row r="227" customFormat="1" s="489">
      <c r="A227" s="469" t="inlineStr">
        <is>
          <t>Non Current Assets</t>
        </is>
      </c>
      <c r="B227" s="488" t="n"/>
      <c r="C227" s="484" t="n"/>
      <c r="D227" s="484" t="n"/>
      <c r="E227" s="484" t="n"/>
      <c r="F227" s="484" t="n"/>
      <c r="G227" s="484" t="n"/>
      <c r="H227" s="484" t="n"/>
      <c r="I227" s="484" t="n"/>
      <c r="J227" s="484" t="n"/>
      <c r="K227" s="484" t="n"/>
      <c r="L227" s="484" t="n"/>
      <c r="M227" s="484" t="n"/>
    </row>
    <row r="228" customFormat="1" s="489">
      <c r="A228" s="474" t="inlineStr">
        <is>
          <t>Exposure in group companies</t>
        </is>
      </c>
      <c r="B228" s="488" t="n"/>
      <c r="C228" s="484" t="n"/>
      <c r="D228" s="484" t="n"/>
      <c r="E228" s="484" t="n"/>
      <c r="F228" s="484" t="n"/>
      <c r="G228" s="484" t="n"/>
      <c r="H228" s="484" t="n"/>
      <c r="I228" s="484" t="n"/>
      <c r="J228" s="484" t="n"/>
      <c r="K228" s="484" t="n"/>
      <c r="L228" s="484" t="n"/>
      <c r="M228" s="484" t="n"/>
    </row>
    <row r="229">
      <c r="A229" s="471" t="inlineStr">
        <is>
          <t>Investments</t>
        </is>
      </c>
      <c r="B229" s="503">
        <f>B188</f>
        <v/>
      </c>
      <c r="C229" s="480">
        <f>C188</f>
        <v/>
      </c>
      <c r="D229" s="480">
        <f>D188</f>
        <v/>
      </c>
      <c r="E229" s="480">
        <f>E188</f>
        <v/>
      </c>
      <c r="F229" s="480">
        <f>F188</f>
        <v/>
      </c>
      <c r="G229" s="480">
        <f>G188</f>
        <v/>
      </c>
      <c r="H229" s="480">
        <f>H188</f>
        <v/>
      </c>
      <c r="I229" s="480">
        <f>I188</f>
        <v/>
      </c>
      <c r="J229" s="480">
        <f>J188</f>
        <v/>
      </c>
      <c r="K229" s="480">
        <f>K188</f>
        <v/>
      </c>
      <c r="L229" s="480">
        <f>L188</f>
        <v/>
      </c>
      <c r="M229" s="480">
        <f>M188</f>
        <v/>
      </c>
    </row>
    <row r="230">
      <c r="A230" s="471" t="inlineStr">
        <is>
          <t>Advances</t>
        </is>
      </c>
      <c r="B230" s="503">
        <f>B224</f>
        <v/>
      </c>
      <c r="C230" s="480">
        <f>C224</f>
        <v/>
      </c>
      <c r="D230" s="480">
        <f>D224</f>
        <v/>
      </c>
      <c r="E230" s="480">
        <f>E224</f>
        <v/>
      </c>
      <c r="F230" s="480">
        <f>F224</f>
        <v/>
      </c>
      <c r="G230" s="480">
        <f>G224</f>
        <v/>
      </c>
      <c r="H230" s="480">
        <f>H224</f>
        <v/>
      </c>
      <c r="I230" s="480">
        <f>I224</f>
        <v/>
      </c>
      <c r="J230" s="480">
        <f>J224</f>
        <v/>
      </c>
      <c r="K230" s="480">
        <f>K224</f>
        <v/>
      </c>
      <c r="L230" s="480">
        <f>L224</f>
        <v/>
      </c>
      <c r="M230" s="480">
        <f>M224</f>
        <v/>
      </c>
    </row>
    <row r="231">
      <c r="A231" s="467" t="inlineStr">
        <is>
          <t>Sub Total</t>
        </is>
      </c>
      <c r="B231" s="497">
        <f>SUM(B229:B230)</f>
        <v/>
      </c>
      <c r="C231" s="497">
        <f>SUM(C229:C230)</f>
        <v/>
      </c>
      <c r="D231" s="497">
        <f>SUM(D229:D230)</f>
        <v/>
      </c>
      <c r="E231" s="497">
        <f>SUM(E229:E230)</f>
        <v/>
      </c>
      <c r="F231" s="497">
        <f>SUM(F229:F230)</f>
        <v/>
      </c>
      <c r="G231" s="497">
        <f>SUM(G229:G230)</f>
        <v/>
      </c>
      <c r="H231" s="497">
        <f>SUM(H229:H230)</f>
        <v/>
      </c>
      <c r="I231" s="497">
        <f>SUM(I229:I230)</f>
        <v/>
      </c>
      <c r="J231" s="497">
        <f>SUM(J229:J230)</f>
        <v/>
      </c>
      <c r="K231" s="497">
        <f>SUM(K229:K230)</f>
        <v/>
      </c>
      <c r="L231" s="497">
        <f>SUM(L229:L230)</f>
        <v/>
      </c>
      <c r="M231" s="497">
        <f>SUM(M229:M230)</f>
        <v/>
      </c>
    </row>
    <row r="232">
      <c r="A232" s="495" t="inlineStr">
        <is>
          <t>Debtors more than six months</t>
        </is>
      </c>
      <c r="B232" s="497">
        <f>B208</f>
        <v/>
      </c>
      <c r="C232" s="497">
        <f>C208</f>
        <v/>
      </c>
      <c r="D232" s="497">
        <f>D208</f>
        <v/>
      </c>
      <c r="E232" s="497">
        <f>E208</f>
        <v/>
      </c>
      <c r="F232" s="497">
        <f>F208</f>
        <v/>
      </c>
      <c r="G232" s="497">
        <f>G208</f>
        <v/>
      </c>
      <c r="H232" s="497">
        <f>H208</f>
        <v/>
      </c>
      <c r="I232" s="497">
        <f>I208</f>
        <v/>
      </c>
      <c r="J232" s="497">
        <f>J208</f>
        <v/>
      </c>
      <c r="K232" s="497">
        <f>K208</f>
        <v/>
      </c>
      <c r="L232" s="497">
        <f>L208</f>
        <v/>
      </c>
      <c r="M232" s="497">
        <f>M208</f>
        <v/>
      </c>
    </row>
    <row r="233">
      <c r="A233" s="495" t="inlineStr">
        <is>
          <t>Investments</t>
        </is>
      </c>
      <c r="B233" s="497">
        <f>B183+B186</f>
        <v/>
      </c>
      <c r="C233" s="497">
        <f>C183+C186</f>
        <v/>
      </c>
      <c r="D233" s="497">
        <f>D183+D186</f>
        <v/>
      </c>
      <c r="E233" s="497">
        <f>E183+E186</f>
        <v/>
      </c>
      <c r="F233" s="497">
        <f>F183+F186</f>
        <v/>
      </c>
      <c r="G233" s="497">
        <f>G183+G186</f>
        <v/>
      </c>
      <c r="H233" s="497">
        <f>H183+H186</f>
        <v/>
      </c>
      <c r="I233" s="497">
        <f>I183+I186</f>
        <v/>
      </c>
      <c r="J233" s="497">
        <f>J183+J186</f>
        <v/>
      </c>
      <c r="K233" s="497">
        <f>K183+K186</f>
        <v/>
      </c>
      <c r="L233" s="497">
        <f>L183+L186</f>
        <v/>
      </c>
      <c r="M233" s="497">
        <f>M183+M186</f>
        <v/>
      </c>
    </row>
    <row r="234">
      <c r="A234" s="495" t="inlineStr">
        <is>
          <t>Fixed Deposits ( Non Current )</t>
        </is>
      </c>
      <c r="B234" s="497">
        <f>B214</f>
        <v/>
      </c>
      <c r="C234" s="497">
        <f>C214</f>
        <v/>
      </c>
      <c r="D234" s="497">
        <f>D214</f>
        <v/>
      </c>
      <c r="E234" s="497">
        <f>E214</f>
        <v/>
      </c>
      <c r="F234" s="497">
        <f>F214</f>
        <v/>
      </c>
      <c r="G234" s="497">
        <f>G214</f>
        <v/>
      </c>
      <c r="H234" s="497">
        <f>H214</f>
        <v/>
      </c>
      <c r="I234" s="497">
        <f>I214</f>
        <v/>
      </c>
      <c r="J234" s="497">
        <f>J214</f>
        <v/>
      </c>
      <c r="K234" s="497">
        <f>K214</f>
        <v/>
      </c>
      <c r="L234" s="497">
        <f>L214</f>
        <v/>
      </c>
      <c r="M234" s="497">
        <f>M214</f>
        <v/>
      </c>
    </row>
    <row r="235">
      <c r="A235" s="495" t="inlineStr">
        <is>
          <t>Dues from directors / partners / promoters</t>
        </is>
      </c>
      <c r="B235" s="500" t="n">
        <v>5.75</v>
      </c>
      <c r="C235" s="482" t="n"/>
      <c r="D235" s="482" t="n"/>
      <c r="E235" s="482" t="n"/>
      <c r="F235" s="482" t="n"/>
      <c r="G235" s="482" t="n"/>
      <c r="H235" s="482" t="n"/>
      <c r="I235" s="482" t="n"/>
      <c r="J235" s="482" t="n"/>
      <c r="K235" s="482" t="n"/>
      <c r="L235" s="482" t="n"/>
      <c r="M235" s="482" t="n"/>
    </row>
    <row r="236">
      <c r="A236" s="477" t="inlineStr">
        <is>
          <t>Advances to suppliers of capital goods</t>
        </is>
      </c>
      <c r="B236" s="507" t="n">
        <v>0</v>
      </c>
      <c r="C236" s="500" t="n">
        <v>0</v>
      </c>
      <c r="D236" s="482" t="n">
        <v>0</v>
      </c>
      <c r="E236" s="482" t="n"/>
      <c r="F236" s="482" t="n"/>
      <c r="G236" s="482" t="n"/>
      <c r="H236" s="482" t="n"/>
      <c r="I236" s="482" t="n"/>
      <c r="J236" s="482" t="n"/>
      <c r="K236" s="482" t="n"/>
      <c r="L236" s="482" t="n"/>
      <c r="M236" s="482" t="n"/>
    </row>
    <row r="237">
      <c r="A237" s="495" t="inlineStr">
        <is>
          <t>Security deposits with government departments</t>
        </is>
      </c>
      <c r="B237" s="472" t="n">
        <v>0.05</v>
      </c>
      <c r="C237" s="472" t="n">
        <v>0.05</v>
      </c>
      <c r="D237" s="472" t="n">
        <v>0.05</v>
      </c>
      <c r="E237" s="472">
        <f>D237</f>
        <v/>
      </c>
      <c r="F237" s="472">
        <f>E237</f>
        <v/>
      </c>
      <c r="G237" s="472">
        <f>F237</f>
        <v/>
      </c>
      <c r="H237" s="472" t="n">
        <v>0</v>
      </c>
      <c r="I237" s="472">
        <f>H237</f>
        <v/>
      </c>
      <c r="J237" s="472">
        <f>I237</f>
        <v/>
      </c>
      <c r="K237" s="472" t="n">
        <v>0</v>
      </c>
      <c r="L237" s="472">
        <f>K237</f>
        <v/>
      </c>
      <c r="M237" s="472" t="n">
        <v>0</v>
      </c>
    </row>
    <row r="238">
      <c r="A238" s="495" t="inlineStr">
        <is>
          <t>Other non current assets</t>
        </is>
      </c>
      <c r="B238" s="472" t="n"/>
      <c r="C238" s="472" t="n"/>
      <c r="D238" s="472" t="n">
        <v>0</v>
      </c>
      <c r="E238" s="472">
        <f>D238</f>
        <v/>
      </c>
      <c r="F238" s="472">
        <f>E238</f>
        <v/>
      </c>
      <c r="G238" s="472">
        <f>F238</f>
        <v/>
      </c>
      <c r="H238" s="472" t="n">
        <v>0</v>
      </c>
      <c r="I238" s="472">
        <f>H238</f>
        <v/>
      </c>
      <c r="J238" s="472">
        <f>I238</f>
        <v/>
      </c>
      <c r="K238" s="472" t="n">
        <v>0</v>
      </c>
      <c r="L238" s="472">
        <f>K238</f>
        <v/>
      </c>
      <c r="M238" s="472" t="n">
        <v>0</v>
      </c>
    </row>
    <row r="239">
      <c r="A239" s="496" t="inlineStr">
        <is>
          <t>Total Non Current Assets</t>
        </is>
      </c>
      <c r="B239" s="501">
        <f>SUM(B232:B238)</f>
        <v/>
      </c>
      <c r="C239" s="476">
        <f>SUM(C232:C238)</f>
        <v/>
      </c>
      <c r="D239" s="476">
        <f>SUM(D232:D238)</f>
        <v/>
      </c>
      <c r="E239" s="476">
        <f>SUM(E232:E238)</f>
        <v/>
      </c>
      <c r="F239" s="476">
        <f>SUM(F232:F238)</f>
        <v/>
      </c>
      <c r="G239" s="476">
        <f>SUM(G232:G238)</f>
        <v/>
      </c>
      <c r="H239" s="476">
        <f>SUM(H232:H238)</f>
        <v/>
      </c>
      <c r="I239" s="476">
        <f>SUM(I232:I238)</f>
        <v/>
      </c>
      <c r="J239" s="476">
        <f>SUM(J232:J238)</f>
        <v/>
      </c>
      <c r="K239" s="476">
        <f>SUM(K232:K238)</f>
        <v/>
      </c>
      <c r="L239" s="476">
        <f>SUM(L232:L238)</f>
        <v/>
      </c>
      <c r="M239" s="476">
        <f>SUM(M232:M238)</f>
        <v/>
      </c>
    </row>
    <row r="240">
      <c r="A240" s="495" t="n"/>
      <c r="B240" s="493" t="n"/>
      <c r="C240" s="494" t="n"/>
      <c r="D240" s="494" t="n"/>
      <c r="E240" s="494" t="n"/>
      <c r="F240" s="494" t="n"/>
      <c r="G240" s="494" t="n"/>
      <c r="H240" s="494" t="n"/>
      <c r="I240" s="494" t="n"/>
      <c r="J240" s="494" t="n"/>
      <c r="K240" s="494" t="n"/>
      <c r="L240" s="494" t="n"/>
      <c r="M240" s="494" t="n"/>
    </row>
    <row r="241">
      <c r="A241" s="496" t="inlineStr">
        <is>
          <t>Current Liabilities</t>
        </is>
      </c>
      <c r="B241" s="493" t="n"/>
      <c r="C241" s="494" t="n"/>
      <c r="D241" s="494" t="n"/>
      <c r="E241" s="494" t="n"/>
      <c r="F241" s="494" t="n"/>
      <c r="G241" s="494" t="n"/>
      <c r="H241" s="494" t="n"/>
      <c r="I241" s="494" t="n"/>
      <c r="J241" s="494" t="n"/>
      <c r="K241" s="494" t="n"/>
      <c r="L241" s="494" t="n"/>
      <c r="M241" s="494" t="n"/>
    </row>
    <row r="242">
      <c r="A242" s="495" t="inlineStr">
        <is>
          <t>Sundry Creditors for goods</t>
        </is>
      </c>
      <c r="B242" s="472" t="n">
        <v>6.419999999999999</v>
      </c>
      <c r="C242" s="472" t="n">
        <v>6.59</v>
      </c>
      <c r="D242" s="472" t="n">
        <v>29.99</v>
      </c>
      <c r="E242" s="472">
        <f>((E41+E42)/E9)*Details!E32</f>
        <v/>
      </c>
      <c r="F242" s="472">
        <f>((F41+F42)/F9)*Details!F32</f>
        <v/>
      </c>
      <c r="G242" s="472">
        <f>((G41+G42)/G9)*Details!G32</f>
        <v/>
      </c>
      <c r="H242" s="472" t="n">
        <v>0</v>
      </c>
      <c r="I242" s="472">
        <f>((I41+I42)/I9)*Details!I32</f>
        <v/>
      </c>
      <c r="J242" s="472">
        <f>((J41+J42)/J9)*Details!J32</f>
        <v/>
      </c>
      <c r="K242" s="472" t="n">
        <v>0</v>
      </c>
      <c r="L242" s="472">
        <f>((L41+L42)/L9)*Details!L32</f>
        <v/>
      </c>
      <c r="M242" s="472" t="n">
        <v>0</v>
      </c>
    </row>
    <row r="243">
      <c r="A243" s="477" t="inlineStr">
        <is>
          <t xml:space="preserve">Advance received from customers </t>
        </is>
      </c>
      <c r="B243" s="472" t="n">
        <v>0</v>
      </c>
      <c r="C243" s="472" t="n"/>
      <c r="D243" s="472" t="n"/>
      <c r="E243" s="472" t="n"/>
      <c r="F243" s="472" t="n"/>
      <c r="G243" s="472" t="n"/>
      <c r="H243" s="472" t="n"/>
      <c r="I243" s="472" t="n"/>
      <c r="J243" s="472" t="n"/>
      <c r="K243" s="472" t="n"/>
      <c r="L243" s="472" t="n"/>
      <c r="M243" s="472" t="n"/>
    </row>
    <row r="244">
      <c r="A244" s="477" t="inlineStr">
        <is>
          <t>Provision for Taxation</t>
        </is>
      </c>
      <c r="B244" s="472" t="n">
        <v>0</v>
      </c>
      <c r="C244" s="472" t="n">
        <v>0</v>
      </c>
      <c r="D244" s="472" t="n">
        <v>0</v>
      </c>
      <c r="E244" s="472">
        <f>E99</f>
        <v/>
      </c>
      <c r="F244" s="472">
        <f>F99</f>
        <v/>
      </c>
      <c r="G244" s="472">
        <f>G99</f>
        <v/>
      </c>
      <c r="H244" s="472" t="n">
        <v>0</v>
      </c>
      <c r="I244" s="472">
        <f>I99</f>
        <v/>
      </c>
      <c r="J244" s="472">
        <f>J99</f>
        <v/>
      </c>
      <c r="K244" s="472" t="n">
        <v>0</v>
      </c>
      <c r="L244" s="472">
        <f>L99</f>
        <v/>
      </c>
      <c r="M244" s="472" t="n">
        <v>0</v>
      </c>
    </row>
    <row r="245">
      <c r="A245" s="477" t="inlineStr">
        <is>
          <t>Dividend payable</t>
        </is>
      </c>
      <c r="B245" s="472" t="n"/>
      <c r="C245" s="472" t="n"/>
      <c r="D245" s="472" t="n"/>
      <c r="E245" s="472" t="n"/>
      <c r="F245" s="472" t="n"/>
      <c r="G245" s="472" t="n"/>
      <c r="H245" s="472" t="n">
        <v>0</v>
      </c>
      <c r="I245" s="472" t="n"/>
      <c r="J245" s="472" t="n"/>
      <c r="K245" s="472" t="n"/>
      <c r="L245" s="472" t="n"/>
      <c r="M245" s="472" t="n"/>
    </row>
    <row r="246">
      <c r="A246" s="477" t="inlineStr">
        <is>
          <t>Other statutory liabilities (due within 1 year)</t>
        </is>
      </c>
      <c r="B246" s="472" t="n">
        <v>0.08</v>
      </c>
      <c r="C246" s="472" t="n">
        <v>0.08</v>
      </c>
      <c r="D246" s="472" t="n">
        <v>0.08</v>
      </c>
      <c r="E246" s="472">
        <f>D246</f>
        <v/>
      </c>
      <c r="F246" s="472">
        <f>E246</f>
        <v/>
      </c>
      <c r="G246" s="472">
        <f>F246</f>
        <v/>
      </c>
      <c r="H246" s="472" t="n">
        <v>0</v>
      </c>
      <c r="I246" s="472">
        <f>H246</f>
        <v/>
      </c>
      <c r="J246" s="472">
        <f>I246</f>
        <v/>
      </c>
      <c r="K246" s="472" t="n">
        <v>0</v>
      </c>
      <c r="L246" s="472">
        <f>K246</f>
        <v/>
      </c>
      <c r="M246" s="472" t="n">
        <v>0</v>
      </c>
    </row>
    <row r="247">
      <c r="A247" s="495" t="inlineStr">
        <is>
          <t>Interest Accrued but not due</t>
        </is>
      </c>
      <c r="B247" s="472" t="n"/>
      <c r="C247" s="472" t="n"/>
      <c r="D247" s="472" t="n"/>
      <c r="E247" s="472" t="n"/>
      <c r="F247" s="472" t="n"/>
      <c r="G247" s="472" t="n"/>
      <c r="H247" s="472" t="n"/>
      <c r="I247" s="472" t="n"/>
      <c r="J247" s="472" t="n"/>
      <c r="K247" s="472" t="n"/>
      <c r="L247" s="472" t="n"/>
      <c r="M247" s="472" t="n"/>
    </row>
    <row r="248">
      <c r="A248" s="495" t="inlineStr">
        <is>
          <t>Interest Accrued and due</t>
        </is>
      </c>
      <c r="B248" s="472" t="n"/>
      <c r="C248" s="472" t="n"/>
      <c r="D248" s="472" t="n"/>
      <c r="E248" s="472" t="n"/>
      <c r="F248" s="472" t="n"/>
      <c r="G248" s="472" t="n"/>
      <c r="H248" s="472" t="n"/>
      <c r="I248" s="472" t="n"/>
      <c r="J248" s="472" t="n"/>
      <c r="K248" s="472" t="n"/>
      <c r="L248" s="472" t="n"/>
      <c r="M248" s="472" t="n"/>
    </row>
    <row r="249">
      <c r="A249" s="495" t="inlineStr">
        <is>
          <t>Creditors for Expenses</t>
        </is>
      </c>
      <c r="B249" s="472" t="n">
        <v>0</v>
      </c>
      <c r="C249" s="472" t="n">
        <v>0</v>
      </c>
      <c r="D249" s="472" t="n">
        <v>0.03</v>
      </c>
      <c r="E249" s="472">
        <f>D249</f>
        <v/>
      </c>
      <c r="F249" s="472">
        <f>E249</f>
        <v/>
      </c>
      <c r="G249" s="472">
        <f>F249</f>
        <v/>
      </c>
      <c r="H249" s="472" t="n">
        <v>0</v>
      </c>
      <c r="I249" s="472">
        <f>H249</f>
        <v/>
      </c>
      <c r="J249" s="472">
        <f>I249</f>
        <v/>
      </c>
      <c r="K249" s="472" t="n">
        <v>0</v>
      </c>
      <c r="L249" s="472">
        <f>K249</f>
        <v/>
      </c>
      <c r="M249" s="472" t="n">
        <v>0</v>
      </c>
    </row>
    <row r="250">
      <c r="A250" s="495" t="inlineStr">
        <is>
          <t>Other current liabilities</t>
        </is>
      </c>
      <c r="B250" s="472" t="n">
        <v>21.83</v>
      </c>
      <c r="C250" s="472" t="n">
        <v>17.83</v>
      </c>
      <c r="D250" s="472" t="n">
        <v>0</v>
      </c>
      <c r="E250" s="472" t="n">
        <v>0</v>
      </c>
      <c r="F250" s="472" t="n">
        <v>0</v>
      </c>
      <c r="G250" s="472">
        <f>0</f>
        <v/>
      </c>
      <c r="H250" s="472" t="n">
        <v>0</v>
      </c>
      <c r="I250" s="472" t="n">
        <v>0</v>
      </c>
      <c r="J250" s="472" t="n"/>
      <c r="K250" s="472" t="n"/>
      <c r="L250" s="472" t="n"/>
      <c r="M250" s="472" t="n"/>
    </row>
    <row r="251">
      <c r="A251" s="496" t="inlineStr">
        <is>
          <t>Total</t>
        </is>
      </c>
      <c r="B251" s="501">
        <f>SUM(B242:B250)</f>
        <v/>
      </c>
      <c r="C251" s="476">
        <f>SUM(C242:C250)</f>
        <v/>
      </c>
      <c r="D251" s="476">
        <f>SUM(D242:D250)</f>
        <v/>
      </c>
      <c r="E251" s="476">
        <f>SUM(E242:E250)</f>
        <v/>
      </c>
      <c r="F251" s="476">
        <f>SUM(F242:F250)</f>
        <v/>
      </c>
      <c r="G251" s="476">
        <f>SUM(G242:G250)</f>
        <v/>
      </c>
      <c r="H251" s="476">
        <f>SUM(H242:H250)</f>
        <v/>
      </c>
      <c r="I251" s="476">
        <f>SUM(I242:I250)</f>
        <v/>
      </c>
      <c r="J251" s="476">
        <f>SUM(J242:J250)</f>
        <v/>
      </c>
      <c r="K251" s="476">
        <f>SUM(K242:K250)</f>
        <v/>
      </c>
      <c r="L251" s="476">
        <f>SUM(L242:L250)</f>
        <v/>
      </c>
      <c r="M251" s="476">
        <f>SUM(M242:M250)</f>
        <v/>
      </c>
    </row>
    <row r="252">
      <c r="A252" s="495" t="n"/>
      <c r="B252" s="493" t="n"/>
      <c r="C252" s="368" t="n"/>
      <c r="D252" s="494" t="n"/>
      <c r="E252" s="494" t="n"/>
      <c r="F252" s="494" t="n"/>
      <c r="G252" s="494" t="n"/>
      <c r="H252" s="494" t="n"/>
      <c r="I252" s="494" t="n"/>
      <c r="J252" s="494" t="n"/>
      <c r="K252" s="494" t="n"/>
      <c r="L252" s="494" t="n"/>
      <c r="M252" s="494" t="n"/>
    </row>
    <row r="253">
      <c r="A253" s="496" t="inlineStr">
        <is>
          <t>Contingent Liabilities:</t>
        </is>
      </c>
      <c r="B253" s="493" t="n"/>
      <c r="C253" s="368" t="n"/>
      <c r="D253" s="494" t="n"/>
      <c r="E253" s="494" t="n"/>
      <c r="F253" s="494" t="n"/>
      <c r="G253" s="494" t="n"/>
      <c r="H253" s="494" t="n"/>
      <c r="I253" s="494" t="n"/>
      <c r="J253" s="494" t="n"/>
      <c r="K253" s="494" t="n"/>
      <c r="L253" s="494" t="n"/>
      <c r="M253" s="494" t="n"/>
    </row>
    <row r="254">
      <c r="A254" s="477" t="inlineStr">
        <is>
          <t>Arrears of cumulative dividends</t>
        </is>
      </c>
      <c r="B254" s="500" t="n"/>
      <c r="C254" s="482" t="n"/>
      <c r="D254" s="482" t="n"/>
      <c r="E254" s="482" t="n"/>
      <c r="F254" s="482" t="n"/>
      <c r="G254" s="482" t="n"/>
      <c r="H254" s="482" t="n"/>
      <c r="I254" s="482" t="n"/>
      <c r="J254" s="482" t="n"/>
      <c r="K254" s="482" t="n"/>
      <c r="L254" s="482" t="n"/>
      <c r="M254" s="482" t="n"/>
    </row>
    <row r="255">
      <c r="A255" s="477" t="inlineStr">
        <is>
          <t>Gratuity liability not provided for</t>
        </is>
      </c>
      <c r="B255" s="500" t="n"/>
      <c r="C255" s="482" t="n"/>
      <c r="D255" s="482" t="n"/>
      <c r="E255" s="482" t="n"/>
      <c r="F255" s="482" t="n"/>
      <c r="G255" s="482" t="n"/>
      <c r="H255" s="482" t="n"/>
      <c r="I255" s="482" t="n"/>
      <c r="J255" s="482" t="n"/>
      <c r="K255" s="482" t="n"/>
      <c r="L255" s="482" t="n"/>
      <c r="M255" s="482" t="n"/>
    </row>
    <row r="256">
      <c r="A256" s="477" t="inlineStr">
        <is>
          <t>Disputed excise / customs / tax liabilities</t>
        </is>
      </c>
      <c r="B256" s="500" t="n"/>
      <c r="C256" s="482" t="n"/>
      <c r="D256" s="482" t="n"/>
      <c r="E256" s="482" t="n"/>
      <c r="F256" s="482" t="n"/>
      <c r="G256" s="482" t="n"/>
      <c r="H256" s="482" t="n"/>
      <c r="I256" s="482" t="n"/>
      <c r="J256" s="482" t="n"/>
      <c r="K256" s="482" t="n"/>
      <c r="L256" s="482" t="n"/>
      <c r="M256" s="482" t="n"/>
    </row>
    <row r="257">
      <c r="A257" s="477" t="inlineStr">
        <is>
          <t>Bank guarantee / Letter of credit outstanding</t>
        </is>
      </c>
      <c r="B257" s="500" t="n"/>
      <c r="C257" s="482" t="n"/>
      <c r="D257" s="482" t="n"/>
      <c r="E257" s="482" t="n"/>
      <c r="F257" s="482" t="n"/>
      <c r="G257" s="482" t="n"/>
      <c r="H257" s="482" t="n"/>
      <c r="I257" s="482" t="n"/>
      <c r="J257" s="482" t="n"/>
      <c r="K257" s="482" t="n"/>
      <c r="L257" s="482" t="n"/>
      <c r="M257" s="482" t="n"/>
    </row>
    <row r="258">
      <c r="A258" s="477" t="inlineStr">
        <is>
          <t>Other contingent liabilities</t>
        </is>
      </c>
      <c r="B258" s="500" t="n"/>
      <c r="C258" s="482" t="n"/>
      <c r="D258" s="482" t="n"/>
      <c r="E258" s="482" t="n"/>
      <c r="F258" s="482" t="n"/>
      <c r="G258" s="482" t="n"/>
      <c r="H258" s="482" t="n"/>
      <c r="I258" s="482" t="n"/>
      <c r="J258" s="482" t="n"/>
      <c r="K258" s="482" t="n"/>
      <c r="L258" s="482" t="n"/>
      <c r="M258" s="482" t="n"/>
    </row>
    <row r="259">
      <c r="A259" s="477" t="n"/>
      <c r="B259" s="508" t="n"/>
      <c r="C259" s="493" t="n"/>
      <c r="D259" s="494" t="n"/>
      <c r="E259" s="493" t="n"/>
      <c r="F259" s="494" t="n"/>
      <c r="G259" s="494" t="n"/>
      <c r="H259" s="494" t="n"/>
      <c r="I259" s="494" t="n"/>
      <c r="J259" s="494" t="n"/>
      <c r="K259" s="494" t="n"/>
      <c r="L259" s="494" t="n"/>
      <c r="M259" s="494" t="n"/>
    </row>
    <row r="260">
      <c r="A260" s="469" t="inlineStr">
        <is>
          <t>Total Assets</t>
        </is>
      </c>
      <c r="B260" s="479">
        <f>B166+B173+B189+B203+B209+B216+B225+B235+B236+B237+B238</f>
        <v/>
      </c>
      <c r="C260" s="479">
        <f>C166+C173+C189+C203+C209+C216+C225+C235+C236+C237+C238</f>
        <v/>
      </c>
      <c r="D260" s="479">
        <f>D166+D173+D189+D203+D209+D216+D225+D235+D236+D237+D238</f>
        <v/>
      </c>
      <c r="E260" s="479">
        <f>E166+E173+E189+E203+E209+E216+E225+E235+E236+E237+E238</f>
        <v/>
      </c>
      <c r="F260" s="479">
        <f>F166+F173+F189+F203+F209+F216+F225+F235+F236+F237+F238</f>
        <v/>
      </c>
      <c r="G260" s="479">
        <f>G166+G173+G189+G203+G209+G216+G225+G235+G236+G237+G238</f>
        <v/>
      </c>
      <c r="H260" s="479">
        <f>H166+H173+H189+H203+H209+H216+H225+H235+H236+H237+H238</f>
        <v/>
      </c>
      <c r="I260" s="479">
        <f>I166+I173+I189+I203+I209+I216+I225+I235+I236+I237+I238</f>
        <v/>
      </c>
      <c r="J260" s="479">
        <f>J166+J173+J189+J203+J209+J216+J225+J235+J236+J237+J238</f>
        <v/>
      </c>
      <c r="K260" s="479">
        <f>K166+K173+K189+K203+K209+K216+K225+K235+K236+K237+K238</f>
        <v/>
      </c>
      <c r="L260" s="479">
        <f>L166+L173+L189+L203+L209+L216+L225+L235+L236+L237+L238</f>
        <v/>
      </c>
      <c r="M260" s="479">
        <f>M166+M173+M189+M203+M209+M216+M225+M235+M236+M237+M238</f>
        <v/>
      </c>
    </row>
    <row r="261">
      <c r="A261" s="469" t="inlineStr">
        <is>
          <t>Total Liabilities</t>
        </is>
      </c>
      <c r="B261" s="479">
        <f>B118+B126+B157+B159+B251</f>
        <v/>
      </c>
      <c r="C261" s="479">
        <f>C118+C126+C157+C159+C251</f>
        <v/>
      </c>
      <c r="D261" s="479">
        <f>D118+D126+D157+D159+D251</f>
        <v/>
      </c>
      <c r="E261" s="479">
        <f>E118+E126+E157+E159+E251</f>
        <v/>
      </c>
      <c r="F261" s="479">
        <f>F118+F126+F157+F159+F251</f>
        <v/>
      </c>
      <c r="G261" s="479">
        <f>G118+G126+G157+G159+G251</f>
        <v/>
      </c>
      <c r="H261" s="479">
        <f>H118+H126+H157+H159+H251</f>
        <v/>
      </c>
      <c r="I261" s="479">
        <f>I118+I126+I157+I159+I251</f>
        <v/>
      </c>
      <c r="J261" s="479">
        <f>J118+J126+J157+J159+J251</f>
        <v/>
      </c>
      <c r="K261" s="479">
        <f>K118+K126+K157+K159+K251</f>
        <v/>
      </c>
      <c r="L261" s="479">
        <f>L118+L126+L157+L159+L251</f>
        <v/>
      </c>
      <c r="M261" s="479">
        <f>M118+M126+M157+M159+M251</f>
        <v/>
      </c>
    </row>
    <row r="262">
      <c r="A262" s="509" t="inlineStr">
        <is>
          <t>Check</t>
        </is>
      </c>
      <c r="B262" s="510">
        <f>B260-B261</f>
        <v/>
      </c>
      <c r="C262" s="511">
        <f>C260-C261</f>
        <v/>
      </c>
      <c r="D262" s="512">
        <f>D260-D261</f>
        <v/>
      </c>
      <c r="E262" s="512">
        <f>E260-E261</f>
        <v/>
      </c>
      <c r="F262" s="512">
        <f>F260-F261</f>
        <v/>
      </c>
      <c r="G262" s="512">
        <f>G260-G261</f>
        <v/>
      </c>
      <c r="H262" s="512">
        <f>H260-H261</f>
        <v/>
      </c>
      <c r="I262" s="512">
        <f>I260-I261</f>
        <v/>
      </c>
      <c r="J262" s="512">
        <f>J260-J261</f>
        <v/>
      </c>
      <c r="K262" s="512">
        <f>K260-K261</f>
        <v/>
      </c>
      <c r="L262" s="512">
        <f>L260-L261</f>
        <v/>
      </c>
      <c r="M262" s="512">
        <f>M260-M261</f>
        <v/>
      </c>
    </row>
    <row r="263">
      <c r="B263" s="493" t="n"/>
      <c r="C263" s="493" t="n"/>
      <c r="D263" s="493" t="n"/>
      <c r="E263" s="493" t="n"/>
      <c r="F263" s="493" t="n"/>
      <c r="G263" s="493" t="n"/>
      <c r="H263" s="493" t="n"/>
      <c r="I263" s="493" t="n"/>
      <c r="J263" s="493" t="n"/>
      <c r="K263" s="493" t="n"/>
      <c r="L263" s="493" t="n"/>
      <c r="M263" s="493" t="n"/>
    </row>
    <row r="264">
      <c r="B264" s="493" t="n"/>
      <c r="C264" s="493" t="n"/>
      <c r="D264" s="493" t="n"/>
      <c r="E264" s="369" t="n"/>
      <c r="F264" s="493" t="n"/>
      <c r="G264" s="493" t="n"/>
      <c r="H264" s="493" t="n"/>
      <c r="I264" s="493" t="n"/>
      <c r="J264" s="493" t="n"/>
      <c r="K264" s="493" t="n"/>
      <c r="L264" s="493" t="n"/>
      <c r="M264" s="493" t="n"/>
    </row>
    <row r="265">
      <c r="B265" s="493" t="n"/>
      <c r="C265" s="493" t="n"/>
      <c r="D265" s="493" t="n"/>
      <c r="E265" s="493" t="n"/>
      <c r="F265" s="493" t="n"/>
      <c r="G265" s="493" t="n"/>
      <c r="H265" s="493" t="n"/>
      <c r="I265" s="493" t="n"/>
      <c r="J265" s="493" t="n"/>
      <c r="K265" s="493" t="n"/>
      <c r="L265" s="493" t="n"/>
      <c r="M265" s="493" t="n"/>
    </row>
    <row r="266">
      <c r="B266" s="493" t="n"/>
      <c r="C266" s="493" t="n"/>
      <c r="D266" s="493" t="n"/>
      <c r="E266" s="493" t="n"/>
      <c r="F266" s="493" t="n"/>
      <c r="G266" s="493" t="n"/>
      <c r="H266" s="493" t="n"/>
      <c r="I266" s="493" t="n"/>
      <c r="J266" s="493" t="n"/>
      <c r="K266" s="493" t="n"/>
      <c r="L266" s="493" t="n"/>
      <c r="M266" s="493" t="n"/>
    </row>
    <row r="267">
      <c r="B267" s="493" t="n"/>
      <c r="C267" s="493" t="n"/>
      <c r="D267" s="493" t="n"/>
      <c r="E267" s="493" t="n"/>
      <c r="F267" s="493" t="n"/>
      <c r="G267" s="493" t="n"/>
      <c r="H267" s="493" t="n"/>
      <c r="I267" s="493" t="n"/>
      <c r="J267" s="493" t="n"/>
      <c r="K267" s="493" t="n"/>
      <c r="L267" s="493" t="n"/>
      <c r="M267" s="493" t="n"/>
    </row>
    <row r="268">
      <c r="B268" s="493" t="n"/>
      <c r="C268" s="493" t="n"/>
      <c r="D268" s="493" t="n"/>
      <c r="E268" s="493" t="n"/>
      <c r="F268" s="493" t="n"/>
      <c r="G268" s="493" t="n"/>
      <c r="H268" s="493" t="n"/>
      <c r="I268" s="493" t="n"/>
      <c r="J268" s="493" t="n"/>
      <c r="K268" s="493" t="n"/>
      <c r="L268" s="493" t="n"/>
      <c r="M268" s="493" t="n"/>
    </row>
    <row r="269">
      <c r="B269" s="493" t="n"/>
      <c r="C269" s="493" t="n"/>
      <c r="D269" s="493" t="n"/>
      <c r="E269" s="493" t="n"/>
      <c r="F269" s="493" t="n"/>
      <c r="G269" s="493" t="n"/>
      <c r="H269" s="493" t="n"/>
      <c r="I269" s="493" t="n"/>
      <c r="J269" s="493" t="n"/>
      <c r="K269" s="493" t="n"/>
      <c r="L269" s="493" t="n"/>
      <c r="M269" s="493" t="n"/>
    </row>
    <row r="270">
      <c r="B270" s="493" t="n"/>
      <c r="C270" s="493" t="n"/>
      <c r="D270" s="493" t="n"/>
      <c r="E270" s="493" t="n"/>
      <c r="F270" s="493" t="n"/>
      <c r="G270" s="493" t="n"/>
      <c r="H270" s="493" t="n"/>
      <c r="I270" s="493" t="n"/>
      <c r="J270" s="493" t="n"/>
      <c r="K270" s="493" t="n"/>
      <c r="L270" s="493" t="n"/>
      <c r="M270" s="493" t="n"/>
    </row>
    <row r="271">
      <c r="B271" s="493" t="n"/>
      <c r="C271" s="493" t="n"/>
      <c r="D271" s="493" t="n"/>
      <c r="E271" s="493" t="n"/>
      <c r="F271" s="493" t="n"/>
      <c r="G271" s="493" t="n"/>
      <c r="H271" s="493" t="n"/>
      <c r="I271" s="493" t="n"/>
      <c r="J271" s="493" t="n"/>
      <c r="K271" s="493" t="n"/>
      <c r="L271" s="493" t="n"/>
      <c r="M271" s="493" t="n"/>
    </row>
    <row r="272">
      <c r="B272" s="493" t="n"/>
      <c r="C272" s="493" t="n"/>
      <c r="D272" s="493" t="n"/>
      <c r="E272" s="493" t="n"/>
      <c r="F272" s="493" t="n"/>
      <c r="G272" s="493" t="n"/>
      <c r="H272" s="493" t="n"/>
      <c r="I272" s="493" t="n"/>
      <c r="J272" s="493" t="n"/>
      <c r="K272" s="493" t="n"/>
      <c r="L272" s="493" t="n"/>
      <c r="M272" s="493" t="n"/>
    </row>
    <row r="273">
      <c r="B273" s="493" t="n"/>
      <c r="C273" s="493" t="n"/>
      <c r="D273" s="493" t="n"/>
      <c r="E273" s="493" t="n"/>
      <c r="F273" s="493" t="n"/>
      <c r="G273" s="493" t="n"/>
      <c r="H273" s="493" t="n"/>
      <c r="I273" s="493" t="n"/>
      <c r="J273" s="493" t="n"/>
      <c r="K273" s="493" t="n"/>
      <c r="L273" s="493" t="n"/>
      <c r="M273" s="493" t="n"/>
    </row>
    <row r="274">
      <c r="B274" s="493" t="n"/>
      <c r="C274" s="493" t="n"/>
      <c r="D274" s="493" t="n"/>
      <c r="E274" s="493" t="n"/>
      <c r="F274" s="493" t="n"/>
      <c r="G274" s="493" t="n"/>
      <c r="H274" s="493" t="n"/>
      <c r="I274" s="493" t="n"/>
      <c r="J274" s="493" t="n"/>
      <c r="K274" s="493" t="n"/>
      <c r="L274" s="493" t="n"/>
      <c r="M274" s="493" t="n"/>
    </row>
    <row r="275">
      <c r="B275" s="493" t="n"/>
      <c r="C275" s="493" t="n"/>
      <c r="D275" s="493" t="n"/>
      <c r="E275" s="493" t="n"/>
      <c r="F275" s="493" t="n"/>
      <c r="G275" s="493" t="n"/>
      <c r="H275" s="493" t="n"/>
      <c r="I275" s="493" t="n"/>
      <c r="J275" s="493" t="n"/>
      <c r="K275" s="493" t="n"/>
      <c r="L275" s="493" t="n"/>
      <c r="M275" s="493" t="n"/>
    </row>
    <row r="276">
      <c r="B276" s="493" t="n"/>
      <c r="C276" s="493" t="n"/>
      <c r="D276" s="493" t="n"/>
      <c r="E276" s="493" t="n"/>
      <c r="F276" s="493" t="n"/>
      <c r="G276" s="493" t="n"/>
      <c r="H276" s="493" t="n"/>
      <c r="I276" s="493" t="n"/>
      <c r="J276" s="493" t="n"/>
      <c r="K276" s="493" t="n"/>
      <c r="L276" s="493" t="n"/>
      <c r="M276" s="493" t="n"/>
    </row>
    <row r="277">
      <c r="B277" s="493" t="n"/>
      <c r="C277" s="493" t="n"/>
      <c r="D277" s="493" t="n"/>
      <c r="E277" s="493" t="n"/>
      <c r="F277" s="493" t="n"/>
      <c r="G277" s="493" t="n"/>
      <c r="H277" s="493" t="n"/>
      <c r="I277" s="493" t="n"/>
      <c r="J277" s="493" t="n"/>
      <c r="K277" s="493" t="n"/>
      <c r="L277" s="493" t="n"/>
      <c r="M277" s="493" t="n"/>
    </row>
    <row r="278">
      <c r="B278" s="493" t="n"/>
      <c r="C278" s="493" t="n"/>
      <c r="D278" s="493" t="n"/>
      <c r="E278" s="493" t="n"/>
      <c r="F278" s="493" t="n"/>
      <c r="G278" s="493" t="n"/>
      <c r="H278" s="493" t="n"/>
      <c r="I278" s="493" t="n"/>
      <c r="J278" s="493" t="n"/>
      <c r="K278" s="493" t="n"/>
      <c r="L278" s="493" t="n"/>
      <c r="M278" s="493" t="n"/>
    </row>
    <row r="279">
      <c r="B279" s="493" t="n"/>
      <c r="C279" s="493" t="n"/>
      <c r="D279" s="493" t="n"/>
      <c r="E279" s="493" t="n"/>
      <c r="F279" s="493" t="n"/>
      <c r="G279" s="493" t="n"/>
      <c r="H279" s="493" t="n"/>
      <c r="I279" s="493" t="n"/>
      <c r="J279" s="493" t="n"/>
      <c r="K279" s="493" t="n"/>
      <c r="L279" s="493" t="n"/>
      <c r="M279" s="493" t="n"/>
    </row>
    <row r="280">
      <c r="B280" s="493" t="n"/>
      <c r="C280" s="493" t="n"/>
      <c r="D280" s="493" t="n"/>
      <c r="E280" s="493" t="n"/>
      <c r="F280" s="493" t="n"/>
      <c r="G280" s="493" t="n"/>
      <c r="H280" s="493" t="n"/>
      <c r="I280" s="493" t="n"/>
      <c r="J280" s="493" t="n"/>
      <c r="K280" s="493" t="n"/>
      <c r="L280" s="493" t="n"/>
      <c r="M280" s="493" t="n"/>
    </row>
    <row r="281">
      <c r="B281" s="493" t="n"/>
      <c r="C281" s="493" t="n"/>
      <c r="D281" s="493" t="n"/>
      <c r="E281" s="493" t="n"/>
      <c r="F281" s="493" t="n"/>
      <c r="G281" s="493" t="n"/>
      <c r="H281" s="493" t="n"/>
      <c r="I281" s="493" t="n"/>
      <c r="J281" s="493" t="n"/>
      <c r="K281" s="493" t="n"/>
      <c r="L281" s="493" t="n"/>
      <c r="M281" s="493" t="n"/>
    </row>
    <row r="282">
      <c r="B282" s="493" t="n"/>
      <c r="C282" s="493" t="n"/>
      <c r="D282" s="493" t="n"/>
      <c r="E282" s="493" t="n"/>
      <c r="F282" s="493" t="n"/>
      <c r="G282" s="493" t="n"/>
      <c r="H282" s="493" t="n"/>
      <c r="I282" s="493" t="n"/>
      <c r="J282" s="493" t="n"/>
      <c r="K282" s="493" t="n"/>
      <c r="L282" s="493" t="n"/>
      <c r="M282" s="493" t="n"/>
    </row>
    <row r="283">
      <c r="B283" s="493" t="n"/>
      <c r="C283" s="493" t="n"/>
      <c r="D283" s="493" t="n"/>
      <c r="E283" s="493" t="n"/>
      <c r="F283" s="493" t="n"/>
      <c r="G283" s="493" t="n"/>
      <c r="H283" s="493" t="n"/>
      <c r="I283" s="493" t="n"/>
      <c r="J283" s="493" t="n"/>
      <c r="K283" s="493" t="n"/>
      <c r="L283" s="493" t="n"/>
      <c r="M283" s="493" t="n"/>
    </row>
    <row r="284">
      <c r="B284" s="493" t="n"/>
      <c r="C284" s="493" t="n"/>
      <c r="D284" s="493" t="n"/>
      <c r="E284" s="493" t="n"/>
      <c r="F284" s="493" t="n"/>
      <c r="G284" s="493" t="n"/>
      <c r="H284" s="493" t="n"/>
      <c r="I284" s="493" t="n"/>
      <c r="J284" s="493" t="n"/>
      <c r="K284" s="493" t="n"/>
      <c r="L284" s="493" t="n"/>
      <c r="M284" s="493" t="n"/>
    </row>
    <row r="285">
      <c r="B285" s="493" t="n"/>
      <c r="C285" s="493" t="n"/>
      <c r="D285" s="493" t="n"/>
      <c r="E285" s="493" t="n"/>
      <c r="F285" s="493" t="n"/>
      <c r="G285" s="493" t="n"/>
      <c r="H285" s="493" t="n"/>
      <c r="I285" s="493" t="n"/>
      <c r="J285" s="493" t="n"/>
      <c r="K285" s="493" t="n"/>
      <c r="L285" s="493" t="n"/>
      <c r="M285" s="493" t="n"/>
    </row>
    <row r="286">
      <c r="B286" s="493" t="n"/>
      <c r="C286" s="493" t="n"/>
      <c r="D286" s="493" t="n"/>
      <c r="E286" s="493" t="n"/>
      <c r="F286" s="493" t="n"/>
      <c r="G286" s="493" t="n"/>
      <c r="H286" s="493" t="n"/>
      <c r="I286" s="493" t="n"/>
      <c r="J286" s="493" t="n"/>
      <c r="K286" s="493" t="n"/>
      <c r="L286" s="493" t="n"/>
      <c r="M286" s="493" t="n"/>
    </row>
    <row r="287">
      <c r="B287" s="493" t="n"/>
      <c r="C287" s="493" t="n"/>
      <c r="D287" s="493" t="n"/>
      <c r="E287" s="493" t="n"/>
      <c r="F287" s="493" t="n"/>
      <c r="G287" s="493" t="n"/>
      <c r="H287" s="493" t="n"/>
      <c r="I287" s="493" t="n"/>
      <c r="J287" s="493" t="n"/>
      <c r="K287" s="493" t="n"/>
      <c r="L287" s="493" t="n"/>
      <c r="M287" s="493" t="n"/>
    </row>
    <row r="288">
      <c r="B288" s="493" t="n"/>
      <c r="C288" s="493" t="n"/>
      <c r="D288" s="493" t="n"/>
      <c r="E288" s="493" t="n"/>
      <c r="F288" s="493" t="n"/>
      <c r="G288" s="493" t="n"/>
      <c r="H288" s="493" t="n"/>
      <c r="I288" s="493" t="n"/>
      <c r="J288" s="493" t="n"/>
      <c r="K288" s="493" t="n"/>
      <c r="L288" s="493" t="n"/>
      <c r="M288" s="493" t="n"/>
    </row>
    <row r="289">
      <c r="B289" s="493" t="n"/>
      <c r="C289" s="493" t="n"/>
      <c r="D289" s="493" t="n"/>
      <c r="E289" s="493" t="n"/>
      <c r="F289" s="493" t="n"/>
      <c r="G289" s="493" t="n"/>
      <c r="H289" s="493" t="n"/>
      <c r="I289" s="493" t="n"/>
      <c r="J289" s="493" t="n"/>
      <c r="K289" s="493" t="n"/>
      <c r="L289" s="493" t="n"/>
      <c r="M289" s="493" t="n"/>
    </row>
  </sheetData>
  <dataValidations count="2">
    <dataValidation sqref="B10:M10" showDropDown="0" showInputMessage="0" showErrorMessage="1" allowBlank="1" type="list" operator="equal">
      <formula1>$A$1:$A$3</formula1>
      <formula2>0</formula2>
    </dataValidation>
    <dataValidation sqref="B15" showDropDown="0" showInputMessage="0" showErrorMessage="1" allowBlank="1" type="list" operator="equal">
      <formula1>$A$4:$A$5</formula1>
      <formula2>0</formula2>
    </dataValidation>
  </dataValidations>
  <pageMargins left="0.7479166666666667" right="0.7479166666666667" top="0.9840277777777778" bottom="0.9840277777777778" header="0.5118055555555556" footer="0.5118055555555556"/>
  <pageSetup orientation="landscape" paperSize="9" scale="89" firstPageNumber="0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Z42"/>
  <sheetViews>
    <sheetView showGridLines="0" topLeftCell="L10" zoomScale="90" zoomScaleNormal="90" workbookViewId="0">
      <selection activeCell="Q36" sqref="Q36"/>
    </sheetView>
  </sheetViews>
  <sheetFormatPr baseColWidth="8" defaultRowHeight="13.2"/>
  <cols>
    <col width="30" customWidth="1" style="61" min="1" max="1"/>
    <col width="9.44140625" customWidth="1" style="61" min="2" max="3"/>
    <col width="8.6640625" customWidth="1" style="61" min="4" max="13"/>
    <col width="27" customWidth="1" style="61" min="14" max="14"/>
    <col width="9.109375" customWidth="1" style="61" min="15" max="16"/>
    <col width="8.33203125" customWidth="1" style="61" min="17" max="17"/>
    <col width="9.109375" customWidth="1" style="61" min="18" max="254"/>
  </cols>
  <sheetData>
    <row r="1">
      <c r="A1" s="412" t="inlineStr">
        <is>
          <t>Name of the customer :</t>
        </is>
      </c>
      <c r="B1" s="412">
        <f>'INPUT SHEET'!B7</f>
        <v/>
      </c>
      <c r="C1" s="513" t="n"/>
      <c r="D1" s="513" t="n"/>
      <c r="E1" s="513" t="n"/>
      <c r="F1" s="513" t="n"/>
      <c r="G1" s="513" t="n"/>
      <c r="H1" s="513" t="n"/>
      <c r="I1" s="513" t="n"/>
      <c r="J1" s="513" t="n"/>
      <c r="K1" s="513" t="n"/>
      <c r="L1" s="513" t="n"/>
      <c r="M1" s="513" t="n"/>
      <c r="N1" s="513" t="n"/>
    </row>
    <row r="2">
      <c r="A2" s="413" t="inlineStr">
        <is>
          <t>Financial Year End :</t>
        </is>
      </c>
      <c r="B2" s="413">
        <f>'INPUT SHEET'!B11</f>
        <v/>
      </c>
      <c r="C2" s="514" t="n"/>
      <c r="D2" s="514" t="n"/>
      <c r="E2" s="514" t="n"/>
      <c r="F2" s="514" t="n"/>
      <c r="G2" s="514" t="n"/>
      <c r="H2" s="514" t="n"/>
      <c r="I2" s="514" t="n"/>
      <c r="J2" s="514" t="n"/>
      <c r="K2" s="514" t="n"/>
      <c r="L2" s="514" t="n"/>
      <c r="M2" s="514" t="n"/>
      <c r="N2" s="514" t="n"/>
      <c r="O2" s="64" t="n"/>
      <c r="P2" s="64" t="n"/>
    </row>
    <row r="3" ht="8.25" customHeight="1"/>
    <row r="4" ht="8.25" customHeight="1"/>
    <row r="5" ht="17.25" customHeight="1">
      <c r="A5" s="65" t="n"/>
      <c r="B5" s="65" t="n"/>
    </row>
    <row r="6" ht="24" customHeight="1">
      <c r="A6" s="66" t="inlineStr">
        <is>
          <t>BALANCE SHEET : ASSETS</t>
        </is>
      </c>
      <c r="B6" s="67">
        <f>'INPUT SHEET'!B8</f>
        <v/>
      </c>
      <c r="C6" s="67">
        <f>'INPUT SHEET'!C8</f>
        <v/>
      </c>
      <c r="D6" s="67">
        <f>'INPUT SHEET'!D8</f>
        <v/>
      </c>
      <c r="E6" s="67">
        <f>'INPUT SHEET'!E8</f>
        <v/>
      </c>
      <c r="F6" s="67">
        <f>'INPUT SHEET'!F8</f>
        <v/>
      </c>
      <c r="G6" s="67">
        <f>'INPUT SHEET'!G8</f>
        <v/>
      </c>
      <c r="H6" s="67">
        <f>'INPUT SHEET'!H8</f>
        <v/>
      </c>
      <c r="I6" s="67">
        <f>'INPUT SHEET'!I8</f>
        <v/>
      </c>
      <c r="J6" s="67">
        <f>'INPUT SHEET'!J8</f>
        <v/>
      </c>
      <c r="K6" s="67">
        <f>'INPUT SHEET'!K8</f>
        <v/>
      </c>
      <c r="L6" s="67">
        <f>'INPUT SHEET'!L8</f>
        <v/>
      </c>
      <c r="M6" s="67">
        <f>'INPUT SHEET'!M8</f>
        <v/>
      </c>
      <c r="N6" s="68" t="inlineStr">
        <is>
          <t>BALANCE SHEET : LIABILITIES</t>
        </is>
      </c>
      <c r="O6" s="67">
        <f>B6</f>
        <v/>
      </c>
      <c r="P6" s="67">
        <f>C6</f>
        <v/>
      </c>
      <c r="Q6" s="67">
        <f>D6</f>
        <v/>
      </c>
      <c r="R6" s="67">
        <f>E6</f>
        <v/>
      </c>
      <c r="S6" s="67">
        <f>F6</f>
        <v/>
      </c>
      <c r="T6" s="67">
        <f>G6</f>
        <v/>
      </c>
      <c r="U6" s="67">
        <f>H6</f>
        <v/>
      </c>
      <c r="V6" s="67">
        <f>I6</f>
        <v/>
      </c>
      <c r="W6" s="67">
        <f>J6</f>
        <v/>
      </c>
      <c r="X6" s="67">
        <f>K6</f>
        <v/>
      </c>
      <c r="Y6" s="67">
        <f>L6</f>
        <v/>
      </c>
      <c r="Z6" s="67">
        <f>M6</f>
        <v/>
      </c>
    </row>
    <row r="7" ht="24" customHeight="1">
      <c r="A7" s="69" t="inlineStr">
        <is>
          <t>Number of months</t>
        </is>
      </c>
      <c r="B7" s="67">
        <f>'INPUT SHEET'!B9</f>
        <v/>
      </c>
      <c r="C7" s="67">
        <f>'INPUT SHEET'!C9</f>
        <v/>
      </c>
      <c r="D7" s="67">
        <f>'INPUT SHEET'!D9</f>
        <v/>
      </c>
      <c r="E7" s="67">
        <f>'INPUT SHEET'!E9</f>
        <v/>
      </c>
      <c r="F7" s="67">
        <f>'INPUT SHEET'!F9</f>
        <v/>
      </c>
      <c r="G7" s="67">
        <f>'INPUT SHEET'!G9</f>
        <v/>
      </c>
      <c r="H7" s="67">
        <f>'INPUT SHEET'!H9</f>
        <v/>
      </c>
      <c r="I7" s="67">
        <f>'INPUT SHEET'!I9</f>
        <v/>
      </c>
      <c r="J7" s="67">
        <f>'INPUT SHEET'!J9</f>
        <v/>
      </c>
      <c r="K7" s="67">
        <f>'INPUT SHEET'!K9</f>
        <v/>
      </c>
      <c r="L7" s="67">
        <f>'INPUT SHEET'!L9</f>
        <v/>
      </c>
      <c r="M7" s="67">
        <f>'INPUT SHEET'!M9</f>
        <v/>
      </c>
      <c r="N7" s="69" t="inlineStr">
        <is>
          <t>Number of months</t>
        </is>
      </c>
      <c r="O7" s="67">
        <f>'INPUT SHEET'!B9</f>
        <v/>
      </c>
      <c r="P7" s="67">
        <f>'INPUT SHEET'!C9</f>
        <v/>
      </c>
      <c r="Q7" s="67">
        <f>'INPUT SHEET'!D9</f>
        <v/>
      </c>
      <c r="R7" s="67">
        <f>'INPUT SHEET'!E9</f>
        <v/>
      </c>
      <c r="S7" s="67">
        <f>'INPUT SHEET'!F9</f>
        <v/>
      </c>
      <c r="T7" s="67">
        <f>'INPUT SHEET'!G9</f>
        <v/>
      </c>
      <c r="U7" s="67">
        <f>'INPUT SHEET'!H9</f>
        <v/>
      </c>
      <c r="V7" s="67">
        <f>'INPUT SHEET'!I9</f>
        <v/>
      </c>
      <c r="W7" s="67">
        <f>'INPUT SHEET'!J9</f>
        <v/>
      </c>
      <c r="X7" s="67">
        <f>'INPUT SHEET'!K9</f>
        <v/>
      </c>
      <c r="Y7" s="67">
        <f>'INPUT SHEET'!L9</f>
        <v/>
      </c>
      <c r="Z7" s="67">
        <f>'INPUT SHEET'!M9</f>
        <v/>
      </c>
    </row>
    <row r="8">
      <c r="A8" s="70" t="inlineStr">
        <is>
          <t xml:space="preserve">Cash and Marketable Securities </t>
        </is>
      </c>
      <c r="B8" s="515">
        <f>Form_III!E59+Form_III!E62</f>
        <v/>
      </c>
      <c r="C8" s="515">
        <f>Form_III!F59+Form_III!F62</f>
        <v/>
      </c>
      <c r="D8" s="515">
        <f>Form_III!G59+Form_III!G62</f>
        <v/>
      </c>
      <c r="E8" s="515">
        <f>Form_III!H59+Form_III!H62</f>
        <v/>
      </c>
      <c r="F8" s="515">
        <f>Form_III!I59+Form_III!I62</f>
        <v/>
      </c>
      <c r="G8" s="515">
        <f>Form_III!J59+Form_III!J62</f>
        <v/>
      </c>
      <c r="H8" s="515">
        <f>Form_III!K59+Form_III!K62</f>
        <v/>
      </c>
      <c r="I8" s="515">
        <f>Form_III!L59+Form_III!L62</f>
        <v/>
      </c>
      <c r="J8" s="515">
        <f>Form_III!M59+Form_III!M62</f>
        <v/>
      </c>
      <c r="K8" s="515">
        <f>Form_III!N59+Form_III!N62</f>
        <v/>
      </c>
      <c r="L8" s="515">
        <f>Form_III!O59+Form_III!O62</f>
        <v/>
      </c>
      <c r="M8" s="515">
        <f>Form_III!P59+Form_III!P62</f>
        <v/>
      </c>
      <c r="N8" s="72" t="inlineStr">
        <is>
          <t>Short Term Debts</t>
        </is>
      </c>
      <c r="O8" s="515">
        <f>Form_III!E16+Form_III!E22</f>
        <v/>
      </c>
      <c r="P8" s="515">
        <f>Form_III!F16+Form_III!F22</f>
        <v/>
      </c>
      <c r="Q8" s="515">
        <f>Form_III!G16+Form_III!G22</f>
        <v/>
      </c>
      <c r="R8" s="515">
        <f>Form_III!H16+Form_III!H22</f>
        <v/>
      </c>
      <c r="S8" s="515">
        <f>Form_III!I16+Form_III!I22</f>
        <v/>
      </c>
      <c r="T8" s="515">
        <f>Form_III!J16+Form_III!J22</f>
        <v/>
      </c>
      <c r="U8" s="515">
        <f>Form_III!K16+Form_III!K22</f>
        <v/>
      </c>
      <c r="V8" s="515">
        <f>Form_III!L16+Form_III!L22</f>
        <v/>
      </c>
      <c r="W8" s="515">
        <f>Form_III!M16+Form_III!M22</f>
        <v/>
      </c>
      <c r="X8" s="515">
        <f>Form_III!N16+Form_III!N22</f>
        <v/>
      </c>
      <c r="Y8" s="515">
        <f>Form_III!O16+Form_III!O22</f>
        <v/>
      </c>
      <c r="Z8" s="515">
        <f>Form_III!P16+Form_III!P22</f>
        <v/>
      </c>
    </row>
    <row r="9">
      <c r="A9" s="73" t="inlineStr">
        <is>
          <t>Debtors</t>
        </is>
      </c>
      <c r="B9" s="516">
        <f>Form_III!E65</f>
        <v/>
      </c>
      <c r="C9" s="516">
        <f>Form_III!F65</f>
        <v/>
      </c>
      <c r="D9" s="516">
        <f>Form_III!G65</f>
        <v/>
      </c>
      <c r="E9" s="516">
        <f>Form_III!H65</f>
        <v/>
      </c>
      <c r="F9" s="516">
        <f>Form_III!I65</f>
        <v/>
      </c>
      <c r="G9" s="516">
        <f>Form_III!J65</f>
        <v/>
      </c>
      <c r="H9" s="516">
        <f>Form_III!K65</f>
        <v/>
      </c>
      <c r="I9" s="516">
        <f>Form_III!L65</f>
        <v/>
      </c>
      <c r="J9" s="516">
        <f>Form_III!M65</f>
        <v/>
      </c>
      <c r="K9" s="516">
        <f>Form_III!N65</f>
        <v/>
      </c>
      <c r="L9" s="516">
        <f>Form_III!O65</f>
        <v/>
      </c>
      <c r="M9" s="516">
        <f>Form_III!P65</f>
        <v/>
      </c>
      <c r="N9" s="61" t="inlineStr">
        <is>
          <t>Creditors</t>
        </is>
      </c>
      <c r="O9" s="516">
        <f>Form_III!E17</f>
        <v/>
      </c>
      <c r="P9" s="516">
        <f>Form_III!F17</f>
        <v/>
      </c>
      <c r="Q9" s="516">
        <f>Form_III!G17</f>
        <v/>
      </c>
      <c r="R9" s="516">
        <f>Form_III!H17</f>
        <v/>
      </c>
      <c r="S9" s="516">
        <f>Form_III!I17</f>
        <v/>
      </c>
      <c r="T9" s="516">
        <f>Form_III!J17</f>
        <v/>
      </c>
      <c r="U9" s="516">
        <f>Form_III!K17</f>
        <v/>
      </c>
      <c r="V9" s="516">
        <f>Form_III!L17</f>
        <v/>
      </c>
      <c r="W9" s="516">
        <f>Form_III!M17</f>
        <v/>
      </c>
      <c r="X9" s="516">
        <f>Form_III!N17</f>
        <v/>
      </c>
      <c r="Y9" s="516">
        <f>Form_III!O17</f>
        <v/>
      </c>
      <c r="Z9" s="516">
        <f>Form_III!P17</f>
        <v/>
      </c>
    </row>
    <row r="10">
      <c r="A10" s="73" t="inlineStr">
        <is>
          <t>Inventory</t>
        </is>
      </c>
      <c r="B10" s="516">
        <f>Form_III!E68</f>
        <v/>
      </c>
      <c r="C10" s="516">
        <f>Form_III!F68</f>
        <v/>
      </c>
      <c r="D10" s="516">
        <f>Form_III!G68</f>
        <v/>
      </c>
      <c r="E10" s="516">
        <f>Form_III!H68</f>
        <v/>
      </c>
      <c r="F10" s="516">
        <f>Form_III!I68</f>
        <v/>
      </c>
      <c r="G10" s="516">
        <f>Form_III!J68</f>
        <v/>
      </c>
      <c r="H10" s="516">
        <f>Form_III!K68</f>
        <v/>
      </c>
      <c r="I10" s="516">
        <f>Form_III!L68</f>
        <v/>
      </c>
      <c r="J10" s="516">
        <f>Form_III!M68</f>
        <v/>
      </c>
      <c r="K10" s="516">
        <f>Form_III!N68</f>
        <v/>
      </c>
      <c r="L10" s="516">
        <f>Form_III!O68</f>
        <v/>
      </c>
      <c r="M10" s="516">
        <f>Form_III!P68</f>
        <v/>
      </c>
      <c r="N10" s="61" t="inlineStr">
        <is>
          <t>Working Capital Bank Finance</t>
        </is>
      </c>
      <c r="O10" s="516">
        <f>Form_III!E15</f>
        <v/>
      </c>
      <c r="P10" s="516">
        <f>Form_III!F15</f>
        <v/>
      </c>
      <c r="Q10" s="516">
        <f>Form_III!G15</f>
        <v/>
      </c>
      <c r="R10" s="516">
        <f>Form_III!H15</f>
        <v/>
      </c>
      <c r="S10" s="516">
        <f>Form_III!I15</f>
        <v/>
      </c>
      <c r="T10" s="516">
        <f>Form_III!J15</f>
        <v/>
      </c>
      <c r="U10" s="516">
        <f>Form_III!K15</f>
        <v/>
      </c>
      <c r="V10" s="516">
        <f>Form_III!L15</f>
        <v/>
      </c>
      <c r="W10" s="516">
        <f>Form_III!M15</f>
        <v/>
      </c>
      <c r="X10" s="516">
        <f>Form_III!N15</f>
        <v/>
      </c>
      <c r="Y10" s="516">
        <f>Form_III!O15</f>
        <v/>
      </c>
      <c r="Z10" s="516">
        <f>Form_III!P15</f>
        <v/>
      </c>
    </row>
    <row r="11">
      <c r="A11" s="73" t="inlineStr">
        <is>
          <t>Other Current Assets</t>
        </is>
      </c>
      <c r="B11" s="516">
        <f>Form_III!E83-'Summary spread'!B8-'Summary spread'!B9-'Summary spread'!B10</f>
        <v/>
      </c>
      <c r="C11" s="516">
        <f>Form_III!F83-'Summary spread'!C8-'Summary spread'!C9-'Summary spread'!C10</f>
        <v/>
      </c>
      <c r="D11" s="516">
        <f>Form_III!G83-'Summary spread'!D8-'Summary spread'!D9-'Summary spread'!D10</f>
        <v/>
      </c>
      <c r="E11" s="516">
        <f>Form_III!H83-'Summary spread'!E8-'Summary spread'!E9-'Summary spread'!E10</f>
        <v/>
      </c>
      <c r="F11" s="516">
        <f>Form_III!I83-'Summary spread'!F8-'Summary spread'!F9-'Summary spread'!F10</f>
        <v/>
      </c>
      <c r="G11" s="516">
        <f>Form_III!J83-'Summary spread'!G8-'Summary spread'!G9-'Summary spread'!G10</f>
        <v/>
      </c>
      <c r="H11" s="516">
        <f>Form_III!K83-'Summary spread'!H8-'Summary spread'!H9-'Summary spread'!H10</f>
        <v/>
      </c>
      <c r="I11" s="516">
        <f>Form_III!L83-'Summary spread'!I8-'Summary spread'!I9-'Summary spread'!I10</f>
        <v/>
      </c>
      <c r="J11" s="516">
        <f>Form_III!M83-'Summary spread'!J8-'Summary spread'!J9-'Summary spread'!J10</f>
        <v/>
      </c>
      <c r="K11" s="516">
        <f>Form_III!N83-'Summary spread'!K8-'Summary spread'!K9-'Summary spread'!K10</f>
        <v/>
      </c>
      <c r="L11" s="516">
        <f>Form_III!O83-'Summary spread'!L8-'Summary spread'!L9-'Summary spread'!L10</f>
        <v/>
      </c>
      <c r="M11" s="516">
        <f>Form_III!P83-'Summary spread'!M8-'Summary spread'!M9-'Summary spread'!M10</f>
        <v/>
      </c>
      <c r="N11" s="61" t="inlineStr">
        <is>
          <t>Other Current Liabilities</t>
        </is>
      </c>
      <c r="O11" s="516">
        <f>Form_III!E29-'Summary spread'!O8-'Summary spread'!O9-'Summary spread'!O10</f>
        <v/>
      </c>
      <c r="P11" s="516">
        <f>Form_III!F29-'Summary spread'!P8-'Summary spread'!P9-'Summary spread'!P10</f>
        <v/>
      </c>
      <c r="Q11" s="516">
        <f>Form_III!G29-'Summary spread'!Q8-'Summary spread'!Q9-'Summary spread'!Q10</f>
        <v/>
      </c>
      <c r="R11" s="516">
        <f>Form_III!H29-'Summary spread'!R8-'Summary spread'!R9-'Summary spread'!R10</f>
        <v/>
      </c>
      <c r="S11" s="516">
        <f>Form_III!I29-'Summary spread'!S8-'Summary spread'!S9-'Summary spread'!S10</f>
        <v/>
      </c>
      <c r="T11" s="516">
        <f>Form_III!J29-'Summary spread'!T8-'Summary spread'!T9-'Summary spread'!T10</f>
        <v/>
      </c>
      <c r="U11" s="516">
        <f>Form_III!K29-'Summary spread'!U8-'Summary spread'!U9-'Summary spread'!U10</f>
        <v/>
      </c>
      <c r="V11" s="516">
        <f>Form_III!L29-'Summary spread'!V8-'Summary spread'!V9-'Summary spread'!V10</f>
        <v/>
      </c>
      <c r="W11" s="516">
        <f>Form_III!M29-'Summary spread'!W8-'Summary spread'!W9-'Summary spread'!W10</f>
        <v/>
      </c>
      <c r="X11" s="516">
        <f>Form_III!N29-'Summary spread'!X8-'Summary spread'!X9-'Summary spread'!X10</f>
        <v/>
      </c>
      <c r="Y11" s="516">
        <f>Form_III!O29-'Summary spread'!Y8-'Summary spread'!Y9-'Summary spread'!Y10</f>
        <v/>
      </c>
      <c r="Z11" s="516">
        <f>Form_III!P29-'Summary spread'!Z8-'Summary spread'!Z9-'Summary spread'!Z10</f>
        <v/>
      </c>
    </row>
    <row r="12">
      <c r="A12" s="73" t="n"/>
      <c r="B12" s="517" t="n"/>
      <c r="C12" s="517" t="n"/>
      <c r="D12" s="517" t="n"/>
      <c r="E12" s="517" t="n"/>
      <c r="F12" s="517" t="n"/>
      <c r="G12" s="517" t="n"/>
      <c r="H12" s="517" t="n"/>
      <c r="I12" s="517" t="n"/>
      <c r="J12" s="517" t="n"/>
      <c r="K12" s="517" t="n"/>
      <c r="L12" s="517" t="n"/>
      <c r="M12" s="517" t="n"/>
      <c r="O12" s="517" t="n"/>
      <c r="P12" s="517" t="n"/>
      <c r="Q12" s="517" t="n"/>
      <c r="R12" s="517" t="n"/>
      <c r="S12" s="517" t="n"/>
      <c r="T12" s="517" t="n"/>
      <c r="U12" s="517" t="n"/>
      <c r="V12" s="517" t="n"/>
      <c r="W12" s="517" t="n"/>
      <c r="X12" s="517" t="n"/>
      <c r="Y12" s="517" t="n"/>
      <c r="Z12" s="517" t="n"/>
    </row>
    <row r="13">
      <c r="A13" s="76" t="inlineStr">
        <is>
          <t>CURRENT ASSETS</t>
        </is>
      </c>
      <c r="B13" s="516">
        <f>SUM(B8:B11)</f>
        <v/>
      </c>
      <c r="C13" s="516">
        <f>SUM(C8:C11)</f>
        <v/>
      </c>
      <c r="D13" s="516">
        <f>SUM(D8:D11)</f>
        <v/>
      </c>
      <c r="E13" s="516">
        <f>SUM(E8:E11)</f>
        <v/>
      </c>
      <c r="F13" s="516">
        <f>SUM(F8:F11)</f>
        <v/>
      </c>
      <c r="G13" s="516">
        <f>SUM(G8:G11)</f>
        <v/>
      </c>
      <c r="H13" s="516">
        <f>SUM(H8:H11)</f>
        <v/>
      </c>
      <c r="I13" s="516">
        <f>SUM(I8:I11)</f>
        <v/>
      </c>
      <c r="J13" s="516">
        <f>SUM(J8:J11)</f>
        <v/>
      </c>
      <c r="K13" s="516">
        <f>SUM(K8:K11)</f>
        <v/>
      </c>
      <c r="L13" s="516">
        <f>SUM(L8:L11)</f>
        <v/>
      </c>
      <c r="M13" s="516">
        <f>SUM(M8:M11)</f>
        <v/>
      </c>
      <c r="N13" s="65" t="inlineStr">
        <is>
          <t>CURRENT LIABILITIES</t>
        </is>
      </c>
      <c r="O13" s="516">
        <f>SUM(O8:O11)</f>
        <v/>
      </c>
      <c r="P13" s="516">
        <f>SUM(P8:P11)</f>
        <v/>
      </c>
      <c r="Q13" s="516">
        <f>SUM(Q8:Q11)</f>
        <v/>
      </c>
      <c r="R13" s="516">
        <f>SUM(R8:R11)</f>
        <v/>
      </c>
      <c r="S13" s="516">
        <f>SUM(S8:S11)</f>
        <v/>
      </c>
      <c r="T13" s="516">
        <f>SUM(T8:T11)</f>
        <v/>
      </c>
      <c r="U13" s="516">
        <f>SUM(U8:U11)</f>
        <v/>
      </c>
      <c r="V13" s="516">
        <f>SUM(V8:V11)</f>
        <v/>
      </c>
      <c r="W13" s="516">
        <f>SUM(W8:W11)</f>
        <v/>
      </c>
      <c r="X13" s="516">
        <f>SUM(X8:X11)</f>
        <v/>
      </c>
      <c r="Y13" s="516">
        <f>SUM(Y8:Y11)</f>
        <v/>
      </c>
      <c r="Z13" s="516">
        <f>SUM(Z8:Z11)</f>
        <v/>
      </c>
    </row>
    <row r="14">
      <c r="A14" s="73" t="n"/>
      <c r="B14" s="516" t="n"/>
      <c r="C14" s="516" t="n"/>
      <c r="D14" s="516" t="n"/>
      <c r="E14" s="516" t="n"/>
      <c r="F14" s="516" t="n"/>
      <c r="G14" s="516" t="n"/>
      <c r="H14" s="516" t="n"/>
      <c r="I14" s="516" t="n"/>
      <c r="J14" s="516" t="n"/>
      <c r="K14" s="516" t="n"/>
      <c r="L14" s="516" t="n"/>
      <c r="M14" s="516" t="n"/>
      <c r="O14" s="516" t="n"/>
      <c r="P14" s="516" t="n"/>
      <c r="Q14" s="516" t="n"/>
      <c r="R14" s="516" t="n"/>
      <c r="S14" s="516" t="n"/>
      <c r="T14" s="516" t="n"/>
      <c r="U14" s="516" t="n"/>
      <c r="V14" s="516" t="n"/>
      <c r="W14" s="516" t="n"/>
      <c r="X14" s="516" t="n"/>
      <c r="Y14" s="516" t="n"/>
      <c r="Z14" s="516" t="n"/>
    </row>
    <row r="15">
      <c r="A15" s="73" t="inlineStr">
        <is>
          <t>Net Fixed Assets</t>
        </is>
      </c>
      <c r="B15" s="516">
        <f>Form_III!E90-Form_III!E46</f>
        <v/>
      </c>
      <c r="C15" s="516">
        <f>Form_III!F90-Form_III!F46</f>
        <v/>
      </c>
      <c r="D15" s="516">
        <f>Form_III!G90-Form_III!G46</f>
        <v/>
      </c>
      <c r="E15" s="516">
        <f>Form_III!H90-Form_III!H46</f>
        <v/>
      </c>
      <c r="F15" s="516">
        <f>Form_III!I90-Form_III!I46</f>
        <v/>
      </c>
      <c r="G15" s="516">
        <f>Form_III!J90-Form_III!J46</f>
        <v/>
      </c>
      <c r="H15" s="516">
        <f>Form_III!K90-Form_III!K46</f>
        <v/>
      </c>
      <c r="I15" s="516">
        <f>Form_III!L90-Form_III!L46</f>
        <v/>
      </c>
      <c r="J15" s="516">
        <f>Form_III!M90-Form_III!M46</f>
        <v/>
      </c>
      <c r="K15" s="516">
        <f>Form_III!N90-Form_III!N46</f>
        <v/>
      </c>
      <c r="L15" s="516">
        <f>Form_III!O90-Form_III!O46</f>
        <v/>
      </c>
      <c r="M15" s="516">
        <f>Form_III!P90-Form_III!P46</f>
        <v/>
      </c>
      <c r="N15" s="61" t="inlineStr">
        <is>
          <t>Tangible Net Worth</t>
        </is>
      </c>
      <c r="O15" s="516">
        <f>Form_III!E109</f>
        <v/>
      </c>
      <c r="P15" s="516">
        <f>Form_III!F109</f>
        <v/>
      </c>
      <c r="Q15" s="516">
        <f>Form_III!G109</f>
        <v/>
      </c>
      <c r="R15" s="516">
        <f>Form_III!H109</f>
        <v/>
      </c>
      <c r="S15" s="516">
        <f>Form_III!I109</f>
        <v/>
      </c>
      <c r="T15" s="516">
        <f>Form_III!J109</f>
        <v/>
      </c>
      <c r="U15" s="516">
        <f>Form_III!K109</f>
        <v/>
      </c>
      <c r="V15" s="516">
        <f>Form_III!L109</f>
        <v/>
      </c>
      <c r="W15" s="516">
        <f>Form_III!M109</f>
        <v/>
      </c>
      <c r="X15" s="516">
        <f>Form_III!N109</f>
        <v/>
      </c>
      <c r="Y15" s="516">
        <f>Form_III!O109</f>
        <v/>
      </c>
      <c r="Z15" s="516">
        <f>Form_III!P109</f>
        <v/>
      </c>
    </row>
    <row r="16">
      <c r="A16" s="73" t="inlineStr">
        <is>
          <t>Non Current Assets</t>
        </is>
      </c>
      <c r="B16" s="516">
        <f>Form_III!E104</f>
        <v/>
      </c>
      <c r="C16" s="516">
        <f>Form_III!F104</f>
        <v/>
      </c>
      <c r="D16" s="516">
        <f>Form_III!G104</f>
        <v/>
      </c>
      <c r="E16" s="516">
        <f>Form_III!H104</f>
        <v/>
      </c>
      <c r="F16" s="516">
        <f>Form_III!I104</f>
        <v/>
      </c>
      <c r="G16" s="516">
        <f>Form_III!J104</f>
        <v/>
      </c>
      <c r="H16" s="516">
        <f>Form_III!K104</f>
        <v/>
      </c>
      <c r="I16" s="516">
        <f>Form_III!L104</f>
        <v/>
      </c>
      <c r="J16" s="516">
        <f>Form_III!M104</f>
        <v/>
      </c>
      <c r="K16" s="516">
        <f>Form_III!N104</f>
        <v/>
      </c>
      <c r="L16" s="516">
        <f>Form_III!O104</f>
        <v/>
      </c>
      <c r="M16" s="516">
        <f>Form_III!P104</f>
        <v/>
      </c>
      <c r="N16" s="61" t="inlineStr">
        <is>
          <t>Long Term Debt</t>
        </is>
      </c>
      <c r="O16" s="516">
        <f>Form_III!E37</f>
        <v/>
      </c>
      <c r="P16" s="516">
        <f>Form_III!F37</f>
        <v/>
      </c>
      <c r="Q16" s="516">
        <f>Form_III!G37</f>
        <v/>
      </c>
      <c r="R16" s="516">
        <f>Form_III!H37</f>
        <v/>
      </c>
      <c r="S16" s="516">
        <f>Form_III!I37</f>
        <v/>
      </c>
      <c r="T16" s="516">
        <f>Form_III!J37</f>
        <v/>
      </c>
      <c r="U16" s="516">
        <f>Form_III!K37</f>
        <v/>
      </c>
      <c r="V16" s="516">
        <f>Form_III!L37</f>
        <v/>
      </c>
      <c r="W16" s="516">
        <f>Form_III!M37</f>
        <v/>
      </c>
      <c r="X16" s="516">
        <f>Form_III!N37</f>
        <v/>
      </c>
      <c r="Y16" s="516">
        <f>Form_III!O37</f>
        <v/>
      </c>
      <c r="Z16" s="516">
        <f>Form_III!P37</f>
        <v/>
      </c>
    </row>
    <row r="17">
      <c r="A17" s="73" t="n"/>
      <c r="B17" s="516" t="n"/>
      <c r="C17" s="516" t="n"/>
      <c r="D17" s="516" t="n"/>
      <c r="E17" s="516" t="n"/>
      <c r="F17" s="516" t="n"/>
      <c r="G17" s="516" t="n"/>
      <c r="H17" s="516" t="n"/>
      <c r="I17" s="516" t="n"/>
      <c r="J17" s="516" t="n"/>
      <c r="K17" s="516" t="n"/>
      <c r="L17" s="516" t="n"/>
      <c r="M17" s="516" t="n"/>
      <c r="O17" s="516" t="n"/>
      <c r="P17" s="516" t="n"/>
      <c r="Q17" s="516" t="n"/>
      <c r="R17" s="516" t="n"/>
      <c r="S17" s="516" t="n"/>
      <c r="T17" s="516" t="n"/>
      <c r="U17" s="516" t="n"/>
      <c r="V17" s="516" t="n"/>
      <c r="W17" s="516" t="n"/>
      <c r="X17" s="516" t="n"/>
      <c r="Y17" s="516" t="n"/>
      <c r="Z17" s="516" t="n"/>
    </row>
    <row r="18">
      <c r="A18" s="76" t="inlineStr">
        <is>
          <t>TOTAL ASSETS</t>
        </is>
      </c>
      <c r="B18" s="518">
        <f>SUM(B13:B16)</f>
        <v/>
      </c>
      <c r="C18" s="518">
        <f>SUM(C13:C16)</f>
        <v/>
      </c>
      <c r="D18" s="518">
        <f>SUM(D13:D16)</f>
        <v/>
      </c>
      <c r="E18" s="518">
        <f>SUM(E13:E16)</f>
        <v/>
      </c>
      <c r="F18" s="518">
        <f>SUM(F13:F16)</f>
        <v/>
      </c>
      <c r="G18" s="518">
        <f>SUM(G13:G16)</f>
        <v/>
      </c>
      <c r="H18" s="518">
        <f>SUM(H13:H16)</f>
        <v/>
      </c>
      <c r="I18" s="518">
        <f>SUM(I13:I16)</f>
        <v/>
      </c>
      <c r="J18" s="518">
        <f>SUM(J13:J16)</f>
        <v/>
      </c>
      <c r="K18" s="518">
        <f>SUM(K13:K16)</f>
        <v/>
      </c>
      <c r="L18" s="518">
        <f>SUM(L13:L16)</f>
        <v/>
      </c>
      <c r="M18" s="518">
        <f>SUM(M13:M16)</f>
        <v/>
      </c>
      <c r="N18" s="65" t="inlineStr">
        <is>
          <t>TOTAL LIABILITIES</t>
        </is>
      </c>
      <c r="O18" s="518">
        <f>SUM(O13:O16)</f>
        <v/>
      </c>
      <c r="P18" s="518">
        <f>SUM(P13:P16)</f>
        <v/>
      </c>
      <c r="Q18" s="518">
        <f>SUM(Q13:Q16)</f>
        <v/>
      </c>
      <c r="R18" s="518">
        <f>SUM(R13:R16)</f>
        <v/>
      </c>
      <c r="S18" s="518">
        <f>SUM(S13:S16)</f>
        <v/>
      </c>
      <c r="T18" s="518">
        <f>SUM(T13:T16)</f>
        <v/>
      </c>
      <c r="U18" s="518">
        <f>SUM(U13:U16)</f>
        <v/>
      </c>
      <c r="V18" s="518">
        <f>SUM(V13:V16)</f>
        <v/>
      </c>
      <c r="W18" s="518">
        <f>SUM(W13:W16)</f>
        <v/>
      </c>
      <c r="X18" s="518">
        <f>SUM(X13:X16)</f>
        <v/>
      </c>
      <c r="Y18" s="518">
        <f>SUM(Y13:Y16)</f>
        <v/>
      </c>
      <c r="Z18" s="518">
        <f>SUM(Z13:Z16)</f>
        <v/>
      </c>
    </row>
    <row r="19">
      <c r="A19" s="78" t="n"/>
      <c r="B19" s="79" t="n"/>
      <c r="C19" s="79" t="n"/>
      <c r="D19" s="79" t="n"/>
      <c r="E19" s="79" t="n"/>
      <c r="F19" s="79" t="n"/>
      <c r="G19" s="79" t="n"/>
      <c r="H19" s="79" t="n"/>
      <c r="I19" s="79" t="n"/>
      <c r="J19" s="79" t="n"/>
      <c r="K19" s="79" t="n"/>
      <c r="L19" s="79" t="n"/>
      <c r="M19" s="79" t="n"/>
      <c r="N19" s="80" t="n"/>
      <c r="O19" s="79" t="n"/>
      <c r="P19" s="79" t="n"/>
      <c r="Q19" s="79" t="n"/>
      <c r="R19" s="79" t="n"/>
      <c r="S19" s="79" t="n"/>
      <c r="T19" s="79" t="n"/>
      <c r="U19" s="79" t="n"/>
      <c r="V19" s="79" t="n"/>
      <c r="W19" s="79" t="n"/>
      <c r="X19" s="79" t="n"/>
      <c r="Y19" s="79" t="n"/>
      <c r="Z19" s="79" t="n"/>
    </row>
    <row r="20" ht="25.5" customHeight="1">
      <c r="A20" s="66" t="inlineStr">
        <is>
          <t>PROFIT &amp; LOSS</t>
        </is>
      </c>
      <c r="B20" s="67">
        <f>B6</f>
        <v/>
      </c>
      <c r="C20" s="67">
        <f>C6</f>
        <v/>
      </c>
      <c r="D20" s="67">
        <f>D6</f>
        <v/>
      </c>
      <c r="E20" s="67">
        <f>E6</f>
        <v/>
      </c>
      <c r="F20" s="67">
        <f>F6</f>
        <v/>
      </c>
      <c r="G20" s="67">
        <f>G6</f>
        <v/>
      </c>
      <c r="H20" s="67">
        <f>H6</f>
        <v/>
      </c>
      <c r="I20" s="67">
        <f>I6</f>
        <v/>
      </c>
      <c r="J20" s="67">
        <f>J6</f>
        <v/>
      </c>
      <c r="K20" s="67">
        <f>K6</f>
        <v/>
      </c>
      <c r="L20" s="67">
        <f>L6</f>
        <v/>
      </c>
      <c r="M20" s="67">
        <f>M6</f>
        <v/>
      </c>
      <c r="N20" s="68" t="inlineStr">
        <is>
          <t>CASH FLOWS</t>
        </is>
      </c>
      <c r="O20" s="67">
        <f>B20</f>
        <v/>
      </c>
      <c r="P20" s="67">
        <f>C20</f>
        <v/>
      </c>
      <c r="Q20" s="67">
        <f>D20</f>
        <v/>
      </c>
      <c r="R20" s="67">
        <f>E20</f>
        <v/>
      </c>
      <c r="S20" s="67">
        <f>F20</f>
        <v/>
      </c>
      <c r="T20" s="67">
        <f>G20</f>
        <v/>
      </c>
      <c r="U20" s="67">
        <f>H20</f>
        <v/>
      </c>
      <c r="V20" s="67">
        <f>I20</f>
        <v/>
      </c>
      <c r="W20" s="67">
        <f>J20</f>
        <v/>
      </c>
      <c r="X20" s="67">
        <f>K20</f>
        <v/>
      </c>
      <c r="Y20" s="67">
        <f>L20</f>
        <v/>
      </c>
      <c r="Z20" s="67">
        <f>M20</f>
        <v/>
      </c>
    </row>
    <row r="21">
      <c r="A21" s="81" t="n"/>
      <c r="B21" s="82" t="n"/>
      <c r="C21" s="82" t="n"/>
      <c r="D21" s="82" t="n"/>
      <c r="E21" s="82" t="n"/>
      <c r="F21" s="82" t="n"/>
      <c r="G21" s="82" t="n"/>
      <c r="H21" s="82" t="n"/>
      <c r="I21" s="82" t="n"/>
      <c r="J21" s="82" t="n"/>
      <c r="K21" s="82" t="n"/>
      <c r="L21" s="82" t="n"/>
      <c r="M21" s="82" t="n"/>
      <c r="N21" s="83" t="n"/>
      <c r="O21" s="84" t="n"/>
      <c r="P21" s="84" t="n"/>
      <c r="Q21" s="84" t="n"/>
      <c r="R21" s="84" t="n"/>
      <c r="S21" s="84" t="n"/>
      <c r="T21" s="84" t="n"/>
      <c r="U21" s="84" t="n"/>
      <c r="V21" s="84" t="n"/>
      <c r="W21" s="84" t="n"/>
      <c r="X21" s="84" t="n"/>
      <c r="Y21" s="84" t="n"/>
      <c r="Z21" s="84" t="n"/>
    </row>
    <row r="22">
      <c r="A22" s="76" t="inlineStr">
        <is>
          <t>SALES</t>
        </is>
      </c>
      <c r="B22" s="519">
        <f>'Key Financials'!C7</f>
        <v/>
      </c>
      <c r="C22" s="519">
        <f>'Key Financials'!D7</f>
        <v/>
      </c>
      <c r="D22" s="519">
        <f>'Key Financials'!E7</f>
        <v/>
      </c>
      <c r="E22" s="519">
        <f>'Key Financials'!F7</f>
        <v/>
      </c>
      <c r="F22" s="519">
        <f>'Key Financials'!G7</f>
        <v/>
      </c>
      <c r="G22" s="519">
        <f>'Key Financials'!H7</f>
        <v/>
      </c>
      <c r="H22" s="519">
        <f>'Key Financials'!I7</f>
        <v/>
      </c>
      <c r="I22" s="519">
        <f>'Key Financials'!J7</f>
        <v/>
      </c>
      <c r="J22" s="519">
        <f>'Key Financials'!K7</f>
        <v/>
      </c>
      <c r="K22" s="519">
        <f>'Key Financials'!L7</f>
        <v/>
      </c>
      <c r="L22" s="519">
        <f>'Key Financials'!M7</f>
        <v/>
      </c>
      <c r="M22" s="519">
        <f>'Key Financials'!N7</f>
        <v/>
      </c>
      <c r="N22" s="65" t="inlineStr">
        <is>
          <t>NET CASH ACCRUALS</t>
        </is>
      </c>
      <c r="O22" s="519">
        <f>'Key Financials'!C17</f>
        <v/>
      </c>
      <c r="P22" s="519">
        <f>'Key Financials'!D17</f>
        <v/>
      </c>
      <c r="Q22" s="519">
        <f>'Key Financials'!E17</f>
        <v/>
      </c>
      <c r="R22" s="519">
        <f>'Key Financials'!F17</f>
        <v/>
      </c>
      <c r="S22" s="519">
        <f>'Key Financials'!G17</f>
        <v/>
      </c>
      <c r="T22" s="519">
        <f>'Key Financials'!H17</f>
        <v/>
      </c>
      <c r="U22" s="519">
        <f>'Key Financials'!I17</f>
        <v/>
      </c>
      <c r="V22" s="519">
        <f>'Key Financials'!J17</f>
        <v/>
      </c>
      <c r="W22" s="519">
        <f>'Key Financials'!K17</f>
        <v/>
      </c>
      <c r="X22" s="519">
        <f>'Key Financials'!L17</f>
        <v/>
      </c>
      <c r="Y22" s="519">
        <f>'Key Financials'!M17</f>
        <v/>
      </c>
      <c r="Z22" s="519">
        <f>'Key Financials'!N17</f>
        <v/>
      </c>
    </row>
    <row r="23">
      <c r="A23" s="76" t="inlineStr">
        <is>
          <t>COST OF SALES</t>
        </is>
      </c>
      <c r="B23" s="519">
        <f>'INPUT SHEET'!B61</f>
        <v/>
      </c>
      <c r="C23" s="519">
        <f>'INPUT SHEET'!C61</f>
        <v/>
      </c>
      <c r="D23" s="519">
        <f>'INPUT SHEET'!D61</f>
        <v/>
      </c>
      <c r="E23" s="519">
        <f>'INPUT SHEET'!E61</f>
        <v/>
      </c>
      <c r="F23" s="519">
        <f>'INPUT SHEET'!F61</f>
        <v/>
      </c>
      <c r="G23" s="519">
        <f>'INPUT SHEET'!G61</f>
        <v/>
      </c>
      <c r="H23" s="519">
        <f>'INPUT SHEET'!H61</f>
        <v/>
      </c>
      <c r="I23" s="519">
        <f>'INPUT SHEET'!I61</f>
        <v/>
      </c>
      <c r="J23" s="519">
        <f>'INPUT SHEET'!J61</f>
        <v/>
      </c>
      <c r="K23" s="519">
        <f>'INPUT SHEET'!K61</f>
        <v/>
      </c>
      <c r="L23" s="519">
        <f>'INPUT SHEET'!L61</f>
        <v/>
      </c>
      <c r="M23" s="519">
        <f>'INPUT SHEET'!M61</f>
        <v/>
      </c>
      <c r="N23" s="65" t="n"/>
      <c r="O23" s="519" t="n"/>
      <c r="P23" s="519" t="n"/>
      <c r="Q23" s="519" t="n"/>
      <c r="R23" s="519" t="n"/>
      <c r="S23" s="519" t="n"/>
      <c r="T23" s="519" t="n"/>
      <c r="U23" s="519" t="n"/>
      <c r="V23" s="519" t="n"/>
      <c r="W23" s="519" t="n"/>
      <c r="X23" s="519" t="n"/>
      <c r="Y23" s="519" t="n"/>
      <c r="Z23" s="519" t="n"/>
    </row>
    <row r="24">
      <c r="A24" s="76" t="inlineStr">
        <is>
          <t>SELLING AND ADMINISTRATION</t>
        </is>
      </c>
      <c r="B24" s="519">
        <f>'INPUT SHEET'!B74</f>
        <v/>
      </c>
      <c r="C24" s="519">
        <f>'INPUT SHEET'!C74</f>
        <v/>
      </c>
      <c r="D24" s="519">
        <f>'INPUT SHEET'!D74</f>
        <v/>
      </c>
      <c r="E24" s="519">
        <f>'INPUT SHEET'!E74</f>
        <v/>
      </c>
      <c r="F24" s="519">
        <f>'INPUT SHEET'!F74</f>
        <v/>
      </c>
      <c r="G24" s="519">
        <f>'INPUT SHEET'!G74</f>
        <v/>
      </c>
      <c r="H24" s="519">
        <f>'INPUT SHEET'!H74</f>
        <v/>
      </c>
      <c r="I24" s="519">
        <f>'INPUT SHEET'!I74</f>
        <v/>
      </c>
      <c r="J24" s="519">
        <f>'INPUT SHEET'!J74</f>
        <v/>
      </c>
      <c r="K24" s="519">
        <f>'INPUT SHEET'!K74</f>
        <v/>
      </c>
      <c r="L24" s="519">
        <f>'INPUT SHEET'!L74</f>
        <v/>
      </c>
      <c r="M24" s="519">
        <f>'INPUT SHEET'!M74</f>
        <v/>
      </c>
      <c r="N24" s="65" t="inlineStr">
        <is>
          <t xml:space="preserve">OPERATING ACTIVITIES </t>
        </is>
      </c>
      <c r="O24" s="519">
        <f>'Cash flows'!C40</f>
        <v/>
      </c>
      <c r="P24" s="519">
        <f>'Cash flows'!D40</f>
        <v/>
      </c>
      <c r="Q24" s="519">
        <f>'Cash flows'!E40</f>
        <v/>
      </c>
      <c r="R24" s="519">
        <f>'Cash flows'!F40</f>
        <v/>
      </c>
      <c r="S24" s="519">
        <f>'Cash flows'!G40</f>
        <v/>
      </c>
      <c r="T24" s="519">
        <f>'Cash flows'!H40</f>
        <v/>
      </c>
      <c r="U24" s="519">
        <f>'Cash flows'!I40</f>
        <v/>
      </c>
      <c r="V24" s="519">
        <f>'Cash flows'!J40</f>
        <v/>
      </c>
      <c r="W24" s="519">
        <f>'Cash flows'!K40</f>
        <v/>
      </c>
      <c r="X24" s="519">
        <f>'Cash flows'!L40</f>
        <v/>
      </c>
      <c r="Y24" s="519">
        <f>'Cash flows'!M40</f>
        <v/>
      </c>
      <c r="Z24" s="519">
        <f>'Cash flows'!N40</f>
        <v/>
      </c>
    </row>
    <row r="25">
      <c r="A25" s="76" t="inlineStr">
        <is>
          <t>EBIDTA</t>
        </is>
      </c>
      <c r="B25" s="519">
        <f>'Key Financials'!C8</f>
        <v/>
      </c>
      <c r="C25" s="519">
        <f>'Key Financials'!D8</f>
        <v/>
      </c>
      <c r="D25" s="519">
        <f>'Key Financials'!E8</f>
        <v/>
      </c>
      <c r="E25" s="519">
        <f>'Key Financials'!F8</f>
        <v/>
      </c>
      <c r="F25" s="519">
        <f>'Key Financials'!G8</f>
        <v/>
      </c>
      <c r="G25" s="519">
        <f>'Key Financials'!H8</f>
        <v/>
      </c>
      <c r="H25" s="519">
        <f>'Key Financials'!I8</f>
        <v/>
      </c>
      <c r="I25" s="519">
        <f>'Key Financials'!J8</f>
        <v/>
      </c>
      <c r="J25" s="519">
        <f>'Key Financials'!K8</f>
        <v/>
      </c>
      <c r="K25" s="519">
        <f>'Key Financials'!L8</f>
        <v/>
      </c>
      <c r="L25" s="519">
        <f>'Key Financials'!M8</f>
        <v/>
      </c>
      <c r="M25" s="519">
        <f>'Key Financials'!N8</f>
        <v/>
      </c>
      <c r="N25" s="65" t="inlineStr">
        <is>
          <t>INVESTING ACTIVITIES</t>
        </is>
      </c>
      <c r="O25" s="519">
        <f>'Cash flows'!C50</f>
        <v/>
      </c>
      <c r="P25" s="519">
        <f>'Cash flows'!D50</f>
        <v/>
      </c>
      <c r="Q25" s="519">
        <f>'Cash flows'!E50</f>
        <v/>
      </c>
      <c r="R25" s="519">
        <f>'Cash flows'!F50</f>
        <v/>
      </c>
      <c r="S25" s="519">
        <f>'Cash flows'!G50</f>
        <v/>
      </c>
      <c r="T25" s="519">
        <f>'Cash flows'!H50</f>
        <v/>
      </c>
      <c r="U25" s="519">
        <f>'Cash flows'!I50</f>
        <v/>
      </c>
      <c r="V25" s="519">
        <f>'Cash flows'!J50</f>
        <v/>
      </c>
      <c r="W25" s="519">
        <f>'Cash flows'!K50</f>
        <v/>
      </c>
      <c r="X25" s="519">
        <f>'Cash flows'!L50</f>
        <v/>
      </c>
      <c r="Y25" s="519">
        <f>'Cash flows'!M50</f>
        <v/>
      </c>
      <c r="Z25" s="519">
        <f>'Cash flows'!N50</f>
        <v/>
      </c>
    </row>
    <row r="26">
      <c r="A26" s="76" t="inlineStr">
        <is>
          <t>INTEREST</t>
        </is>
      </c>
      <c r="B26" s="519">
        <f>'Key Financials'!C10</f>
        <v/>
      </c>
      <c r="C26" s="519">
        <f>'Key Financials'!D10</f>
        <v/>
      </c>
      <c r="D26" s="519">
        <f>'Key Financials'!E10</f>
        <v/>
      </c>
      <c r="E26" s="519">
        <f>'Key Financials'!F10</f>
        <v/>
      </c>
      <c r="F26" s="519">
        <f>'Key Financials'!G10</f>
        <v/>
      </c>
      <c r="G26" s="519">
        <f>'Key Financials'!H10</f>
        <v/>
      </c>
      <c r="H26" s="519">
        <f>'Key Financials'!I10</f>
        <v/>
      </c>
      <c r="I26" s="519">
        <f>'Key Financials'!J10</f>
        <v/>
      </c>
      <c r="J26" s="519">
        <f>'Key Financials'!K10</f>
        <v/>
      </c>
      <c r="K26" s="519">
        <f>'Key Financials'!L10</f>
        <v/>
      </c>
      <c r="L26" s="519">
        <f>'Key Financials'!M10</f>
        <v/>
      </c>
      <c r="M26" s="519">
        <f>'Key Financials'!N10</f>
        <v/>
      </c>
      <c r="N26" s="65" t="inlineStr">
        <is>
          <t>FINANCING ACTIVITIES</t>
        </is>
      </c>
      <c r="O26" s="519">
        <f>'Cash flows'!C62</f>
        <v/>
      </c>
      <c r="P26" s="519">
        <f>'Cash flows'!D62</f>
        <v/>
      </c>
      <c r="Q26" s="519">
        <f>'Cash flows'!E62</f>
        <v/>
      </c>
      <c r="R26" s="519">
        <f>'Cash flows'!F62</f>
        <v/>
      </c>
      <c r="S26" s="519">
        <f>'Cash flows'!G62</f>
        <v/>
      </c>
      <c r="T26" s="519">
        <f>'Cash flows'!H62</f>
        <v/>
      </c>
      <c r="U26" s="519">
        <f>'Cash flows'!I62</f>
        <v/>
      </c>
      <c r="V26" s="519">
        <f>'Cash flows'!J62</f>
        <v/>
      </c>
      <c r="W26" s="519">
        <f>'Cash flows'!K62</f>
        <v/>
      </c>
      <c r="X26" s="519">
        <f>'Cash flows'!L62</f>
        <v/>
      </c>
      <c r="Y26" s="519">
        <f>'Cash flows'!M62</f>
        <v/>
      </c>
      <c r="Z26" s="519">
        <f>'Cash flows'!N62</f>
        <v/>
      </c>
    </row>
    <row r="27">
      <c r="A27" s="76" t="inlineStr">
        <is>
          <t>DEPRECIATION</t>
        </is>
      </c>
      <c r="B27" s="519">
        <f>'Key Financials'!C11</f>
        <v/>
      </c>
      <c r="C27" s="519">
        <f>'Key Financials'!D11</f>
        <v/>
      </c>
      <c r="D27" s="519">
        <f>'Key Financials'!E11</f>
        <v/>
      </c>
      <c r="E27" s="519">
        <f>'Key Financials'!F11</f>
        <v/>
      </c>
      <c r="F27" s="519">
        <f>'Key Financials'!G11</f>
        <v/>
      </c>
      <c r="G27" s="519">
        <f>'Key Financials'!H11</f>
        <v/>
      </c>
      <c r="H27" s="519">
        <f>'Key Financials'!I11</f>
        <v/>
      </c>
      <c r="I27" s="519">
        <f>'Key Financials'!J11</f>
        <v/>
      </c>
      <c r="J27" s="519">
        <f>'Key Financials'!K11</f>
        <v/>
      </c>
      <c r="K27" s="519">
        <f>'Key Financials'!L11</f>
        <v/>
      </c>
      <c r="L27" s="519">
        <f>'Key Financials'!M11</f>
        <v/>
      </c>
      <c r="M27" s="519">
        <f>'Key Financials'!N11</f>
        <v/>
      </c>
      <c r="O27" s="519" t="n"/>
      <c r="P27" s="519" t="n"/>
      <c r="Q27" s="519" t="n"/>
      <c r="R27" s="519" t="n"/>
      <c r="S27" s="519" t="n"/>
      <c r="T27" s="520" t="n"/>
      <c r="U27" s="520" t="n"/>
      <c r="V27" s="519" t="n"/>
      <c r="W27" s="520" t="n"/>
      <c r="X27" s="520" t="n"/>
      <c r="Y27" s="520" t="n"/>
      <c r="Z27" s="520" t="n"/>
    </row>
    <row r="28">
      <c r="A28" s="76" t="inlineStr">
        <is>
          <t>OPERATING PROFIT</t>
        </is>
      </c>
      <c r="B28" s="519">
        <f>'Key Financials'!C12</f>
        <v/>
      </c>
      <c r="C28" s="519">
        <f>'Key Financials'!D12</f>
        <v/>
      </c>
      <c r="D28" s="519">
        <f>'Key Financials'!E12</f>
        <v/>
      </c>
      <c r="E28" s="519">
        <f>'Key Financials'!F12</f>
        <v/>
      </c>
      <c r="F28" s="519">
        <f>'Key Financials'!G12</f>
        <v/>
      </c>
      <c r="G28" s="519">
        <f>'Key Financials'!H12</f>
        <v/>
      </c>
      <c r="H28" s="519">
        <f>'Key Financials'!I12</f>
        <v/>
      </c>
      <c r="I28" s="519">
        <f>'Key Financials'!J12</f>
        <v/>
      </c>
      <c r="J28" s="519">
        <f>'Key Financials'!K12</f>
        <v/>
      </c>
      <c r="K28" s="519">
        <f>'Key Financials'!L12</f>
        <v/>
      </c>
      <c r="L28" s="519">
        <f>'Key Financials'!M12</f>
        <v/>
      </c>
      <c r="M28" s="519">
        <f>'Key Financials'!N12</f>
        <v/>
      </c>
      <c r="N28" s="65" t="inlineStr">
        <is>
          <t>NET CHANGE IN CASH</t>
        </is>
      </c>
      <c r="O28" s="519">
        <f>'Cash flows'!C65</f>
        <v/>
      </c>
      <c r="P28" s="519">
        <f>'Cash flows'!D65</f>
        <v/>
      </c>
      <c r="Q28" s="519">
        <f>'Cash flows'!E65</f>
        <v/>
      </c>
      <c r="R28" s="519">
        <f>'Cash flows'!F65</f>
        <v/>
      </c>
      <c r="S28" s="519">
        <f>'Cash flows'!G65</f>
        <v/>
      </c>
      <c r="T28" s="519">
        <f>'Cash flows'!H65</f>
        <v/>
      </c>
      <c r="U28" s="519">
        <f>'Cash flows'!I65</f>
        <v/>
      </c>
      <c r="V28" s="519">
        <f>'Cash flows'!J65</f>
        <v/>
      </c>
      <c r="W28" s="519">
        <f>'Cash flows'!K65</f>
        <v/>
      </c>
      <c r="X28" s="519">
        <f>'Cash flows'!L65</f>
        <v/>
      </c>
      <c r="Y28" s="519">
        <f>'Cash flows'!M65</f>
        <v/>
      </c>
      <c r="Z28" s="519">
        <f>'Cash flows'!N65</f>
        <v/>
      </c>
    </row>
    <row r="29">
      <c r="A29" s="76" t="inlineStr">
        <is>
          <t>PBT</t>
        </is>
      </c>
      <c r="B29" s="519">
        <f>'Key Financials'!C14</f>
        <v/>
      </c>
      <c r="C29" s="519">
        <f>'Key Financials'!D14</f>
        <v/>
      </c>
      <c r="D29" s="519">
        <f>'Key Financials'!E14</f>
        <v/>
      </c>
      <c r="E29" s="519">
        <f>'Key Financials'!F14</f>
        <v/>
      </c>
      <c r="F29" s="519">
        <f>'Key Financials'!G14</f>
        <v/>
      </c>
      <c r="G29" s="519">
        <f>'Key Financials'!H14</f>
        <v/>
      </c>
      <c r="H29" s="519">
        <f>'Key Financials'!I14</f>
        <v/>
      </c>
      <c r="I29" s="519">
        <f>'Key Financials'!J14</f>
        <v/>
      </c>
      <c r="J29" s="519">
        <f>'Key Financials'!K14</f>
        <v/>
      </c>
      <c r="K29" s="519">
        <f>'Key Financials'!L14</f>
        <v/>
      </c>
      <c r="L29" s="519">
        <f>'Key Financials'!M14</f>
        <v/>
      </c>
      <c r="M29" s="519">
        <f>'Key Financials'!N14</f>
        <v/>
      </c>
      <c r="N29" s="87" t="n"/>
      <c r="P29" s="88" t="n"/>
      <c r="R29" s="88" t="n"/>
      <c r="T29" s="88" t="n"/>
      <c r="U29" s="88" t="n"/>
      <c r="W29" s="88" t="n"/>
      <c r="X29" s="88" t="n"/>
      <c r="Y29" s="88" t="n"/>
      <c r="Z29" s="88" t="n"/>
    </row>
    <row r="30">
      <c r="A30" s="76" t="inlineStr">
        <is>
          <t>PAT</t>
        </is>
      </c>
      <c r="B30" s="519">
        <f>'Key Financials'!C15</f>
        <v/>
      </c>
      <c r="C30" s="519">
        <f>'Key Financials'!D15</f>
        <v/>
      </c>
      <c r="D30" s="519">
        <f>'Key Financials'!E15</f>
        <v/>
      </c>
      <c r="E30" s="519">
        <f>'Key Financials'!F15</f>
        <v/>
      </c>
      <c r="F30" s="519">
        <f>'Key Financials'!G15</f>
        <v/>
      </c>
      <c r="G30" s="519">
        <f>'Key Financials'!H15</f>
        <v/>
      </c>
      <c r="H30" s="519">
        <f>'Key Financials'!I15</f>
        <v/>
      </c>
      <c r="I30" s="519">
        <f>'Key Financials'!J15</f>
        <v/>
      </c>
      <c r="J30" s="519">
        <f>'Key Financials'!K15</f>
        <v/>
      </c>
      <c r="K30" s="519">
        <f>'Key Financials'!L15</f>
        <v/>
      </c>
      <c r="L30" s="519">
        <f>'Key Financials'!M15</f>
        <v/>
      </c>
      <c r="M30" s="519">
        <f>'Key Financials'!N15</f>
        <v/>
      </c>
      <c r="N30" s="87" t="n"/>
      <c r="P30" s="88" t="n"/>
      <c r="R30" s="88" t="n"/>
      <c r="T30" s="88" t="n"/>
      <c r="U30" s="88" t="n"/>
      <c r="W30" s="88" t="n"/>
      <c r="X30" s="88" t="n"/>
      <c r="Y30" s="88" t="n"/>
      <c r="Z30" s="88" t="n"/>
    </row>
    <row r="31">
      <c r="A31" s="76" t="n"/>
      <c r="B31" s="89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89" t="n"/>
      <c r="L31" s="89" t="n"/>
      <c r="M31" s="89" t="n"/>
      <c r="N31" s="87" t="n"/>
      <c r="P31" s="88" t="n"/>
      <c r="R31" s="88" t="n"/>
      <c r="T31" s="88" t="n"/>
      <c r="U31" s="88" t="n"/>
      <c r="W31" s="88" t="n"/>
      <c r="X31" s="88" t="n"/>
      <c r="Y31" s="88" t="n"/>
      <c r="Z31" s="88" t="n"/>
    </row>
    <row r="32">
      <c r="A32" s="76" t="inlineStr">
        <is>
          <t>CHANGE IN TNW</t>
        </is>
      </c>
      <c r="B32" s="519">
        <f>Form_III!E109-Form_III!D109</f>
        <v/>
      </c>
      <c r="C32" s="519">
        <f>Form_III!F109-Form_III!E109</f>
        <v/>
      </c>
      <c r="D32" s="519">
        <f>Form_III!G109-Form_III!F109</f>
        <v/>
      </c>
      <c r="E32" s="519">
        <f>Form_III!H109-Form_III!G109</f>
        <v/>
      </c>
      <c r="F32" s="519">
        <f>Form_III!I109-Form_III!H109</f>
        <v/>
      </c>
      <c r="G32" s="519">
        <f>Form_III!J109-Form_III!I109</f>
        <v/>
      </c>
      <c r="H32" s="519">
        <f>Form_III!K109-Form_III!J109</f>
        <v/>
      </c>
      <c r="I32" s="519">
        <f>Form_III!L109-Form_III!K109</f>
        <v/>
      </c>
      <c r="J32" s="519">
        <f>Form_III!M109-Form_III!L109</f>
        <v/>
      </c>
      <c r="K32" s="519">
        <f>Form_III!N109-Form_III!M109</f>
        <v/>
      </c>
      <c r="L32" s="519">
        <f>Form_III!O109-Form_III!N109</f>
        <v/>
      </c>
      <c r="M32" s="519">
        <f>Form_III!P109-Form_III!O109</f>
        <v/>
      </c>
      <c r="N32" s="87" t="n"/>
      <c r="P32" s="88" t="n"/>
      <c r="R32" s="88" t="n"/>
      <c r="T32" s="88" t="n"/>
      <c r="U32" s="88" t="n"/>
      <c r="W32" s="88" t="n"/>
      <c r="X32" s="88" t="n"/>
      <c r="Y32" s="88" t="n"/>
      <c r="Z32" s="88" t="n"/>
    </row>
    <row r="33">
      <c r="A33" s="90" t="n"/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91" t="n"/>
      <c r="L33" s="91" t="n"/>
      <c r="M33" s="91" t="n"/>
      <c r="N33" s="92" t="n"/>
      <c r="O33" s="91" t="n"/>
      <c r="P33" s="93" t="n"/>
      <c r="Q33" s="91" t="n"/>
      <c r="R33" s="93" t="n"/>
      <c r="S33" s="91" t="n"/>
      <c r="T33" s="93" t="n"/>
      <c r="U33" s="93" t="n"/>
      <c r="V33" s="91" t="n"/>
      <c r="W33" s="93" t="n"/>
      <c r="X33" s="93" t="n"/>
      <c r="Y33" s="93" t="n"/>
      <c r="Z33" s="93" t="n"/>
    </row>
    <row r="34" ht="22.5" customHeight="1">
      <c r="A34" s="66" t="inlineStr">
        <is>
          <t>RATIOS</t>
        </is>
      </c>
      <c r="B34" s="67">
        <f>B20</f>
        <v/>
      </c>
      <c r="C34" s="67">
        <f>C20</f>
        <v/>
      </c>
      <c r="D34" s="67">
        <f>D20</f>
        <v/>
      </c>
      <c r="E34" s="67">
        <f>E20</f>
        <v/>
      </c>
      <c r="F34" s="94">
        <f>F20</f>
        <v/>
      </c>
      <c r="G34" s="67">
        <f>G20</f>
        <v/>
      </c>
      <c r="H34" s="94">
        <f>H20</f>
        <v/>
      </c>
      <c r="I34" s="67">
        <f>I20</f>
        <v/>
      </c>
      <c r="J34" s="94">
        <f>J20</f>
        <v/>
      </c>
      <c r="K34" s="67">
        <f>K20</f>
        <v/>
      </c>
      <c r="L34" s="94">
        <f>L20</f>
        <v/>
      </c>
      <c r="M34" s="67">
        <f>M20</f>
        <v/>
      </c>
      <c r="N34" s="66" t="inlineStr">
        <is>
          <t>RATIOS</t>
        </is>
      </c>
      <c r="O34" s="67">
        <f>B34</f>
        <v/>
      </c>
      <c r="P34" s="67">
        <f>C34</f>
        <v/>
      </c>
      <c r="Q34" s="67">
        <f>D34</f>
        <v/>
      </c>
      <c r="R34" s="67">
        <f>E34</f>
        <v/>
      </c>
      <c r="S34" s="67">
        <f>F34</f>
        <v/>
      </c>
      <c r="T34" s="67">
        <f>G34</f>
        <v/>
      </c>
      <c r="U34" s="67">
        <f>H34</f>
        <v/>
      </c>
      <c r="V34" s="67">
        <f>I34</f>
        <v/>
      </c>
      <c r="W34" s="67">
        <f>J34</f>
        <v/>
      </c>
      <c r="X34" s="67">
        <f>K34</f>
        <v/>
      </c>
      <c r="Y34" s="67">
        <f>L34</f>
        <v/>
      </c>
      <c r="Z34" s="67">
        <f>M34</f>
        <v/>
      </c>
    </row>
    <row r="35">
      <c r="A35" s="70" t="inlineStr">
        <is>
          <t>EBIDTA Margins</t>
        </is>
      </c>
      <c r="B35" s="521">
        <f>'Key Financials'!C9</f>
        <v/>
      </c>
      <c r="C35" s="521">
        <f>'Key Financials'!D9</f>
        <v/>
      </c>
      <c r="D35" s="522">
        <f>'Key Financials'!E9</f>
        <v/>
      </c>
      <c r="E35" s="523">
        <f>'Key Financials'!F9</f>
        <v/>
      </c>
      <c r="F35" s="524">
        <f>'Key Financials'!G9</f>
        <v/>
      </c>
      <c r="G35" s="523">
        <f>'Key Financials'!H9</f>
        <v/>
      </c>
      <c r="H35" s="524">
        <f>'Key Financials'!I9</f>
        <v/>
      </c>
      <c r="I35" s="523">
        <f>'Key Financials'!J9</f>
        <v/>
      </c>
      <c r="J35" s="524">
        <f>'Key Financials'!K9</f>
        <v/>
      </c>
      <c r="K35" s="523">
        <f>'Key Financials'!L9</f>
        <v/>
      </c>
      <c r="L35" s="524">
        <f>'Key Financials'!M9</f>
        <v/>
      </c>
      <c r="M35" s="523">
        <f>'Key Financials'!N9</f>
        <v/>
      </c>
      <c r="N35" s="99" t="inlineStr">
        <is>
          <t>Total Debt</t>
        </is>
      </c>
      <c r="O35" s="515">
        <f>'Key Financials'!C26</f>
        <v/>
      </c>
      <c r="P35" s="515">
        <f>'Key Financials'!D26</f>
        <v/>
      </c>
      <c r="Q35" s="515">
        <f>'Key Financials'!E26</f>
        <v/>
      </c>
      <c r="R35" s="515">
        <f>'Key Financials'!F26</f>
        <v/>
      </c>
      <c r="S35" s="515">
        <f>'Key Financials'!G26</f>
        <v/>
      </c>
      <c r="T35" s="515">
        <f>'Key Financials'!H26</f>
        <v/>
      </c>
      <c r="U35" s="515">
        <f>'Key Financials'!I26</f>
        <v/>
      </c>
      <c r="V35" s="515">
        <f>'Key Financials'!J26</f>
        <v/>
      </c>
      <c r="W35" s="515">
        <f>'Key Financials'!K26</f>
        <v/>
      </c>
      <c r="X35" s="515">
        <f>'Key Financials'!L26</f>
        <v/>
      </c>
      <c r="Y35" s="515">
        <f>'Key Financials'!M26</f>
        <v/>
      </c>
      <c r="Z35" s="515">
        <f>'Key Financials'!N26</f>
        <v/>
      </c>
    </row>
    <row r="36">
      <c r="A36" s="73" t="inlineStr">
        <is>
          <t>PAT Margins</t>
        </is>
      </c>
      <c r="B36" s="525">
        <f>'Key Financials'!C16</f>
        <v/>
      </c>
      <c r="C36" s="525">
        <f>'Key Financials'!D16</f>
        <v/>
      </c>
      <c r="D36" s="526">
        <f>'Key Financials'!E16</f>
        <v/>
      </c>
      <c r="E36" s="527">
        <f>'Key Financials'!F16</f>
        <v/>
      </c>
      <c r="F36" s="528">
        <f>'Key Financials'!G16</f>
        <v/>
      </c>
      <c r="G36" s="527">
        <f>'Key Financials'!H16</f>
        <v/>
      </c>
      <c r="H36" s="528">
        <f>'Key Financials'!I16</f>
        <v/>
      </c>
      <c r="I36" s="527">
        <f>'Key Financials'!J16</f>
        <v/>
      </c>
      <c r="J36" s="528">
        <f>'Key Financials'!K16</f>
        <v/>
      </c>
      <c r="K36" s="527">
        <f>'Key Financials'!L16</f>
        <v/>
      </c>
      <c r="L36" s="528">
        <f>'Key Financials'!M16</f>
        <v/>
      </c>
      <c r="M36" s="527">
        <f>'Key Financials'!N16</f>
        <v/>
      </c>
      <c r="N36" s="104" t="inlineStr">
        <is>
          <t>Total Debt / NCA</t>
        </is>
      </c>
      <c r="O36" s="516">
        <f>'Key Financials'!C37</f>
        <v/>
      </c>
      <c r="P36" s="516">
        <f>'Key Financials'!D37</f>
        <v/>
      </c>
      <c r="Q36" s="516">
        <f>'Key Financials'!E37</f>
        <v/>
      </c>
      <c r="R36" s="516">
        <f>'Key Financials'!F37</f>
        <v/>
      </c>
      <c r="S36" s="516">
        <f>'Key Financials'!G37</f>
        <v/>
      </c>
      <c r="T36" s="516">
        <f>'Key Financials'!H37</f>
        <v/>
      </c>
      <c r="U36" s="516">
        <f>'Key Financials'!I37</f>
        <v/>
      </c>
      <c r="V36" s="516">
        <f>'Key Financials'!J37</f>
        <v/>
      </c>
      <c r="W36" s="516">
        <f>'Key Financials'!K37</f>
        <v/>
      </c>
      <c r="X36" s="516">
        <f>'Key Financials'!L37</f>
        <v/>
      </c>
      <c r="Y36" s="516">
        <f>'Key Financials'!M37</f>
        <v/>
      </c>
      <c r="Z36" s="516">
        <f>'Key Financials'!N37</f>
        <v/>
      </c>
    </row>
    <row r="37">
      <c r="A37" s="73" t="inlineStr">
        <is>
          <t>Growth in Sales</t>
        </is>
      </c>
      <c r="B37" s="525">
        <f>Form_II!E16</f>
        <v/>
      </c>
      <c r="C37" s="525">
        <f>Form_II!F16</f>
        <v/>
      </c>
      <c r="D37" s="526">
        <f>Form_II!G16</f>
        <v/>
      </c>
      <c r="E37" s="527">
        <f>Form_II!H16</f>
        <v/>
      </c>
      <c r="F37" s="528">
        <f>Form_II!I16</f>
        <v/>
      </c>
      <c r="G37" s="527">
        <f>Form_II!J16</f>
        <v/>
      </c>
      <c r="H37" s="528">
        <f>Form_II!K16</f>
        <v/>
      </c>
      <c r="I37" s="527">
        <f>Form_II!L16</f>
        <v/>
      </c>
      <c r="J37" s="528">
        <f>Form_II!M16</f>
        <v/>
      </c>
      <c r="K37" s="527">
        <f>Form_II!N16</f>
        <v/>
      </c>
      <c r="L37" s="528">
        <f>Form_II!O16</f>
        <v/>
      </c>
      <c r="M37" s="527">
        <f>Form_II!P16</f>
        <v/>
      </c>
      <c r="N37" s="104" t="inlineStr">
        <is>
          <t>Total Debt / EBIDTA</t>
        </is>
      </c>
      <c r="O37" s="516">
        <f>O35/(B25*12/Form_IV!E47)</f>
        <v/>
      </c>
      <c r="P37" s="516">
        <f>P35/(C25*12/Form_IV!F47)</f>
        <v/>
      </c>
      <c r="Q37" s="516">
        <f>Q35/(D25*12/Form_IV!G47)</f>
        <v/>
      </c>
      <c r="R37" s="516">
        <f>R35/(E25*12/Form_IV!H47)</f>
        <v/>
      </c>
      <c r="S37" s="516">
        <f>S35/(F25*12/Form_IV!I47)</f>
        <v/>
      </c>
      <c r="T37" s="516">
        <f>T35/(G25*12/Form_IV!J47)</f>
        <v/>
      </c>
      <c r="U37" s="516">
        <f>U35/(H25*12/Form_IV!K47)</f>
        <v/>
      </c>
      <c r="V37" s="516">
        <f>V35/(I25*12/Form_IV!L47)</f>
        <v/>
      </c>
      <c r="W37" s="516">
        <f>W35/(J25*12/Form_IV!M47)</f>
        <v/>
      </c>
      <c r="X37" s="516">
        <f>X35/(K25*12/Form_IV!N47)</f>
        <v/>
      </c>
      <c r="Y37" s="516">
        <f>Y35/(L25*12/Form_IV!O47)</f>
        <v/>
      </c>
      <c r="Z37" s="516">
        <f>Z35/(M25*12/Form_IV!P47)</f>
        <v/>
      </c>
    </row>
    <row r="38">
      <c r="A38" s="73" t="n"/>
      <c r="B38" s="73" t="n"/>
      <c r="C38" s="73" t="n"/>
      <c r="D38" s="104" t="n"/>
      <c r="F38" s="105" t="n"/>
      <c r="H38" s="105" t="n"/>
      <c r="J38" s="105" t="n"/>
      <c r="L38" s="105" t="n"/>
      <c r="N38" s="104" t="inlineStr">
        <is>
          <t>TOL / TNW</t>
        </is>
      </c>
      <c r="O38" s="516">
        <f>'Key Financials'!C29</f>
        <v/>
      </c>
      <c r="P38" s="516">
        <f>'Key Financials'!D29</f>
        <v/>
      </c>
      <c r="Q38" s="516">
        <f>'Key Financials'!E29</f>
        <v/>
      </c>
      <c r="R38" s="516">
        <f>'Key Financials'!F29</f>
        <v/>
      </c>
      <c r="S38" s="516">
        <f>'Key Financials'!G29</f>
        <v/>
      </c>
      <c r="T38" s="516">
        <f>'Key Financials'!H29</f>
        <v/>
      </c>
      <c r="U38" s="516">
        <f>'Key Financials'!I29</f>
        <v/>
      </c>
      <c r="V38" s="516">
        <f>'Key Financials'!J29</f>
        <v/>
      </c>
      <c r="W38" s="516">
        <f>'Key Financials'!K29</f>
        <v/>
      </c>
      <c r="X38" s="516">
        <f>'Key Financials'!L29</f>
        <v/>
      </c>
      <c r="Y38" s="516">
        <f>'Key Financials'!M29</f>
        <v/>
      </c>
      <c r="Z38" s="516">
        <f>'Key Financials'!N29</f>
        <v/>
      </c>
    </row>
    <row r="39">
      <c r="A39" s="73" t="inlineStr">
        <is>
          <t>Days Payable</t>
        </is>
      </c>
      <c r="B39" s="106">
        <f>Form_IV!E51*30</f>
        <v/>
      </c>
      <c r="C39" s="106">
        <f>Form_IV!F51*30</f>
        <v/>
      </c>
      <c r="D39" s="107">
        <f>Form_IV!G51*30</f>
        <v/>
      </c>
      <c r="E39" s="108">
        <f>Form_IV!H51*30</f>
        <v/>
      </c>
      <c r="F39" s="109">
        <f>Form_IV!I51*30</f>
        <v/>
      </c>
      <c r="G39" s="108">
        <f>Form_IV!J51*30</f>
        <v/>
      </c>
      <c r="H39" s="109">
        <f>Form_IV!K51*30</f>
        <v/>
      </c>
      <c r="I39" s="108">
        <f>Form_IV!L51*30</f>
        <v/>
      </c>
      <c r="J39" s="109">
        <f>Form_IV!M51*30</f>
        <v/>
      </c>
      <c r="K39" s="108">
        <f>Form_IV!N51*30</f>
        <v/>
      </c>
      <c r="L39" s="109">
        <f>Form_IV!O51*30</f>
        <v/>
      </c>
      <c r="M39" s="108">
        <f>Form_IV!P51*30</f>
        <v/>
      </c>
      <c r="N39" s="104" t="n"/>
      <c r="O39" s="516" t="n"/>
      <c r="P39" s="516" t="n"/>
      <c r="Q39" s="516" t="n"/>
      <c r="R39" s="516" t="n"/>
      <c r="S39" s="516" t="n"/>
      <c r="T39" s="516" t="n"/>
      <c r="U39" s="516" t="n"/>
      <c r="V39" s="516" t="n"/>
      <c r="W39" s="516" t="n"/>
      <c r="X39" s="516" t="n"/>
      <c r="Y39" s="516" t="n"/>
      <c r="Z39" s="516" t="n"/>
    </row>
    <row r="40">
      <c r="A40" s="73" t="inlineStr">
        <is>
          <t>Days Receivable</t>
        </is>
      </c>
      <c r="B40" s="106">
        <f>(Form_III!E65/(Form_II!E15*12/Form_IV!E9))*365</f>
        <v/>
      </c>
      <c r="C40" s="106">
        <f>(Form_III!F65/(Form_II!F15*12/Form_IV!F9))*365</f>
        <v/>
      </c>
      <c r="D40" s="106">
        <f>(Form_III!G65/(Form_II!G15*12/Form_IV!G9))*365</f>
        <v/>
      </c>
      <c r="E40" s="106">
        <f>(Form_III!H65/(Form_II!H15*12/Form_IV!H9))*365</f>
        <v/>
      </c>
      <c r="F40" s="109">
        <f>(Form_III!I65/(Form_II!I15*12/Form_IV!I9))*365</f>
        <v/>
      </c>
      <c r="G40" s="106">
        <f>(Form_III!J65/(Form_II!J15*12/Form_IV!J9))*365</f>
        <v/>
      </c>
      <c r="H40" s="109">
        <f>(Form_III!K65/(Form_II!K15*12/Form_IV!K9))*365</f>
        <v/>
      </c>
      <c r="I40" s="106">
        <f>(Form_III!L65/(Form_II!L15*12/Form_IV!L9))*365</f>
        <v/>
      </c>
      <c r="J40" s="109">
        <f>(Form_III!M65/(Form_II!M15*12/Form_IV!M9))*365</f>
        <v/>
      </c>
      <c r="K40" s="106">
        <f>(Form_III!N65/(Form_II!N15*12/Form_IV!N9))*365</f>
        <v/>
      </c>
      <c r="L40" s="109">
        <f>(Form_III!O65/(Form_II!O15*12/Form_IV!O9))*365</f>
        <v/>
      </c>
      <c r="M40" s="106">
        <f>(Form_III!P65/(Form_II!P15*12/Form_IV!P9))*365</f>
        <v/>
      </c>
      <c r="N40" s="104" t="inlineStr">
        <is>
          <t>Interest Coverage</t>
        </is>
      </c>
      <c r="O40" s="516">
        <f>'Key Financials'!C36</f>
        <v/>
      </c>
      <c r="P40" s="516">
        <f>'Key Financials'!D36</f>
        <v/>
      </c>
      <c r="Q40" s="516">
        <f>'Key Financials'!E36</f>
        <v/>
      </c>
      <c r="R40" s="516">
        <f>'Key Financials'!F36</f>
        <v/>
      </c>
      <c r="S40" s="516">
        <f>'Key Financials'!G36</f>
        <v/>
      </c>
      <c r="T40" s="516">
        <f>'Key Financials'!H36</f>
        <v/>
      </c>
      <c r="U40" s="516">
        <f>'Key Financials'!I36</f>
        <v/>
      </c>
      <c r="V40" s="516">
        <f>'Key Financials'!J36</f>
        <v/>
      </c>
      <c r="W40" s="516">
        <f>'Key Financials'!K36</f>
        <v/>
      </c>
      <c r="X40" s="516">
        <f>'Key Financials'!L36</f>
        <v/>
      </c>
      <c r="Y40" s="516">
        <f>'Key Financials'!M36</f>
        <v/>
      </c>
      <c r="Z40" s="516">
        <f>'Key Financials'!N36</f>
        <v/>
      </c>
    </row>
    <row r="41">
      <c r="A41" s="73" t="inlineStr">
        <is>
          <t>Days Inventory</t>
        </is>
      </c>
      <c r="B41" s="106">
        <f>(Form_III!E68/(Form_II!E34*12/Form_IV!E47)*365)</f>
        <v/>
      </c>
      <c r="C41" s="106">
        <f>(Form_III!F68/(Form_II!F34*12/Form_IV!F47)*365)</f>
        <v/>
      </c>
      <c r="D41" s="107">
        <f>(Form_III!G68/(Form_II!G34*12/Form_IV!G47)*365)</f>
        <v/>
      </c>
      <c r="E41" s="108">
        <f>(Form_III!H68/(Form_II!H34*12/Form_IV!H47)*365)</f>
        <v/>
      </c>
      <c r="F41" s="109">
        <f>(Form_III!I68/(Form_II!I34*12/Form_IV!I47)*365)</f>
        <v/>
      </c>
      <c r="G41" s="108">
        <f>(Form_III!J68/(Form_II!J34*12/Form_IV!J47)*365)</f>
        <v/>
      </c>
      <c r="H41" s="109">
        <f>(Form_III!K68/(Form_II!K34*12/Form_IV!K47)*365)</f>
        <v/>
      </c>
      <c r="I41" s="108">
        <f>(Form_III!L68/(Form_II!L34*12/Form_IV!L47)*365)</f>
        <v/>
      </c>
      <c r="J41" s="109">
        <f>(Form_III!M68/(Form_II!M34*12/Form_IV!M47)*365)</f>
        <v/>
      </c>
      <c r="K41" s="108">
        <f>(Form_III!N68/(Form_II!N34*12/Form_IV!N47)*365)</f>
        <v/>
      </c>
      <c r="L41" s="109">
        <f>(Form_III!O68/(Form_II!O34*12/Form_IV!O47)*365)</f>
        <v/>
      </c>
      <c r="M41" s="108">
        <f>(Form_III!P68/(Form_II!P34*12/Form_IV!P47)*365)</f>
        <v/>
      </c>
      <c r="N41" s="104" t="inlineStr">
        <is>
          <t>DSCR</t>
        </is>
      </c>
      <c r="O41" s="516">
        <f>'Key Financials'!C38</f>
        <v/>
      </c>
      <c r="P41" s="516">
        <f>'Key Financials'!D38</f>
        <v/>
      </c>
      <c r="Q41" s="516">
        <f>'Key Financials'!E38</f>
        <v/>
      </c>
      <c r="R41" s="516">
        <f>'Key Financials'!F38</f>
        <v/>
      </c>
      <c r="S41" s="516">
        <f>'Key Financials'!G38</f>
        <v/>
      </c>
      <c r="T41" s="516">
        <f>'Key Financials'!H38</f>
        <v/>
      </c>
      <c r="U41" s="516">
        <f>'Key Financials'!I38</f>
        <v/>
      </c>
      <c r="V41" s="516">
        <f>'Key Financials'!J38</f>
        <v/>
      </c>
      <c r="W41" s="516">
        <f>'Key Financials'!K38</f>
        <v/>
      </c>
      <c r="X41" s="516">
        <f>'Key Financials'!L38</f>
        <v/>
      </c>
      <c r="Y41" s="516">
        <f>'Key Financials'!M38</f>
        <v/>
      </c>
      <c r="Z41" s="516">
        <f>'Key Financials'!N38</f>
        <v/>
      </c>
    </row>
    <row r="42">
      <c r="A42" s="78" t="n"/>
      <c r="B42" s="78" t="n"/>
      <c r="C42" s="78" t="n"/>
      <c r="D42" s="79" t="n"/>
      <c r="E42" s="80" t="n"/>
      <c r="F42" s="110" t="n"/>
      <c r="G42" s="80" t="n"/>
      <c r="H42" s="110" t="n"/>
      <c r="I42" s="80" t="n"/>
      <c r="J42" s="110" t="n"/>
      <c r="K42" s="80" t="n"/>
      <c r="L42" s="110" t="n"/>
      <c r="M42" s="80" t="n"/>
      <c r="N42" s="79" t="n"/>
      <c r="O42" s="79" t="n"/>
      <c r="P42" s="79" t="n"/>
      <c r="Q42" s="79" t="n"/>
      <c r="R42" s="79" t="n"/>
      <c r="S42" s="79" t="n"/>
      <c r="T42" s="79" t="n"/>
      <c r="U42" s="79" t="n"/>
      <c r="V42" s="79" t="n"/>
      <c r="W42" s="79" t="n"/>
      <c r="X42" s="79" t="n"/>
      <c r="Y42" s="79" t="n"/>
      <c r="Z42" s="79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B1:N1"/>
    <mergeCell ref="B2:N2"/>
  </mergeCells>
  <pageMargins left="0.7479166666666667" right="0.7479166666666667" top="0.9840277777777778" bottom="0.9840277777777778" header="0.5118055555555556" footer="0.5118055555555556"/>
  <pageSetup orientation="portrait" scale="79" firstPageNumber="0" horizontalDpi="300" verticalDpi="300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B1:M80"/>
  <sheetViews>
    <sheetView showGridLines="0" zoomScale="90" zoomScaleNormal="90" workbookViewId="0">
      <selection activeCell="C73" sqref="C73"/>
    </sheetView>
  </sheetViews>
  <sheetFormatPr baseColWidth="8" defaultColWidth="9.109375" defaultRowHeight="13.2"/>
  <cols>
    <col width="9.109375" customWidth="1" style="111" min="1" max="1"/>
    <col width="57.88671875" customWidth="1" style="111" min="2" max="2"/>
    <col width="10.5546875" customWidth="1" style="111" min="3" max="3"/>
    <col width="12.109375" customWidth="1" style="111" min="4" max="4"/>
    <col width="11.88671875" customWidth="1" style="111" min="5" max="5"/>
    <col width="12.44140625" customWidth="1" style="111" min="6" max="13"/>
    <col width="9.109375" customWidth="1" style="111" min="14" max="16384"/>
  </cols>
  <sheetData>
    <row r="1">
      <c r="C1" s="414" t="inlineStr">
        <is>
          <t>CASH FLOW STATEMENT</t>
        </is>
      </c>
      <c r="G1" s="414" t="n"/>
      <c r="H1" s="414" t="n"/>
      <c r="I1" s="414" t="n"/>
      <c r="J1" s="414" t="n"/>
      <c r="K1" s="414" t="n"/>
      <c r="L1" s="414" t="n"/>
      <c r="M1" s="414" t="n"/>
    </row>
    <row r="2">
      <c r="B2" s="113" t="n"/>
      <c r="C2" s="414">
        <f>'INPUT SHEET'!B7</f>
        <v/>
      </c>
      <c r="G2" s="414" t="n"/>
      <c r="H2" s="414" t="n"/>
      <c r="I2" s="414" t="n"/>
      <c r="J2" s="414" t="n"/>
      <c r="K2" s="414" t="n"/>
      <c r="L2" s="414" t="n"/>
      <c r="M2" s="414" t="n"/>
    </row>
    <row r="4">
      <c r="B4" s="114">
        <f>'INPUT SHEET'!A8</f>
        <v/>
      </c>
      <c r="C4" s="115">
        <f>'INPUT SHEET'!C8</f>
        <v/>
      </c>
      <c r="D4" s="115">
        <f>'INPUT SHEET'!D8</f>
        <v/>
      </c>
      <c r="E4" s="115">
        <f>'INPUT SHEET'!E8</f>
        <v/>
      </c>
      <c r="F4" s="115">
        <f>'INPUT SHEET'!F8</f>
        <v/>
      </c>
      <c r="G4" s="115">
        <f>'INPUT SHEET'!G8</f>
        <v/>
      </c>
      <c r="H4" s="115">
        <f>'INPUT SHEET'!H8</f>
        <v/>
      </c>
      <c r="I4" s="115">
        <f>'INPUT SHEET'!I8</f>
        <v/>
      </c>
      <c r="J4" s="115">
        <f>'INPUT SHEET'!J8</f>
        <v/>
      </c>
      <c r="K4" s="115">
        <f>'INPUT SHEET'!K8</f>
        <v/>
      </c>
      <c r="L4" s="115">
        <f>'INPUT SHEET'!L8</f>
        <v/>
      </c>
      <c r="M4" s="115">
        <f>'INPUT SHEET'!M8</f>
        <v/>
      </c>
    </row>
    <row r="5">
      <c r="B5" s="116">
        <f>'INPUT SHEET'!A10</f>
        <v/>
      </c>
      <c r="C5" s="115">
        <f>'INPUT SHEET'!C10</f>
        <v/>
      </c>
      <c r="D5" s="115">
        <f>'INPUT SHEET'!D10</f>
        <v/>
      </c>
      <c r="E5" s="115">
        <f>'INPUT SHEET'!E10</f>
        <v/>
      </c>
      <c r="F5" s="115">
        <f>'INPUT SHEET'!F10</f>
        <v/>
      </c>
      <c r="G5" s="115">
        <f>'INPUT SHEET'!G10</f>
        <v/>
      </c>
      <c r="H5" s="115">
        <f>'INPUT SHEET'!H10</f>
        <v/>
      </c>
      <c r="I5" s="115">
        <f>'INPUT SHEET'!I10</f>
        <v/>
      </c>
      <c r="J5" s="115">
        <f>'INPUT SHEET'!J10</f>
        <v/>
      </c>
      <c r="K5" s="115">
        <f>'INPUT SHEET'!K10</f>
        <v/>
      </c>
      <c r="L5" s="115">
        <f>'INPUT SHEET'!L10</f>
        <v/>
      </c>
      <c r="M5" s="115">
        <f>'INPUT SHEET'!M10</f>
        <v/>
      </c>
    </row>
    <row r="6">
      <c r="B6" s="116" t="inlineStr">
        <is>
          <t>No of months</t>
        </is>
      </c>
      <c r="C6" s="115">
        <f>'INPUT SHEET'!B9</f>
        <v/>
      </c>
      <c r="D6" s="115">
        <f>'INPUT SHEET'!C9</f>
        <v/>
      </c>
      <c r="E6" s="115">
        <f>'INPUT SHEET'!D9</f>
        <v/>
      </c>
      <c r="F6" s="115">
        <f>'INPUT SHEET'!E9</f>
        <v/>
      </c>
      <c r="G6" s="115">
        <f>'INPUT SHEET'!F9</f>
        <v/>
      </c>
      <c r="H6" s="115">
        <f>'INPUT SHEET'!G9</f>
        <v/>
      </c>
      <c r="I6" s="115">
        <f>'INPUT SHEET'!H9</f>
        <v/>
      </c>
      <c r="J6" s="115">
        <f>'INPUT SHEET'!I9</f>
        <v/>
      </c>
      <c r="K6" s="115">
        <f>'INPUT SHEET'!J9</f>
        <v/>
      </c>
      <c r="L6" s="115">
        <f>'INPUT SHEET'!K9</f>
        <v/>
      </c>
      <c r="M6" s="115">
        <f>'INPUT SHEET'!L9</f>
        <v/>
      </c>
    </row>
    <row r="7">
      <c r="B7" s="117" t="n"/>
      <c r="C7" s="118" t="n"/>
      <c r="D7" s="118" t="n"/>
      <c r="E7" s="118" t="n"/>
      <c r="F7" s="118" t="n"/>
      <c r="G7" s="118" t="n"/>
      <c r="H7" s="118" t="n"/>
      <c r="I7" s="118" t="n"/>
      <c r="J7" s="118" t="n"/>
      <c r="K7" s="118" t="n"/>
      <c r="L7" s="118" t="n"/>
      <c r="M7" s="118" t="n"/>
    </row>
    <row r="8">
      <c r="B8" s="119" t="inlineStr">
        <is>
          <t>Cash Flows from Operating activities</t>
        </is>
      </c>
      <c r="C8" s="84" t="n"/>
      <c r="D8" s="84" t="n"/>
      <c r="E8" s="84" t="n"/>
      <c r="F8" s="84" t="n"/>
      <c r="G8" s="84" t="n"/>
      <c r="H8" s="84" t="n"/>
      <c r="I8" s="84" t="n"/>
      <c r="J8" s="84" t="n"/>
      <c r="K8" s="84" t="n"/>
      <c r="L8" s="84" t="n"/>
      <c r="M8" s="84" t="n"/>
    </row>
    <row r="9">
      <c r="B9" s="120" t="n"/>
      <c r="C9" s="118" t="n"/>
      <c r="D9" s="118" t="n"/>
      <c r="E9" s="118" t="n"/>
      <c r="F9" s="118" t="n"/>
      <c r="G9" s="118" t="n"/>
      <c r="H9" s="118" t="n"/>
      <c r="I9" s="118" t="n"/>
      <c r="J9" s="118" t="n"/>
      <c r="K9" s="118" t="n"/>
      <c r="L9" s="118" t="n"/>
      <c r="M9" s="118" t="n"/>
    </row>
    <row r="10">
      <c r="B10" s="120" t="inlineStr">
        <is>
          <t>Net profit before taxation</t>
        </is>
      </c>
      <c r="C10" s="519">
        <f>'INPUT SHEET'!C96</f>
        <v/>
      </c>
      <c r="D10" s="519">
        <f>'INPUT SHEET'!D96</f>
        <v/>
      </c>
      <c r="E10" s="519">
        <f>'INPUT SHEET'!E96</f>
        <v/>
      </c>
      <c r="F10" s="519">
        <f>'INPUT SHEET'!F96</f>
        <v/>
      </c>
      <c r="G10" s="519">
        <f>'INPUT SHEET'!G96</f>
        <v/>
      </c>
      <c r="H10" s="519">
        <f>'INPUT SHEET'!H96</f>
        <v/>
      </c>
      <c r="I10" s="519">
        <f>'INPUT SHEET'!I96</f>
        <v/>
      </c>
      <c r="J10" s="519">
        <f>'INPUT SHEET'!J96</f>
        <v/>
      </c>
      <c r="K10" s="519">
        <f>'INPUT SHEET'!K96</f>
        <v/>
      </c>
      <c r="L10" s="519">
        <f>'INPUT SHEET'!L96</f>
        <v/>
      </c>
      <c r="M10" s="519">
        <f>'INPUT SHEET'!M96</f>
        <v/>
      </c>
    </row>
    <row r="11">
      <c r="B11" s="120" t="n"/>
      <c r="C11" s="519" t="n"/>
      <c r="D11" s="519" t="n"/>
      <c r="E11" s="519" t="n"/>
      <c r="F11" s="519" t="n"/>
      <c r="G11" s="519" t="n"/>
      <c r="H11" s="519" t="n"/>
      <c r="I11" s="519" t="n"/>
      <c r="J11" s="519" t="n"/>
      <c r="K11" s="519" t="n"/>
      <c r="L11" s="519" t="n"/>
      <c r="M11" s="519" t="n"/>
    </row>
    <row r="12">
      <c r="B12" s="121" t="inlineStr">
        <is>
          <t>Adjustment for :</t>
        </is>
      </c>
      <c r="C12" s="519" t="n"/>
      <c r="D12" s="519" t="n"/>
      <c r="E12" s="519" t="n"/>
      <c r="F12" s="519" t="n"/>
      <c r="G12" s="519" t="n"/>
      <c r="H12" s="519" t="n"/>
      <c r="I12" s="519" t="n"/>
      <c r="J12" s="519" t="n"/>
      <c r="K12" s="519" t="n"/>
      <c r="L12" s="519" t="n"/>
      <c r="M12" s="519" t="n"/>
    </row>
    <row r="13">
      <c r="B13" s="120" t="inlineStr">
        <is>
          <t>Depreciation</t>
        </is>
      </c>
      <c r="C13" s="519">
        <f>'INPUT SHEET'!C56</f>
        <v/>
      </c>
      <c r="D13" s="519">
        <f>'INPUT SHEET'!D56</f>
        <v/>
      </c>
      <c r="E13" s="519">
        <f>'INPUT SHEET'!E56</f>
        <v/>
      </c>
      <c r="F13" s="519">
        <f>'INPUT SHEET'!F56</f>
        <v/>
      </c>
      <c r="G13" s="519">
        <f>'INPUT SHEET'!G56</f>
        <v/>
      </c>
      <c r="H13" s="519">
        <f>'INPUT SHEET'!H56</f>
        <v/>
      </c>
      <c r="I13" s="519">
        <f>'INPUT SHEET'!I56</f>
        <v/>
      </c>
      <c r="J13" s="519">
        <f>'INPUT SHEET'!J56</f>
        <v/>
      </c>
      <c r="K13" s="519">
        <f>'INPUT SHEET'!K56</f>
        <v/>
      </c>
      <c r="L13" s="519">
        <f>'INPUT SHEET'!L56</f>
        <v/>
      </c>
      <c r="M13" s="519">
        <f>'INPUT SHEET'!M56</f>
        <v/>
      </c>
    </row>
    <row r="14">
      <c r="B14" s="120" t="inlineStr">
        <is>
          <t>Dividend Received</t>
        </is>
      </c>
      <c r="C14" s="519">
        <f>-'INPUT SHEET'!B29</f>
        <v/>
      </c>
      <c r="D14" s="519">
        <f>-'INPUT SHEET'!C29</f>
        <v/>
      </c>
      <c r="E14" s="519">
        <f>-'INPUT SHEET'!D29</f>
        <v/>
      </c>
      <c r="F14" s="519">
        <f>-'INPUT SHEET'!E29</f>
        <v/>
      </c>
      <c r="G14" s="519">
        <f>-'INPUT SHEET'!F29</f>
        <v/>
      </c>
      <c r="H14" s="519">
        <f>-'INPUT SHEET'!G29</f>
        <v/>
      </c>
      <c r="I14" s="519">
        <f>-'INPUT SHEET'!H29</f>
        <v/>
      </c>
      <c r="J14" s="519">
        <f>-'INPUT SHEET'!I29</f>
        <v/>
      </c>
      <c r="K14" s="519">
        <f>-'INPUT SHEET'!J29</f>
        <v/>
      </c>
      <c r="L14" s="519">
        <f>-'INPUT SHEET'!K29</f>
        <v/>
      </c>
      <c r="M14" s="519">
        <f>-'INPUT SHEET'!L29</f>
        <v/>
      </c>
    </row>
    <row r="15">
      <c r="B15" s="120" t="inlineStr">
        <is>
          <t>Interest expenses</t>
        </is>
      </c>
      <c r="C15" s="519">
        <f>'INPUT SHEET'!C86</f>
        <v/>
      </c>
      <c r="D15" s="519">
        <f>'INPUT SHEET'!D86</f>
        <v/>
      </c>
      <c r="E15" s="519">
        <f>'INPUT SHEET'!E86</f>
        <v/>
      </c>
      <c r="F15" s="519">
        <f>'INPUT SHEET'!F86</f>
        <v/>
      </c>
      <c r="G15" s="519">
        <f>'INPUT SHEET'!G86</f>
        <v/>
      </c>
      <c r="H15" s="519">
        <f>'INPUT SHEET'!H86</f>
        <v/>
      </c>
      <c r="I15" s="519">
        <f>'INPUT SHEET'!I86</f>
        <v/>
      </c>
      <c r="J15" s="519">
        <f>'INPUT SHEET'!J86</f>
        <v/>
      </c>
      <c r="K15" s="519">
        <f>'INPUT SHEET'!K86</f>
        <v/>
      </c>
      <c r="L15" s="519">
        <f>'INPUT SHEET'!L86</f>
        <v/>
      </c>
      <c r="M15" s="519">
        <f>'INPUT SHEET'!M86</f>
        <v/>
      </c>
    </row>
    <row r="16">
      <c r="B16" s="120" t="inlineStr">
        <is>
          <t>Interest Received</t>
        </is>
      </c>
      <c r="C16" s="519">
        <f>-'INPUT SHEET'!C30</f>
        <v/>
      </c>
      <c r="D16" s="519">
        <f>-'INPUT SHEET'!D30</f>
        <v/>
      </c>
      <c r="E16" s="519">
        <f>-'INPUT SHEET'!E30</f>
        <v/>
      </c>
      <c r="F16" s="519">
        <f>-'INPUT SHEET'!F30</f>
        <v/>
      </c>
      <c r="G16" s="519">
        <f>-'INPUT SHEET'!G30</f>
        <v/>
      </c>
      <c r="H16" s="519">
        <f>-'INPUT SHEET'!H30</f>
        <v/>
      </c>
      <c r="I16" s="519">
        <f>-'INPUT SHEET'!I30</f>
        <v/>
      </c>
      <c r="J16" s="519">
        <f>-'INPUT SHEET'!J30</f>
        <v/>
      </c>
      <c r="K16" s="519">
        <f>-'INPUT SHEET'!K30</f>
        <v/>
      </c>
      <c r="L16" s="519">
        <f>-'INPUT SHEET'!L30</f>
        <v/>
      </c>
      <c r="M16" s="519">
        <f>-'INPUT SHEET'!M30</f>
        <v/>
      </c>
    </row>
    <row r="17">
      <c r="B17" s="120" t="inlineStr">
        <is>
          <t>Profit / Loss on sale of fixed assets / investments</t>
        </is>
      </c>
      <c r="C17" s="519">
        <f>'INPUT SHEET'!C178-'INPUT SHEET'!C177</f>
        <v/>
      </c>
      <c r="D17" s="519">
        <f>'INPUT SHEET'!D178-'INPUT SHEET'!D177</f>
        <v/>
      </c>
      <c r="E17" s="519">
        <f>'INPUT SHEET'!E178-'INPUT SHEET'!E177</f>
        <v/>
      </c>
      <c r="F17" s="519">
        <f>'INPUT SHEET'!F178-'INPUT SHEET'!F177</f>
        <v/>
      </c>
      <c r="G17" s="519">
        <f>'INPUT SHEET'!G178-'INPUT SHEET'!G177</f>
        <v/>
      </c>
      <c r="H17" s="519">
        <f>'INPUT SHEET'!H178-'INPUT SHEET'!H177</f>
        <v/>
      </c>
      <c r="I17" s="519">
        <f>'INPUT SHEET'!I178-'INPUT SHEET'!I177</f>
        <v/>
      </c>
      <c r="J17" s="519">
        <f>'INPUT SHEET'!J178-'INPUT SHEET'!J177</f>
        <v/>
      </c>
      <c r="K17" s="519">
        <f>'INPUT SHEET'!K178-'INPUT SHEET'!K177</f>
        <v/>
      </c>
      <c r="L17" s="519">
        <f>'INPUT SHEET'!L178-'INPUT SHEET'!L177</f>
        <v/>
      </c>
      <c r="M17" s="519">
        <f>'INPUT SHEET'!M178-'INPUT SHEET'!M177</f>
        <v/>
      </c>
    </row>
    <row r="18">
      <c r="B18" s="120" t="inlineStr">
        <is>
          <t>Extraordinary income / expenses</t>
        </is>
      </c>
      <c r="C18" s="519">
        <f>'INPUT SHEET'!C92-'INPUT SHEET'!C33</f>
        <v/>
      </c>
      <c r="D18" s="519">
        <f>'INPUT SHEET'!D92-'INPUT SHEET'!D33</f>
        <v/>
      </c>
      <c r="E18" s="519">
        <f>'INPUT SHEET'!E92-'INPUT SHEET'!E33</f>
        <v/>
      </c>
      <c r="F18" s="519">
        <f>'INPUT SHEET'!F92-'INPUT SHEET'!F33</f>
        <v/>
      </c>
      <c r="G18" s="519">
        <f>'INPUT SHEET'!G92-'INPUT SHEET'!G33</f>
        <v/>
      </c>
      <c r="H18" s="519">
        <f>'INPUT SHEET'!H92-'INPUT SHEET'!H33</f>
        <v/>
      </c>
      <c r="I18" s="519">
        <f>'INPUT SHEET'!I92-'INPUT SHEET'!I33</f>
        <v/>
      </c>
      <c r="J18" s="519">
        <f>'INPUT SHEET'!J92-'INPUT SHEET'!J33</f>
        <v/>
      </c>
      <c r="K18" s="519">
        <f>'INPUT SHEET'!K92-'INPUT SHEET'!K33</f>
        <v/>
      </c>
      <c r="L18" s="519">
        <f>'INPUT SHEET'!L92-'INPUT SHEET'!L33</f>
        <v/>
      </c>
      <c r="M18" s="519">
        <f>'INPUT SHEET'!M92-'INPUT SHEET'!M33</f>
        <v/>
      </c>
    </row>
    <row r="19">
      <c r="B19" s="120" t="n"/>
      <c r="C19" s="529" t="n"/>
      <c r="D19" s="529" t="n"/>
      <c r="E19" s="529" t="n"/>
      <c r="F19" s="529" t="n"/>
      <c r="G19" s="529" t="n"/>
      <c r="H19" s="529" t="n"/>
      <c r="I19" s="529" t="n"/>
      <c r="J19" s="529" t="n"/>
      <c r="K19" s="529" t="n"/>
      <c r="L19" s="529" t="n"/>
      <c r="M19" s="529" t="n"/>
    </row>
    <row r="20">
      <c r="B20" s="76" t="inlineStr">
        <is>
          <t xml:space="preserve">Operating profit before working capital changes </t>
        </is>
      </c>
      <c r="C20" s="529">
        <f>SUM(C10:C18)</f>
        <v/>
      </c>
      <c r="D20" s="529">
        <f>SUM(D10:D18)</f>
        <v/>
      </c>
      <c r="E20" s="529">
        <f>SUM(E10:E18)</f>
        <v/>
      </c>
      <c r="F20" s="529">
        <f>SUM(F10:F18)</f>
        <v/>
      </c>
      <c r="G20" s="529">
        <f>SUM(G10:G18)</f>
        <v/>
      </c>
      <c r="H20" s="529">
        <f>SUM(H10:H18)</f>
        <v/>
      </c>
      <c r="I20" s="529">
        <f>SUM(I10:I18)</f>
        <v/>
      </c>
      <c r="J20" s="529">
        <f>SUM(J10:J18)</f>
        <v/>
      </c>
      <c r="K20" s="529">
        <f>SUM(K10:K18)</f>
        <v/>
      </c>
      <c r="L20" s="529">
        <f>SUM(L10:L18)</f>
        <v/>
      </c>
      <c r="M20" s="529">
        <f>SUM(M10:M18)</f>
        <v/>
      </c>
    </row>
    <row r="21">
      <c r="B21" s="76" t="n"/>
      <c r="C21" s="529" t="n"/>
      <c r="D21" s="529" t="n"/>
      <c r="E21" s="529" t="n"/>
      <c r="F21" s="529" t="n"/>
      <c r="G21" s="529" t="n"/>
      <c r="H21" s="529" t="n"/>
      <c r="I21" s="529" t="n"/>
      <c r="J21" s="529" t="n"/>
      <c r="K21" s="529" t="n"/>
      <c r="L21" s="529" t="n"/>
      <c r="M21" s="529" t="n"/>
    </row>
    <row r="22">
      <c r="B22" s="76" t="inlineStr">
        <is>
          <t>Changes in current assets ( exclud cash and bank balances)</t>
        </is>
      </c>
      <c r="C22" s="529">
        <f>Form_III!E83-Form_III!F83-Form_III!E59+Form_III!F59</f>
        <v/>
      </c>
      <c r="D22" s="529">
        <f>Form_III!F83-Form_III!G83-Form_III!F59+Form_III!G59</f>
        <v/>
      </c>
      <c r="E22" s="529">
        <f>Form_III!G83-Form_III!H83-Form_III!G59+Form_III!H59</f>
        <v/>
      </c>
      <c r="F22" s="529">
        <f>Form_III!H83-Form_III!I83-Form_III!H59+Form_III!I59</f>
        <v/>
      </c>
      <c r="G22" s="529">
        <f>Form_III!I83-Form_III!J83-Form_III!I59+Form_III!J59</f>
        <v/>
      </c>
      <c r="H22" s="529">
        <f>Form_III!J83-Form_III!K83-Form_III!J59+Form_III!K59</f>
        <v/>
      </c>
      <c r="I22" s="529">
        <f>Form_III!K83-Form_III!L83-Form_III!K59+Form_III!L59</f>
        <v/>
      </c>
      <c r="J22" s="529">
        <f>Form_III!L83-Form_III!M83-Form_III!L59+Form_III!M59</f>
        <v/>
      </c>
      <c r="K22" s="529">
        <f>Form_III!M83-Form_III!N83-Form_III!M59+Form_III!N59</f>
        <v/>
      </c>
      <c r="L22" s="529">
        <f>Form_III!N83-Form_III!O83-Form_III!N59+Form_III!O59</f>
        <v/>
      </c>
      <c r="M22" s="529">
        <f>Form_III!O83-Form_III!P83-Form_III!O59+Form_III!P59</f>
        <v/>
      </c>
    </row>
    <row r="23">
      <c r="B23" s="76" t="n"/>
      <c r="C23" s="529" t="n"/>
      <c r="D23" s="529" t="n"/>
      <c r="E23" s="529" t="n"/>
      <c r="F23" s="529" t="n"/>
      <c r="G23" s="529" t="n"/>
      <c r="H23" s="529" t="n"/>
      <c r="I23" s="529" t="n"/>
      <c r="J23" s="529" t="n"/>
      <c r="K23" s="529" t="n"/>
      <c r="L23" s="529" t="n"/>
      <c r="M23" s="529" t="n"/>
    </row>
    <row r="24">
      <c r="B24" s="121" t="inlineStr">
        <is>
          <t>Change in Debtors</t>
        </is>
      </c>
      <c r="C24" s="530">
        <f>Form_III!E65-Form_III!F65</f>
        <v/>
      </c>
      <c r="D24" s="530">
        <f>Form_III!F65-Form_III!G65</f>
        <v/>
      </c>
      <c r="E24" s="530">
        <f>Form_III!G65-Form_III!H65</f>
        <v/>
      </c>
      <c r="F24" s="530">
        <f>Form_III!H65-Form_III!I65</f>
        <v/>
      </c>
      <c r="G24" s="530">
        <f>Form_III!I65-Form_III!J65</f>
        <v/>
      </c>
      <c r="H24" s="530">
        <f>Form_III!J65-Form_III!K65</f>
        <v/>
      </c>
      <c r="I24" s="530">
        <f>Form_III!K65-Form_III!L65</f>
        <v/>
      </c>
      <c r="J24" s="530">
        <f>Form_III!L65-Form_III!M65</f>
        <v/>
      </c>
      <c r="K24" s="530">
        <f>Form_III!M65-Form_III!N65</f>
        <v/>
      </c>
      <c r="L24" s="530">
        <f>Form_III!N65-Form_III!O65</f>
        <v/>
      </c>
      <c r="M24" s="530">
        <f>Form_III!O65-Form_III!P65</f>
        <v/>
      </c>
    </row>
    <row r="25">
      <c r="B25" s="121" t="inlineStr">
        <is>
          <t>Change in Stock</t>
        </is>
      </c>
      <c r="C25" s="530">
        <f>Form_III!E68-Form_III!F68</f>
        <v/>
      </c>
      <c r="D25" s="530">
        <f>Form_III!F68-Form_III!G68</f>
        <v/>
      </c>
      <c r="E25" s="530">
        <f>Form_III!G68-Form_III!H68</f>
        <v/>
      </c>
      <c r="F25" s="530">
        <f>Form_III!H68-Form_III!I68</f>
        <v/>
      </c>
      <c r="G25" s="530">
        <f>Form_III!I68-Form_III!J68</f>
        <v/>
      </c>
      <c r="H25" s="530">
        <f>Form_III!J68-Form_III!K68</f>
        <v/>
      </c>
      <c r="I25" s="530">
        <f>Form_III!K68-Form_III!L68</f>
        <v/>
      </c>
      <c r="J25" s="530">
        <f>Form_III!L68-Form_III!M68</f>
        <v/>
      </c>
      <c r="K25" s="530">
        <f>Form_III!M68-Form_III!N68</f>
        <v/>
      </c>
      <c r="L25" s="530">
        <f>Form_III!N68-Form_III!O68</f>
        <v/>
      </c>
      <c r="M25" s="530">
        <f>Form_III!O68-Form_III!P68</f>
        <v/>
      </c>
    </row>
    <row r="26">
      <c r="B26" s="121" t="inlineStr">
        <is>
          <t>Change in other current assets</t>
        </is>
      </c>
      <c r="C26" s="530">
        <f>C22-C24-C25</f>
        <v/>
      </c>
      <c r="D26" s="530">
        <f>D22-D24-D25</f>
        <v/>
      </c>
      <c r="E26" s="530">
        <f>E22-E24-E25</f>
        <v/>
      </c>
      <c r="F26" s="530">
        <f>F22-F24-F25</f>
        <v/>
      </c>
      <c r="G26" s="530">
        <f>G22-G24-G25</f>
        <v/>
      </c>
      <c r="H26" s="530">
        <f>H22-H24-H25</f>
        <v/>
      </c>
      <c r="I26" s="530">
        <f>I22-I24-I25</f>
        <v/>
      </c>
      <c r="J26" s="530">
        <f>J22-J24-J25</f>
        <v/>
      </c>
      <c r="K26" s="530">
        <f>K22-K24-K25</f>
        <v/>
      </c>
      <c r="L26" s="530">
        <f>L22-L24-L25</f>
        <v/>
      </c>
      <c r="M26" s="530">
        <f>M22-M24-M25</f>
        <v/>
      </c>
    </row>
    <row r="27">
      <c r="B27" s="76" t="n"/>
      <c r="C27" s="529" t="n"/>
      <c r="D27" s="529" t="n"/>
      <c r="E27" s="529" t="n"/>
      <c r="F27" s="529" t="n"/>
      <c r="G27" s="529" t="n"/>
      <c r="H27" s="529" t="n"/>
      <c r="I27" s="529" t="n"/>
      <c r="J27" s="529" t="n"/>
      <c r="K27" s="529" t="n"/>
      <c r="L27" s="529" t="n"/>
      <c r="M27" s="529" t="n"/>
    </row>
    <row r="28">
      <c r="B28" s="76" t="inlineStr">
        <is>
          <t>Changes in current liabilities( exclud div and debts)</t>
        </is>
      </c>
      <c r="C28" s="529">
        <f>Form_III!F29-Form_III!F22-Form_III!F20-Form_III!F16-(Form_III!E29-Form_III!E22-Form_III!E20-Form_III!E16)</f>
        <v/>
      </c>
      <c r="D28" s="529">
        <f>Form_III!G29-Form_III!G22-Form_III!G20-Form_III!G16-(Form_III!F29-Form_III!F22-Form_III!F20-Form_III!F16)</f>
        <v/>
      </c>
      <c r="E28" s="529">
        <f>Form_III!H29-Form_III!H22-Form_III!H20-Form_III!H16-(Form_III!G29-Form_III!G22-Form_III!G20-Form_III!G16)</f>
        <v/>
      </c>
      <c r="F28" s="529">
        <f>Form_III!I29-Form_III!I22-Form_III!I20-Form_III!I16-(Form_III!H29-Form_III!H22-Form_III!H20-Form_III!H16)</f>
        <v/>
      </c>
      <c r="G28" s="529">
        <f>Form_III!J29-Form_III!J22-Form_III!J20-Form_III!J16-(Form_III!I29-Form_III!I22-Form_III!I20-Form_III!I16)</f>
        <v/>
      </c>
      <c r="H28" s="529">
        <f>Form_III!K29-Form_III!K22-Form_III!K20-Form_III!K16-(Form_III!J29-Form_III!J22-Form_III!J20-Form_III!J16)</f>
        <v/>
      </c>
      <c r="I28" s="529">
        <f>Form_III!L29-Form_III!L22-Form_III!L20-Form_III!L16-(Form_III!K29-Form_III!K22-Form_III!K20-Form_III!K16)</f>
        <v/>
      </c>
      <c r="J28" s="529">
        <f>Form_III!M29-Form_III!M22-Form_III!M20-Form_III!M16-(Form_III!L29-Form_III!L22-Form_III!L20-Form_III!L16)</f>
        <v/>
      </c>
      <c r="K28" s="529">
        <f>Form_III!N29-Form_III!N22-Form_III!N20-Form_III!N16-(Form_III!M29-Form_III!M22-Form_III!M20-Form_III!M16)</f>
        <v/>
      </c>
      <c r="L28" s="529">
        <f>Form_III!O29-Form_III!O22-Form_III!O20-Form_III!O16-(Form_III!N29-Form_III!N22-Form_III!N20-Form_III!N16)</f>
        <v/>
      </c>
      <c r="M28" s="529">
        <f>Form_III!P29-Form_III!P22-Form_III!P20-Form_III!P16-(Form_III!O29-Form_III!O22-Form_III!O20-Form_III!O16)</f>
        <v/>
      </c>
    </row>
    <row r="29">
      <c r="B29" s="76" t="n"/>
      <c r="C29" s="529" t="n"/>
      <c r="D29" s="529" t="n"/>
      <c r="E29" s="529" t="n"/>
      <c r="F29" s="529" t="n"/>
      <c r="G29" s="529" t="n"/>
      <c r="H29" s="529" t="n"/>
      <c r="I29" s="529" t="n"/>
      <c r="J29" s="529" t="n"/>
      <c r="K29" s="529" t="n"/>
      <c r="L29" s="529" t="n"/>
      <c r="M29" s="529" t="n"/>
    </row>
    <row r="30">
      <c r="B30" s="121" t="inlineStr">
        <is>
          <t>Change in creditors</t>
        </is>
      </c>
      <c r="C30" s="530">
        <f>Form_III!F17-Form_III!E17</f>
        <v/>
      </c>
      <c r="D30" s="530">
        <f>Form_III!G17-Form_III!F17</f>
        <v/>
      </c>
      <c r="E30" s="530">
        <f>Form_III!H17-Form_III!G17</f>
        <v/>
      </c>
      <c r="F30" s="530">
        <f>Form_III!I17-Form_III!H17</f>
        <v/>
      </c>
      <c r="G30" s="530">
        <f>Form_III!J17-Form_III!I17</f>
        <v/>
      </c>
      <c r="H30" s="530">
        <f>Form_III!K17-Form_III!J17</f>
        <v/>
      </c>
      <c r="I30" s="530">
        <f>Form_III!L17-Form_III!K17</f>
        <v/>
      </c>
      <c r="J30" s="530">
        <f>Form_III!M17-Form_III!L17</f>
        <v/>
      </c>
      <c r="K30" s="530">
        <f>Form_III!N17-Form_III!M17</f>
        <v/>
      </c>
      <c r="L30" s="530">
        <f>Form_III!O17-Form_III!N17</f>
        <v/>
      </c>
      <c r="M30" s="530">
        <f>Form_III!P17-Form_III!O17</f>
        <v/>
      </c>
    </row>
    <row r="31">
      <c r="B31" s="121" t="inlineStr">
        <is>
          <t>Change in bank finance</t>
        </is>
      </c>
      <c r="C31" s="530">
        <f>Form_III!F15-Form_III!E15</f>
        <v/>
      </c>
      <c r="D31" s="530">
        <f>Form_III!G15-Form_III!F15</f>
        <v/>
      </c>
      <c r="E31" s="530">
        <f>Form_III!H15-Form_III!G15</f>
        <v/>
      </c>
      <c r="F31" s="530">
        <f>Form_III!I15-Form_III!H15</f>
        <v/>
      </c>
      <c r="G31" s="530">
        <f>Form_III!J15-Form_III!I15</f>
        <v/>
      </c>
      <c r="H31" s="530">
        <f>Form_III!K15-Form_III!J15</f>
        <v/>
      </c>
      <c r="I31" s="530">
        <f>Form_III!L15-Form_III!K15</f>
        <v/>
      </c>
      <c r="J31" s="530">
        <f>Form_III!M15-Form_III!L15</f>
        <v/>
      </c>
      <c r="K31" s="530">
        <f>Form_III!N15-Form_III!M15</f>
        <v/>
      </c>
      <c r="L31" s="530">
        <f>Form_III!O15-Form_III!N15</f>
        <v/>
      </c>
      <c r="M31" s="530">
        <f>Form_III!P15-Form_III!O15</f>
        <v/>
      </c>
    </row>
    <row r="32">
      <c r="B32" s="121" t="inlineStr">
        <is>
          <t>Change in other current liabilities</t>
        </is>
      </c>
      <c r="C32" s="531">
        <f>C28-C30-C31</f>
        <v/>
      </c>
      <c r="D32" s="531">
        <f>D28-D30-D31</f>
        <v/>
      </c>
      <c r="E32" s="531">
        <f>E28-E30-E31</f>
        <v/>
      </c>
      <c r="F32" s="530">
        <f>F28-F30-F31</f>
        <v/>
      </c>
      <c r="G32" s="530">
        <f>G28-G30-G31</f>
        <v/>
      </c>
      <c r="H32" s="530">
        <f>H28-H30-H31</f>
        <v/>
      </c>
      <c r="I32" s="530">
        <f>I28-I30-I31</f>
        <v/>
      </c>
      <c r="J32" s="530">
        <f>J28-J30-J31</f>
        <v/>
      </c>
      <c r="K32" s="530">
        <f>K28-K30-K31</f>
        <v/>
      </c>
      <c r="L32" s="530">
        <f>L28-L30-L31</f>
        <v/>
      </c>
      <c r="M32" s="530">
        <f>M28-M30-M31</f>
        <v/>
      </c>
    </row>
    <row r="33">
      <c r="B33" s="120" t="n"/>
      <c r="C33" s="532" t="n"/>
      <c r="D33" s="532" t="n"/>
      <c r="E33" s="532" t="n"/>
      <c r="F33" s="529" t="n"/>
      <c r="G33" s="529" t="n"/>
      <c r="H33" s="529" t="n"/>
      <c r="I33" s="529" t="n"/>
      <c r="J33" s="529" t="n"/>
      <c r="K33" s="529" t="n"/>
      <c r="L33" s="529" t="n"/>
      <c r="M33" s="529" t="n"/>
    </row>
    <row r="34">
      <c r="B34" s="126" t="inlineStr">
        <is>
          <t>Cash generated from operations</t>
        </is>
      </c>
      <c r="C34" s="533">
        <f>C20+C22+C28</f>
        <v/>
      </c>
      <c r="D34" s="533">
        <f>D20+D22+D28</f>
        <v/>
      </c>
      <c r="E34" s="533">
        <f>E20+E22+E28</f>
        <v/>
      </c>
      <c r="F34" s="534">
        <f>F20+F22+F28</f>
        <v/>
      </c>
      <c r="G34" s="534">
        <f>G20+G22+G28</f>
        <v/>
      </c>
      <c r="H34" s="534">
        <f>H20+H22+H28</f>
        <v/>
      </c>
      <c r="I34" s="534">
        <f>I20+I22+I28</f>
        <v/>
      </c>
      <c r="J34" s="534">
        <f>J20+J22+J28</f>
        <v/>
      </c>
      <c r="K34" s="534">
        <f>K20+K22+K28</f>
        <v/>
      </c>
      <c r="L34" s="534">
        <f>L20+L22+L28</f>
        <v/>
      </c>
      <c r="M34" s="534">
        <f>M20+M22+M28</f>
        <v/>
      </c>
    </row>
    <row r="35">
      <c r="B35" s="120" t="n"/>
      <c r="C35" s="532" t="n"/>
      <c r="D35" s="532" t="n"/>
      <c r="E35" s="532" t="n"/>
      <c r="F35" s="529" t="n"/>
      <c r="G35" s="529" t="n"/>
      <c r="H35" s="529" t="n"/>
      <c r="I35" s="529" t="n"/>
      <c r="J35" s="529" t="n"/>
      <c r="K35" s="529" t="n"/>
      <c r="L35" s="529" t="n"/>
      <c r="M35" s="529" t="n"/>
    </row>
    <row r="36">
      <c r="B36" s="120" t="inlineStr">
        <is>
          <t>Income tax for the current year ( excluding deferred tax)</t>
        </is>
      </c>
      <c r="C36" s="535">
        <f>'INPUT SHEET'!C99</f>
        <v/>
      </c>
      <c r="D36" s="535">
        <f>'INPUT SHEET'!D99</f>
        <v/>
      </c>
      <c r="E36" s="535">
        <f>'INPUT SHEET'!E99</f>
        <v/>
      </c>
      <c r="F36" s="519">
        <f>'INPUT SHEET'!F99</f>
        <v/>
      </c>
      <c r="G36" s="519">
        <f>'INPUT SHEET'!G99</f>
        <v/>
      </c>
      <c r="H36" s="519">
        <f>'INPUT SHEET'!H99</f>
        <v/>
      </c>
      <c r="I36" s="519">
        <f>'INPUT SHEET'!I99</f>
        <v/>
      </c>
      <c r="J36" s="519">
        <f>'INPUT SHEET'!J99</f>
        <v/>
      </c>
      <c r="K36" s="519">
        <f>'INPUT SHEET'!K99</f>
        <v/>
      </c>
      <c r="L36" s="519">
        <f>'INPUT SHEET'!L99</f>
        <v/>
      </c>
      <c r="M36" s="519">
        <f>'INPUT SHEET'!M99</f>
        <v/>
      </c>
    </row>
    <row r="37">
      <c r="B37" s="120" t="n"/>
      <c r="C37" s="535" t="n"/>
      <c r="D37" s="535" t="n"/>
      <c r="E37" s="535" t="n"/>
      <c r="F37" s="519" t="n"/>
      <c r="G37" s="519" t="n"/>
      <c r="H37" s="519" t="n"/>
      <c r="I37" s="519" t="n"/>
      <c r="J37" s="519" t="n"/>
      <c r="K37" s="519" t="n"/>
      <c r="L37" s="519" t="n"/>
      <c r="M37" s="519" t="n"/>
    </row>
    <row r="38">
      <c r="B38" s="76" t="inlineStr">
        <is>
          <t>Cash from opeartions before extraordinary items</t>
        </is>
      </c>
      <c r="C38" s="532">
        <f>C34-C36</f>
        <v/>
      </c>
      <c r="D38" s="532">
        <f>D34-D36</f>
        <v/>
      </c>
      <c r="E38" s="532">
        <f>E34-E36</f>
        <v/>
      </c>
      <c r="F38" s="529">
        <f>F34-F36</f>
        <v/>
      </c>
      <c r="G38" s="529">
        <f>G34-G36</f>
        <v/>
      </c>
      <c r="H38" s="529">
        <f>H34-H36</f>
        <v/>
      </c>
      <c r="I38" s="529">
        <f>I34-I36</f>
        <v/>
      </c>
      <c r="J38" s="529">
        <f>J34-J36</f>
        <v/>
      </c>
      <c r="K38" s="529">
        <f>K34-K36</f>
        <v/>
      </c>
      <c r="L38" s="529">
        <f>L34-L36</f>
        <v/>
      </c>
      <c r="M38" s="529">
        <f>M34-M36</f>
        <v/>
      </c>
    </row>
    <row r="39">
      <c r="B39" s="121" t="inlineStr">
        <is>
          <t>Extraordinary items</t>
        </is>
      </c>
      <c r="C39" s="532">
        <f>C18*-1</f>
        <v/>
      </c>
      <c r="D39" s="532">
        <f>D18*-1</f>
        <v/>
      </c>
      <c r="E39" s="532">
        <f>E18*-1</f>
        <v/>
      </c>
      <c r="F39" s="529">
        <f>F18*-1</f>
        <v/>
      </c>
      <c r="G39" s="529">
        <f>G18*-1</f>
        <v/>
      </c>
      <c r="H39" s="529">
        <f>H18*-1</f>
        <v/>
      </c>
      <c r="I39" s="529">
        <f>I18*-1</f>
        <v/>
      </c>
      <c r="J39" s="529">
        <f>J18*-1</f>
        <v/>
      </c>
      <c r="K39" s="529">
        <f>K18*-1</f>
        <v/>
      </c>
      <c r="L39" s="529">
        <f>L18*-1</f>
        <v/>
      </c>
      <c r="M39" s="529">
        <f>M18*-1</f>
        <v/>
      </c>
    </row>
    <row r="40">
      <c r="B40" s="69" t="inlineStr">
        <is>
          <t>Net cash from operating activities ( 1 )</t>
        </is>
      </c>
      <c r="C40" s="536">
        <f>C38+C39</f>
        <v/>
      </c>
      <c r="D40" s="536">
        <f>D38+D39</f>
        <v/>
      </c>
      <c r="E40" s="536">
        <f>E38+E39</f>
        <v/>
      </c>
      <c r="F40" s="537">
        <f>F38+F39</f>
        <v/>
      </c>
      <c r="G40" s="537">
        <f>G38+G39</f>
        <v/>
      </c>
      <c r="H40" s="537">
        <f>H38+H39</f>
        <v/>
      </c>
      <c r="I40" s="537">
        <f>I38+I39</f>
        <v/>
      </c>
      <c r="J40" s="537">
        <f>J38+J39</f>
        <v/>
      </c>
      <c r="K40" s="537">
        <f>K38+K39</f>
        <v/>
      </c>
      <c r="L40" s="537">
        <f>L38+L39</f>
        <v/>
      </c>
      <c r="M40" s="537">
        <f>M38+M39</f>
        <v/>
      </c>
    </row>
    <row r="41">
      <c r="B41" s="132" t="n"/>
      <c r="C41" s="538" t="n"/>
      <c r="D41" s="538" t="n"/>
      <c r="E41" s="538" t="n"/>
      <c r="F41" s="538" t="n"/>
      <c r="G41" s="538" t="n"/>
      <c r="H41" s="538" t="n"/>
      <c r="I41" s="538" t="n"/>
      <c r="J41" s="538" t="n"/>
      <c r="K41" s="538" t="n"/>
      <c r="L41" s="538" t="n"/>
      <c r="M41" s="538" t="n"/>
    </row>
    <row r="42">
      <c r="B42" s="69" t="inlineStr">
        <is>
          <t>Cash Flows from Investing activities</t>
        </is>
      </c>
      <c r="C42" s="529" t="n"/>
      <c r="D42" s="529" t="n"/>
      <c r="E42" s="529" t="n"/>
      <c r="F42" s="529" t="n"/>
      <c r="G42" s="529" t="n"/>
      <c r="H42" s="529" t="n"/>
      <c r="I42" s="529" t="n"/>
      <c r="J42" s="529" t="n"/>
      <c r="K42" s="529" t="n"/>
      <c r="L42" s="529" t="n"/>
      <c r="M42" s="529" t="n"/>
    </row>
    <row r="43">
      <c r="B43" s="76" t="n"/>
      <c r="C43" s="529" t="n"/>
      <c r="D43" s="529" t="n"/>
      <c r="E43" s="529" t="n"/>
      <c r="F43" s="529" t="n"/>
      <c r="G43" s="529" t="n"/>
      <c r="H43" s="529" t="n"/>
      <c r="I43" s="529" t="n"/>
      <c r="J43" s="529" t="n"/>
      <c r="K43" s="529" t="n"/>
      <c r="L43" s="529" t="n"/>
      <c r="M43" s="529" t="n"/>
    </row>
    <row r="44">
      <c r="B44" s="120">
        <f>B14</f>
        <v/>
      </c>
      <c r="C44" s="519">
        <f>-C14</f>
        <v/>
      </c>
      <c r="D44" s="519">
        <f>-D14</f>
        <v/>
      </c>
      <c r="E44" s="519">
        <f>-E14</f>
        <v/>
      </c>
      <c r="F44" s="519">
        <f>-F14</f>
        <v/>
      </c>
      <c r="G44" s="519">
        <f>-G14</f>
        <v/>
      </c>
      <c r="H44" s="519">
        <f>-H14</f>
        <v/>
      </c>
      <c r="I44" s="519">
        <f>-I14</f>
        <v/>
      </c>
      <c r="J44" s="519">
        <f>-J14</f>
        <v/>
      </c>
      <c r="K44" s="519">
        <f>-K14</f>
        <v/>
      </c>
      <c r="L44" s="519">
        <f>-L14</f>
        <v/>
      </c>
      <c r="M44" s="519">
        <f>-M14</f>
        <v/>
      </c>
    </row>
    <row r="45">
      <c r="B45" s="120">
        <f>B16</f>
        <v/>
      </c>
      <c r="C45" s="519">
        <f>-C16</f>
        <v/>
      </c>
      <c r="D45" s="519">
        <f>-D16</f>
        <v/>
      </c>
      <c r="E45" s="519">
        <f>-E16</f>
        <v/>
      </c>
      <c r="F45" s="519">
        <f>-F16</f>
        <v/>
      </c>
      <c r="G45" s="519">
        <f>-G16</f>
        <v/>
      </c>
      <c r="H45" s="519">
        <f>-H16</f>
        <v/>
      </c>
      <c r="I45" s="519">
        <f>-I16</f>
        <v/>
      </c>
      <c r="J45" s="519">
        <f>-J16</f>
        <v/>
      </c>
      <c r="K45" s="519">
        <f>-K16</f>
        <v/>
      </c>
      <c r="L45" s="519">
        <f>-L16</f>
        <v/>
      </c>
      <c r="M45" s="519">
        <f>-M16</f>
        <v/>
      </c>
    </row>
    <row r="46">
      <c r="B46" s="120" t="inlineStr">
        <is>
          <t>Purchase / Sale of Fixed Assets</t>
        </is>
      </c>
      <c r="C46" s="519">
        <f>'INPUT SHEET'!C179</f>
        <v/>
      </c>
      <c r="D46" s="519">
        <f>'INPUT SHEET'!D179</f>
        <v/>
      </c>
      <c r="E46" s="519">
        <f>'INPUT SHEET'!E179</f>
        <v/>
      </c>
      <c r="F46" s="519">
        <f>'INPUT SHEET'!F179</f>
        <v/>
      </c>
      <c r="G46" s="519">
        <f>'INPUT SHEET'!G179</f>
        <v/>
      </c>
      <c r="H46" s="519">
        <f>'INPUT SHEET'!H179</f>
        <v/>
      </c>
      <c r="I46" s="519">
        <f>'INPUT SHEET'!I179</f>
        <v/>
      </c>
      <c r="J46" s="519">
        <f>'INPUT SHEET'!J179</f>
        <v/>
      </c>
      <c r="K46" s="519">
        <f>'INPUT SHEET'!K179</f>
        <v/>
      </c>
      <c r="L46" s="519">
        <f>'INPUT SHEET'!L179</f>
        <v/>
      </c>
      <c r="M46" s="519">
        <f>'INPUT SHEET'!M179</f>
        <v/>
      </c>
    </row>
    <row r="47">
      <c r="B47" s="120" t="inlineStr">
        <is>
          <t>Purchase / Sale of Intangible Assets</t>
        </is>
      </c>
      <c r="C47" s="519">
        <f>('INPUT SHEET'!C173-'INPUT SHEET'!B173-('INPUT SHEET'!C171-'INPUT SHEET'!B171))*-1</f>
        <v/>
      </c>
      <c r="D47" s="519">
        <f>('INPUT SHEET'!D173-'INPUT SHEET'!C173-('INPUT SHEET'!D171-'INPUT SHEET'!C171))*-1</f>
        <v/>
      </c>
      <c r="E47" s="519">
        <f>('INPUT SHEET'!E173-'INPUT SHEET'!D173-('INPUT SHEET'!E171-'INPUT SHEET'!D171))*-1</f>
        <v/>
      </c>
      <c r="F47" s="519">
        <f>('INPUT SHEET'!F173-'INPUT SHEET'!E173-('INPUT SHEET'!F171-'INPUT SHEET'!E171))*-1</f>
        <v/>
      </c>
      <c r="G47" s="519">
        <f>('INPUT SHEET'!G173-'INPUT SHEET'!F173-('INPUT SHEET'!G171-'INPUT SHEET'!F171))*-1</f>
        <v/>
      </c>
      <c r="H47" s="519">
        <f>('INPUT SHEET'!H173-'INPUT SHEET'!G173-('INPUT SHEET'!H171-'INPUT SHEET'!G171))*-1</f>
        <v/>
      </c>
      <c r="I47" s="519">
        <f>('INPUT SHEET'!I173-'INPUT SHEET'!H173-('INPUT SHEET'!I171-'INPUT SHEET'!H171))*-1</f>
        <v/>
      </c>
      <c r="J47" s="519">
        <f>('INPUT SHEET'!J173-'INPUT SHEET'!I173-('INPUT SHEET'!J171-'INPUT SHEET'!I171))*-1</f>
        <v/>
      </c>
      <c r="K47" s="519">
        <f>('INPUT SHEET'!K173-'INPUT SHEET'!J173-('INPUT SHEET'!K171-'INPUT SHEET'!J171))*-1</f>
        <v/>
      </c>
      <c r="L47" s="519">
        <f>('INPUT SHEET'!L173-'INPUT SHEET'!K173-('INPUT SHEET'!L171-'INPUT SHEET'!K171))*-1</f>
        <v/>
      </c>
      <c r="M47" s="519">
        <f>('INPUT SHEET'!M173-'INPUT SHEET'!L173-('INPUT SHEET'!M171-'INPUT SHEET'!L171))*-1</f>
        <v/>
      </c>
    </row>
    <row r="48">
      <c r="B48" s="120" t="inlineStr">
        <is>
          <t xml:space="preserve">Change in Non current assets </t>
        </is>
      </c>
      <c r="C48" s="519">
        <f>-Form_III!F104+Form_III!E104</f>
        <v/>
      </c>
      <c r="D48" s="519">
        <f>-Form_III!G104+Form_III!F104</f>
        <v/>
      </c>
      <c r="E48" s="519">
        <f>-Form_III!H104+Form_III!G104</f>
        <v/>
      </c>
      <c r="F48" s="519">
        <f>-Form_III!I104+Form_III!H104</f>
        <v/>
      </c>
      <c r="G48" s="519">
        <f>-Form_III!J104+Form_III!I104</f>
        <v/>
      </c>
      <c r="H48" s="519">
        <f>-Form_III!K104+Form_III!J104</f>
        <v/>
      </c>
      <c r="I48" s="519">
        <f>-Form_III!L104+Form_III!K104</f>
        <v/>
      </c>
      <c r="J48" s="519">
        <f>-Form_III!M104+Form_III!L104</f>
        <v/>
      </c>
      <c r="K48" s="519">
        <f>-Form_III!N104+Form_III!M104</f>
        <v/>
      </c>
      <c r="L48" s="519">
        <f>-Form_III!O104+Form_III!N104</f>
        <v/>
      </c>
      <c r="M48" s="519">
        <f>-Form_III!P104+Form_III!O104</f>
        <v/>
      </c>
    </row>
    <row r="49">
      <c r="B49" s="120" t="n"/>
      <c r="C49" s="529" t="n"/>
      <c r="D49" s="529" t="n"/>
      <c r="E49" s="529" t="n"/>
      <c r="F49" s="529" t="n"/>
      <c r="G49" s="529" t="n"/>
      <c r="H49" s="529" t="n"/>
      <c r="I49" s="529" t="n"/>
      <c r="J49" s="529" t="n"/>
      <c r="K49" s="529" t="n"/>
      <c r="L49" s="529" t="n"/>
      <c r="M49" s="529" t="n"/>
    </row>
    <row r="50">
      <c r="B50" s="69" t="inlineStr">
        <is>
          <t>Net cash from investing activities ( 2 )</t>
        </is>
      </c>
      <c r="C50" s="537">
        <f>SUM(C44:C49)</f>
        <v/>
      </c>
      <c r="D50" s="537">
        <f>SUM(D44:D49)</f>
        <v/>
      </c>
      <c r="E50" s="537">
        <f>SUM(E44:E49)</f>
        <v/>
      </c>
      <c r="F50" s="537">
        <f>SUM(F44:F49)</f>
        <v/>
      </c>
      <c r="G50" s="537">
        <f>SUM(G44:G49)</f>
        <v/>
      </c>
      <c r="H50" s="537">
        <f>SUM(H44:H49)</f>
        <v/>
      </c>
      <c r="I50" s="537">
        <f>SUM(I44:I49)</f>
        <v/>
      </c>
      <c r="J50" s="537">
        <f>SUM(J44:J49)</f>
        <v/>
      </c>
      <c r="K50" s="537">
        <f>SUM(K44:K49)</f>
        <v/>
      </c>
      <c r="L50" s="537">
        <f>SUM(L44:L49)</f>
        <v/>
      </c>
      <c r="M50" s="537">
        <f>SUM(M44:M49)</f>
        <v/>
      </c>
    </row>
    <row r="51">
      <c r="B51" s="132" t="n"/>
      <c r="C51" s="538" t="n"/>
      <c r="D51" s="538" t="n"/>
      <c r="E51" s="538" t="n"/>
      <c r="F51" s="538" t="n"/>
      <c r="G51" s="538" t="n"/>
      <c r="H51" s="538" t="n"/>
      <c r="I51" s="538" t="n"/>
      <c r="J51" s="538" t="n"/>
      <c r="K51" s="538" t="n"/>
      <c r="L51" s="538" t="n"/>
      <c r="M51" s="538" t="n"/>
    </row>
    <row r="52">
      <c r="B52" s="69" t="inlineStr">
        <is>
          <t>Cash Flows from Financing activities</t>
        </is>
      </c>
      <c r="C52" s="529" t="n"/>
      <c r="D52" s="529" t="n"/>
      <c r="E52" s="529" t="n"/>
      <c r="F52" s="529" t="n"/>
      <c r="G52" s="529" t="n"/>
      <c r="H52" s="529" t="n"/>
      <c r="I52" s="529" t="n"/>
      <c r="J52" s="529" t="n"/>
      <c r="K52" s="529" t="n"/>
      <c r="L52" s="529" t="n"/>
      <c r="M52" s="529" t="n"/>
    </row>
    <row r="53">
      <c r="B53" s="76" t="n"/>
      <c r="C53" s="529" t="n"/>
      <c r="D53" s="529" t="n"/>
      <c r="E53" s="529" t="n"/>
      <c r="F53" s="529" t="n"/>
      <c r="G53" s="529" t="n"/>
      <c r="H53" s="529" t="n"/>
      <c r="I53" s="529" t="n"/>
      <c r="J53" s="529" t="n"/>
      <c r="K53" s="529" t="n"/>
      <c r="L53" s="529" t="n"/>
      <c r="M53" s="529" t="n"/>
    </row>
    <row r="54">
      <c r="B54" s="120">
        <f>B15</f>
        <v/>
      </c>
      <c r="C54" s="519">
        <f>-C15</f>
        <v/>
      </c>
      <c r="D54" s="519">
        <f>-D15</f>
        <v/>
      </c>
      <c r="E54" s="519">
        <f>-E15</f>
        <v/>
      </c>
      <c r="F54" s="519">
        <f>-F15</f>
        <v/>
      </c>
      <c r="G54" s="519">
        <f>-G15</f>
        <v/>
      </c>
      <c r="H54" s="519">
        <f>-H15</f>
        <v/>
      </c>
      <c r="I54" s="519">
        <f>-I15</f>
        <v/>
      </c>
      <c r="J54" s="519">
        <f>-J15</f>
        <v/>
      </c>
      <c r="K54" s="519">
        <f>-K15</f>
        <v/>
      </c>
      <c r="L54" s="519">
        <f>-L15</f>
        <v/>
      </c>
      <c r="M54" s="519">
        <f>-M15</f>
        <v/>
      </c>
    </row>
    <row r="55">
      <c r="B55" s="120" t="inlineStr">
        <is>
          <t>Dividend paid</t>
        </is>
      </c>
      <c r="C55" s="519">
        <f>Form_III!F20-Form_III!E20-Form_II!F53</f>
        <v/>
      </c>
      <c r="D55" s="519">
        <f>Form_III!G20-Form_III!F20-Form_II!G53</f>
        <v/>
      </c>
      <c r="E55" s="519">
        <f>Form_III!H20-Form_III!G20-Form_II!H53</f>
        <v/>
      </c>
      <c r="F55" s="519">
        <f>Form_III!I20-Form_III!H20-Form_II!I53</f>
        <v/>
      </c>
      <c r="G55" s="519">
        <f>Form_III!J20-Form_III!I20-Form_II!J53</f>
        <v/>
      </c>
      <c r="H55" s="519">
        <f>Form_III!K20-Form_III!J20-Form_II!K53</f>
        <v/>
      </c>
      <c r="I55" s="519">
        <f>Form_III!L20-Form_III!K20-Form_II!L53</f>
        <v/>
      </c>
      <c r="J55" s="519">
        <f>Form_III!M20-Form_III!L20-Form_II!M53</f>
        <v/>
      </c>
      <c r="K55" s="519">
        <f>Form_III!N20-Form_III!M20-Form_II!N53</f>
        <v/>
      </c>
      <c r="L55" s="519">
        <f>Form_III!O20-Form_III!N20-Form_II!O53</f>
        <v/>
      </c>
      <c r="M55" s="519">
        <f>Form_III!P20-Form_III!O20-Form_II!P53</f>
        <v/>
      </c>
    </row>
    <row r="56">
      <c r="B56" s="120" t="inlineStr">
        <is>
          <t>Increase / Decrease in Share Capital</t>
        </is>
      </c>
      <c r="C56" s="519">
        <f>Form_III!F41+Form_III!F42+Form_III!F48-Form_III!E41-Form_III!E42-Form_III!E48</f>
        <v/>
      </c>
      <c r="D56" s="519">
        <f>Form_III!G41+Form_III!G42+Form_III!G48-Form_III!F41-Form_III!F42-Form_III!F48</f>
        <v/>
      </c>
      <c r="E56" s="519">
        <f>Form_III!H41+Form_III!H42+Form_III!H48-Form_III!G41-Form_III!G42-Form_III!G48</f>
        <v/>
      </c>
      <c r="F56" s="519">
        <f>Form_III!I41+Form_III!I42+Form_III!I48-Form_III!H41-Form_III!H42-Form_III!H48</f>
        <v/>
      </c>
      <c r="G56" s="519">
        <f>Form_III!J41+Form_III!J42+Form_III!J48-Form_III!I41-Form_III!I42-Form_III!I48</f>
        <v/>
      </c>
      <c r="H56" s="519">
        <f>Form_III!K41+Form_III!K42+Form_III!K48-Form_III!J41-Form_III!J42-Form_III!J48</f>
        <v/>
      </c>
      <c r="I56" s="519">
        <f>Form_III!L41+Form_III!L42+Form_III!L48-Form_III!K41-Form_III!K42-Form_III!K48</f>
        <v/>
      </c>
      <c r="J56" s="519">
        <f>Form_III!M41+Form_III!M42+Form_III!M48-Form_III!L41-Form_III!L42-Form_III!L48</f>
        <v/>
      </c>
      <c r="K56" s="519">
        <f>Form_III!N41+Form_III!N42+Form_III!N48-Form_III!M41-Form_III!M42-Form_III!M48</f>
        <v/>
      </c>
      <c r="L56" s="519">
        <f>Form_III!O41+Form_III!O42+Form_III!O48-Form_III!N41-Form_III!N42-Form_III!N48</f>
        <v/>
      </c>
      <c r="M56" s="519">
        <f>Form_III!P41+Form_III!P42+Form_III!P48-Form_III!O41-Form_III!O42-Form_III!O48</f>
        <v/>
      </c>
    </row>
    <row r="57">
      <c r="B57" s="120" t="inlineStr">
        <is>
          <t xml:space="preserve">Change in Share Premium </t>
        </is>
      </c>
      <c r="C57" s="519">
        <f>Form_III!F45-Form_III!E45</f>
        <v/>
      </c>
      <c r="D57" s="519">
        <f>Form_III!G45-Form_III!F45</f>
        <v/>
      </c>
      <c r="E57" s="519">
        <f>Form_III!H45-Form_III!G45</f>
        <v/>
      </c>
      <c r="F57" s="519">
        <f>Form_III!I45-Form_III!H45</f>
        <v/>
      </c>
      <c r="G57" s="519">
        <f>Form_III!J45-Form_III!I45</f>
        <v/>
      </c>
      <c r="H57" s="519">
        <f>Form_III!K45-Form_III!J45</f>
        <v/>
      </c>
      <c r="I57" s="519">
        <f>Form_III!L45-Form_III!K45</f>
        <v/>
      </c>
      <c r="J57" s="519">
        <f>Form_III!M45-Form_III!L45</f>
        <v/>
      </c>
      <c r="K57" s="519">
        <f>Form_III!N45-Form_III!M45</f>
        <v/>
      </c>
      <c r="L57" s="519">
        <f>Form_III!O45-Form_III!N45</f>
        <v/>
      </c>
      <c r="M57" s="519">
        <f>Form_III!P45-Form_III!O45</f>
        <v/>
      </c>
    </row>
    <row r="58">
      <c r="B58" s="120" t="inlineStr">
        <is>
          <t>Change in Debentures / Preference Shares</t>
        </is>
      </c>
      <c r="C58" s="519">
        <f>Form_III!F32+Form_III!F33-Form_III!E32-Form_III!E33</f>
        <v/>
      </c>
      <c r="D58" s="519">
        <f>Form_III!G32+Form_III!G33-Form_III!F32-Form_III!F33</f>
        <v/>
      </c>
      <c r="E58" s="519">
        <f>Form_III!H32+Form_III!H33-Form_III!G32-Form_III!G33</f>
        <v/>
      </c>
      <c r="F58" s="519">
        <f>Form_III!I32+Form_III!I33-Form_III!H32-Form_III!H33</f>
        <v/>
      </c>
      <c r="G58" s="519">
        <f>Form_III!J32+Form_III!J33-Form_III!I32-Form_III!I33</f>
        <v/>
      </c>
      <c r="H58" s="519">
        <f>Form_III!K32+Form_III!K33-Form_III!J32-Form_III!J33</f>
        <v/>
      </c>
      <c r="I58" s="519">
        <f>Form_III!L32+Form_III!L33-Form_III!K32-Form_III!K33</f>
        <v/>
      </c>
      <c r="J58" s="519">
        <f>Form_III!M32+Form_III!M33-Form_III!L32-Form_III!L33</f>
        <v/>
      </c>
      <c r="K58" s="519">
        <f>Form_III!N32+Form_III!N33-Form_III!M32-Form_III!M33</f>
        <v/>
      </c>
      <c r="L58" s="519">
        <f>Form_III!O32+Form_III!O33-Form_III!N32-Form_III!N33</f>
        <v/>
      </c>
      <c r="M58" s="519">
        <f>Form_III!P32+Form_III!P33-Form_III!O32-Form_III!O33</f>
        <v/>
      </c>
    </row>
    <row r="59">
      <c r="B59" s="120" t="inlineStr">
        <is>
          <t>Change in Term Debt</t>
        </is>
      </c>
      <c r="C59" s="519">
        <f>Form_III!F34-Form_III!E34+Form_III!F22-Form_III!E22</f>
        <v/>
      </c>
      <c r="D59" s="519">
        <f>Form_III!G34-Form_III!F34+Form_III!G22-Form_III!F22</f>
        <v/>
      </c>
      <c r="E59" s="519">
        <f>Form_III!H34-Form_III!G34+Form_III!H22-Form_III!G22</f>
        <v/>
      </c>
      <c r="F59" s="519">
        <f>Form_III!I34-Form_III!H34+Form_III!I22-Form_III!H22</f>
        <v/>
      </c>
      <c r="G59" s="519">
        <f>Form_III!J34-Form_III!I34+Form_III!J22-Form_III!I22</f>
        <v/>
      </c>
      <c r="H59" s="519">
        <f>Form_III!K34-Form_III!J34+Form_III!K22-Form_III!J22</f>
        <v/>
      </c>
      <c r="I59" s="519">
        <f>Form_III!L34-Form_III!K34+Form_III!L22-Form_III!K22</f>
        <v/>
      </c>
      <c r="J59" s="519">
        <f>Form_III!M34-Form_III!L34+Form_III!M22-Form_III!L22</f>
        <v/>
      </c>
      <c r="K59" s="519">
        <f>Form_III!N34-Form_III!M34+Form_III!N22-Form_III!M22</f>
        <v/>
      </c>
      <c r="L59" s="519">
        <f>Form_III!O34-Form_III!N34+Form_III!O22-Form_III!N22</f>
        <v/>
      </c>
      <c r="M59" s="519">
        <f>Form_III!P34-Form_III!O34+Form_III!P22-Form_III!O22</f>
        <v/>
      </c>
    </row>
    <row r="60">
      <c r="B60" s="120" t="inlineStr">
        <is>
          <t>Change in other short / long term debts</t>
        </is>
      </c>
      <c r="C60" s="519">
        <f>Form_III!F36-Form_III!E36+Form_III!F16-Form_III!E16</f>
        <v/>
      </c>
      <c r="D60" s="519">
        <f>Form_III!G36-Form_III!F36+Form_III!G16-Form_III!F16</f>
        <v/>
      </c>
      <c r="E60" s="519">
        <f>Form_III!H36-Form_III!G36+Form_III!H16-Form_III!G16</f>
        <v/>
      </c>
      <c r="F60" s="519">
        <f>Form_III!I36-Form_III!H36+Form_III!I16-Form_III!H16</f>
        <v/>
      </c>
      <c r="G60" s="519">
        <f>Form_III!J36-Form_III!I36+Form_III!J16-Form_III!I16</f>
        <v/>
      </c>
      <c r="H60" s="519">
        <f>Form_III!K36-Form_III!J36+Form_III!K16-Form_III!J16</f>
        <v/>
      </c>
      <c r="I60" s="519">
        <f>Form_III!L36-Form_III!K36+Form_III!L16-Form_III!K16</f>
        <v/>
      </c>
      <c r="J60" s="519">
        <f>Form_III!M36-Form_III!L36+Form_III!M16-Form_III!L16</f>
        <v/>
      </c>
      <c r="K60" s="519">
        <f>Form_III!N36-Form_III!M36+Form_III!N16-Form_III!M16</f>
        <v/>
      </c>
      <c r="L60" s="519">
        <f>Form_III!O36-Form_III!N36+Form_III!O16-Form_III!N16</f>
        <v/>
      </c>
      <c r="M60" s="519">
        <f>Form_III!P36-Form_III!O36+Form_III!P16-Form_III!O16</f>
        <v/>
      </c>
    </row>
    <row r="61">
      <c r="B61" s="120" t="n"/>
      <c r="C61" s="529" t="n"/>
      <c r="D61" s="529" t="n"/>
      <c r="E61" s="529" t="n"/>
      <c r="F61" s="529" t="n"/>
      <c r="G61" s="529" t="n"/>
      <c r="H61" s="529" t="n"/>
      <c r="I61" s="529" t="n"/>
      <c r="J61" s="529" t="n"/>
      <c r="K61" s="529" t="n"/>
      <c r="L61" s="529" t="n"/>
      <c r="M61" s="529" t="n"/>
    </row>
    <row r="62">
      <c r="B62" s="69" t="inlineStr">
        <is>
          <t>Net cash from financing activities ( 3 )</t>
        </is>
      </c>
      <c r="C62" s="537">
        <f>SUM(C54:C61)</f>
        <v/>
      </c>
      <c r="D62" s="537">
        <f>SUM(D54:D61)</f>
        <v/>
      </c>
      <c r="E62" s="537">
        <f>SUM(E54:E61)</f>
        <v/>
      </c>
      <c r="F62" s="537">
        <f>SUM(F54:F61)</f>
        <v/>
      </c>
      <c r="G62" s="537">
        <f>SUM(G54:G61)</f>
        <v/>
      </c>
      <c r="H62" s="537">
        <f>SUM(H54:H61)</f>
        <v/>
      </c>
      <c r="I62" s="537">
        <f>SUM(I54:I61)</f>
        <v/>
      </c>
      <c r="J62" s="537">
        <f>SUM(J54:J61)</f>
        <v/>
      </c>
      <c r="K62" s="537">
        <f>SUM(K54:K61)</f>
        <v/>
      </c>
      <c r="L62" s="537">
        <f>SUM(L54:L61)</f>
        <v/>
      </c>
      <c r="M62" s="537">
        <f>SUM(M54:M61)</f>
        <v/>
      </c>
    </row>
    <row r="63">
      <c r="B63" s="132" t="n"/>
      <c r="C63" s="538" t="n"/>
      <c r="D63" s="538" t="n"/>
      <c r="E63" s="538" t="n"/>
      <c r="F63" s="538" t="n"/>
      <c r="G63" s="538" t="n"/>
      <c r="H63" s="538" t="n"/>
      <c r="I63" s="538" t="n"/>
      <c r="J63" s="538" t="n"/>
      <c r="K63" s="538" t="n"/>
      <c r="L63" s="538" t="n"/>
      <c r="M63" s="538" t="n"/>
    </row>
    <row r="64">
      <c r="B64" s="120" t="n"/>
      <c r="C64" s="529" t="n"/>
      <c r="D64" s="529" t="n"/>
      <c r="E64" s="529" t="n"/>
      <c r="F64" s="529" t="n"/>
      <c r="G64" s="529" t="n"/>
      <c r="H64" s="529" t="n"/>
      <c r="I64" s="529" t="n"/>
      <c r="J64" s="529" t="n"/>
      <c r="K64" s="529" t="n"/>
      <c r="L64" s="529" t="n"/>
      <c r="M64" s="529" t="n"/>
    </row>
    <row r="65">
      <c r="B65" s="76" t="inlineStr">
        <is>
          <t xml:space="preserve">Net increase in cash / bank balance ( 4 ) = ( 1 ) + ( 2 ) + ( 3 ) </t>
        </is>
      </c>
      <c r="C65" s="529">
        <f>C62+C50+C40</f>
        <v/>
      </c>
      <c r="D65" s="529">
        <f>D62+D50+D40</f>
        <v/>
      </c>
      <c r="E65" s="529">
        <f>E62+E50+E40</f>
        <v/>
      </c>
      <c r="F65" s="529">
        <f>F62+F50+F40</f>
        <v/>
      </c>
      <c r="G65" s="529">
        <f>G62+G50+G40</f>
        <v/>
      </c>
      <c r="H65" s="529">
        <f>H62+H50+H40</f>
        <v/>
      </c>
      <c r="I65" s="529">
        <f>I62+I50+I40</f>
        <v/>
      </c>
      <c r="J65" s="529">
        <f>J62+J50+J40</f>
        <v/>
      </c>
      <c r="K65" s="529">
        <f>K62+K50+K40</f>
        <v/>
      </c>
      <c r="L65" s="529">
        <f>L62+L50+L40</f>
        <v/>
      </c>
      <c r="M65" s="529">
        <f>M62+M50+M40</f>
        <v/>
      </c>
    </row>
    <row r="66">
      <c r="B66" s="120" t="n"/>
      <c r="C66" s="529" t="n"/>
      <c r="D66" s="529" t="n"/>
      <c r="E66" s="529" t="n"/>
      <c r="F66" s="529" t="n"/>
      <c r="G66" s="529" t="n"/>
      <c r="H66" s="529" t="n"/>
      <c r="I66" s="529" t="n"/>
      <c r="J66" s="529" t="n"/>
      <c r="K66" s="529" t="n"/>
      <c r="L66" s="529" t="n"/>
      <c r="M66" s="529" t="n"/>
    </row>
    <row r="67">
      <c r="B67" s="76" t="inlineStr">
        <is>
          <t>Cash / Bank Balance at the beginning of period ( 5 )</t>
        </is>
      </c>
      <c r="C67" s="529">
        <f>Form_III!E59</f>
        <v/>
      </c>
      <c r="D67" s="529">
        <f>Form_III!F59</f>
        <v/>
      </c>
      <c r="E67" s="529">
        <f>Form_III!G59</f>
        <v/>
      </c>
      <c r="F67" s="529">
        <f>Form_III!H59</f>
        <v/>
      </c>
      <c r="G67" s="529">
        <f>Form_III!I59</f>
        <v/>
      </c>
      <c r="H67" s="529">
        <f>Form_III!J59</f>
        <v/>
      </c>
      <c r="I67" s="529">
        <f>Form_III!K59</f>
        <v/>
      </c>
      <c r="J67" s="529">
        <f>Form_III!L59</f>
        <v/>
      </c>
      <c r="K67" s="529">
        <f>Form_III!M59</f>
        <v/>
      </c>
      <c r="L67" s="529">
        <f>Form_III!N59</f>
        <v/>
      </c>
      <c r="M67" s="529">
        <f>Form_III!O59</f>
        <v/>
      </c>
    </row>
    <row r="68">
      <c r="B68" s="69" t="inlineStr">
        <is>
          <t>Cash / Bank Balance at the end of period ( 4 ) + ( 5 )</t>
        </is>
      </c>
      <c r="C68" s="537">
        <f>C65+C67</f>
        <v/>
      </c>
      <c r="D68" s="537">
        <f>D65+D67</f>
        <v/>
      </c>
      <c r="E68" s="537">
        <f>E65+E67</f>
        <v/>
      </c>
      <c r="F68" s="537">
        <f>F65+F67</f>
        <v/>
      </c>
      <c r="G68" s="537">
        <f>G65+G67</f>
        <v/>
      </c>
      <c r="H68" s="537">
        <f>H65+H67</f>
        <v/>
      </c>
      <c r="I68" s="537">
        <f>I65+I67</f>
        <v/>
      </c>
      <c r="J68" s="537">
        <f>J65+J67</f>
        <v/>
      </c>
      <c r="K68" s="537">
        <f>K65+K67</f>
        <v/>
      </c>
      <c r="L68" s="537">
        <f>L65+L67</f>
        <v/>
      </c>
      <c r="M68" s="537">
        <f>M65+M67</f>
        <v/>
      </c>
    </row>
    <row r="69">
      <c r="B69" s="120" t="n"/>
      <c r="C69" s="529" t="n"/>
      <c r="D69" s="529" t="n"/>
      <c r="E69" s="529" t="n"/>
      <c r="F69" s="529" t="n"/>
      <c r="G69" s="529" t="n"/>
      <c r="H69" s="529" t="n"/>
      <c r="I69" s="529" t="n"/>
      <c r="J69" s="529" t="n"/>
      <c r="K69" s="529" t="n"/>
      <c r="L69" s="529" t="n"/>
      <c r="M69" s="529" t="n"/>
    </row>
    <row r="70">
      <c r="B70" s="76" t="inlineStr">
        <is>
          <t>Cash / Bank Balance at the end of period ( As per input sheet )</t>
        </is>
      </c>
      <c r="C70" s="529">
        <f>Form_III!F59</f>
        <v/>
      </c>
      <c r="D70" s="529">
        <f>Form_III!G59</f>
        <v/>
      </c>
      <c r="E70" s="529">
        <f>Form_III!H59</f>
        <v/>
      </c>
      <c r="F70" s="529">
        <f>Form_III!I59</f>
        <v/>
      </c>
      <c r="G70" s="529">
        <f>Form_III!J59</f>
        <v/>
      </c>
      <c r="H70" s="529">
        <f>Form_III!K59</f>
        <v/>
      </c>
      <c r="I70" s="529">
        <f>Form_III!L59</f>
        <v/>
      </c>
      <c r="J70" s="529">
        <f>Form_III!M59</f>
        <v/>
      </c>
      <c r="K70" s="529">
        <f>Form_III!N59</f>
        <v/>
      </c>
      <c r="L70" s="529">
        <f>Form_III!O59</f>
        <v/>
      </c>
      <c r="M70" s="529">
        <f>Form_III!P59</f>
        <v/>
      </c>
    </row>
    <row r="71">
      <c r="B71" s="120" t="n"/>
      <c r="C71" s="529" t="n"/>
      <c r="D71" s="529" t="n"/>
      <c r="E71" s="529" t="n"/>
      <c r="F71" s="529" t="n"/>
      <c r="G71" s="529" t="n"/>
      <c r="H71" s="529" t="n"/>
      <c r="I71" s="529" t="n"/>
      <c r="J71" s="529" t="n"/>
      <c r="K71" s="529" t="n"/>
      <c r="L71" s="529" t="n"/>
      <c r="M71" s="529" t="n"/>
    </row>
    <row r="72">
      <c r="B72" s="90" t="inlineStr">
        <is>
          <t>Check</t>
        </is>
      </c>
      <c r="C72" s="539">
        <f>C68-C70</f>
        <v/>
      </c>
      <c r="D72" s="539">
        <f>D68-D70</f>
        <v/>
      </c>
      <c r="E72" s="539">
        <f>E68-E70</f>
        <v/>
      </c>
      <c r="F72" s="539">
        <f>F68-F70</f>
        <v/>
      </c>
      <c r="G72" s="539">
        <f>G68-G70</f>
        <v/>
      </c>
      <c r="H72" s="539">
        <f>H68-H70</f>
        <v/>
      </c>
      <c r="I72" s="539">
        <f>I68-I70</f>
        <v/>
      </c>
      <c r="J72" s="539">
        <f>J68-J70</f>
        <v/>
      </c>
      <c r="K72" s="539">
        <f>K68-K70</f>
        <v/>
      </c>
      <c r="L72" s="539">
        <f>L68-L70</f>
        <v/>
      </c>
      <c r="M72" s="539">
        <f>M68-M70</f>
        <v/>
      </c>
    </row>
    <row r="73">
      <c r="C73" s="65" t="n"/>
      <c r="D73" s="65" t="n"/>
      <c r="E73" s="65" t="n"/>
      <c r="F73" s="65" t="n"/>
      <c r="G73" s="65" t="n"/>
      <c r="H73" s="65" t="n"/>
      <c r="I73" s="65" t="n"/>
      <c r="J73" s="65" t="n"/>
      <c r="K73" s="65" t="n"/>
      <c r="L73" s="65" t="n"/>
      <c r="M73" s="65" t="n"/>
    </row>
    <row r="74">
      <c r="C74" s="65" t="n"/>
      <c r="D74" s="65" t="n"/>
      <c r="E74" s="65" t="n"/>
      <c r="F74" s="65" t="n"/>
      <c r="G74" s="65" t="n"/>
      <c r="H74" s="65" t="n"/>
      <c r="I74" s="65" t="n"/>
      <c r="J74" s="65" t="n"/>
      <c r="K74" s="65" t="n"/>
      <c r="L74" s="65" t="n"/>
      <c r="M74" s="65" t="n"/>
    </row>
    <row r="75">
      <c r="C75" s="65" t="n"/>
      <c r="D75" s="65" t="n"/>
      <c r="E75" s="65" t="n"/>
      <c r="F75" s="65" t="n"/>
      <c r="G75" s="65" t="n"/>
      <c r="H75" s="65" t="n"/>
      <c r="I75" s="65" t="n"/>
      <c r="J75" s="65" t="n"/>
      <c r="K75" s="65" t="n"/>
      <c r="L75" s="65" t="n"/>
      <c r="M75" s="65" t="n"/>
    </row>
    <row r="76">
      <c r="C76" s="65" t="n"/>
      <c r="D76" s="65" t="n"/>
      <c r="E76" s="65" t="n"/>
      <c r="F76" s="65" t="n"/>
      <c r="G76" s="65" t="n"/>
      <c r="H76" s="65" t="n"/>
      <c r="I76" s="65" t="n"/>
      <c r="J76" s="65" t="n"/>
      <c r="K76" s="65" t="n"/>
      <c r="L76" s="65" t="n"/>
      <c r="M76" s="65" t="n"/>
    </row>
    <row r="77">
      <c r="C77" s="65" t="n"/>
      <c r="D77" s="65" t="n"/>
      <c r="E77" s="65" t="n"/>
      <c r="F77" s="65" t="n"/>
      <c r="G77" s="65" t="n"/>
      <c r="H77" s="65" t="n"/>
      <c r="I77" s="65" t="n"/>
      <c r="J77" s="65" t="n"/>
      <c r="K77" s="65" t="n"/>
      <c r="L77" s="65" t="n"/>
      <c r="M77" s="65" t="n"/>
    </row>
    <row r="78">
      <c r="C78" s="65" t="n"/>
      <c r="D78" s="65" t="n"/>
      <c r="E78" s="65" t="n"/>
      <c r="F78" s="65" t="n"/>
      <c r="G78" s="65" t="n"/>
      <c r="H78" s="65" t="n"/>
      <c r="I78" s="65" t="n"/>
      <c r="J78" s="65" t="n"/>
      <c r="K78" s="65" t="n"/>
      <c r="L78" s="65" t="n"/>
      <c r="M78" s="65" t="n"/>
    </row>
    <row r="79">
      <c r="C79" s="65" t="n"/>
      <c r="D79" s="65" t="n"/>
      <c r="E79" s="65" t="n"/>
      <c r="F79" s="65" t="n"/>
      <c r="G79" s="65" t="n"/>
      <c r="H79" s="65" t="n"/>
      <c r="I79" s="65" t="n"/>
      <c r="J79" s="65" t="n"/>
      <c r="K79" s="65" t="n"/>
      <c r="L79" s="65" t="n"/>
      <c r="M79" s="65" t="n"/>
    </row>
    <row r="80">
      <c r="C80" s="65" t="n"/>
      <c r="D80" s="65" t="n"/>
      <c r="E80" s="65" t="n"/>
      <c r="F80" s="65" t="n"/>
      <c r="G80" s="65" t="n"/>
      <c r="H80" s="65" t="n"/>
      <c r="I80" s="65" t="n"/>
      <c r="J80" s="65" t="n"/>
      <c r="K80" s="65" t="n"/>
      <c r="L80" s="65" t="n"/>
      <c r="M80" s="6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C2:F2"/>
    <mergeCell ref="C1:F1"/>
  </mergeCells>
  <pageMargins left="0.7479166666666667" right="0.7479166666666667" top="0.9840277777777778" bottom="0.9840277777777778" header="0.5118055555555556" footer="0.5118055555555556"/>
  <pageSetup orientation="portrait" scale="64" firstPageNumber="0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N69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I17" sqref="I17"/>
    </sheetView>
  </sheetViews>
  <sheetFormatPr baseColWidth="8" defaultRowHeight="13.2"/>
  <cols>
    <col width="7.109375" customWidth="1" min="1" max="1"/>
    <col width="30.6640625" customWidth="1" min="2" max="2"/>
    <col width="15.33203125" customWidth="1" min="3" max="3"/>
    <col width="13.6640625" customWidth="1" min="4" max="4"/>
    <col width="15.33203125" customWidth="1" min="5" max="5"/>
    <col width="12.44140625" customWidth="1" min="6" max="6"/>
    <col width="14.44140625" customWidth="1" min="7" max="11"/>
    <col hidden="1" outlineLevel="1" width="14.44140625" customWidth="1" min="12" max="14"/>
    <col collapsed="1" width="8.6640625" customWidth="1" min="15" max="15"/>
  </cols>
  <sheetData>
    <row r="1" ht="21.75" customHeight="1">
      <c r="A1" s="418" t="inlineStr">
        <is>
          <t>KEY FINANCIAL INDICATORS</t>
        </is>
      </c>
      <c r="B1" s="540" t="n"/>
    </row>
    <row r="2" ht="27" customHeight="1">
      <c r="A2" s="135">
        <f>Form_II!C4</f>
        <v/>
      </c>
      <c r="B2" s="136">
        <f>'INPUT SHEET'!B7</f>
        <v/>
      </c>
    </row>
    <row r="3" ht="21" customHeight="1"/>
    <row r="4" ht="15.9" customHeight="1">
      <c r="A4" s="419" t="inlineStr">
        <is>
          <t>Sr. No.</t>
        </is>
      </c>
      <c r="B4" s="420" t="inlineStr">
        <is>
          <t>Parameters</t>
        </is>
      </c>
      <c r="C4" s="137">
        <f>'INPUT SHEET'!B10</f>
        <v/>
      </c>
      <c r="D4" s="137">
        <f>'INPUT SHEET'!C10</f>
        <v/>
      </c>
      <c r="E4" s="137">
        <f>'INPUT SHEET'!D10</f>
        <v/>
      </c>
      <c r="F4" s="137">
        <f>'INPUT SHEET'!E10</f>
        <v/>
      </c>
      <c r="G4" s="138">
        <f>'INPUT SHEET'!F10</f>
        <v/>
      </c>
      <c r="H4" s="138">
        <f>'INPUT SHEET'!G10</f>
        <v/>
      </c>
      <c r="I4" s="138">
        <f>'INPUT SHEET'!H10</f>
        <v/>
      </c>
      <c r="J4" s="138">
        <f>'INPUT SHEET'!I10</f>
        <v/>
      </c>
      <c r="K4" s="138">
        <f>'INPUT SHEET'!J10</f>
        <v/>
      </c>
      <c r="L4" s="138">
        <f>'INPUT SHEET'!K10</f>
        <v/>
      </c>
      <c r="M4" s="138">
        <f>'INPUT SHEET'!L10</f>
        <v/>
      </c>
      <c r="N4" s="138">
        <f>'INPUT SHEET'!M10</f>
        <v/>
      </c>
    </row>
    <row r="5" ht="15.9" customHeight="1">
      <c r="A5" s="541" t="n"/>
      <c r="B5" s="542" t="n"/>
      <c r="C5" s="139">
        <f>'INPUT SHEET'!B8</f>
        <v/>
      </c>
      <c r="D5" s="139">
        <f>'INPUT SHEET'!C8</f>
        <v/>
      </c>
      <c r="E5" s="139">
        <f>'INPUT SHEET'!D8</f>
        <v/>
      </c>
      <c r="F5" s="139">
        <f>'INPUT SHEET'!E8</f>
        <v/>
      </c>
      <c r="G5" s="140">
        <f>'INPUT SHEET'!F8</f>
        <v/>
      </c>
      <c r="H5" s="140">
        <f>'INPUT SHEET'!G8</f>
        <v/>
      </c>
      <c r="I5" s="140">
        <f>'INPUT SHEET'!H8</f>
        <v/>
      </c>
      <c r="J5" s="140">
        <f>'INPUT SHEET'!I8</f>
        <v/>
      </c>
      <c r="K5" s="140">
        <f>'INPUT SHEET'!J8</f>
        <v/>
      </c>
      <c r="L5" s="140">
        <f>'INPUT SHEET'!K8</f>
        <v/>
      </c>
      <c r="M5" s="140">
        <f>'INPUT SHEET'!L8</f>
        <v/>
      </c>
      <c r="N5" s="140">
        <f>'INPUT SHEET'!M8</f>
        <v/>
      </c>
    </row>
    <row r="6" ht="15.9" customHeight="1">
      <c r="A6" s="141" t="n"/>
      <c r="B6" s="142">
        <f>'INPUT SHEET'!A9</f>
        <v/>
      </c>
      <c r="C6" s="143">
        <f>'INPUT SHEET'!B9</f>
        <v/>
      </c>
      <c r="D6" s="143">
        <f>'INPUT SHEET'!C9</f>
        <v/>
      </c>
      <c r="E6" s="143">
        <f>'INPUT SHEET'!D9</f>
        <v/>
      </c>
      <c r="F6" s="143">
        <f>'INPUT SHEET'!E9</f>
        <v/>
      </c>
      <c r="G6" s="144">
        <f>'INPUT SHEET'!F9</f>
        <v/>
      </c>
      <c r="H6" s="144">
        <f>'INPUT SHEET'!G9</f>
        <v/>
      </c>
      <c r="I6" s="144">
        <f>'INPUT SHEET'!H9</f>
        <v/>
      </c>
      <c r="J6" s="144">
        <f>'INPUT SHEET'!I9</f>
        <v/>
      </c>
      <c r="K6" s="144">
        <f>'INPUT SHEET'!J9</f>
        <v/>
      </c>
      <c r="L6" s="144">
        <f>'INPUT SHEET'!K9</f>
        <v/>
      </c>
      <c r="M6" s="144">
        <f>'INPUT SHEET'!L9</f>
        <v/>
      </c>
      <c r="N6" s="144">
        <f>'INPUT SHEET'!M9</f>
        <v/>
      </c>
    </row>
    <row r="7" ht="21" customHeight="1">
      <c r="A7" s="145" t="n">
        <v>1</v>
      </c>
      <c r="B7" s="146" t="inlineStr">
        <is>
          <t>Total Operating Income(TOI)</t>
        </is>
      </c>
      <c r="C7" s="543">
        <f>Form_II!E15</f>
        <v/>
      </c>
      <c r="D7" s="543">
        <f>Form_II!F15</f>
        <v/>
      </c>
      <c r="E7" s="543">
        <f>Form_II!G15</f>
        <v/>
      </c>
      <c r="F7" s="543">
        <f>Form_II!H15</f>
        <v/>
      </c>
      <c r="G7" s="543">
        <f>Form_II!I15</f>
        <v/>
      </c>
      <c r="H7" s="543">
        <f>Form_II!J15</f>
        <v/>
      </c>
      <c r="I7" s="543">
        <f>Form_II!K15</f>
        <v/>
      </c>
      <c r="J7" s="543">
        <f>Form_II!L15</f>
        <v/>
      </c>
      <c r="K7" s="543">
        <f>Form_II!M15</f>
        <v/>
      </c>
      <c r="L7" s="543">
        <f>Form_II!N15</f>
        <v/>
      </c>
      <c r="M7" s="543">
        <f>Form_II!O15</f>
        <v/>
      </c>
      <c r="N7" s="543">
        <f>Form_II!P15</f>
        <v/>
      </c>
    </row>
    <row r="8" ht="21" customHeight="1">
      <c r="A8" s="145" t="n">
        <v>2</v>
      </c>
      <c r="B8" s="146" t="inlineStr">
        <is>
          <t>E B I D T A</t>
        </is>
      </c>
      <c r="C8" s="543">
        <f>Form_II!E37+Form_II!E24</f>
        <v/>
      </c>
      <c r="D8" s="543">
        <f>Form_II!F37+Form_II!F24</f>
        <v/>
      </c>
      <c r="E8" s="543">
        <f>Form_II!G37+Form_II!G24</f>
        <v/>
      </c>
      <c r="F8" s="543">
        <f>Form_II!H37+Form_II!H24</f>
        <v/>
      </c>
      <c r="G8" s="543">
        <f>Form_II!I37+Form_II!I24</f>
        <v/>
      </c>
      <c r="H8" s="543">
        <f>Form_II!J37+Form_II!J24</f>
        <v/>
      </c>
      <c r="I8" s="543">
        <f>Form_II!K37+Form_II!K24</f>
        <v/>
      </c>
      <c r="J8" s="543">
        <f>Form_II!L37+Form_II!L24</f>
        <v/>
      </c>
      <c r="K8" s="543">
        <f>Form_II!M37+Form_II!M24</f>
        <v/>
      </c>
      <c r="L8" s="543">
        <f>Form_II!N37+Form_II!N24</f>
        <v/>
      </c>
      <c r="M8" s="543">
        <f>Form_II!O37+Form_II!O24</f>
        <v/>
      </c>
      <c r="N8" s="543">
        <f>Form_II!P37+Form_II!P24</f>
        <v/>
      </c>
    </row>
    <row r="9" ht="21" customHeight="1">
      <c r="A9" s="145" t="n">
        <v>3</v>
      </c>
      <c r="B9" s="146" t="inlineStr">
        <is>
          <t>E B I D T A/ TOI (%)</t>
        </is>
      </c>
      <c r="C9" s="544">
        <f>C8/C7</f>
        <v/>
      </c>
      <c r="D9" s="544">
        <f>D8/D7</f>
        <v/>
      </c>
      <c r="E9" s="544">
        <f>E8/E7</f>
        <v/>
      </c>
      <c r="F9" s="544">
        <f>F8/F7</f>
        <v/>
      </c>
      <c r="G9" s="544">
        <f>G8/G7</f>
        <v/>
      </c>
      <c r="H9" s="544">
        <f>H8/H7</f>
        <v/>
      </c>
      <c r="I9" s="544">
        <f>I8/I7</f>
        <v/>
      </c>
      <c r="J9" s="544">
        <f>J8/J7</f>
        <v/>
      </c>
      <c r="K9" s="544">
        <f>K8/K7</f>
        <v/>
      </c>
      <c r="L9" s="544">
        <f>L8/L7</f>
        <v/>
      </c>
      <c r="M9" s="544">
        <f>M8/M7</f>
        <v/>
      </c>
      <c r="N9" s="544">
        <f>N8/N7</f>
        <v/>
      </c>
    </row>
    <row r="10" ht="21" customHeight="1">
      <c r="A10" s="145" t="n">
        <v>4</v>
      </c>
      <c r="B10" s="146" t="inlineStr">
        <is>
          <t>Interest</t>
        </is>
      </c>
      <c r="C10" s="543">
        <f>Form_II!E38</f>
        <v/>
      </c>
      <c r="D10" s="543">
        <f>Form_II!F38</f>
        <v/>
      </c>
      <c r="E10" s="543">
        <f>Form_II!G38</f>
        <v/>
      </c>
      <c r="F10" s="543">
        <f>Form_II!H38</f>
        <v/>
      </c>
      <c r="G10" s="543">
        <f>Form_II!I38</f>
        <v/>
      </c>
      <c r="H10" s="543">
        <f>Form_II!J38</f>
        <v/>
      </c>
      <c r="I10" s="543">
        <f>Form_II!K38</f>
        <v/>
      </c>
      <c r="J10" s="543">
        <f>Form_II!L38</f>
        <v/>
      </c>
      <c r="K10" s="543">
        <f>Form_II!M38</f>
        <v/>
      </c>
      <c r="L10" s="543">
        <f>Form_II!N38</f>
        <v/>
      </c>
      <c r="M10" s="543">
        <f>Form_II!O38</f>
        <v/>
      </c>
      <c r="N10" s="543">
        <f>Form_II!P38</f>
        <v/>
      </c>
    </row>
    <row r="11" ht="21" customHeight="1">
      <c r="A11" s="145" t="n">
        <v>5</v>
      </c>
      <c r="B11" s="146" t="inlineStr">
        <is>
          <t xml:space="preserve">Depreciation </t>
        </is>
      </c>
      <c r="C11" s="543">
        <f>Form_II!E24</f>
        <v/>
      </c>
      <c r="D11" s="543">
        <f>Form_II!F24</f>
        <v/>
      </c>
      <c r="E11" s="543">
        <f>Form_II!G24</f>
        <v/>
      </c>
      <c r="F11" s="543">
        <f>Form_II!H24</f>
        <v/>
      </c>
      <c r="G11" s="543">
        <f>Form_II!I24</f>
        <v/>
      </c>
      <c r="H11" s="543">
        <f>Form_II!J24</f>
        <v/>
      </c>
      <c r="I11" s="543">
        <f>Form_II!K24</f>
        <v/>
      </c>
      <c r="J11" s="543">
        <f>Form_II!L24</f>
        <v/>
      </c>
      <c r="K11" s="543">
        <f>Form_II!M24</f>
        <v/>
      </c>
      <c r="L11" s="543">
        <f>Form_II!N24</f>
        <v/>
      </c>
      <c r="M11" s="543">
        <f>Form_II!O24</f>
        <v/>
      </c>
      <c r="N11" s="543">
        <f>Form_II!P24</f>
        <v/>
      </c>
    </row>
    <row r="12" ht="21" customHeight="1">
      <c r="A12" s="145" t="n">
        <v>6</v>
      </c>
      <c r="B12" s="146" t="inlineStr">
        <is>
          <t>Operating Profit after Dep.&amp; Int.</t>
        </is>
      </c>
      <c r="C12" s="543">
        <f>Form_II!E41</f>
        <v/>
      </c>
      <c r="D12" s="543">
        <f>Form_II!F41</f>
        <v/>
      </c>
      <c r="E12" s="543">
        <f>Form_II!G41</f>
        <v/>
      </c>
      <c r="F12" s="543">
        <f>Form_II!H41</f>
        <v/>
      </c>
      <c r="G12" s="543">
        <f>Form_II!I41</f>
        <v/>
      </c>
      <c r="H12" s="543">
        <f>Form_II!J41</f>
        <v/>
      </c>
      <c r="I12" s="543">
        <f>Form_II!K41</f>
        <v/>
      </c>
      <c r="J12" s="543">
        <f>Form_II!L41</f>
        <v/>
      </c>
      <c r="K12" s="543">
        <f>Form_II!M41</f>
        <v/>
      </c>
      <c r="L12" s="543">
        <f>Form_II!N41</f>
        <v/>
      </c>
      <c r="M12" s="543">
        <f>Form_II!O41</f>
        <v/>
      </c>
      <c r="N12" s="543">
        <f>Form_II!P41</f>
        <v/>
      </c>
    </row>
    <row r="13" ht="21" customHeight="1">
      <c r="A13" s="145" t="n">
        <v>7</v>
      </c>
      <c r="B13" s="146" t="inlineStr">
        <is>
          <t>Non Operating Income/Exps.</t>
        </is>
      </c>
      <c r="C13" s="543">
        <f>Form_II!E44</f>
        <v/>
      </c>
      <c r="D13" s="543">
        <f>Form_II!F44</f>
        <v/>
      </c>
      <c r="E13" s="543">
        <f>Form_II!G44</f>
        <v/>
      </c>
      <c r="F13" s="543">
        <f>Form_II!H44</f>
        <v/>
      </c>
      <c r="G13" s="543">
        <f>Form_II!I44</f>
        <v/>
      </c>
      <c r="H13" s="543">
        <f>Form_II!J44</f>
        <v/>
      </c>
      <c r="I13" s="543">
        <f>Form_II!K44</f>
        <v/>
      </c>
      <c r="J13" s="543">
        <f>Form_II!L44</f>
        <v/>
      </c>
      <c r="K13" s="543">
        <f>Form_II!M44</f>
        <v/>
      </c>
      <c r="L13" s="543">
        <f>Form_II!N44</f>
        <v/>
      </c>
      <c r="M13" s="543">
        <f>Form_II!O44</f>
        <v/>
      </c>
      <c r="N13" s="543">
        <f>Form_II!P44</f>
        <v/>
      </c>
    </row>
    <row r="14" ht="21" customHeight="1">
      <c r="A14" s="149" t="n">
        <v>8</v>
      </c>
      <c r="B14" s="146" t="inlineStr">
        <is>
          <t>P B T</t>
        </is>
      </c>
      <c r="C14" s="545">
        <f>Form_II!E45</f>
        <v/>
      </c>
      <c r="D14" s="545">
        <f>Form_II!F45</f>
        <v/>
      </c>
      <c r="E14" s="543">
        <f>Form_II!G45</f>
        <v/>
      </c>
      <c r="F14" s="543">
        <f>Form_II!H45</f>
        <v/>
      </c>
      <c r="G14" s="543">
        <f>Form_II!I45</f>
        <v/>
      </c>
      <c r="H14" s="543">
        <f>Form_II!J45</f>
        <v/>
      </c>
      <c r="I14" s="543">
        <f>Form_II!K45</f>
        <v/>
      </c>
      <c r="J14" s="543">
        <f>Form_II!L45</f>
        <v/>
      </c>
      <c r="K14" s="543">
        <f>Form_II!M45</f>
        <v/>
      </c>
      <c r="L14" s="543">
        <f>Form_II!N45</f>
        <v/>
      </c>
      <c r="M14" s="543">
        <f>Form_II!O45</f>
        <v/>
      </c>
      <c r="N14" s="543">
        <f>Form_II!P45</f>
        <v/>
      </c>
    </row>
    <row r="15" ht="21" customHeight="1">
      <c r="A15" s="149" t="n">
        <v>9</v>
      </c>
      <c r="B15" s="146" t="inlineStr">
        <is>
          <t>P A T</t>
        </is>
      </c>
      <c r="C15" s="545">
        <f>Form_II!E51</f>
        <v/>
      </c>
      <c r="D15" s="545">
        <f>Form_II!F51</f>
        <v/>
      </c>
      <c r="E15" s="545">
        <f>Form_II!G51</f>
        <v/>
      </c>
      <c r="F15" s="545">
        <f>Form_II!H51</f>
        <v/>
      </c>
      <c r="G15" s="543">
        <f>Form_II!I51</f>
        <v/>
      </c>
      <c r="H15" s="543">
        <f>Form_II!J51</f>
        <v/>
      </c>
      <c r="I15" s="543">
        <f>Form_II!K51</f>
        <v/>
      </c>
      <c r="J15" s="543">
        <f>Form_II!L51</f>
        <v/>
      </c>
      <c r="K15" s="543">
        <f>Form_II!M51</f>
        <v/>
      </c>
      <c r="L15" s="543">
        <f>Form_II!N51</f>
        <v/>
      </c>
      <c r="M15" s="543">
        <f>Form_II!O51</f>
        <v/>
      </c>
      <c r="N15" s="543">
        <f>Form_II!P51</f>
        <v/>
      </c>
    </row>
    <row r="16" ht="21" customHeight="1">
      <c r="A16" s="149" t="n">
        <v>10</v>
      </c>
      <c r="B16" s="146" t="inlineStr">
        <is>
          <t>PAT/ TOI (%)</t>
        </is>
      </c>
      <c r="C16" s="546">
        <f>C15/C7</f>
        <v/>
      </c>
      <c r="D16" s="546">
        <f>D15/D7</f>
        <v/>
      </c>
      <c r="E16" s="546">
        <f>E15/E7</f>
        <v/>
      </c>
      <c r="F16" s="546">
        <f>F15/F7</f>
        <v/>
      </c>
      <c r="G16" s="544">
        <f>G15/G7</f>
        <v/>
      </c>
      <c r="H16" s="544">
        <f>H15/H7</f>
        <v/>
      </c>
      <c r="I16" s="544">
        <f>I15/I7</f>
        <v/>
      </c>
      <c r="J16" s="544">
        <f>J15/J7</f>
        <v/>
      </c>
      <c r="K16" s="544">
        <f>K15/K7</f>
        <v/>
      </c>
      <c r="L16" s="544">
        <f>L15/L7</f>
        <v/>
      </c>
      <c r="M16" s="544">
        <f>M15/M7</f>
        <v/>
      </c>
      <c r="N16" s="544">
        <f>N15/N7</f>
        <v/>
      </c>
    </row>
    <row r="17" ht="21" customHeight="1">
      <c r="A17" s="149" t="n">
        <v>11</v>
      </c>
      <c r="B17" s="152" t="inlineStr">
        <is>
          <t>Net Cash Accruals (NCA)</t>
        </is>
      </c>
      <c r="C17" s="547">
        <f>Form_II!E51+Form_II!E24+Form_II!E48-Form_II!E49</f>
        <v/>
      </c>
      <c r="D17" s="547">
        <f>Form_II!F51+Form_II!F24+Form_II!F48-Form_II!F49</f>
        <v/>
      </c>
      <c r="E17" s="547">
        <f>Form_II!G51+Form_II!G24+Form_II!G48-Form_II!G49</f>
        <v/>
      </c>
      <c r="F17" s="547">
        <f>Form_II!H51+Form_II!H24+Form_II!H48-Form_II!H49</f>
        <v/>
      </c>
      <c r="G17" s="548">
        <f>Form_II!I51+Form_II!I24+Form_II!I48-Form_II!I49</f>
        <v/>
      </c>
      <c r="H17" s="548">
        <f>Form_II!J51+Form_II!J24+Form_II!J48-Form_II!J49</f>
        <v/>
      </c>
      <c r="I17" s="548">
        <f>Form_II!K51+Form_II!K24+Form_II!K48-Form_II!K49</f>
        <v/>
      </c>
      <c r="J17" s="548">
        <f>Form_II!L51+Form_II!L24+Form_II!L48-Form_II!L49</f>
        <v/>
      </c>
      <c r="K17" s="548">
        <f>Form_II!M51+Form_II!M24+Form_II!M48-Form_II!M49</f>
        <v/>
      </c>
      <c r="L17" s="548">
        <f>Form_II!N51+Form_II!N24+Form_II!N48-Form_II!N49</f>
        <v/>
      </c>
      <c r="M17" s="548">
        <f>Form_II!O51+Form_II!O24+Form_II!O48-Form_II!O49</f>
        <v/>
      </c>
      <c r="N17" s="548">
        <f>Form_II!P51+Form_II!P24+Form_II!P48-Form_II!P49</f>
        <v/>
      </c>
    </row>
    <row r="18" ht="18.75" customHeight="1">
      <c r="A18" s="149" t="n">
        <v>12</v>
      </c>
      <c r="B18" s="155" t="inlineStr">
        <is>
          <t>Gross Fixed Assets</t>
        </is>
      </c>
      <c r="C18" s="549">
        <f>Form_III!E88</f>
        <v/>
      </c>
      <c r="D18" s="549">
        <f>Form_III!F88</f>
        <v/>
      </c>
      <c r="E18" s="549">
        <f>Form_III!G88</f>
        <v/>
      </c>
      <c r="F18" s="549">
        <f>Form_III!H88</f>
        <v/>
      </c>
      <c r="G18" s="550">
        <f>Form_III!I88</f>
        <v/>
      </c>
      <c r="H18" s="550">
        <f>Form_III!J88</f>
        <v/>
      </c>
      <c r="I18" s="550">
        <f>Form_III!K88</f>
        <v/>
      </c>
      <c r="J18" s="550">
        <f>Form_III!L88</f>
        <v/>
      </c>
      <c r="K18" s="550">
        <f>Form_III!M88</f>
        <v/>
      </c>
      <c r="L18" s="550">
        <f>Form_III!N88</f>
        <v/>
      </c>
      <c r="M18" s="550">
        <f>Form_III!O88</f>
        <v/>
      </c>
      <c r="N18" s="550">
        <f>Form_III!P88</f>
        <v/>
      </c>
    </row>
    <row r="19" ht="26.25" customHeight="1">
      <c r="A19" s="149" t="n">
        <v>13</v>
      </c>
      <c r="B19" s="146" t="inlineStr">
        <is>
          <t>Net Fixed Assets</t>
        </is>
      </c>
      <c r="C19" s="545">
        <f>Form_III!E90</f>
        <v/>
      </c>
      <c r="D19" s="545">
        <f>Form_III!F90</f>
        <v/>
      </c>
      <c r="E19" s="545">
        <f>Form_III!G90</f>
        <v/>
      </c>
      <c r="F19" s="545">
        <f>Form_III!H90</f>
        <v/>
      </c>
      <c r="G19" s="543">
        <f>Form_III!I90</f>
        <v/>
      </c>
      <c r="H19" s="543">
        <f>Form_III!J90</f>
        <v/>
      </c>
      <c r="I19" s="543">
        <f>Form_III!K90</f>
        <v/>
      </c>
      <c r="J19" s="543">
        <f>Form_III!L90</f>
        <v/>
      </c>
      <c r="K19" s="543">
        <f>Form_III!M90</f>
        <v/>
      </c>
      <c r="L19" s="543">
        <f>Form_III!N90</f>
        <v/>
      </c>
      <c r="M19" s="543">
        <f>Form_III!O90</f>
        <v/>
      </c>
      <c r="N19" s="543">
        <f>Form_III!P90</f>
        <v/>
      </c>
    </row>
    <row r="20" ht="21" customHeight="1">
      <c r="A20" s="149" t="n">
        <v>14</v>
      </c>
      <c r="B20" s="146" t="inlineStr">
        <is>
          <t>Tangible Networth (TNW)</t>
        </is>
      </c>
      <c r="C20" s="545">
        <f>Form_III!E109</f>
        <v/>
      </c>
      <c r="D20" s="545">
        <f>Form_III!F109</f>
        <v/>
      </c>
      <c r="E20" s="545">
        <f>Form_III!G109</f>
        <v/>
      </c>
      <c r="F20" s="545">
        <f>Form_III!H109</f>
        <v/>
      </c>
      <c r="G20" s="545">
        <f>Form_III!I109</f>
        <v/>
      </c>
      <c r="H20" s="545">
        <f>Form_III!J109</f>
        <v/>
      </c>
      <c r="I20" s="545">
        <f>Form_III!K109</f>
        <v/>
      </c>
      <c r="J20" s="545">
        <f>Form_III!L109</f>
        <v/>
      </c>
      <c r="K20" s="545">
        <f>Form_III!M109</f>
        <v/>
      </c>
      <c r="L20" s="545">
        <f>Form_III!N109</f>
        <v/>
      </c>
      <c r="M20" s="545">
        <f>Form_III!O109</f>
        <v/>
      </c>
      <c r="N20" s="545">
        <f>Form_III!P109</f>
        <v/>
      </c>
    </row>
    <row r="21" ht="21" customHeight="1">
      <c r="A21" s="149" t="n">
        <v>15</v>
      </c>
      <c r="B21" s="146" t="inlineStr">
        <is>
          <t>Exposure in Group Co./Sub.</t>
        </is>
      </c>
      <c r="C21" s="545">
        <f>Form_III!E93</f>
        <v/>
      </c>
      <c r="D21" s="545">
        <f>Form_III!F93</f>
        <v/>
      </c>
      <c r="E21" s="545">
        <f>Form_III!G93</f>
        <v/>
      </c>
      <c r="F21" s="545">
        <f>Form_III!H93</f>
        <v/>
      </c>
      <c r="G21" s="543">
        <f>Form_III!I93</f>
        <v/>
      </c>
      <c r="H21" s="543">
        <f>Form_III!J93</f>
        <v/>
      </c>
      <c r="I21" s="543">
        <f>Form_III!K93</f>
        <v/>
      </c>
      <c r="J21" s="543">
        <f>Form_III!L93</f>
        <v/>
      </c>
      <c r="K21" s="543">
        <f>Form_III!M93</f>
        <v/>
      </c>
      <c r="L21" s="543">
        <f>Form_III!N93</f>
        <v/>
      </c>
      <c r="M21" s="543">
        <f>Form_III!O93</f>
        <v/>
      </c>
      <c r="N21" s="543">
        <f>Form_III!P93</f>
        <v/>
      </c>
    </row>
    <row r="22" ht="21" customHeight="1">
      <c r="A22" s="145" t="n">
        <v>18</v>
      </c>
      <c r="B22" s="146" t="inlineStr">
        <is>
          <t>Adjusted T N W (ATNW)</t>
        </is>
      </c>
      <c r="C22" s="543">
        <f>C20-C21</f>
        <v/>
      </c>
      <c r="D22" s="543">
        <f>D20-D21</f>
        <v/>
      </c>
      <c r="E22" s="543">
        <f>E20-E21</f>
        <v/>
      </c>
      <c r="F22" s="543">
        <f>F20-F21</f>
        <v/>
      </c>
      <c r="G22" s="543">
        <f>G20-G21</f>
        <v/>
      </c>
      <c r="H22" s="543">
        <f>H20-H21</f>
        <v/>
      </c>
      <c r="I22" s="543">
        <f>I20-I21</f>
        <v/>
      </c>
      <c r="J22" s="543">
        <f>J20-J21</f>
        <v/>
      </c>
      <c r="K22" s="543">
        <f>K20-K21</f>
        <v/>
      </c>
      <c r="L22" s="543">
        <f>L20-L21</f>
        <v/>
      </c>
      <c r="M22" s="543">
        <f>M20-M21</f>
        <v/>
      </c>
      <c r="N22" s="543">
        <f>N20-N21</f>
        <v/>
      </c>
    </row>
    <row r="23" ht="21" customHeight="1">
      <c r="A23" s="145" t="n">
        <v>19</v>
      </c>
      <c r="B23" s="146" t="inlineStr">
        <is>
          <t>Long Term Debt (LTD)</t>
        </is>
      </c>
      <c r="C23" s="543">
        <f>Form_III!E37-Form_III!E35</f>
        <v/>
      </c>
      <c r="D23" s="543">
        <f>Form_III!F37-Form_III!F35</f>
        <v/>
      </c>
      <c r="E23" s="543">
        <f>Form_III!G37-Form_III!G35</f>
        <v/>
      </c>
      <c r="F23" s="543">
        <f>Form_III!H37-Form_III!H35</f>
        <v/>
      </c>
      <c r="G23" s="543">
        <f>Form_III!I37-Form_III!I35</f>
        <v/>
      </c>
      <c r="H23" s="543">
        <f>Form_III!J37-Form_III!J35</f>
        <v/>
      </c>
      <c r="I23" s="543">
        <f>Form_III!K37-Form_III!K35</f>
        <v/>
      </c>
      <c r="J23" s="543">
        <f>Form_III!L37-Form_III!L35</f>
        <v/>
      </c>
      <c r="K23" s="543">
        <f>Form_III!M37-Form_III!M35</f>
        <v/>
      </c>
      <c r="L23" s="543">
        <f>Form_III!N37-Form_III!N35</f>
        <v/>
      </c>
      <c r="M23" s="543">
        <f>Form_III!O37-Form_III!O35</f>
        <v/>
      </c>
      <c r="N23" s="543">
        <f>Form_III!P37-Form_III!P35</f>
        <v/>
      </c>
    </row>
    <row r="24" ht="21" customHeight="1">
      <c r="A24" s="145" t="n">
        <v>20</v>
      </c>
      <c r="B24" s="146" t="inlineStr">
        <is>
          <t>Short Term Debt (STD)</t>
        </is>
      </c>
      <c r="C24" s="543">
        <f>Form_III!E22+Form_III!E16</f>
        <v/>
      </c>
      <c r="D24" s="543">
        <f>Form_III!F22+Form_III!F16</f>
        <v/>
      </c>
      <c r="E24" s="543">
        <f>Form_III!G22+Form_III!G16</f>
        <v/>
      </c>
      <c r="F24" s="543">
        <f>Form_III!H22+Form_III!H16</f>
        <v/>
      </c>
      <c r="G24" s="543">
        <f>Form_III!I22+Form_III!I16</f>
        <v/>
      </c>
      <c r="H24" s="543">
        <f>Form_III!J22+Form_III!J16</f>
        <v/>
      </c>
      <c r="I24" s="543">
        <f>Form_III!K22+Form_III!K16</f>
        <v/>
      </c>
      <c r="J24" s="543">
        <f>Form_III!L22+Form_III!L16</f>
        <v/>
      </c>
      <c r="K24" s="543">
        <f>Form_III!M22+Form_III!M16</f>
        <v/>
      </c>
      <c r="L24" s="543">
        <f>Form_III!N22+Form_III!N16</f>
        <v/>
      </c>
      <c r="M24" s="543">
        <f>Form_III!O22+Form_III!O16</f>
        <v/>
      </c>
      <c r="N24" s="543">
        <f>Form_III!P22+Form_III!P16</f>
        <v/>
      </c>
    </row>
    <row r="25" ht="21" customHeight="1">
      <c r="A25" s="145" t="n">
        <v>21</v>
      </c>
      <c r="B25" s="146" t="inlineStr">
        <is>
          <t>Working Cap. Bank Finance</t>
        </is>
      </c>
      <c r="C25" s="543">
        <f>Form_III!E15</f>
        <v/>
      </c>
      <c r="D25" s="543">
        <f>Form_III!F15</f>
        <v/>
      </c>
      <c r="E25" s="543">
        <f>Form_III!G15</f>
        <v/>
      </c>
      <c r="F25" s="543">
        <f>Form_III!H15</f>
        <v/>
      </c>
      <c r="G25" s="543">
        <f>Form_III!I15</f>
        <v/>
      </c>
      <c r="H25" s="543">
        <f>Form_III!J15</f>
        <v/>
      </c>
      <c r="I25" s="543">
        <f>Form_III!K15</f>
        <v/>
      </c>
      <c r="J25" s="543">
        <f>Form_III!L15</f>
        <v/>
      </c>
      <c r="K25" s="543">
        <f>Form_III!M15</f>
        <v/>
      </c>
      <c r="L25" s="543">
        <f>Form_III!N15</f>
        <v/>
      </c>
      <c r="M25" s="543">
        <f>Form_III!O15</f>
        <v/>
      </c>
      <c r="N25" s="543">
        <f>Form_III!P15</f>
        <v/>
      </c>
    </row>
    <row r="26" ht="21" customHeight="1">
      <c r="A26" s="145" t="n">
        <v>22</v>
      </c>
      <c r="B26" s="146" t="inlineStr">
        <is>
          <t>Total Debt</t>
        </is>
      </c>
      <c r="C26" s="543">
        <f>C25+C24+C23</f>
        <v/>
      </c>
      <c r="D26" s="543">
        <f>D25+D24+D23</f>
        <v/>
      </c>
      <c r="E26" s="543">
        <f>E25+E24+E23</f>
        <v/>
      </c>
      <c r="F26" s="543">
        <f>F25+F24+F23</f>
        <v/>
      </c>
      <c r="G26" s="543">
        <f>G25+G24+G23</f>
        <v/>
      </c>
      <c r="H26" s="543">
        <f>H25+H24+H23</f>
        <v/>
      </c>
      <c r="I26" s="543">
        <f>I25+I24+I23</f>
        <v/>
      </c>
      <c r="J26" s="543">
        <f>J25+J24+J23</f>
        <v/>
      </c>
      <c r="K26" s="543">
        <f>K25+K24+K23</f>
        <v/>
      </c>
      <c r="L26" s="543">
        <f>L25+L24+L23</f>
        <v/>
      </c>
      <c r="M26" s="543">
        <f>M25+M24+M23</f>
        <v/>
      </c>
      <c r="N26" s="543">
        <f>N25+N24+N23</f>
        <v/>
      </c>
    </row>
    <row r="27" ht="21" customHeight="1">
      <c r="A27" s="145" t="n">
        <v>23</v>
      </c>
      <c r="B27" s="146" t="inlineStr">
        <is>
          <t>Total Debt/ TNW</t>
        </is>
      </c>
      <c r="C27" s="543">
        <f>C26/C20</f>
        <v/>
      </c>
      <c r="D27" s="543">
        <f>D26/D20</f>
        <v/>
      </c>
      <c r="E27" s="543">
        <f>E26/E20</f>
        <v/>
      </c>
      <c r="F27" s="543">
        <f>F26/F20</f>
        <v/>
      </c>
      <c r="G27" s="543">
        <f>G26/G20</f>
        <v/>
      </c>
      <c r="H27" s="543">
        <f>H26/H20</f>
        <v/>
      </c>
      <c r="I27" s="543">
        <f>I26/I20</f>
        <v/>
      </c>
      <c r="J27" s="543">
        <f>J26/J20</f>
        <v/>
      </c>
      <c r="K27" s="543">
        <f>K26/K20</f>
        <v/>
      </c>
      <c r="L27" s="543">
        <f>L26/L20</f>
        <v/>
      </c>
      <c r="M27" s="543">
        <f>M26/M20</f>
        <v/>
      </c>
      <c r="N27" s="543">
        <f>N26/N20</f>
        <v/>
      </c>
    </row>
    <row r="28" ht="21" customHeight="1">
      <c r="A28" s="145" t="n">
        <v>24</v>
      </c>
      <c r="B28" s="146" t="inlineStr">
        <is>
          <t>L T D / T N W</t>
        </is>
      </c>
      <c r="C28" s="543">
        <f>C23/C20</f>
        <v/>
      </c>
      <c r="D28" s="543">
        <f>D23/D20</f>
        <v/>
      </c>
      <c r="E28" s="543">
        <f>E23/E20</f>
        <v/>
      </c>
      <c r="F28" s="543">
        <f>F23/F20</f>
        <v/>
      </c>
      <c r="G28" s="543">
        <f>G23/G20</f>
        <v/>
      </c>
      <c r="H28" s="543">
        <f>H23/H20</f>
        <v/>
      </c>
      <c r="I28" s="543">
        <f>I23/I20</f>
        <v/>
      </c>
      <c r="J28" s="543">
        <f>J23/J20</f>
        <v/>
      </c>
      <c r="K28" s="543">
        <f>K23/K20</f>
        <v/>
      </c>
      <c r="L28" s="543">
        <f>L23/L20</f>
        <v/>
      </c>
      <c r="M28" s="543">
        <f>M23/M20</f>
        <v/>
      </c>
      <c r="N28" s="543">
        <f>N23/N20</f>
        <v/>
      </c>
    </row>
    <row r="29" ht="21" customHeight="1">
      <c r="A29" s="145" t="n">
        <v>25</v>
      </c>
      <c r="B29" s="146" t="inlineStr">
        <is>
          <t>T O L / T N W</t>
        </is>
      </c>
      <c r="C29" s="543">
        <f>Form_III!E38/C20</f>
        <v/>
      </c>
      <c r="D29" s="543">
        <f>Form_III!F38/D20</f>
        <v/>
      </c>
      <c r="E29" s="545">
        <f>Form_III!G38/E20</f>
        <v/>
      </c>
      <c r="F29" s="543">
        <f>Form_III!H38/F20</f>
        <v/>
      </c>
      <c r="G29" s="543">
        <f>Form_III!I38/G20</f>
        <v/>
      </c>
      <c r="H29" s="543">
        <f>Form_III!J38/H20</f>
        <v/>
      </c>
      <c r="I29" s="543">
        <f>Form_III!K38/I20</f>
        <v/>
      </c>
      <c r="J29" s="543">
        <f>Form_III!L38/J20</f>
        <v/>
      </c>
      <c r="K29" s="543">
        <f>Form_III!M38/K20</f>
        <v/>
      </c>
      <c r="L29" s="543">
        <f>Form_III!N38/L20</f>
        <v/>
      </c>
      <c r="M29" s="543">
        <f>Form_III!O38/M20</f>
        <v/>
      </c>
      <c r="N29" s="543">
        <f>Form_III!P38/N20</f>
        <v/>
      </c>
    </row>
    <row r="30" ht="21" customHeight="1">
      <c r="A30" s="145" t="n">
        <v>26</v>
      </c>
      <c r="B30" s="146" t="inlineStr">
        <is>
          <t>T O L / A T N W</t>
        </is>
      </c>
      <c r="C30" s="543">
        <f>Form_III!E38/C22</f>
        <v/>
      </c>
      <c r="D30" s="543">
        <f>Form_III!F38/D22</f>
        <v/>
      </c>
      <c r="E30" s="545">
        <f>Form_III!G38/E22</f>
        <v/>
      </c>
      <c r="F30" s="545">
        <f>Form_III!H38/F22</f>
        <v/>
      </c>
      <c r="G30" s="543">
        <f>Form_III!I38/G22</f>
        <v/>
      </c>
      <c r="H30" s="543">
        <f>Form_III!J38/H22</f>
        <v/>
      </c>
      <c r="I30" s="543">
        <f>Form_III!K38/I22</f>
        <v/>
      </c>
      <c r="J30" s="543">
        <f>Form_III!L38/J22</f>
        <v/>
      </c>
      <c r="K30" s="543">
        <f>Form_III!M38/K22</f>
        <v/>
      </c>
      <c r="L30" s="543">
        <f>Form_III!N38/L22</f>
        <v/>
      </c>
      <c r="M30" s="543">
        <f>Form_III!O38/M22</f>
        <v/>
      </c>
      <c r="N30" s="543">
        <f>Form_III!P38/N22</f>
        <v/>
      </c>
    </row>
    <row r="31" ht="21" customHeight="1">
      <c r="A31" s="145" t="n">
        <v>27</v>
      </c>
      <c r="B31" s="416" t="inlineStr">
        <is>
          <t>Total Current Assets</t>
        </is>
      </c>
      <c r="C31" s="545">
        <f>Form_III!E83</f>
        <v/>
      </c>
      <c r="D31" s="543">
        <f>Form_III!F83</f>
        <v/>
      </c>
      <c r="E31" s="545">
        <f>Form_III!G83</f>
        <v/>
      </c>
      <c r="F31" s="545">
        <f>Form_III!H83</f>
        <v/>
      </c>
      <c r="G31" s="543">
        <f>Form_III!I83</f>
        <v/>
      </c>
      <c r="H31" s="543">
        <f>Form_III!J83</f>
        <v/>
      </c>
      <c r="I31" s="543">
        <f>Form_III!K83</f>
        <v/>
      </c>
      <c r="J31" s="543">
        <f>Form_III!L83</f>
        <v/>
      </c>
      <c r="K31" s="543">
        <f>Form_III!M83</f>
        <v/>
      </c>
      <c r="L31" s="543">
        <f>Form_III!N83</f>
        <v/>
      </c>
      <c r="M31" s="543">
        <f>Form_III!O83</f>
        <v/>
      </c>
      <c r="N31" s="543">
        <f>Form_III!P83</f>
        <v/>
      </c>
    </row>
    <row r="32" ht="21" customHeight="1">
      <c r="A32" s="145" t="n">
        <v>28</v>
      </c>
      <c r="B32" s="416" t="inlineStr">
        <is>
          <t>Total Current Liabilities</t>
        </is>
      </c>
      <c r="C32" s="545">
        <f>Form_III!E29</f>
        <v/>
      </c>
      <c r="D32" s="543">
        <f>Form_III!F29</f>
        <v/>
      </c>
      <c r="E32" s="545">
        <f>Form_III!G29</f>
        <v/>
      </c>
      <c r="F32" s="545">
        <f>Form_III!H29</f>
        <v/>
      </c>
      <c r="G32" s="543">
        <f>Form_III!I29</f>
        <v/>
      </c>
      <c r="H32" s="543">
        <f>Form_III!J29</f>
        <v/>
      </c>
      <c r="I32" s="543">
        <f>Form_III!K29</f>
        <v/>
      </c>
      <c r="J32" s="543">
        <f>Form_III!L29</f>
        <v/>
      </c>
      <c r="K32" s="543">
        <f>Form_III!M29</f>
        <v/>
      </c>
      <c r="L32" s="543">
        <f>Form_III!N29</f>
        <v/>
      </c>
      <c r="M32" s="543">
        <f>Form_III!O29</f>
        <v/>
      </c>
      <c r="N32" s="543">
        <f>Form_III!P29</f>
        <v/>
      </c>
    </row>
    <row r="33" ht="21" customHeight="1">
      <c r="A33" s="145" t="n">
        <v>29</v>
      </c>
      <c r="B33" s="416" t="inlineStr">
        <is>
          <t>Net Working Capital</t>
        </is>
      </c>
      <c r="C33" s="545">
        <f>C31-C32</f>
        <v/>
      </c>
      <c r="D33" s="543">
        <f>D31-D32</f>
        <v/>
      </c>
      <c r="E33" s="545">
        <f>E31-E32</f>
        <v/>
      </c>
      <c r="F33" s="378">
        <f>F31-F32</f>
        <v/>
      </c>
      <c r="G33" s="543">
        <f>G31-G32</f>
        <v/>
      </c>
      <c r="H33" s="543">
        <f>H31-H32</f>
        <v/>
      </c>
      <c r="I33" s="543">
        <f>I31-I32</f>
        <v/>
      </c>
      <c r="J33" s="543">
        <f>J31-J32</f>
        <v/>
      </c>
      <c r="K33" s="543">
        <f>K31-K32</f>
        <v/>
      </c>
      <c r="L33" s="543">
        <f>L31-L32</f>
        <v/>
      </c>
      <c r="M33" s="543">
        <f>M31-M32</f>
        <v/>
      </c>
      <c r="N33" s="543">
        <f>N31-N32</f>
        <v/>
      </c>
    </row>
    <row r="34" ht="21" customHeight="1">
      <c r="A34" s="149" t="n">
        <v>30</v>
      </c>
      <c r="B34" s="416" t="inlineStr">
        <is>
          <t>Current Ratio</t>
        </is>
      </c>
      <c r="C34" s="545">
        <f>C31/C32</f>
        <v/>
      </c>
      <c r="D34" s="543">
        <f>D31/D32</f>
        <v/>
      </c>
      <c r="E34" s="545">
        <f>E31/E32</f>
        <v/>
      </c>
      <c r="F34" s="378">
        <f>F31/F32</f>
        <v/>
      </c>
      <c r="G34" s="379">
        <f>G31/G32</f>
        <v/>
      </c>
      <c r="H34" s="543">
        <f>H31/H32</f>
        <v/>
      </c>
      <c r="I34" s="543">
        <f>I31/I32</f>
        <v/>
      </c>
      <c r="J34" s="543">
        <f>J31/J32</f>
        <v/>
      </c>
      <c r="K34" s="543">
        <f>K31/K32</f>
        <v/>
      </c>
      <c r="L34" s="543">
        <f>L31/L32</f>
        <v/>
      </c>
      <c r="M34" s="543">
        <f>M31/M32</f>
        <v/>
      </c>
      <c r="N34" s="543">
        <f>N31/N32</f>
        <v/>
      </c>
    </row>
    <row r="35" ht="21" customHeight="1">
      <c r="A35" s="149" t="n">
        <v>31</v>
      </c>
      <c r="B35" s="159" t="inlineStr">
        <is>
          <t>R O C E (%)</t>
        </is>
      </c>
      <c r="C35" s="546">
        <f>Form_II!E37/(Form_III!E90+Form_III!E83+Form_III!E104-Form_III!E28+Form_III!E22)</f>
        <v/>
      </c>
      <c r="D35" s="544">
        <f>Form_II!F37/(Form_III!F90+Form_III!F83+Form_III!F104-Form_III!F28+Form_III!F22)</f>
        <v/>
      </c>
      <c r="E35" s="546">
        <f>Form_II!G37/(Form_III!G90+Form_III!G83+Form_III!G104-Form_III!G28+Form_III!G22)</f>
        <v/>
      </c>
      <c r="F35" s="546">
        <f>Form_II!H37/(Form_III!H90+Form_III!H83+Form_III!H104-Form_III!H28+Form_III!H22)</f>
        <v/>
      </c>
      <c r="G35" s="544">
        <f>Form_II!I37/(Form_III!I90+Form_III!I83+Form_III!I104-Form_III!I28+Form_III!I22)</f>
        <v/>
      </c>
      <c r="H35" s="544">
        <f>Form_II!J37/(Form_III!J90+Form_III!J83+Form_III!J104-Form_III!J28+Form_III!J22)</f>
        <v/>
      </c>
      <c r="I35" s="544">
        <f>Form_II!K37/(Form_III!K90+Form_III!K83+Form_III!K104-Form_III!K28+Form_III!K22)</f>
        <v/>
      </c>
      <c r="J35" s="544">
        <f>Form_II!L37/(Form_III!L90+Form_III!L83+Form_III!L104-Form_III!L28+Form_III!L22)</f>
        <v/>
      </c>
      <c r="K35" s="544">
        <f>Form_II!M37/(Form_III!M90+Form_III!M83+Form_III!M104-Form_III!M28+Form_III!M22)</f>
        <v/>
      </c>
      <c r="L35" s="544">
        <f>Form_II!N37/(Form_III!N90+Form_III!N83+Form_III!N104-Form_III!N28+Form_III!N22)</f>
        <v/>
      </c>
      <c r="M35" s="544">
        <f>Form_II!O37/(Form_III!O90+Form_III!O83+Form_III!O104-Form_III!O28+Form_III!O22)</f>
        <v/>
      </c>
      <c r="N35" s="544">
        <f>Form_II!P37/(Form_III!P90+Form_III!P83+Form_III!P104-Form_III!P28+Form_III!P22)</f>
        <v/>
      </c>
    </row>
    <row r="36" ht="21" customHeight="1">
      <c r="A36" s="149" t="n">
        <v>32</v>
      </c>
      <c r="B36" s="160" t="inlineStr">
        <is>
          <t>Interest Coverage Ratio</t>
        </is>
      </c>
      <c r="C36" s="547">
        <f>(C8-Form_II!E47)/Form_II!E38</f>
        <v/>
      </c>
      <c r="D36" s="547">
        <f>(D8-Form_II!F47)/Form_II!F38</f>
        <v/>
      </c>
      <c r="E36" s="547">
        <f>(E8-Form_II!G47)/Form_II!G38</f>
        <v/>
      </c>
      <c r="F36" s="547">
        <f>(F8-Form_II!H47)/Form_II!H38</f>
        <v/>
      </c>
      <c r="G36" s="548">
        <f>(G8-Form_II!I47)/Form_II!I38</f>
        <v/>
      </c>
      <c r="H36" s="548">
        <f>(H8-Form_II!J47)/Form_II!J38</f>
        <v/>
      </c>
      <c r="I36" s="548">
        <f>(I8-Form_II!K47)/Form_II!K38</f>
        <v/>
      </c>
      <c r="J36" s="548">
        <f>(J8-Form_II!L47)/Form_II!L38</f>
        <v/>
      </c>
      <c r="K36" s="548">
        <f>(K8-Form_II!M47)/Form_II!M38</f>
        <v/>
      </c>
      <c r="L36" s="548">
        <f>(L8-Form_II!N47)/Form_II!N38</f>
        <v/>
      </c>
      <c r="M36" s="548">
        <f>(M8-Form_II!O47)/Form_II!O38</f>
        <v/>
      </c>
      <c r="N36" s="548">
        <f>(N8-Form_II!P47)/Form_II!P38</f>
        <v/>
      </c>
    </row>
    <row r="37" ht="21" customHeight="1">
      <c r="A37" s="149" t="n">
        <v>33</v>
      </c>
      <c r="B37" s="416" t="inlineStr">
        <is>
          <t>Total Debt/Net Cash Accrual</t>
        </is>
      </c>
      <c r="C37" s="545">
        <f>C26/(C17*12/C$6)</f>
        <v/>
      </c>
      <c r="D37" s="545">
        <f>D26/(D17*12/D$6)</f>
        <v/>
      </c>
      <c r="E37" s="545">
        <f>E26/(E17*12/E$6)</f>
        <v/>
      </c>
      <c r="F37" s="545">
        <f>F26/(F17*12/F$6)</f>
        <v/>
      </c>
      <c r="G37" s="543">
        <f>G26/(G17*12/G$6)</f>
        <v/>
      </c>
      <c r="H37" s="543">
        <f>H26/(H17*12/H$6)</f>
        <v/>
      </c>
      <c r="I37" s="543">
        <f>I26/(I17*12/I$6)</f>
        <v/>
      </c>
      <c r="J37" s="543">
        <f>J26/(J17*12/J$6)</f>
        <v/>
      </c>
      <c r="K37" s="543">
        <f>K26/(K17*12/K$6)</f>
        <v/>
      </c>
      <c r="L37" s="543">
        <f>L26/(L17*12/L$6)</f>
        <v/>
      </c>
      <c r="M37" s="543">
        <f>M26/(M17*12/M$6)</f>
        <v/>
      </c>
      <c r="N37" s="543">
        <f>N26/(N17*12/N$6)</f>
        <v/>
      </c>
    </row>
    <row r="38" ht="21" customHeight="1">
      <c r="A38" s="149" t="n">
        <v>34</v>
      </c>
      <c r="B38" s="161" t="inlineStr">
        <is>
          <t>DSCR</t>
        </is>
      </c>
      <c r="C38" s="547" t="n"/>
      <c r="D38" s="547">
        <f>(D17+Form_II!F39)/(Form_III!E22+Form_II!F39)</f>
        <v/>
      </c>
      <c r="E38" s="547">
        <f>(E17+Form_II!G39)/(Form_III!F22+Form_II!G39)</f>
        <v/>
      </c>
      <c r="F38" s="547">
        <f>(F17+Form_II!H39)/(Form_III!G22+Form_II!H39)</f>
        <v/>
      </c>
      <c r="G38" s="548">
        <f>(G17+Form_II!I39)/(Form_III!H22+Form_II!I39)</f>
        <v/>
      </c>
      <c r="H38" s="548">
        <f>(H17+Form_II!J39)/(Form_III!I22+Form_II!J39)</f>
        <v/>
      </c>
      <c r="I38" s="548">
        <f>(I17+Form_II!K39)/(Form_III!J22+Form_II!K39)</f>
        <v/>
      </c>
      <c r="J38" s="548">
        <f>(J17+Form_II!L39)/(Form_III!K22+Form_II!L39)</f>
        <v/>
      </c>
      <c r="K38" s="548">
        <f>(K17+Form_II!M39)/(Form_III!L22+Form_II!M39)</f>
        <v/>
      </c>
      <c r="L38" s="548">
        <f>(L17+Form_II!N39)/(Form_III!M22+Form_II!N39)</f>
        <v/>
      </c>
      <c r="M38" s="548">
        <f>(M17+Form_II!O39)/(Form_III!N22+Form_II!O39)</f>
        <v/>
      </c>
      <c r="N38" s="548">
        <f>(N17+Form_II!P39)/(Form_III!O22+Form_II!P39)</f>
        <v/>
      </c>
    </row>
    <row r="39" ht="21" customHeight="1">
      <c r="A39" s="162" t="n">
        <v>35</v>
      </c>
      <c r="B39" s="163" t="inlineStr">
        <is>
          <t>Gross Profit Ratio</t>
        </is>
      </c>
      <c r="C39" s="551">
        <f>(C7-(Form_II!E34-Form_II!E24))/C7</f>
        <v/>
      </c>
      <c r="D39" s="552">
        <f>(D7-(Form_II!F34-Form_II!F24))/D7</f>
        <v/>
      </c>
      <c r="E39" s="551">
        <f>(E7-(Form_II!G34-Form_II!G24))/E7</f>
        <v/>
      </c>
      <c r="F39" s="551">
        <f>(F7-(Form_II!H34-Form_II!H24))/F7</f>
        <v/>
      </c>
      <c r="G39" s="552">
        <f>(G7-(Form_II!I34-Form_II!I24))/G7</f>
        <v/>
      </c>
      <c r="H39" s="552">
        <f>(H7-(Form_II!J34-Form_II!J24))/H7</f>
        <v/>
      </c>
      <c r="I39" s="552">
        <f>(I7-(Form_II!K34-Form_II!K24))/I7</f>
        <v/>
      </c>
      <c r="J39" s="552">
        <f>(J7-(Form_II!L34-Form_II!L24))/J7</f>
        <v/>
      </c>
      <c r="K39" s="552">
        <f>(K7-(Form_II!M34-Form_II!M24))/K7</f>
        <v/>
      </c>
      <c r="L39" s="552">
        <f>(L7-(Form_II!N34-Form_II!N24))/L7</f>
        <v/>
      </c>
      <c r="M39" s="552">
        <f>(M7-(Form_II!O34-Form_II!O24))/M7</f>
        <v/>
      </c>
      <c r="N39" s="552">
        <f>(N7-(Form_II!P34-Form_II!P24))/N7</f>
        <v/>
      </c>
    </row>
    <row r="40" ht="21" customHeight="1">
      <c r="A40" s="166" t="n"/>
      <c r="B40" s="167" t="n"/>
      <c r="C40" s="553" t="n"/>
      <c r="D40" s="553" t="n"/>
      <c r="E40" s="553" t="n"/>
      <c r="F40" s="553" t="n"/>
      <c r="G40" s="553" t="n"/>
      <c r="H40" s="553" t="n"/>
      <c r="I40" s="553" t="n"/>
      <c r="J40" s="553" t="n"/>
      <c r="K40" s="553" t="n"/>
      <c r="L40" s="553" t="n"/>
      <c r="M40" s="553" t="n"/>
      <c r="N40" s="553" t="n"/>
    </row>
    <row r="41" ht="21" customHeight="1">
      <c r="A41" s="169" t="inlineStr">
        <is>
          <t>Fund Flow Analysis</t>
        </is>
      </c>
      <c r="B41" s="170" t="n"/>
      <c r="C41" s="170" t="n"/>
      <c r="D41" s="171" t="n"/>
      <c r="E41" s="171" t="n"/>
      <c r="F41" s="171" t="n"/>
      <c r="G41" s="171" t="n"/>
      <c r="H41" s="171" t="n"/>
      <c r="I41" s="171" t="n"/>
      <c r="J41" s="171" t="n"/>
      <c r="K41" s="171" t="n"/>
      <c r="L41" s="171" t="n"/>
      <c r="M41" s="171" t="n"/>
      <c r="N41" s="171" t="n"/>
    </row>
    <row r="42" ht="21" customHeight="1">
      <c r="A42" s="421" t="inlineStr">
        <is>
          <t>Financial Year</t>
        </is>
      </c>
      <c r="B42" s="554" t="n"/>
      <c r="C42" s="554" t="n"/>
      <c r="D42" s="555">
        <f>Form_II!F8</f>
        <v/>
      </c>
      <c r="E42" s="556">
        <f>Form_II!G8</f>
        <v/>
      </c>
      <c r="F42" s="555">
        <f>Form_II!H8</f>
        <v/>
      </c>
      <c r="G42" s="557">
        <f>Form_II!I8</f>
        <v/>
      </c>
      <c r="H42" s="557">
        <f>Form_II!J8</f>
        <v/>
      </c>
      <c r="I42" s="557">
        <f>Form_II!K8</f>
        <v/>
      </c>
      <c r="J42" s="557">
        <f>Form_II!L8</f>
        <v/>
      </c>
      <c r="K42" s="557">
        <f>Form_II!M8</f>
        <v/>
      </c>
      <c r="L42" s="557">
        <f>Form_II!N8</f>
        <v/>
      </c>
      <c r="M42" s="557">
        <f>Form_II!O8</f>
        <v/>
      </c>
      <c r="N42" s="557">
        <f>Form_II!P8</f>
        <v/>
      </c>
    </row>
    <row r="43" ht="21" customHeight="1">
      <c r="A43" s="416" t="inlineStr">
        <is>
          <t>Long Term Sources</t>
        </is>
      </c>
      <c r="D43" s="543">
        <f>Form_VI!E19</f>
        <v/>
      </c>
      <c r="E43" s="558">
        <f>Form_VI!F19</f>
        <v/>
      </c>
      <c r="F43" s="543">
        <f>Form_VI!G19</f>
        <v/>
      </c>
      <c r="G43" s="559">
        <f>Form_VI!H19</f>
        <v/>
      </c>
      <c r="H43" s="559">
        <f>Form_VI!I19</f>
        <v/>
      </c>
      <c r="I43" s="559">
        <f>Form_VI!J19</f>
        <v/>
      </c>
      <c r="J43" s="559">
        <f>Form_VI!K19</f>
        <v/>
      </c>
      <c r="K43" s="559">
        <f>Form_VI!L19</f>
        <v/>
      </c>
      <c r="L43" s="559">
        <f>Form_VI!M19</f>
        <v/>
      </c>
      <c r="M43" s="559">
        <f>Form_VI!N19</f>
        <v/>
      </c>
      <c r="N43" s="559">
        <f>Form_VI!O19</f>
        <v/>
      </c>
    </row>
    <row r="44" ht="21" customHeight="1">
      <c r="A44" s="416" t="inlineStr">
        <is>
          <t xml:space="preserve">Long Term uses </t>
        </is>
      </c>
      <c r="D44" s="543">
        <f>Form_VI!E29</f>
        <v/>
      </c>
      <c r="E44" s="558">
        <f>Form_VI!F29</f>
        <v/>
      </c>
      <c r="F44" s="543">
        <f>Form_VI!G29</f>
        <v/>
      </c>
      <c r="G44" s="559">
        <f>Form_VI!H29</f>
        <v/>
      </c>
      <c r="H44" s="559">
        <f>Form_VI!I29</f>
        <v/>
      </c>
      <c r="I44" s="559">
        <f>Form_VI!J29</f>
        <v/>
      </c>
      <c r="J44" s="559">
        <f>Form_VI!K29</f>
        <v/>
      </c>
      <c r="K44" s="559">
        <f>Form_VI!L29</f>
        <v/>
      </c>
      <c r="L44" s="559">
        <f>Form_VI!M29</f>
        <v/>
      </c>
      <c r="M44" s="559">
        <f>Form_VI!N29</f>
        <v/>
      </c>
      <c r="N44" s="559">
        <f>Form_VI!O29</f>
        <v/>
      </c>
    </row>
    <row r="45" ht="21" customHeight="1">
      <c r="A45" s="416" t="inlineStr">
        <is>
          <t>Surplus/Deficit</t>
        </is>
      </c>
      <c r="D45" s="543">
        <f>Form_VI!E31</f>
        <v/>
      </c>
      <c r="E45" s="558">
        <f>Form_VI!F31</f>
        <v/>
      </c>
      <c r="F45" s="543">
        <f>Form_VI!G31</f>
        <v/>
      </c>
      <c r="G45" s="559">
        <f>Form_VI!H31</f>
        <v/>
      </c>
      <c r="H45" s="559">
        <f>Form_VI!I31</f>
        <v/>
      </c>
      <c r="I45" s="559">
        <f>Form_VI!J31</f>
        <v/>
      </c>
      <c r="J45" s="559">
        <f>Form_VI!K31</f>
        <v/>
      </c>
      <c r="K45" s="559">
        <f>Form_VI!L31</f>
        <v/>
      </c>
      <c r="L45" s="559">
        <f>Form_VI!M31</f>
        <v/>
      </c>
      <c r="M45" s="559">
        <f>Form_VI!N31</f>
        <v/>
      </c>
      <c r="N45" s="559">
        <f>Form_VI!O31</f>
        <v/>
      </c>
    </row>
    <row r="46" ht="21" customHeight="1">
      <c r="A46" s="417" t="inlineStr">
        <is>
          <t>Surplus / Incremental build up of current assets (%)</t>
        </is>
      </c>
      <c r="B46" s="560" t="n"/>
      <c r="C46" s="560" t="n"/>
      <c r="D46" s="561">
        <f>(Form_III!F83-Form_III!E83)/Form_III!E83</f>
        <v/>
      </c>
      <c r="E46" s="562">
        <f>(Form_III!G83-Form_III!F83)/Form_III!F83</f>
        <v/>
      </c>
      <c r="F46" s="561">
        <f>(Form_III!H83-Form_III!G83)/Form_III!G83</f>
        <v/>
      </c>
      <c r="G46" s="563">
        <f>(Form_III!I83-Form_III!H83)/Form_III!H83</f>
        <v/>
      </c>
      <c r="H46" s="563">
        <f>(Form_III!J83-Form_III!I83)/Form_III!I83</f>
        <v/>
      </c>
      <c r="I46" s="563">
        <f>(Form_III!K83-Form_III!J83)/Form_III!J83</f>
        <v/>
      </c>
      <c r="J46" s="563">
        <f>(Form_III!L83-Form_III!K83)/Form_III!K83</f>
        <v/>
      </c>
      <c r="K46" s="563">
        <f>(Form_III!M83-Form_III!L83)/Form_III!L83</f>
        <v/>
      </c>
      <c r="L46" s="563">
        <f>(Form_III!N83-Form_III!M83)/Form_III!M83</f>
        <v/>
      </c>
      <c r="M46" s="563">
        <f>(Form_III!O83-Form_III!N83)/Form_III!N83</f>
        <v/>
      </c>
      <c r="N46" s="563">
        <f>(Form_III!P83-Form_III!O83)/Form_III!O83</f>
        <v/>
      </c>
    </row>
    <row r="47" ht="21" customHeight="1">
      <c r="B47" s="180" t="n"/>
      <c r="C47" s="180" t="n"/>
      <c r="D47" s="180" t="n"/>
      <c r="E47" s="180" t="n"/>
      <c r="F47" s="180" t="n"/>
      <c r="G47" s="180" t="n"/>
      <c r="H47" s="180" t="n"/>
      <c r="I47" s="180" t="n"/>
      <c r="J47" s="180" t="n"/>
      <c r="K47" s="180" t="n"/>
      <c r="L47" s="180" t="n"/>
      <c r="M47" s="180" t="n"/>
      <c r="N47" s="180" t="n"/>
    </row>
    <row r="48" ht="21" customHeight="1">
      <c r="A48" s="181" t="inlineStr">
        <is>
          <t>Pattern of TCA Funding</t>
        </is>
      </c>
      <c r="B48" s="182" t="n"/>
      <c r="C48" s="182" t="n"/>
      <c r="D48" s="182" t="n"/>
      <c r="E48" s="182" t="n"/>
      <c r="F48" s="182" t="n"/>
      <c r="G48" s="182" t="n"/>
      <c r="H48" s="182" t="n"/>
      <c r="I48" s="182" t="n"/>
      <c r="J48" s="182" t="n"/>
      <c r="K48" s="182" t="n"/>
      <c r="L48" s="182" t="n"/>
      <c r="M48" s="182" t="n"/>
      <c r="N48" s="182" t="n"/>
    </row>
    <row r="49" ht="21" customHeight="1">
      <c r="A49" s="183" t="inlineStr">
        <is>
          <t>Year ended / Ending March 31</t>
        </is>
      </c>
      <c r="B49" s="184" t="n"/>
      <c r="C49" s="564">
        <f>Form_II!E8</f>
        <v/>
      </c>
      <c r="D49" s="564">
        <f>Form_II!F8</f>
        <v/>
      </c>
      <c r="E49" s="565">
        <f>Form_II!G8</f>
        <v/>
      </c>
      <c r="F49" s="564">
        <f>Form_II!H8</f>
        <v/>
      </c>
      <c r="G49" s="566">
        <f>Form_II!I8</f>
        <v/>
      </c>
      <c r="H49" s="566">
        <f>Form_II!J8</f>
        <v/>
      </c>
      <c r="I49" s="566">
        <f>Form_II!K8</f>
        <v/>
      </c>
      <c r="J49" s="566">
        <f>Form_II!L8</f>
        <v/>
      </c>
      <c r="K49" s="566">
        <f>Form_II!M8</f>
        <v/>
      </c>
      <c r="L49" s="566">
        <f>Form_II!N8</f>
        <v/>
      </c>
      <c r="M49" s="566">
        <f>Form_II!O8</f>
        <v/>
      </c>
      <c r="N49" s="566">
        <f>Form_II!P8</f>
        <v/>
      </c>
    </row>
    <row r="50" ht="21" customHeight="1">
      <c r="A50" s="188" t="inlineStr">
        <is>
          <t>Sundry Creditors</t>
        </is>
      </c>
      <c r="B50" s="182" t="n"/>
      <c r="C50" s="567">
        <f>Form_III!E17/Form_III!E83</f>
        <v/>
      </c>
      <c r="D50" s="567">
        <f>Form_III!F17/Form_III!F83</f>
        <v/>
      </c>
      <c r="E50" s="568">
        <f>Form_III!G17/Form_III!G83</f>
        <v/>
      </c>
      <c r="F50" s="567">
        <f>Form_III!H17/Form_III!H83</f>
        <v/>
      </c>
      <c r="G50" s="569">
        <f>Form_III!I17/Form_III!I83</f>
        <v/>
      </c>
      <c r="H50" s="569">
        <f>Form_III!J17/Form_III!J83</f>
        <v/>
      </c>
      <c r="I50" s="569">
        <f>Form_III!K17/Form_III!K83</f>
        <v/>
      </c>
      <c r="J50" s="569">
        <f>Form_III!L17/Form_III!L83</f>
        <v/>
      </c>
      <c r="K50" s="569">
        <f>Form_III!M17/Form_III!M83</f>
        <v/>
      </c>
      <c r="L50" s="569">
        <f>Form_III!N17/Form_III!N83</f>
        <v/>
      </c>
      <c r="M50" s="569">
        <f>Form_III!O17/Form_III!O83</f>
        <v/>
      </c>
      <c r="N50" s="569">
        <f>Form_III!P17/Form_III!P83</f>
        <v/>
      </c>
    </row>
    <row r="51" ht="21" customHeight="1">
      <c r="A51" s="188" t="inlineStr">
        <is>
          <t>Other Current Liabilities</t>
        </is>
      </c>
      <c r="B51" s="182" t="n"/>
      <c r="C51" s="567">
        <f>(Form_III!E28-Form_III!E17)/Form_III!E83</f>
        <v/>
      </c>
      <c r="D51" s="567">
        <f>(Form_III!F28-Form_III!F17)/Form_III!F83</f>
        <v/>
      </c>
      <c r="E51" s="568">
        <f>(Form_III!G28-Form_III!G17)/Form_III!G83</f>
        <v/>
      </c>
      <c r="F51" s="567">
        <f>(Form_III!H28-Form_III!H17)/Form_III!H83</f>
        <v/>
      </c>
      <c r="G51" s="569">
        <f>(Form_III!I28-Form_III!I17)/Form_III!I83</f>
        <v/>
      </c>
      <c r="H51" s="569">
        <f>(Form_III!J28-Form_III!J17)/Form_III!J83</f>
        <v/>
      </c>
      <c r="I51" s="569">
        <f>(Form_III!K28-Form_III!K17)/Form_III!K83</f>
        <v/>
      </c>
      <c r="J51" s="569">
        <f>(Form_III!L28-Form_III!L17)/Form_III!L83</f>
        <v/>
      </c>
      <c r="K51" s="569">
        <f>(Form_III!M28-Form_III!M17)/Form_III!M83</f>
        <v/>
      </c>
      <c r="L51" s="569">
        <f>(Form_III!N28-Form_III!N17)/Form_III!N83</f>
        <v/>
      </c>
      <c r="M51" s="569">
        <f>(Form_III!O28-Form_III!O17)/Form_III!O83</f>
        <v/>
      </c>
      <c r="N51" s="569">
        <f>(Form_III!P28-Form_III!P17)/Form_III!P83</f>
        <v/>
      </c>
    </row>
    <row r="52" ht="21" customHeight="1">
      <c r="A52" s="188" t="inlineStr">
        <is>
          <t>Bank Borrowings</t>
        </is>
      </c>
      <c r="B52" s="182" t="n"/>
      <c r="C52" s="567">
        <f>Form_III!E15/Form_III!E83</f>
        <v/>
      </c>
      <c r="D52" s="567">
        <f>Form_III!F15/Form_III!F83</f>
        <v/>
      </c>
      <c r="E52" s="568">
        <f>Form_III!G15/Form_III!G83</f>
        <v/>
      </c>
      <c r="F52" s="567">
        <f>Form_III!H15/Form_III!H83</f>
        <v/>
      </c>
      <c r="G52" s="569">
        <f>Form_III!I15/Form_III!I83</f>
        <v/>
      </c>
      <c r="H52" s="569">
        <f>Form_III!J15/Form_III!J83</f>
        <v/>
      </c>
      <c r="I52" s="569">
        <f>Form_III!K15/Form_III!K83</f>
        <v/>
      </c>
      <c r="J52" s="569">
        <f>Form_III!L15/Form_III!L83</f>
        <v/>
      </c>
      <c r="K52" s="569">
        <f>Form_III!M15/Form_III!M83</f>
        <v/>
      </c>
      <c r="L52" s="569">
        <f>Form_III!N15/Form_III!N83</f>
        <v/>
      </c>
      <c r="M52" s="569">
        <f>Form_III!O15/Form_III!O83</f>
        <v/>
      </c>
      <c r="N52" s="569">
        <f>Form_III!P15/Form_III!P83</f>
        <v/>
      </c>
    </row>
    <row r="53" ht="21" customHeight="1">
      <c r="A53" s="188" t="inlineStr">
        <is>
          <t>Long Term funds</t>
        </is>
      </c>
      <c r="B53" s="182" t="n"/>
      <c r="C53" s="570">
        <f>1-(C50+C51+C52)</f>
        <v/>
      </c>
      <c r="D53" s="570">
        <f>1-(D50+D51+D52)</f>
        <v/>
      </c>
      <c r="E53" s="571">
        <f>1-(E50+E51+E52)</f>
        <v/>
      </c>
      <c r="F53" s="570">
        <f>1-(F50+F51+F52)</f>
        <v/>
      </c>
      <c r="G53" s="572">
        <f>1-(G50+G51+G52)</f>
        <v/>
      </c>
      <c r="H53" s="572">
        <f>1-(H50+H51+H52)</f>
        <v/>
      </c>
      <c r="I53" s="572">
        <f>1-(I50+I51+I52)</f>
        <v/>
      </c>
      <c r="J53" s="572">
        <f>1-(J50+J51+J52)</f>
        <v/>
      </c>
      <c r="K53" s="572">
        <f>1-(K50+K51+K52)</f>
        <v/>
      </c>
      <c r="L53" s="572">
        <f>1-(L50+L51+L52)</f>
        <v/>
      </c>
      <c r="M53" s="572">
        <f>1-(M50+M51+M52)</f>
        <v/>
      </c>
      <c r="N53" s="572">
        <f>1-(N50+N51+N52)</f>
        <v/>
      </c>
    </row>
    <row r="54" ht="21" customHeight="1">
      <c r="A54" s="415" t="inlineStr">
        <is>
          <t>Total</t>
        </is>
      </c>
      <c r="B54" s="560" t="n"/>
      <c r="C54" s="573">
        <f>C50+C51+C52+C53</f>
        <v/>
      </c>
      <c r="D54" s="573">
        <f>D50+D51+D52+D53</f>
        <v/>
      </c>
      <c r="E54" s="574">
        <f>E50+E51+E52+E53</f>
        <v/>
      </c>
      <c r="F54" s="573">
        <f>F50+F51+F52+F53</f>
        <v/>
      </c>
      <c r="G54" s="575">
        <f>G50+G51+G52+G53</f>
        <v/>
      </c>
      <c r="H54" s="575">
        <f>H50+H51+H52+H53</f>
        <v/>
      </c>
      <c r="I54" s="575">
        <f>I50+I51+I52+I53</f>
        <v/>
      </c>
      <c r="J54" s="575">
        <f>J50+J51+J52+J53</f>
        <v/>
      </c>
      <c r="K54" s="575">
        <f>K50+K51+K52+K53</f>
        <v/>
      </c>
      <c r="L54" s="575">
        <f>L50+L51+L52+L53</f>
        <v/>
      </c>
      <c r="M54" s="575">
        <f>M50+M51+M52+M53</f>
        <v/>
      </c>
      <c r="N54" s="575">
        <f>N50+N51+N52+N53</f>
        <v/>
      </c>
    </row>
    <row r="55" ht="21" customHeight="1">
      <c r="A55" s="198" t="n"/>
      <c r="B55" s="198" t="n"/>
      <c r="C55" s="571" t="n"/>
      <c r="D55" s="571" t="n"/>
      <c r="E55" s="571" t="n"/>
      <c r="F55" s="571" t="n"/>
      <c r="G55" s="571" t="n"/>
      <c r="H55" s="571" t="n"/>
      <c r="I55" s="571" t="n"/>
      <c r="J55" s="571" t="n"/>
      <c r="K55" s="571" t="n"/>
      <c r="L55" s="571" t="n"/>
      <c r="M55" s="571" t="n"/>
      <c r="N55" s="571" t="n"/>
    </row>
    <row r="56">
      <c r="A56" s="224" t="inlineStr">
        <is>
          <t>Calculation of Debt Service Coverage Ratio</t>
        </is>
      </c>
    </row>
    <row r="57">
      <c r="A57" s="373" t="inlineStr">
        <is>
          <t>Net Cash Accrual</t>
        </is>
      </c>
      <c r="B57" s="374" t="n"/>
      <c r="C57" s="374" t="n"/>
      <c r="D57" s="576">
        <f>D17</f>
        <v/>
      </c>
      <c r="E57" s="576">
        <f>E17</f>
        <v/>
      </c>
      <c r="F57" s="576">
        <f>F17</f>
        <v/>
      </c>
      <c r="G57" s="576">
        <f>G17</f>
        <v/>
      </c>
      <c r="H57" s="576">
        <f>H17</f>
        <v/>
      </c>
      <c r="I57" s="576">
        <f>I17</f>
        <v/>
      </c>
      <c r="J57" s="576">
        <f>J17</f>
        <v/>
      </c>
      <c r="K57" s="576">
        <f>K17</f>
        <v/>
      </c>
      <c r="L57" s="576">
        <f>L17</f>
        <v/>
      </c>
      <c r="M57" s="576">
        <f>M17</f>
        <v/>
      </c>
    </row>
    <row r="58">
      <c r="A58" s="373" t="inlineStr">
        <is>
          <t>Term Loan Interest</t>
        </is>
      </c>
      <c r="B58" s="374" t="n"/>
      <c r="C58" s="374" t="n"/>
      <c r="D58" s="576">
        <f>Form_II!F39</f>
        <v/>
      </c>
      <c r="E58" s="576">
        <f>Form_II!G39</f>
        <v/>
      </c>
      <c r="F58" s="576">
        <f>Form_II!H39</f>
        <v/>
      </c>
      <c r="G58" s="576">
        <f>Form_II!I39</f>
        <v/>
      </c>
      <c r="H58" s="576">
        <f>Form_II!J39</f>
        <v/>
      </c>
      <c r="I58" s="576">
        <f>Form_II!K39</f>
        <v/>
      </c>
      <c r="J58" s="576">
        <f>Form_II!L39</f>
        <v/>
      </c>
      <c r="K58" s="576">
        <f>Form_II!M39</f>
        <v/>
      </c>
      <c r="L58" s="576">
        <f>Form_II!N39</f>
        <v/>
      </c>
      <c r="M58" s="576">
        <f>Form_II!O39</f>
        <v/>
      </c>
    </row>
    <row r="59">
      <c r="A59" s="376" t="inlineStr">
        <is>
          <t>Amount Available for Debt Service</t>
        </is>
      </c>
      <c r="B59" s="374" t="n"/>
      <c r="C59" s="374" t="n"/>
      <c r="D59" s="577">
        <f>SUM(D57:D58)</f>
        <v/>
      </c>
      <c r="E59" s="577">
        <f>SUM(E57:E58)</f>
        <v/>
      </c>
      <c r="F59" s="577">
        <f>SUM(F57:F58)</f>
        <v/>
      </c>
      <c r="G59" s="577">
        <f>SUM(G57:G58)</f>
        <v/>
      </c>
      <c r="H59" s="577">
        <f>SUM(H57:H58)</f>
        <v/>
      </c>
      <c r="I59" s="577">
        <f>SUM(I57:I58)</f>
        <v/>
      </c>
      <c r="J59" s="577">
        <f>SUM(J57:J58)</f>
        <v/>
      </c>
      <c r="K59" s="577">
        <f>SUM(K57:K58)</f>
        <v/>
      </c>
      <c r="L59" s="577">
        <f>SUM(L57:L58)</f>
        <v/>
      </c>
      <c r="M59" s="577">
        <f>SUM(M57:M58)</f>
        <v/>
      </c>
    </row>
    <row r="60">
      <c r="A60" s="373" t="inlineStr">
        <is>
          <t>Term Loan Interest</t>
        </is>
      </c>
      <c r="B60" s="374" t="n"/>
      <c r="C60" s="374" t="n"/>
      <c r="D60" s="576">
        <f>D58</f>
        <v/>
      </c>
      <c r="E60" s="576">
        <f>E58</f>
        <v/>
      </c>
      <c r="F60" s="576">
        <f>F58</f>
        <v/>
      </c>
      <c r="G60" s="576">
        <f>G58</f>
        <v/>
      </c>
      <c r="H60" s="576">
        <f>H58</f>
        <v/>
      </c>
      <c r="I60" s="576">
        <f>I58</f>
        <v/>
      </c>
      <c r="J60" s="576">
        <f>J58</f>
        <v/>
      </c>
      <c r="K60" s="576">
        <f>K58</f>
        <v/>
      </c>
      <c r="L60" s="576">
        <f>L58</f>
        <v/>
      </c>
      <c r="M60" s="576">
        <f>M58</f>
        <v/>
      </c>
    </row>
    <row r="61">
      <c r="A61" s="373" t="inlineStr">
        <is>
          <t>Principle Repayment</t>
        </is>
      </c>
      <c r="B61" s="374" t="n"/>
      <c r="C61" s="374" t="n"/>
      <c r="D61" s="576">
        <f>C24</f>
        <v/>
      </c>
      <c r="E61" s="576">
        <f>D24</f>
        <v/>
      </c>
      <c r="F61" s="576">
        <f>E24</f>
        <v/>
      </c>
      <c r="G61" s="576">
        <f>(0.2944*12)+0.5444</f>
        <v/>
      </c>
      <c r="H61" s="576">
        <f>G24</f>
        <v/>
      </c>
      <c r="I61" s="576">
        <f>H24</f>
        <v/>
      </c>
      <c r="J61" s="576">
        <f>I24</f>
        <v/>
      </c>
      <c r="K61" s="576">
        <f>J24</f>
        <v/>
      </c>
      <c r="L61" s="576">
        <f>K24</f>
        <v/>
      </c>
      <c r="M61" s="576">
        <f>L24</f>
        <v/>
      </c>
    </row>
    <row r="62">
      <c r="A62" s="376" t="inlineStr">
        <is>
          <t>Debt Service</t>
        </is>
      </c>
      <c r="B62" s="374" t="n"/>
      <c r="C62" s="374" t="n"/>
      <c r="D62" s="577">
        <f>SUM(D60:D61)</f>
        <v/>
      </c>
      <c r="E62" s="577">
        <f>SUM(E60:E61)</f>
        <v/>
      </c>
      <c r="F62" s="577">
        <f>SUM(F60:F61)</f>
        <v/>
      </c>
      <c r="G62" s="577">
        <f>SUM(G60:G61)</f>
        <v/>
      </c>
      <c r="H62" s="577">
        <f>SUM(H60:H61)</f>
        <v/>
      </c>
      <c r="I62" s="577">
        <f>SUM(I60:I61)</f>
        <v/>
      </c>
      <c r="J62" s="577">
        <f>SUM(J60:J61)</f>
        <v/>
      </c>
      <c r="K62" s="577">
        <f>SUM(K60:K61)</f>
        <v/>
      </c>
      <c r="L62" s="577">
        <f>SUM(L60:L61)</f>
        <v/>
      </c>
      <c r="M62" s="577">
        <f>SUM(M60:M61)</f>
        <v/>
      </c>
    </row>
    <row r="63">
      <c r="A63" s="376" t="inlineStr">
        <is>
          <t>DSCR</t>
        </is>
      </c>
      <c r="B63" s="374" t="n"/>
      <c r="C63" s="374" t="n"/>
      <c r="D63" s="576">
        <f>D59/D62</f>
        <v/>
      </c>
      <c r="E63" s="576">
        <f>E59/E62</f>
        <v/>
      </c>
      <c r="F63" s="576">
        <f>F59/F62</f>
        <v/>
      </c>
      <c r="G63" s="576">
        <f>G59/G62</f>
        <v/>
      </c>
      <c r="H63" s="576">
        <f>H59/H62</f>
        <v/>
      </c>
      <c r="I63" s="576">
        <f>I59/I62</f>
        <v/>
      </c>
      <c r="J63" s="576">
        <f>J59/J62</f>
        <v/>
      </c>
      <c r="K63" s="576">
        <f>K59/K62</f>
        <v/>
      </c>
      <c r="L63" s="576">
        <f>L59/L62</f>
        <v/>
      </c>
      <c r="M63" s="576">
        <f>M59/M62</f>
        <v/>
      </c>
    </row>
    <row r="66">
      <c r="D66" s="578" t="n"/>
      <c r="E66" s="578" t="n"/>
      <c r="F66" s="578" t="n"/>
      <c r="G66" s="578" t="n"/>
      <c r="H66" s="578" t="n"/>
      <c r="I66" s="578" t="n"/>
      <c r="J66" s="578" t="n"/>
      <c r="K66" s="578" t="n"/>
      <c r="L66" s="578" t="n"/>
      <c r="M66" s="578" t="n"/>
    </row>
    <row r="67">
      <c r="D67" s="578" t="n"/>
      <c r="E67" s="578" t="n"/>
      <c r="F67" s="578" t="n"/>
      <c r="G67" s="578" t="n"/>
      <c r="H67" s="578" t="n"/>
      <c r="I67" s="578" t="n"/>
      <c r="J67" s="578" t="n"/>
      <c r="K67" s="578" t="n"/>
      <c r="L67" s="578" t="n"/>
      <c r="M67" s="578" t="n"/>
      <c r="N67" s="578" t="n">
        <v>95.43013534528005</v>
      </c>
    </row>
    <row r="68">
      <c r="D68" s="578" t="n"/>
      <c r="E68" s="578" t="n"/>
      <c r="F68" s="578" t="n"/>
      <c r="G68" s="578" t="n"/>
      <c r="H68" s="578" t="n"/>
      <c r="I68" s="578" t="n"/>
      <c r="J68" s="578" t="n"/>
      <c r="K68" s="578" t="n"/>
      <c r="L68" s="578" t="n"/>
    </row>
    <row r="69">
      <c r="G69" s="579" t="n"/>
      <c r="H69" s="579" t="n"/>
      <c r="I69" s="579" t="n"/>
      <c r="J69" s="579" t="n"/>
      <c r="K69" s="579" t="n"/>
    </row>
  </sheetData>
  <mergeCells count="9">
    <mergeCell ref="A42:C42"/>
    <mergeCell ref="A54:B54"/>
    <mergeCell ref="A44:C44"/>
    <mergeCell ref="B4:B5"/>
    <mergeCell ref="A45:C45"/>
    <mergeCell ref="A46:C46"/>
    <mergeCell ref="A4:A5"/>
    <mergeCell ref="A1:B1"/>
    <mergeCell ref="A43:C43"/>
  </mergeCells>
  <printOptions horizontalCentered="1"/>
  <pageMargins left="0.2362204724409449" right="0.2362204724409449" top="0.7874015748031497" bottom="0.7874015748031497" header="0.5118110236220472" footer="0.5118110236220472"/>
  <pageSetup orientation="portrait" paperSize="9" scale="60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>
    <outlinePr summaryBelow="1" summaryRight="1"/>
    <pageSetUpPr fitToPage="1"/>
  </sheetPr>
  <dimension ref="A1:P63"/>
  <sheetViews>
    <sheetView showGridLines="0" zoomScale="90" zoomScaleNormal="9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K22" sqref="K22"/>
    </sheetView>
  </sheetViews>
  <sheetFormatPr baseColWidth="8" defaultColWidth="9" defaultRowHeight="13.2"/>
  <cols>
    <col width="4.109375" customWidth="1" style="272" min="1" max="1"/>
    <col width="3.88671875" customWidth="1" style="272" min="2" max="2"/>
    <col width="7.33203125" customWidth="1" style="272" min="3" max="3"/>
    <col width="30.109375" customWidth="1" style="272" min="4" max="4"/>
    <col width="12.109375" customWidth="1" style="272" min="5" max="6"/>
    <col width="10.88671875" customWidth="1" style="272" min="7" max="7"/>
    <col width="9.6640625" customWidth="1" style="272" min="8" max="13"/>
    <col hidden="1" outlineLevel="1" width="9.6640625" customWidth="1" style="272" min="14" max="16"/>
    <col collapsed="1" width="9" customWidth="1" style="272" min="17" max="17"/>
    <col width="9" customWidth="1" style="272" min="18" max="16384"/>
  </cols>
  <sheetData>
    <row r="1" ht="19.5" customHeight="1">
      <c r="A1" s="224" t="inlineStr">
        <is>
          <t>FORM IV</t>
        </is>
      </c>
      <c r="B1" s="224" t="n"/>
      <c r="C1" s="224" t="n"/>
      <c r="D1" s="224" t="n"/>
      <c r="E1" s="424" t="n"/>
      <c r="F1" s="424" t="n"/>
      <c r="G1" s="424" t="n"/>
      <c r="H1" s="424" t="n"/>
      <c r="I1" s="424" t="n"/>
      <c r="J1" s="424" t="n"/>
      <c r="K1" s="424" t="n"/>
      <c r="L1" s="424" t="n"/>
      <c r="M1" s="424" t="n"/>
      <c r="N1" s="424" t="n"/>
      <c r="O1" s="424" t="n"/>
      <c r="P1" s="424" t="n"/>
    </row>
    <row r="2" ht="23.25" customHeight="1">
      <c r="A2" s="224" t="inlineStr">
        <is>
          <t>COMPARATIVE STATEMENT OF CURRENT ASSETS AND CURRENT LIABILITIES</t>
        </is>
      </c>
      <c r="B2" s="224" t="n"/>
      <c r="C2" s="224" t="n"/>
      <c r="D2" s="224" t="n"/>
      <c r="E2" s="424" t="n"/>
      <c r="F2" s="424" t="n"/>
      <c r="G2" s="424" t="n"/>
      <c r="H2" s="424" t="n"/>
      <c r="I2" s="424" t="n"/>
      <c r="J2" s="424" t="n"/>
      <c r="K2" s="424" t="n"/>
      <c r="L2" s="424" t="n"/>
      <c r="M2" s="424" t="n"/>
      <c r="N2" s="424" t="n"/>
      <c r="O2" s="424" t="n"/>
      <c r="P2" s="424" t="n"/>
    </row>
    <row r="3" ht="15" customHeight="1">
      <c r="A3" s="424" t="n"/>
    </row>
    <row r="4" ht="15" customHeight="1">
      <c r="C4" s="425">
        <f>Form_II!C4</f>
        <v/>
      </c>
      <c r="D4" s="224">
        <f>'INPUT SHEET'!B7</f>
        <v/>
      </c>
    </row>
    <row r="5" ht="15" customHeight="1">
      <c r="A5" s="224" t="n"/>
    </row>
    <row r="6" ht="15" customHeight="1">
      <c r="B6" s="224" t="n"/>
      <c r="C6" s="224" t="n"/>
      <c r="D6" s="224" t="n"/>
    </row>
    <row r="7" ht="15" customHeight="1">
      <c r="E7" s="288">
        <f>'INPUT SHEET'!B10</f>
        <v/>
      </c>
      <c r="F7" s="288">
        <f>'INPUT SHEET'!C10</f>
        <v/>
      </c>
      <c r="G7" s="288">
        <f>'INPUT SHEET'!D10</f>
        <v/>
      </c>
      <c r="H7" s="288">
        <f>'INPUT SHEET'!E10</f>
        <v/>
      </c>
      <c r="I7" s="288">
        <f>'INPUT SHEET'!F10</f>
        <v/>
      </c>
      <c r="J7" s="288">
        <f>'INPUT SHEET'!G10</f>
        <v/>
      </c>
      <c r="K7" s="288">
        <f>'INPUT SHEET'!H10</f>
        <v/>
      </c>
      <c r="L7" s="288">
        <f>'INPUT SHEET'!I10</f>
        <v/>
      </c>
      <c r="M7" s="288">
        <f>'INPUT SHEET'!J10</f>
        <v/>
      </c>
      <c r="N7" s="288">
        <f>'INPUT SHEET'!K10</f>
        <v/>
      </c>
      <c r="O7" s="288">
        <f>'INPUT SHEET'!L10</f>
        <v/>
      </c>
      <c r="P7" s="288">
        <f>'INPUT SHEET'!M10</f>
        <v/>
      </c>
    </row>
    <row r="8" ht="15" customHeight="1">
      <c r="D8" s="289">
        <f>'INPUT SHEET'!A8</f>
        <v/>
      </c>
      <c r="E8" s="288">
        <f>'INPUT SHEET'!B8</f>
        <v/>
      </c>
      <c r="F8" s="288">
        <f>'INPUT SHEET'!C8</f>
        <v/>
      </c>
      <c r="G8" s="288">
        <f>'INPUT SHEET'!D8</f>
        <v/>
      </c>
      <c r="H8" s="288">
        <f>'INPUT SHEET'!E8</f>
        <v/>
      </c>
      <c r="I8" s="288">
        <f>'INPUT SHEET'!F8</f>
        <v/>
      </c>
      <c r="J8" s="288">
        <f>'INPUT SHEET'!G8</f>
        <v/>
      </c>
      <c r="K8" s="288">
        <f>'INPUT SHEET'!H8</f>
        <v/>
      </c>
      <c r="L8" s="288">
        <f>'INPUT SHEET'!I8</f>
        <v/>
      </c>
      <c r="M8" s="288">
        <f>'INPUT SHEET'!J8</f>
        <v/>
      </c>
      <c r="N8" s="288">
        <f>'INPUT SHEET'!K8</f>
        <v/>
      </c>
      <c r="O8" s="288">
        <f>'INPUT SHEET'!L8</f>
        <v/>
      </c>
      <c r="P8" s="288">
        <f>'INPUT SHEET'!M8</f>
        <v/>
      </c>
    </row>
    <row r="9" ht="15" customHeight="1">
      <c r="D9" s="289">
        <f>'INPUT SHEET'!A9</f>
        <v/>
      </c>
      <c r="E9" s="288">
        <f>'INPUT SHEET'!B9</f>
        <v/>
      </c>
      <c r="F9" s="288">
        <f>'INPUT SHEET'!C9</f>
        <v/>
      </c>
      <c r="G9" s="288">
        <f>'INPUT SHEET'!D9</f>
        <v/>
      </c>
      <c r="H9" s="288">
        <f>'INPUT SHEET'!E9</f>
        <v/>
      </c>
      <c r="I9" s="288">
        <f>'INPUT SHEET'!F9</f>
        <v/>
      </c>
      <c r="J9" s="288">
        <f>'INPUT SHEET'!G9</f>
        <v/>
      </c>
      <c r="K9" s="288">
        <f>'INPUT SHEET'!H9</f>
        <v/>
      </c>
      <c r="L9" s="288">
        <f>'INPUT SHEET'!I9</f>
        <v/>
      </c>
      <c r="M9" s="288">
        <f>'INPUT SHEET'!J9</f>
        <v/>
      </c>
      <c r="N9" s="288">
        <f>'INPUT SHEET'!K9</f>
        <v/>
      </c>
      <c r="O9" s="288">
        <f>'INPUT SHEET'!L9</f>
        <v/>
      </c>
      <c r="P9" s="288">
        <f>'INPUT SHEET'!M9</f>
        <v/>
      </c>
    </row>
    <row r="10" ht="15" customHeight="1">
      <c r="A10" s="224" t="inlineStr">
        <is>
          <t>A. CURRENT ASSETS</t>
        </is>
      </c>
      <c r="E10" s="580" t="n"/>
      <c r="F10" s="580" t="n"/>
      <c r="G10" s="580" t="n"/>
      <c r="H10" s="580" t="n"/>
      <c r="I10" s="580" t="n"/>
      <c r="J10" s="580" t="n"/>
      <c r="K10" s="580" t="n"/>
      <c r="L10" s="580" t="n"/>
      <c r="M10" s="580" t="n"/>
      <c r="N10" s="580" t="n"/>
      <c r="O10" s="580" t="n"/>
      <c r="P10" s="580" t="n"/>
    </row>
    <row r="11" ht="15" customHeight="1">
      <c r="A11" s="291" t="inlineStr">
        <is>
          <t>1.</t>
        </is>
      </c>
      <c r="B11" s="422">
        <f>Form_III!C69</f>
        <v/>
      </c>
      <c r="E11" s="581" t="n"/>
      <c r="F11" s="581" t="n"/>
      <c r="G11" s="581" t="n"/>
      <c r="H11" s="581" t="n"/>
      <c r="I11" s="581" t="n"/>
      <c r="J11" s="581" t="n"/>
      <c r="K11" s="581" t="n"/>
      <c r="L11" s="581" t="n"/>
      <c r="M11" s="581" t="n"/>
      <c r="N11" s="581" t="n"/>
      <c r="O11" s="581" t="n"/>
      <c r="P11" s="581" t="n"/>
    </row>
    <row r="12" ht="15" customHeight="1">
      <c r="B12" s="272" t="inlineStr">
        <is>
          <t>a.</t>
        </is>
      </c>
      <c r="C12" s="272" t="inlineStr">
        <is>
          <t>Imported</t>
        </is>
      </c>
      <c r="E12" s="581">
        <f>Form_III!E70</f>
        <v/>
      </c>
      <c r="F12" s="581">
        <f>Form_III!F70</f>
        <v/>
      </c>
      <c r="G12" s="581">
        <f>Form_III!G70</f>
        <v/>
      </c>
      <c r="H12" s="581">
        <f>Form_III!H70</f>
        <v/>
      </c>
      <c r="I12" s="581">
        <f>Form_III!I70</f>
        <v/>
      </c>
      <c r="J12" s="581">
        <f>Form_III!J70</f>
        <v/>
      </c>
      <c r="K12" s="581">
        <f>Form_III!K70</f>
        <v/>
      </c>
      <c r="L12" s="581">
        <f>Form_III!L70</f>
        <v/>
      </c>
      <c r="M12" s="581">
        <f>Form_III!M70</f>
        <v/>
      </c>
      <c r="N12" s="581">
        <f>Form_III!N70</f>
        <v/>
      </c>
      <c r="O12" s="581">
        <f>Form_III!O70</f>
        <v/>
      </c>
      <c r="P12" s="581">
        <f>Form_III!P70</f>
        <v/>
      </c>
    </row>
    <row r="13" ht="15" customHeight="1">
      <c r="A13" s="292" t="n"/>
      <c r="C13" s="272" t="inlineStr">
        <is>
          <t>Month's Consumption</t>
        </is>
      </c>
      <c r="E13" s="582">
        <f>IF(E12&lt;&gt;0,E12/((Form_II!E19*12/E$9)/12),"")</f>
        <v/>
      </c>
      <c r="F13" s="583">
        <f>IF(F12&lt;&gt;0,F12/((Form_II!F19*12/F$9)/12),"")</f>
        <v/>
      </c>
      <c r="G13" s="583">
        <f>IF(G12&lt;&gt;0,G12/((Form_II!G19*12/G$9)/12),"")</f>
        <v/>
      </c>
      <c r="H13" s="583">
        <f>IF(H12&lt;&gt;0,H12/((Form_II!H19*12/H$9)/12),"")</f>
        <v/>
      </c>
      <c r="I13" s="583">
        <f>IF(I12&lt;&gt;0,I12/((Form_II!I19*12/I$9)/12),"")</f>
        <v/>
      </c>
      <c r="J13" s="583">
        <f>IF(J12&lt;&gt;0,J12/((Form_II!J19*12/J$9)/12),"")</f>
        <v/>
      </c>
      <c r="K13" s="583">
        <f>IF(K12&lt;&gt;0,K12/((Form_II!K19*12/K$9)/12),"")</f>
        <v/>
      </c>
      <c r="L13" s="583">
        <f>IF(L12&lt;&gt;0,L12/((Form_II!L19*12/L$9)/12),"")</f>
        <v/>
      </c>
      <c r="M13" s="583">
        <f>IF(M12&lt;&gt;0,M12/((Form_II!M19*12/M$9)/12),"")</f>
        <v/>
      </c>
      <c r="N13" s="583">
        <f>IF(N12&lt;&gt;0,N12/((Form_II!N19*12/N$9)/12),"")</f>
        <v/>
      </c>
      <c r="O13" s="583">
        <f>IF(O12&lt;&gt;0,O12/((Form_II!O19*12/O$9)/12),"")</f>
        <v/>
      </c>
      <c r="P13" s="583">
        <f>IF(P12&lt;&gt;0,P12/((Form_II!P19*12/P$9)/12),"")</f>
        <v/>
      </c>
    </row>
    <row r="14" ht="15" customHeight="1">
      <c r="A14" s="295" t="n"/>
      <c r="B14" s="272" t="inlineStr">
        <is>
          <t>b.</t>
        </is>
      </c>
      <c r="C14" s="272" t="inlineStr">
        <is>
          <t xml:space="preserve">Indigenous </t>
        </is>
      </c>
      <c r="E14" s="581">
        <f>Form_III!E71</f>
        <v/>
      </c>
      <c r="F14" s="581">
        <f>Form_III!F71</f>
        <v/>
      </c>
      <c r="G14" s="581">
        <f>Form_III!G71</f>
        <v/>
      </c>
      <c r="H14" s="581">
        <f>Form_III!H71</f>
        <v/>
      </c>
      <c r="I14" s="581">
        <f>Form_III!I71</f>
        <v/>
      </c>
      <c r="J14" s="581">
        <f>Form_III!J71</f>
        <v/>
      </c>
      <c r="K14" s="581">
        <f>Form_III!K71</f>
        <v/>
      </c>
      <c r="L14" s="581">
        <f>Form_III!L71</f>
        <v/>
      </c>
      <c r="M14" s="581">
        <f>Form_III!M71</f>
        <v/>
      </c>
      <c r="N14" s="581">
        <f>Form_III!N71</f>
        <v/>
      </c>
      <c r="O14" s="581">
        <f>Form_III!O71</f>
        <v/>
      </c>
      <c r="P14" s="581">
        <f>Form_III!P71</f>
        <v/>
      </c>
    </row>
    <row r="15" ht="15" customHeight="1">
      <c r="A15" s="291" t="n"/>
      <c r="C15" s="272" t="inlineStr">
        <is>
          <t>Month's Consumption</t>
        </is>
      </c>
      <c r="E15" s="581">
        <f>IF(E14&lt;&gt;0,E14/((Form_II!E20*12/E$9)/12),"")</f>
        <v/>
      </c>
      <c r="F15" s="581">
        <f>IF(F14&lt;&gt;0,F14/((Form_II!F20*12/F$9)/12),"")</f>
        <v/>
      </c>
      <c r="G15" s="581">
        <f>IF(G14&lt;&gt;0,G14/((Form_II!G20*12/G$9)/12),"")</f>
        <v/>
      </c>
      <c r="H15" s="581">
        <f>IF(H14&lt;&gt;0,H14/((Form_II!H20*12/H$9)/12),"")</f>
        <v/>
      </c>
      <c r="I15" s="581">
        <f>IF(I14&lt;&gt;0,I14/((Form_II!I20*12/I$9)/12),"")</f>
        <v/>
      </c>
      <c r="J15" s="581">
        <f>IF(J14&lt;&gt;0,J14/((Form_II!J20*12/J$9)/12),"")</f>
        <v/>
      </c>
      <c r="K15" s="581">
        <f>IF(K14&lt;&gt;0,K14/((Form_II!K20*12/K$9)/12),"")</f>
        <v/>
      </c>
      <c r="L15" s="581">
        <f>IF(L14&lt;&gt;0,L14/((Form_II!L20*12/L$9)/12),"")</f>
        <v/>
      </c>
      <c r="M15" s="581">
        <f>IF(M14&lt;&gt;0,M14/((Form_II!M20*12/M$9)/12),"")</f>
        <v/>
      </c>
      <c r="N15" s="581">
        <f>IF(N14&lt;&gt;0,N14/((Form_II!N20*12/N$9)/12),"")</f>
        <v/>
      </c>
      <c r="O15" s="581">
        <f>IF(O14&lt;&gt;0,O14/((Form_II!O20*12/O$9)/12),"")</f>
        <v/>
      </c>
      <c r="P15" s="581">
        <f>IF(P14&lt;&gt;0,P14/((Form_II!P20*12/P$9)/12),"")</f>
        <v/>
      </c>
    </row>
    <row r="16" ht="15" customHeight="1">
      <c r="A16" s="291" t="inlineStr">
        <is>
          <t>2.</t>
        </is>
      </c>
      <c r="B16" s="272">
        <f>Form_III!C74</f>
        <v/>
      </c>
      <c r="E16" s="581" t="n"/>
      <c r="F16" s="581" t="n"/>
      <c r="G16" s="581" t="n"/>
      <c r="H16" s="581" t="n"/>
      <c r="I16" s="581" t="n"/>
      <c r="J16" s="581" t="n"/>
      <c r="K16" s="581" t="n"/>
      <c r="L16" s="581" t="n"/>
      <c r="M16" s="581" t="n"/>
      <c r="N16" s="581" t="n"/>
      <c r="O16" s="581" t="n"/>
      <c r="P16" s="581" t="n"/>
    </row>
    <row r="17" ht="15" customHeight="1">
      <c r="B17" s="272" t="inlineStr">
        <is>
          <t>a.</t>
        </is>
      </c>
      <c r="C17" s="272" t="inlineStr">
        <is>
          <t>Imported</t>
        </is>
      </c>
      <c r="E17" s="581">
        <f>Form_III!E75</f>
        <v/>
      </c>
      <c r="F17" s="581">
        <f>Form_III!F75</f>
        <v/>
      </c>
      <c r="G17" s="581">
        <f>Form_III!G75</f>
        <v/>
      </c>
      <c r="H17" s="581">
        <f>Form_III!H75</f>
        <v/>
      </c>
      <c r="I17" s="581">
        <f>Form_III!I75</f>
        <v/>
      </c>
      <c r="J17" s="581">
        <f>Form_III!J75</f>
        <v/>
      </c>
      <c r="K17" s="581">
        <f>Form_III!K75</f>
        <v/>
      </c>
      <c r="L17" s="581">
        <f>Form_III!L75</f>
        <v/>
      </c>
      <c r="M17" s="581">
        <f>Form_III!M75</f>
        <v/>
      </c>
      <c r="N17" s="581">
        <f>Form_III!N75</f>
        <v/>
      </c>
      <c r="O17" s="581">
        <f>Form_III!O75</f>
        <v/>
      </c>
      <c r="P17" s="581">
        <f>Form_III!P75</f>
        <v/>
      </c>
    </row>
    <row r="18" ht="15" customHeight="1">
      <c r="A18" s="292" t="n"/>
      <c r="C18" s="272" t="inlineStr">
        <is>
          <t>Month's Consumption</t>
        </is>
      </c>
      <c r="E18" s="581">
        <f>IF(E17&lt;&gt;0,E17/((Form_II!E22*12/E$9)/12),"")</f>
        <v/>
      </c>
      <c r="F18" s="581">
        <f>IF(F17&lt;&gt;0,F17/((Form_II!F22*12/F$9)/12),"")</f>
        <v/>
      </c>
      <c r="G18" s="581">
        <f>IF(G17&lt;&gt;0,G17/((Form_II!G22*12/G$9)/12),"")</f>
        <v/>
      </c>
      <c r="H18" s="581">
        <f>IF(H17&lt;&gt;0,H17/((Form_II!H22*12/H$9)/12),"")</f>
        <v/>
      </c>
      <c r="I18" s="581">
        <f>IF(I17&lt;&gt;0,I17/((Form_II!I22*12/I$9)/12),"")</f>
        <v/>
      </c>
      <c r="J18" s="581">
        <f>IF(J17&lt;&gt;0,J17/((Form_II!J22*12/J$9)/12),"")</f>
        <v/>
      </c>
      <c r="K18" s="581">
        <f>IF(K17&lt;&gt;0,K17/((Form_II!K22*12/K$9)/12),"")</f>
        <v/>
      </c>
      <c r="L18" s="581">
        <f>IF(L17&lt;&gt;0,L17/((Form_II!L22*12/L$9)/12),"")</f>
        <v/>
      </c>
      <c r="M18" s="581">
        <f>IF(M17&lt;&gt;0,M17/((Form_II!M22*12/M$9)/12),"")</f>
        <v/>
      </c>
      <c r="N18" s="581">
        <f>IF(N17&lt;&gt;0,N17/((Form_II!N22*12/N$9)/12),"")</f>
        <v/>
      </c>
      <c r="O18" s="581">
        <f>IF(O17&lt;&gt;0,O17/((Form_II!O22*12/O$9)/12),"")</f>
        <v/>
      </c>
      <c r="P18" s="581">
        <f>IF(P17&lt;&gt;0,P17/((Form_II!P22*12/P$9)/12),"")</f>
        <v/>
      </c>
    </row>
    <row r="19" ht="15" customHeight="1">
      <c r="A19" s="295" t="n"/>
      <c r="B19" s="272" t="inlineStr">
        <is>
          <t>b.</t>
        </is>
      </c>
      <c r="C19" s="272" t="inlineStr">
        <is>
          <t xml:space="preserve">Indigenous </t>
        </is>
      </c>
      <c r="E19" s="581">
        <f>Form_III!E76</f>
        <v/>
      </c>
      <c r="F19" s="581">
        <f>Form_III!F76</f>
        <v/>
      </c>
      <c r="G19" s="581">
        <f>Form_III!G76</f>
        <v/>
      </c>
      <c r="H19" s="581">
        <f>Form_III!H76</f>
        <v/>
      </c>
      <c r="I19" s="581">
        <f>Form_III!I76</f>
        <v/>
      </c>
      <c r="J19" s="581">
        <f>Form_III!J76</f>
        <v/>
      </c>
      <c r="K19" s="581">
        <f>Form_III!K76</f>
        <v/>
      </c>
      <c r="L19" s="581">
        <f>Form_III!L76</f>
        <v/>
      </c>
      <c r="M19" s="581">
        <f>Form_III!M76</f>
        <v/>
      </c>
      <c r="N19" s="581">
        <f>Form_III!N76</f>
        <v/>
      </c>
      <c r="O19" s="581">
        <f>Form_III!O76</f>
        <v/>
      </c>
      <c r="P19" s="581">
        <f>Form_III!P76</f>
        <v/>
      </c>
    </row>
    <row r="20" ht="15" customHeight="1">
      <c r="A20" s="291" t="n"/>
      <c r="C20" s="272" t="inlineStr">
        <is>
          <t>Month's Consumption</t>
        </is>
      </c>
      <c r="E20" s="581">
        <f>IF(E19&lt;&gt;0,E19/((Form_II!E23*12/E$9)/12),"")</f>
        <v/>
      </c>
      <c r="F20" s="581">
        <f>IF(F19&lt;&gt;0,F19/((Form_II!F23*12/F$9)/12),"")</f>
        <v/>
      </c>
      <c r="G20" s="581">
        <f>IF(G19&lt;&gt;0,G19/((Form_II!G23*12/G$9)/12),"")</f>
        <v/>
      </c>
      <c r="H20" s="581">
        <f>IF(H19&lt;&gt;0,H19/((Form_II!H23*12/H$9)/12),"")</f>
        <v/>
      </c>
      <c r="I20" s="581">
        <f>IF(I19&lt;&gt;0,I19/((Form_II!I23*12/I$9)/12),"")</f>
        <v/>
      </c>
      <c r="J20" s="581">
        <f>IF(J19&lt;&gt;0,J19/((Form_II!J23*12/J$9)/12),"")</f>
        <v/>
      </c>
      <c r="K20" s="581">
        <f>IF(K19&lt;&gt;0,K19/((Form_II!K23*12/K$9)/12),"")</f>
        <v/>
      </c>
      <c r="L20" s="581">
        <f>IF(L19&lt;&gt;0,L19/((Form_II!L23*12/L$9)/12),"")</f>
        <v/>
      </c>
      <c r="M20" s="581">
        <f>IF(M19&lt;&gt;0,M19/((Form_II!M23*12/M$9)/12),"")</f>
        <v/>
      </c>
      <c r="N20" s="581">
        <f>IF(N19&lt;&gt;0,N19/((Form_II!N23*12/N$9)/12),"")</f>
        <v/>
      </c>
      <c r="O20" s="581">
        <f>IF(O19&lt;&gt;0,O19/((Form_II!O23*12/O$9)/12),"")</f>
        <v/>
      </c>
      <c r="P20" s="581">
        <f>IF(P19&lt;&gt;0,P19/((Form_II!P23*12/P$9)/12),"")</f>
        <v/>
      </c>
    </row>
    <row r="21" ht="15" customHeight="1">
      <c r="A21" s="291" t="inlineStr">
        <is>
          <t>3.</t>
        </is>
      </c>
      <c r="B21" s="272">
        <f>Form_III!C72</f>
        <v/>
      </c>
      <c r="E21" s="581">
        <f>Form_III!E72</f>
        <v/>
      </c>
      <c r="F21" s="581">
        <f>Form_III!F72</f>
        <v/>
      </c>
      <c r="G21" s="581">
        <f>Form_III!G72</f>
        <v/>
      </c>
      <c r="H21" s="581">
        <f>Form_III!H72</f>
        <v/>
      </c>
      <c r="I21" s="581">
        <f>Form_III!I72</f>
        <v/>
      </c>
      <c r="J21" s="581">
        <f>Form_III!J72</f>
        <v/>
      </c>
      <c r="K21" s="581">
        <f>Form_III!K72</f>
        <v/>
      </c>
      <c r="L21" s="581">
        <f>Form_III!L72</f>
        <v/>
      </c>
      <c r="M21" s="581">
        <f>Form_III!M72</f>
        <v/>
      </c>
      <c r="N21" s="581">
        <f>Form_III!N72</f>
        <v/>
      </c>
      <c r="O21" s="581">
        <f>Form_III!O72</f>
        <v/>
      </c>
      <c r="P21" s="581">
        <f>Form_III!P72</f>
        <v/>
      </c>
    </row>
    <row r="22" ht="15" customHeight="1">
      <c r="A22" s="291" t="n"/>
      <c r="B22" s="272" t="inlineStr">
        <is>
          <t>Month's cost of production</t>
        </is>
      </c>
      <c r="E22" s="581">
        <f>IF(E21&lt;&gt;0,E21/((Form_II!E30*12/E$9)/12),"")</f>
        <v/>
      </c>
      <c r="F22" s="581">
        <f>IF(F21&lt;&gt;0,F21/((Form_II!F30*12/F$9)/12),"")</f>
        <v/>
      </c>
      <c r="G22" s="581">
        <f>IF(G21&lt;&gt;0,G21/((Form_II!G30*12/G$9)/12),"")</f>
        <v/>
      </c>
      <c r="H22" s="581">
        <f>IF(H21&lt;&gt;0,H21/((Form_II!H30*12/H$9)/12),"")</f>
        <v/>
      </c>
      <c r="I22" s="581">
        <f>IF(I21&lt;&gt;0,I21/((Form_II!I30*12/I$9)/12),"")</f>
        <v/>
      </c>
      <c r="J22" s="581">
        <f>IF(J21&lt;&gt;0,J21/((Form_II!J30*12/J$9)/12),"")</f>
        <v/>
      </c>
      <c r="K22" s="581">
        <f>IF(K21&lt;&gt;0,K21/((Form_II!K30*12/K$9)/12),"")</f>
        <v/>
      </c>
      <c r="L22" s="581">
        <f>IF(L21&lt;&gt;0,L21/((Form_II!L30*12/L$9)/12),"")</f>
        <v/>
      </c>
      <c r="M22" s="581">
        <f>IF(M21&lt;&gt;0,M21/((Form_II!M30*12/M$9)/12),"")</f>
        <v/>
      </c>
      <c r="N22" s="581">
        <f>IF(N21&lt;&gt;0,N21/((Form_II!N30*12/N$9)/12),"")</f>
        <v/>
      </c>
      <c r="O22" s="581">
        <f>IF(O21&lt;&gt;0,O21/((Form_II!O30*12/O$9)/12),"")</f>
        <v/>
      </c>
      <c r="P22" s="581">
        <f>IF(P21&lt;&gt;0,P21/((Form_II!P30*12/P$9)/12),"")</f>
        <v/>
      </c>
    </row>
    <row r="23" ht="15" customHeight="1">
      <c r="A23" s="291" t="inlineStr">
        <is>
          <t>4.</t>
        </is>
      </c>
      <c r="B23" s="272">
        <f>Form_III!C73</f>
        <v/>
      </c>
      <c r="E23" s="581">
        <f>Form_III!E73</f>
        <v/>
      </c>
      <c r="F23" s="581">
        <f>Form_III!F73</f>
        <v/>
      </c>
      <c r="G23" s="581">
        <f>Form_III!G73</f>
        <v/>
      </c>
      <c r="H23" s="581">
        <f>Form_III!H73</f>
        <v/>
      </c>
      <c r="I23" s="581">
        <f>Form_III!I73</f>
        <v/>
      </c>
      <c r="J23" s="581">
        <f>Form_III!J73</f>
        <v/>
      </c>
      <c r="K23" s="581">
        <f>Form_III!K73</f>
        <v/>
      </c>
      <c r="L23" s="581">
        <f>Form_III!L73</f>
        <v/>
      </c>
      <c r="M23" s="581">
        <f>Form_III!M73</f>
        <v/>
      </c>
      <c r="N23" s="581">
        <f>Form_III!N73</f>
        <v/>
      </c>
      <c r="O23" s="581">
        <f>Form_III!O73</f>
        <v/>
      </c>
      <c r="P23" s="581">
        <f>Form_III!P73</f>
        <v/>
      </c>
    </row>
    <row r="24" ht="15" customHeight="1">
      <c r="A24" s="224" t="n"/>
      <c r="B24" s="272" t="inlineStr">
        <is>
          <t>Month's cost of sales</t>
        </is>
      </c>
      <c r="E24" s="581">
        <f>IF(E23&lt;&gt;0,E23/((Form_II!E34*12/E$9)/12),"")</f>
        <v/>
      </c>
      <c r="F24" s="581">
        <f>IF(F23&lt;&gt;0,F23/((Form_II!F34*12/F$9)/12),"")</f>
        <v/>
      </c>
      <c r="G24" s="581">
        <f>IF(G23&lt;&gt;0,G23/((Form_II!G34*12/G$9)/12),"")</f>
        <v/>
      </c>
      <c r="H24" s="581">
        <f>IF(H23&lt;&gt;0,H23/((Form_II!H34*12/H$9)/12),"")</f>
        <v/>
      </c>
      <c r="I24" s="581">
        <f>IF(I23&lt;&gt;0,I23/((Form_II!I34*12/I$9)/12),"")</f>
        <v/>
      </c>
      <c r="J24" s="581">
        <f>IF(J23&lt;&gt;0,J23/((Form_II!J34*12/J$9)/12),"")</f>
        <v/>
      </c>
      <c r="K24" s="581">
        <f>IF(K23&lt;&gt;0,K23/((Form_II!K34*12/K$9)/12),"")</f>
        <v/>
      </c>
      <c r="L24" s="581">
        <f>IF(L23&lt;&gt;0,L23/((Form_II!L34*12/L$9)/12),"")</f>
        <v/>
      </c>
      <c r="M24" s="581">
        <f>IF(M23&lt;&gt;0,M23/((Form_II!M34*12/M$9)/12),"")</f>
        <v/>
      </c>
      <c r="N24" s="581">
        <f>IF(N23&lt;&gt;0,N23/((Form_II!N34*12/N$9)/12),"")</f>
        <v/>
      </c>
      <c r="O24" s="581">
        <f>IF(O23&lt;&gt;0,O23/((Form_II!O34*12/O$9)/12),"")</f>
        <v/>
      </c>
      <c r="P24" s="581">
        <f>IF(P23&lt;&gt;0,P23/((Form_II!P34*12/P$9)/12),"")</f>
        <v/>
      </c>
    </row>
    <row r="25" ht="27" customHeight="1">
      <c r="A25" s="291" t="inlineStr">
        <is>
          <t>5.</t>
        </is>
      </c>
      <c r="B25" s="423">
        <f>Form_III!C66</f>
        <v/>
      </c>
      <c r="E25" s="581">
        <f>Form_III!E66</f>
        <v/>
      </c>
      <c r="F25" s="581">
        <f>Form_III!F66</f>
        <v/>
      </c>
      <c r="G25" s="581">
        <f>Form_III!G66</f>
        <v/>
      </c>
      <c r="H25" s="581">
        <f>Form_III!H66</f>
        <v/>
      </c>
      <c r="I25" s="581">
        <f>Form_III!I66</f>
        <v/>
      </c>
      <c r="J25" s="581">
        <f>Form_III!J66</f>
        <v/>
      </c>
      <c r="K25" s="581">
        <f>Form_III!K66</f>
        <v/>
      </c>
      <c r="L25" s="581">
        <f>Form_III!L66</f>
        <v/>
      </c>
      <c r="M25" s="581">
        <f>Form_III!M66</f>
        <v/>
      </c>
      <c r="N25" s="581">
        <f>Form_III!N66</f>
        <v/>
      </c>
      <c r="O25" s="581">
        <f>Form_III!O66</f>
        <v/>
      </c>
      <c r="P25" s="581">
        <f>Form_III!P66</f>
        <v/>
      </c>
    </row>
    <row r="26" ht="12.75" customHeight="1">
      <c r="A26" s="291" t="n"/>
      <c r="B26" s="272" t="inlineStr">
        <is>
          <t>Month's domestic sales</t>
        </is>
      </c>
      <c r="E26" s="581">
        <f>IF(E25&lt;&gt;0,E25/((Form_II!E11*12/E$9)/12),"")</f>
        <v/>
      </c>
      <c r="F26" s="581">
        <f>IF(F25&lt;&gt;0,F25/((Form_II!F11*12/F$9)/12),"")</f>
        <v/>
      </c>
      <c r="G26" s="581">
        <f>IF(G25&lt;&gt;0,G25/((Form_II!G11*12/G$9)/12),"")</f>
        <v/>
      </c>
      <c r="H26" s="581">
        <f>IF(H25&lt;&gt;0,H25/((Form_II!H11*12/H$9)/12),"")</f>
        <v/>
      </c>
      <c r="I26" s="581">
        <f>IF(I25&lt;&gt;0,I25/((Form_II!I11*12/I$9)/12),"")</f>
        <v/>
      </c>
      <c r="J26" s="581">
        <f>IF(J25&lt;&gt;0,J25/((Form_II!J11*12/J$9)/12),"")</f>
        <v/>
      </c>
      <c r="K26" s="581">
        <f>IF(K25&lt;&gt;0,K25/((Form_II!K11*12/K$9)/12),"")</f>
        <v/>
      </c>
      <c r="L26" s="581">
        <f>IF(L25&lt;&gt;0,L25/((Form_II!L11*12/L$9)/12),"")</f>
        <v/>
      </c>
      <c r="M26" s="581">
        <f>IF(M25&lt;&gt;0,M25/((Form_II!M11*12/M$9)/12),"")</f>
        <v/>
      </c>
      <c r="N26" s="581">
        <f>IF(N25&lt;&gt;0,N25/((Form_II!N11*12/N$9)/12),"")</f>
        <v/>
      </c>
      <c r="O26" s="581">
        <f>IF(O25&lt;&gt;0,O25/((Form_II!O11*12/O$9)/12),"")</f>
        <v/>
      </c>
      <c r="P26" s="581">
        <f>IF(P25&lt;&gt;0,P25/((Form_II!P11*12/P$9)/12),"")</f>
        <v/>
      </c>
    </row>
    <row r="27" ht="26.25" customHeight="1">
      <c r="A27" s="291" t="inlineStr">
        <is>
          <t>6.</t>
        </is>
      </c>
      <c r="B27" s="423">
        <f>Form_III!C67</f>
        <v/>
      </c>
      <c r="E27" s="581">
        <f>Form_III!E67</f>
        <v/>
      </c>
      <c r="F27" s="581">
        <f>Form_III!F67</f>
        <v/>
      </c>
      <c r="G27" s="581">
        <f>Form_III!G67</f>
        <v/>
      </c>
      <c r="H27" s="581">
        <f>Form_III!H67</f>
        <v/>
      </c>
      <c r="I27" s="581">
        <f>Form_III!I67</f>
        <v/>
      </c>
      <c r="J27" s="581">
        <f>Form_III!J67</f>
        <v/>
      </c>
      <c r="K27" s="581">
        <f>Form_III!K67</f>
        <v/>
      </c>
      <c r="L27" s="581">
        <f>Form_III!L67</f>
        <v/>
      </c>
      <c r="M27" s="581">
        <f>Form_III!M67</f>
        <v/>
      </c>
      <c r="N27" s="581">
        <f>Form_III!N67</f>
        <v/>
      </c>
      <c r="O27" s="581">
        <f>Form_III!O67</f>
        <v/>
      </c>
      <c r="P27" s="581">
        <f>Form_III!P67</f>
        <v/>
      </c>
    </row>
    <row r="28" ht="15" customHeight="1">
      <c r="A28" s="291" t="n"/>
      <c r="B28" s="272" t="inlineStr">
        <is>
          <t>Month's export sales</t>
        </is>
      </c>
      <c r="E28" s="581">
        <f>IF(E27&lt;&gt;0,E27/(Form_II!E12/Form_II!E9),"")</f>
        <v/>
      </c>
      <c r="F28" s="581">
        <f>IF(F27&lt;&gt;0,F27/(Form_II!F12/Form_II!F9),"")</f>
        <v/>
      </c>
      <c r="G28" s="581">
        <f>IF(G27&lt;&gt;0,G27/(Form_II!G12/Form_II!G9),"")</f>
        <v/>
      </c>
      <c r="H28" s="581">
        <f>IF(H27&lt;&gt;0,H27/(Form_II!H12/Form_II!H9),"")</f>
        <v/>
      </c>
      <c r="I28" s="581">
        <f>IF(I27&lt;&gt;0,I27/(Form_II!I12/Form_II!I9),"")</f>
        <v/>
      </c>
      <c r="J28" s="581">
        <f>IF(J27&lt;&gt;0,J27/(Form_II!J12/Form_II!J9),"")</f>
        <v/>
      </c>
      <c r="K28" s="581">
        <f>IF(K27&lt;&gt;0,K27/(Form_II!K12/Form_II!K9),"")</f>
        <v/>
      </c>
      <c r="L28" s="581">
        <f>IF(L27&lt;&gt;0,L27/(Form_II!L12/Form_II!L9),"")</f>
        <v/>
      </c>
      <c r="M28" s="581">
        <f>IF(M27&lt;&gt;0,M27/(Form_II!M12/Form_II!M9),"")</f>
        <v/>
      </c>
      <c r="N28" s="581">
        <f>IF(N27&lt;&gt;0,N27/(Form_II!N12/Form_II!N9),"")</f>
        <v/>
      </c>
      <c r="O28" s="581">
        <f>IF(O27&lt;&gt;0,O27/(Form_II!O12/Form_II!O9),"")</f>
        <v/>
      </c>
      <c r="P28" s="581">
        <f>IF(P27&lt;&gt;0,P27/(Form_II!P12/Form_II!P9),"")</f>
        <v/>
      </c>
    </row>
    <row r="29" ht="18" customHeight="1">
      <c r="A29" s="291" t="inlineStr">
        <is>
          <t>7.</t>
        </is>
      </c>
      <c r="B29" s="423">
        <f>Form_III!B77</f>
        <v/>
      </c>
      <c r="E29" s="581">
        <f>Form_III!E77</f>
        <v/>
      </c>
      <c r="F29" s="581">
        <f>Form_III!F77</f>
        <v/>
      </c>
      <c r="G29" s="581">
        <f>Form_III!G77</f>
        <v/>
      </c>
      <c r="H29" s="581">
        <f>Form_III!H77</f>
        <v/>
      </c>
      <c r="I29" s="581">
        <f>Form_III!I77</f>
        <v/>
      </c>
      <c r="J29" s="581">
        <f>Form_III!J77</f>
        <v/>
      </c>
      <c r="K29" s="581">
        <f>Form_III!K77</f>
        <v/>
      </c>
      <c r="L29" s="581">
        <f>Form_III!L77</f>
        <v/>
      </c>
      <c r="M29" s="581">
        <f>Form_III!M77</f>
        <v/>
      </c>
      <c r="N29" s="581">
        <f>Form_III!N77</f>
        <v/>
      </c>
      <c r="O29" s="581">
        <f>Form_III!O77</f>
        <v/>
      </c>
      <c r="P29" s="581">
        <f>Form_III!P77</f>
        <v/>
      </c>
    </row>
    <row r="30" ht="12.75" customHeight="1">
      <c r="A30" s="291" t="inlineStr">
        <is>
          <t>8.</t>
        </is>
      </c>
      <c r="B30" s="272">
        <f>Form_III!B78</f>
        <v/>
      </c>
      <c r="E30" s="581">
        <f>Form_III!E78</f>
        <v/>
      </c>
      <c r="F30" s="581">
        <f>Form_III!F78</f>
        <v/>
      </c>
      <c r="G30" s="581">
        <f>Form_III!G78</f>
        <v/>
      </c>
      <c r="H30" s="581">
        <f>Form_III!H78</f>
        <v/>
      </c>
      <c r="I30" s="581">
        <f>Form_III!I78</f>
        <v/>
      </c>
      <c r="J30" s="581">
        <f>Form_III!J78</f>
        <v/>
      </c>
      <c r="K30" s="581">
        <f>Form_III!K78</f>
        <v/>
      </c>
      <c r="L30" s="581">
        <f>Form_III!L78</f>
        <v/>
      </c>
      <c r="M30" s="581">
        <f>Form_III!M78</f>
        <v/>
      </c>
      <c r="N30" s="581">
        <f>Form_III!N78</f>
        <v/>
      </c>
      <c r="O30" s="581">
        <f>Form_III!O78</f>
        <v/>
      </c>
      <c r="P30" s="581">
        <f>Form_III!P78</f>
        <v/>
      </c>
    </row>
    <row r="31" ht="12.75" customHeight="1">
      <c r="A31" s="291" t="inlineStr">
        <is>
          <t>9.</t>
        </is>
      </c>
      <c r="B31" s="272" t="inlineStr">
        <is>
          <t xml:space="preserve">Other current assets incl. cash &amp; bank balances </t>
        </is>
      </c>
      <c r="E31" s="581">
        <f>SUM(E32:E38)</f>
        <v/>
      </c>
      <c r="F31" s="581">
        <f>SUM(F32:F38)</f>
        <v/>
      </c>
      <c r="G31" s="581">
        <f>SUM(G32:G38)</f>
        <v/>
      </c>
      <c r="H31" s="581">
        <f>SUM(H32:H38)</f>
        <v/>
      </c>
      <c r="I31" s="581">
        <f>SUM(I32:I38)</f>
        <v/>
      </c>
      <c r="J31" s="581">
        <f>SUM(J32:J38)</f>
        <v/>
      </c>
      <c r="K31" s="581">
        <f>SUM(K32:K38)</f>
        <v/>
      </c>
      <c r="L31" s="581">
        <f>SUM(L32:L38)</f>
        <v/>
      </c>
      <c r="M31" s="581">
        <f>SUM(M32:M38)</f>
        <v/>
      </c>
      <c r="N31" s="581">
        <f>SUM(N32:N38)</f>
        <v/>
      </c>
      <c r="O31" s="581">
        <f>SUM(O32:O38)</f>
        <v/>
      </c>
      <c r="P31" s="581">
        <f>SUM(P32:P38)</f>
        <v/>
      </c>
    </row>
    <row r="32" ht="15" customHeight="1">
      <c r="A32" s="291" t="n"/>
      <c r="B32" s="291" t="n"/>
      <c r="C32" s="272">
        <f>Form_III!B60</f>
        <v/>
      </c>
      <c r="D32" s="272">
        <f>Form_III!C60</f>
        <v/>
      </c>
      <c r="E32" s="581">
        <f>Form_III!E60</f>
        <v/>
      </c>
      <c r="F32" s="581">
        <f>Form_III!F60</f>
        <v/>
      </c>
      <c r="G32" s="581">
        <f>Form_III!G60</f>
        <v/>
      </c>
      <c r="H32" s="581">
        <f>Form_III!H60</f>
        <v/>
      </c>
      <c r="I32" s="581">
        <f>Form_III!I60</f>
        <v/>
      </c>
      <c r="J32" s="581">
        <f>Form_III!J60</f>
        <v/>
      </c>
      <c r="K32" s="581">
        <f>Form_III!K60</f>
        <v/>
      </c>
      <c r="L32" s="581">
        <f>Form_III!L60</f>
        <v/>
      </c>
      <c r="M32" s="581">
        <f>Form_III!M60</f>
        <v/>
      </c>
      <c r="N32" s="581">
        <f>Form_III!N60</f>
        <v/>
      </c>
      <c r="O32" s="581">
        <f>Form_III!O60</f>
        <v/>
      </c>
      <c r="P32" s="581">
        <f>Form_III!P60</f>
        <v/>
      </c>
    </row>
    <row r="33" ht="15" customHeight="1">
      <c r="A33" s="291" t="n"/>
      <c r="B33" s="291" t="n"/>
      <c r="C33" s="272">
        <f>Form_III!B61</f>
        <v/>
      </c>
      <c r="D33" s="272">
        <f>Form_III!C61</f>
        <v/>
      </c>
      <c r="E33" s="581">
        <f>Form_III!E61</f>
        <v/>
      </c>
      <c r="F33" s="581">
        <f>Form_III!F61</f>
        <v/>
      </c>
      <c r="G33" s="581">
        <f>Form_III!G61</f>
        <v/>
      </c>
      <c r="H33" s="581">
        <f>Form_III!H61</f>
        <v/>
      </c>
      <c r="I33" s="581">
        <f>Form_III!I61</f>
        <v/>
      </c>
      <c r="J33" s="581">
        <f>Form_III!J61</f>
        <v/>
      </c>
      <c r="K33" s="581">
        <f>Form_III!K61</f>
        <v/>
      </c>
      <c r="L33" s="581">
        <f>Form_III!L61</f>
        <v/>
      </c>
      <c r="M33" s="581">
        <f>Form_III!M61</f>
        <v/>
      </c>
      <c r="N33" s="581">
        <f>Form_III!N61</f>
        <v/>
      </c>
      <c r="O33" s="581">
        <f>Form_III!O61</f>
        <v/>
      </c>
      <c r="P33" s="581">
        <f>Form_III!P61</f>
        <v/>
      </c>
    </row>
    <row r="34" ht="12.75" customHeight="1">
      <c r="A34" s="291" t="n"/>
      <c r="B34" s="291" t="n"/>
      <c r="C34" s="422">
        <f>Form_III!B62</f>
        <v/>
      </c>
      <c r="E34" s="581" t="n"/>
      <c r="F34" s="581" t="n"/>
      <c r="G34" s="581" t="n"/>
      <c r="H34" s="581" t="n"/>
      <c r="I34" s="581" t="n"/>
      <c r="J34" s="581" t="n"/>
      <c r="K34" s="581" t="n"/>
      <c r="L34" s="581" t="n"/>
      <c r="M34" s="581" t="n"/>
      <c r="N34" s="581" t="n"/>
      <c r="O34" s="581" t="n"/>
      <c r="P34" s="581" t="n"/>
    </row>
    <row r="35" ht="12.75" customHeight="1">
      <c r="A35" s="291" t="n"/>
      <c r="C35" s="272">
        <f>Form_III!B63</f>
        <v/>
      </c>
      <c r="D35" s="272">
        <f>Form_III!C63</f>
        <v/>
      </c>
      <c r="E35" s="581">
        <f>Form_III!E63</f>
        <v/>
      </c>
      <c r="F35" s="581">
        <f>Form_III!F63</f>
        <v/>
      </c>
      <c r="G35" s="581">
        <f>Form_III!G63</f>
        <v/>
      </c>
      <c r="H35" s="581">
        <f>Form_III!H63</f>
        <v/>
      </c>
      <c r="I35" s="581">
        <f>Form_III!I63</f>
        <v/>
      </c>
      <c r="J35" s="581">
        <f>Form_III!J63</f>
        <v/>
      </c>
      <c r="K35" s="581">
        <f>Form_III!K63</f>
        <v/>
      </c>
      <c r="L35" s="581">
        <f>Form_III!L63</f>
        <v/>
      </c>
      <c r="M35" s="581">
        <f>Form_III!M63</f>
        <v/>
      </c>
      <c r="N35" s="581">
        <f>Form_III!N63</f>
        <v/>
      </c>
      <c r="O35" s="581">
        <f>Form_III!O63</f>
        <v/>
      </c>
      <c r="P35" s="581">
        <f>Form_III!P63</f>
        <v/>
      </c>
    </row>
    <row r="36" ht="12.75" customHeight="1">
      <c r="A36" s="291" t="n"/>
      <c r="C36" s="272">
        <f>Form_III!B64</f>
        <v/>
      </c>
      <c r="D36" s="272">
        <f>Form_III!C64</f>
        <v/>
      </c>
      <c r="E36" s="581">
        <f>Form_III!E64</f>
        <v/>
      </c>
      <c r="F36" s="581">
        <f>Form_III!F64</f>
        <v/>
      </c>
      <c r="G36" s="581">
        <f>Form_III!G64</f>
        <v/>
      </c>
      <c r="H36" s="581">
        <f>Form_III!H64</f>
        <v/>
      </c>
      <c r="I36" s="581">
        <f>Form_III!I64</f>
        <v/>
      </c>
      <c r="J36" s="581">
        <f>Form_III!J64</f>
        <v/>
      </c>
      <c r="K36" s="581">
        <f>Form_III!K64</f>
        <v/>
      </c>
      <c r="L36" s="581">
        <f>Form_III!L64</f>
        <v/>
      </c>
      <c r="M36" s="581">
        <f>Form_III!M64</f>
        <v/>
      </c>
      <c r="N36" s="581">
        <f>Form_III!N64</f>
        <v/>
      </c>
      <c r="O36" s="581">
        <f>Form_III!O64</f>
        <v/>
      </c>
      <c r="P36" s="581">
        <f>Form_III!P64</f>
        <v/>
      </c>
    </row>
    <row r="37" ht="12.75" customHeight="1">
      <c r="A37" s="296" t="n"/>
      <c r="B37" s="291" t="n"/>
      <c r="C37" s="272">
        <f>Form_III!B79</f>
        <v/>
      </c>
      <c r="E37" s="581">
        <f>Form_III!E79</f>
        <v/>
      </c>
      <c r="F37" s="581">
        <f>Form_III!F79</f>
        <v/>
      </c>
      <c r="G37" s="581">
        <f>Form_III!G79</f>
        <v/>
      </c>
      <c r="H37" s="581">
        <f>Form_III!H79</f>
        <v/>
      </c>
      <c r="I37" s="581">
        <f>Form_III!I79</f>
        <v/>
      </c>
      <c r="J37" s="581">
        <f>Form_III!J79</f>
        <v/>
      </c>
      <c r="K37" s="581">
        <f>Form_III!K79</f>
        <v/>
      </c>
      <c r="L37" s="581">
        <f>Form_III!L79</f>
        <v/>
      </c>
      <c r="M37" s="581">
        <f>Form_III!M79</f>
        <v/>
      </c>
      <c r="N37" s="581">
        <f>Form_III!N79</f>
        <v/>
      </c>
      <c r="O37" s="581">
        <f>Form_III!O79</f>
        <v/>
      </c>
      <c r="P37" s="581">
        <f>Form_III!P79</f>
        <v/>
      </c>
    </row>
    <row r="38" ht="12.75" customHeight="1">
      <c r="A38" s="291" t="n"/>
      <c r="B38" s="291" t="n"/>
      <c r="C38" s="272">
        <f>Form_III!B80</f>
        <v/>
      </c>
      <c r="E38" s="581">
        <f>Form_III!E81+Form_III!E82</f>
        <v/>
      </c>
      <c r="F38" s="581">
        <f>Form_III!F81+Form_III!F82</f>
        <v/>
      </c>
      <c r="G38" s="581">
        <f>Form_III!G81+Form_III!G82</f>
        <v/>
      </c>
      <c r="H38" s="581">
        <f>Form_III!H81+Form_III!H82</f>
        <v/>
      </c>
      <c r="I38" s="581">
        <f>Form_III!I81+Form_III!I82</f>
        <v/>
      </c>
      <c r="J38" s="581">
        <f>Form_III!J81+Form_III!J82</f>
        <v/>
      </c>
      <c r="K38" s="581">
        <f>Form_III!K81+Form_III!K82</f>
        <v/>
      </c>
      <c r="L38" s="581">
        <f>Form_III!L81+Form_III!L82</f>
        <v/>
      </c>
      <c r="M38" s="581">
        <f>Form_III!M81+Form_III!M82</f>
        <v/>
      </c>
      <c r="N38" s="581">
        <f>Form_III!N81+Form_III!N82</f>
        <v/>
      </c>
      <c r="O38" s="581">
        <f>Form_III!O81+Form_III!O82</f>
        <v/>
      </c>
      <c r="P38" s="581">
        <f>Form_III!P81+Form_III!P82</f>
        <v/>
      </c>
    </row>
    <row r="39" ht="15" customHeight="1">
      <c r="A39" s="296" t="n"/>
      <c r="B39" s="224" t="inlineStr">
        <is>
          <t>Total Current Assets</t>
        </is>
      </c>
      <c r="E39" s="584">
        <f>ROUND(E12+E14+E17+E19+E21+E23+E25+E27+E29+E30+E32+E33+E35+E36+E37+E38,2)</f>
        <v/>
      </c>
      <c r="F39" s="584">
        <f>ROUND(F12+F14+F17+F19+F21+F23+F25+F27+F29+F30+F32+F33+F35+F36+F37+F38,2)</f>
        <v/>
      </c>
      <c r="G39" s="584">
        <f>ROUND(G12+G14+G17+G19+G21+G23+G25+G27+G29+G30+G32+G33+G35+G36+G37+G38,2)</f>
        <v/>
      </c>
      <c r="H39" s="584">
        <f>ROUND(H12+H14+H17+H19+H21+H23+H25+H27+H29+H30+H32+H33+H35+H36+H37+H38,2)</f>
        <v/>
      </c>
      <c r="I39" s="584">
        <f>ROUND(I12+I14+I17+I19+I21+I23+I25+I27+I29+I30+I32+I33+I35+I36+I37+I38,2)</f>
        <v/>
      </c>
      <c r="J39" s="584">
        <f>ROUND(J12+J14+J17+J19+J21+J23+J25+J27+J29+J30+J32+J33+J35+J36+J37+J38,2)</f>
        <v/>
      </c>
      <c r="K39" s="584">
        <f>ROUND(K12+K14+K17+K19+K21+K23+K25+K27+K29+K30+K32+K33+K35+K36+K37+K38,2)</f>
        <v/>
      </c>
      <c r="L39" s="584">
        <f>ROUND(L12+L14+L17+L19+L21+L23+L25+L27+L29+L30+L32+L33+L35+L36+L37+L38,2)</f>
        <v/>
      </c>
      <c r="M39" s="584">
        <f>ROUND(M12+M14+M17+M19+M21+M23+M25+M27+M29+M30+M32+M33+M35+M36+M37+M38,2)</f>
        <v/>
      </c>
      <c r="N39" s="584">
        <f>ROUND(N12+N14+N17+N19+N21+N23+N25+N27+N29+N30+N32+N33+N35+N36+N37+N38,2)</f>
        <v/>
      </c>
      <c r="O39" s="584">
        <f>ROUND(O12+O14+O17+O19+O21+O23+O25+O27+O29+O30+O32+O33+O35+O36+O37+O38,2)</f>
        <v/>
      </c>
      <c r="P39" s="584">
        <f>ROUND(P12+P14+P17+P19+P21+P23+P25+P27+P29+P30+P32+P33+P35+P36+P37+P38,2)</f>
        <v/>
      </c>
    </row>
    <row r="40" ht="15" customHeight="1">
      <c r="A40" s="296" t="n"/>
      <c r="B40" s="224" t="n"/>
      <c r="E40" s="585" t="n"/>
      <c r="F40" s="585" t="n"/>
      <c r="G40" s="585" t="n"/>
      <c r="H40" s="585" t="n"/>
      <c r="I40" s="585" t="n"/>
      <c r="J40" s="585" t="n"/>
      <c r="K40" s="585" t="n"/>
      <c r="L40" s="585" t="n"/>
      <c r="M40" s="585" t="n"/>
      <c r="N40" s="585" t="n"/>
      <c r="O40" s="585" t="n"/>
      <c r="P40" s="585" t="n"/>
    </row>
    <row r="41" ht="11.1" customHeight="1">
      <c r="B41" s="299" t="n"/>
      <c r="E41" s="586" t="n"/>
      <c r="F41" s="586" t="n"/>
      <c r="G41" s="586" t="n"/>
      <c r="H41" s="586" t="n"/>
      <c r="I41" s="586" t="n"/>
      <c r="J41" s="586" t="n"/>
      <c r="K41" s="586" t="n"/>
      <c r="L41" s="586" t="n"/>
      <c r="M41" s="586" t="n"/>
      <c r="N41" s="586" t="n"/>
      <c r="O41" s="586" t="n"/>
      <c r="P41" s="586" t="n"/>
    </row>
    <row r="42" ht="15" customHeight="1">
      <c r="A42" s="224" t="inlineStr">
        <is>
          <t>FORM IV</t>
        </is>
      </c>
      <c r="B42" s="224" t="n"/>
      <c r="C42" s="224" t="n"/>
      <c r="D42" s="224" t="n"/>
      <c r="E42" s="424" t="n"/>
      <c r="F42" s="424" t="n"/>
      <c r="G42" s="424" t="n"/>
      <c r="H42" s="424" t="n"/>
    </row>
    <row r="43" ht="15" customHeight="1">
      <c r="A43" s="224" t="inlineStr">
        <is>
          <t>COMPARATIVE STATEMENT OF CURRENT ASSETS AND CURRENT LIABILITIES</t>
        </is>
      </c>
      <c r="B43" s="224" t="n"/>
      <c r="C43" s="224" t="n"/>
      <c r="D43" s="224" t="n"/>
      <c r="E43" s="424" t="n"/>
      <c r="F43" s="424" t="n"/>
      <c r="G43" s="424" t="n"/>
      <c r="H43" s="424" t="n"/>
    </row>
    <row r="44" ht="16.5" customHeight="1">
      <c r="A44" s="425" t="n"/>
      <c r="B44" s="422" t="n"/>
      <c r="E44" s="587" t="n"/>
      <c r="F44" s="587" t="n"/>
      <c r="G44" s="587" t="n"/>
      <c r="H44" s="587" t="n"/>
      <c r="I44" s="587" t="n"/>
      <c r="J44" s="587" t="n"/>
      <c r="K44" s="587" t="n"/>
      <c r="L44" s="587" t="n"/>
      <c r="M44" s="587" t="n"/>
      <c r="N44" s="587" t="n"/>
      <c r="O44" s="587" t="n"/>
      <c r="P44" s="587" t="n"/>
    </row>
    <row r="45" ht="15" customHeight="1">
      <c r="E45" s="288">
        <f>'INPUT SHEET'!B10</f>
        <v/>
      </c>
      <c r="F45" s="288">
        <f>'INPUT SHEET'!C10</f>
        <v/>
      </c>
      <c r="G45" s="288">
        <f>'INPUT SHEET'!D10</f>
        <v/>
      </c>
      <c r="H45" s="288">
        <f>'INPUT SHEET'!E10</f>
        <v/>
      </c>
      <c r="I45" s="288">
        <f>'INPUT SHEET'!F10</f>
        <v/>
      </c>
      <c r="J45" s="288">
        <f>'INPUT SHEET'!G10</f>
        <v/>
      </c>
      <c r="K45" s="288">
        <f>'INPUT SHEET'!H10</f>
        <v/>
      </c>
      <c r="L45" s="288">
        <f>'INPUT SHEET'!I10</f>
        <v/>
      </c>
      <c r="M45" s="288">
        <f>'INPUT SHEET'!J10</f>
        <v/>
      </c>
      <c r="N45" s="288">
        <f>'INPUT SHEET'!K10</f>
        <v/>
      </c>
      <c r="O45" s="288">
        <f>'INPUT SHEET'!L10</f>
        <v/>
      </c>
      <c r="P45" s="288">
        <f>'INPUT SHEET'!M10</f>
        <v/>
      </c>
    </row>
    <row r="46" ht="15" customHeight="1">
      <c r="A46" s="224" t="n"/>
      <c r="D46" s="289">
        <f>'INPUT SHEET'!A8</f>
        <v/>
      </c>
      <c r="E46" s="288">
        <f>'INPUT SHEET'!B8</f>
        <v/>
      </c>
      <c r="F46" s="288">
        <f>'INPUT SHEET'!C8</f>
        <v/>
      </c>
      <c r="G46" s="288">
        <f>'INPUT SHEET'!D8</f>
        <v/>
      </c>
      <c r="H46" s="288">
        <f>'INPUT SHEET'!E8</f>
        <v/>
      </c>
      <c r="I46" s="288">
        <f>'INPUT SHEET'!F8</f>
        <v/>
      </c>
      <c r="J46" s="288">
        <f>'INPUT SHEET'!G8</f>
        <v/>
      </c>
      <c r="K46" s="288">
        <f>'INPUT SHEET'!H8</f>
        <v/>
      </c>
      <c r="L46" s="288">
        <f>'INPUT SHEET'!I8</f>
        <v/>
      </c>
      <c r="M46" s="288">
        <f>'INPUT SHEET'!J8</f>
        <v/>
      </c>
      <c r="N46" s="288">
        <f>'INPUT SHEET'!K8</f>
        <v/>
      </c>
      <c r="O46" s="288">
        <f>'INPUT SHEET'!L8</f>
        <v/>
      </c>
      <c r="P46" s="288">
        <f>'INPUT SHEET'!M8</f>
        <v/>
      </c>
    </row>
    <row r="47" ht="15" customHeight="1">
      <c r="D47" s="289">
        <f>'INPUT SHEET'!A9</f>
        <v/>
      </c>
      <c r="E47" s="288">
        <f>'INPUT SHEET'!B9</f>
        <v/>
      </c>
      <c r="F47" s="288">
        <f>'INPUT SHEET'!C9</f>
        <v/>
      </c>
      <c r="G47" s="288">
        <f>'INPUT SHEET'!D9</f>
        <v/>
      </c>
      <c r="H47" s="288">
        <f>'INPUT SHEET'!E9</f>
        <v/>
      </c>
      <c r="I47" s="288">
        <f>'INPUT SHEET'!F9</f>
        <v/>
      </c>
      <c r="J47" s="288">
        <f>'INPUT SHEET'!G9</f>
        <v/>
      </c>
      <c r="K47" s="288">
        <f>'INPUT SHEET'!H9</f>
        <v/>
      </c>
      <c r="L47" s="288">
        <f>'INPUT SHEET'!I9</f>
        <v/>
      </c>
      <c r="M47" s="288">
        <f>'INPUT SHEET'!J9</f>
        <v/>
      </c>
      <c r="N47" s="288">
        <f>'INPUT SHEET'!K9</f>
        <v/>
      </c>
      <c r="O47" s="288">
        <f>'INPUT SHEET'!L9</f>
        <v/>
      </c>
      <c r="P47" s="288">
        <f>'INPUT SHEET'!M9</f>
        <v/>
      </c>
    </row>
    <row r="48" ht="15" customHeight="1">
      <c r="A48" s="224" t="inlineStr">
        <is>
          <t>B. CURRENT LIABILITIES</t>
        </is>
      </c>
      <c r="E48" s="580" t="n"/>
      <c r="F48" s="580" t="n"/>
      <c r="G48" s="580" t="n"/>
      <c r="H48" s="580" t="n"/>
      <c r="I48" s="580" t="n"/>
      <c r="J48" s="580" t="n"/>
      <c r="K48" s="580" t="n"/>
      <c r="L48" s="580" t="n"/>
      <c r="M48" s="580" t="n"/>
      <c r="N48" s="580" t="n"/>
      <c r="O48" s="580" t="n"/>
      <c r="P48" s="580" t="n"/>
    </row>
    <row r="49" ht="15" customHeight="1">
      <c r="A49" s="301" t="inlineStr">
        <is>
          <t>(Other than bank borrowings for working capital)</t>
        </is>
      </c>
      <c r="E49" s="581" t="n"/>
      <c r="F49" s="581" t="n"/>
      <c r="G49" s="581" t="n"/>
      <c r="H49" s="581" t="n"/>
      <c r="I49" s="581" t="n"/>
      <c r="J49" s="581" t="n"/>
      <c r="K49" s="581" t="n"/>
      <c r="L49" s="581" t="n"/>
      <c r="M49" s="581" t="n"/>
      <c r="N49" s="581" t="n"/>
      <c r="O49" s="581" t="n"/>
      <c r="P49" s="581" t="n"/>
    </row>
    <row r="50" ht="15" customHeight="1">
      <c r="A50" s="291" t="inlineStr">
        <is>
          <t>10.</t>
        </is>
      </c>
      <c r="B50" s="272">
        <f>Form_III!B17</f>
        <v/>
      </c>
      <c r="E50" s="581">
        <f>Form_III!E17</f>
        <v/>
      </c>
      <c r="F50" s="581">
        <f>Form_III!F17</f>
        <v/>
      </c>
      <c r="G50" s="581">
        <f>Form_III!G17</f>
        <v/>
      </c>
      <c r="H50" s="581">
        <f>Form_III!H17</f>
        <v/>
      </c>
      <c r="I50" s="581">
        <f>Form_III!I17</f>
        <v/>
      </c>
      <c r="J50" s="581">
        <f>Form_III!J17</f>
        <v/>
      </c>
      <c r="K50" s="581">
        <f>Form_III!K17</f>
        <v/>
      </c>
      <c r="L50" s="581">
        <f>Form_III!L17</f>
        <v/>
      </c>
      <c r="M50" s="581">
        <f>Form_III!M17</f>
        <v/>
      </c>
      <c r="N50" s="581">
        <f>Form_III!N17</f>
        <v/>
      </c>
      <c r="O50" s="581">
        <f>Form_III!O17</f>
        <v/>
      </c>
      <c r="P50" s="581">
        <f>Form_III!P17</f>
        <v/>
      </c>
    </row>
    <row r="51" ht="15" customHeight="1">
      <c r="B51" s="272" t="inlineStr">
        <is>
          <t>Month's purchases</t>
        </is>
      </c>
      <c r="E51" s="588" t="n"/>
      <c r="F51" s="303">
        <f>IF(F50&lt;&gt;0,F50/((Form_III!F69+(Form_II!F18*12/F$47)-Form_III!E69)/12),"")</f>
        <v/>
      </c>
      <c r="G51" s="303">
        <f>IF(G50&lt;&gt;0,G50/((Form_III!G69+(Form_II!G18*12/G$47)-Form_III!F69)/12),"")</f>
        <v/>
      </c>
      <c r="H51" s="303">
        <f>IF(H50&lt;&gt;0,H50/((Form_III!H69+(Form_II!H18*12/H$47)-Form_III!G69)/12),"")</f>
        <v/>
      </c>
      <c r="I51" s="303">
        <f>IF(I50&lt;&gt;0,I50/((Form_III!I69+(Form_II!I18*12/I$47)-Form_III!H69)/12),"")</f>
        <v/>
      </c>
      <c r="J51" s="303">
        <f>IF(J50&lt;&gt;0,J50/((Form_III!J69+(Form_II!J18*12/J$47)-Form_III!I69)/12),"")</f>
        <v/>
      </c>
      <c r="K51" s="303">
        <f>IF(K50&lt;&gt;0,K50/((Form_III!K69+(Form_II!K18*12/K$47)-Form_III!J69)/12),"")</f>
        <v/>
      </c>
      <c r="L51" s="303">
        <f>IF(L50&lt;&gt;0,L50/((Form_III!L69+(Form_II!L18*12/L$47)-Form_III!K69)/12),"")</f>
        <v/>
      </c>
      <c r="M51" s="303">
        <f>IF(M50&lt;&gt;0,M50/((Form_III!M69+(Form_II!M18*12/M$47)-Form_III!L69)/12),"")</f>
        <v/>
      </c>
      <c r="N51" s="303">
        <f>IF(N50&lt;&gt;0,N50/((Form_III!N69+(Form_II!N18*12/N$47)-Form_III!M69)/12),"")</f>
        <v/>
      </c>
      <c r="O51" s="303">
        <f>IF(O50&lt;&gt;0,O50/((Form_III!O69+(Form_II!O18*12/O$47)-Form_III!N69)/12),"")</f>
        <v/>
      </c>
      <c r="P51" s="303">
        <f>IF(P50&lt;&gt;0,P50/((Form_III!P69+(Form_II!P18*12/P$47)-Form_III!O69)/12),"")</f>
        <v/>
      </c>
    </row>
    <row r="52" ht="30.75" customHeight="1">
      <c r="A52" s="291" t="inlineStr">
        <is>
          <t>11.</t>
        </is>
      </c>
      <c r="B52" s="423">
        <f>Form_III!B18</f>
        <v/>
      </c>
      <c r="E52" s="581">
        <f>Form_III!E18</f>
        <v/>
      </c>
      <c r="F52" s="581">
        <f>Form_III!F18</f>
        <v/>
      </c>
      <c r="G52" s="581">
        <f>Form_III!G18</f>
        <v/>
      </c>
      <c r="H52" s="581">
        <f>Form_III!H18</f>
        <v/>
      </c>
      <c r="I52" s="581">
        <f>Form_III!I18</f>
        <v/>
      </c>
      <c r="J52" s="581">
        <f>Form_III!J18</f>
        <v/>
      </c>
      <c r="K52" s="581">
        <f>Form_III!K18</f>
        <v/>
      </c>
      <c r="L52" s="581">
        <f>Form_III!L18</f>
        <v/>
      </c>
      <c r="M52" s="581">
        <f>Form_III!M18</f>
        <v/>
      </c>
      <c r="N52" s="581">
        <f>Form_III!N18</f>
        <v/>
      </c>
      <c r="O52" s="581">
        <f>Form_III!O18</f>
        <v/>
      </c>
      <c r="P52" s="581">
        <f>Form_III!P18</f>
        <v/>
      </c>
    </row>
    <row r="53" ht="15" customHeight="1">
      <c r="A53" s="291" t="inlineStr">
        <is>
          <t>12.</t>
        </is>
      </c>
      <c r="B53" s="272">
        <f>Form_III!B19</f>
        <v/>
      </c>
      <c r="E53" s="581">
        <f>Form_III!E19</f>
        <v/>
      </c>
      <c r="F53" s="581">
        <f>Form_III!F19</f>
        <v/>
      </c>
      <c r="G53" s="581">
        <f>Form_III!G19</f>
        <v/>
      </c>
      <c r="H53" s="581">
        <f>Form_III!H19</f>
        <v/>
      </c>
      <c r="I53" s="581">
        <f>Form_III!I19</f>
        <v/>
      </c>
      <c r="J53" s="581">
        <f>Form_III!J19</f>
        <v/>
      </c>
      <c r="K53" s="581">
        <f>Form_III!K19</f>
        <v/>
      </c>
      <c r="L53" s="581">
        <f>Form_III!L19</f>
        <v/>
      </c>
      <c r="M53" s="581">
        <f>Form_III!M19</f>
        <v/>
      </c>
      <c r="N53" s="581">
        <f>Form_III!N19</f>
        <v/>
      </c>
      <c r="O53" s="581">
        <f>Form_III!O19</f>
        <v/>
      </c>
      <c r="P53" s="581">
        <f>Form_III!P19</f>
        <v/>
      </c>
    </row>
    <row r="54" ht="15" customHeight="1">
      <c r="A54" s="292" t="n">
        <v>13</v>
      </c>
      <c r="B54" s="272">
        <f>Form_III!B20</f>
        <v/>
      </c>
      <c r="E54" s="581">
        <f>Form_III!E20</f>
        <v/>
      </c>
      <c r="F54" s="581">
        <f>Form_III!F20</f>
        <v/>
      </c>
      <c r="G54" s="581">
        <f>Form_III!G20</f>
        <v/>
      </c>
      <c r="H54" s="581">
        <f>Form_III!H20</f>
        <v/>
      </c>
      <c r="I54" s="581">
        <f>Form_III!I20</f>
        <v/>
      </c>
      <c r="J54" s="581">
        <f>Form_III!J20</f>
        <v/>
      </c>
      <c r="K54" s="581">
        <f>Form_III!K20</f>
        <v/>
      </c>
      <c r="L54" s="581">
        <f>Form_III!L20</f>
        <v/>
      </c>
      <c r="M54" s="581">
        <f>Form_III!M20</f>
        <v/>
      </c>
      <c r="N54" s="581">
        <f>Form_III!N20</f>
        <v/>
      </c>
      <c r="O54" s="581">
        <f>Form_III!O20</f>
        <v/>
      </c>
      <c r="P54" s="581">
        <f>Form_III!P20</f>
        <v/>
      </c>
    </row>
    <row r="55" ht="15" customHeight="1">
      <c r="A55" s="291" t="inlineStr">
        <is>
          <t>14.</t>
        </is>
      </c>
      <c r="B55" s="272">
        <f>Form_III!B21</f>
        <v/>
      </c>
      <c r="E55" s="581">
        <f>Form_III!E21</f>
        <v/>
      </c>
      <c r="F55" s="581">
        <f>Form_III!F21</f>
        <v/>
      </c>
      <c r="G55" s="581">
        <f>Form_III!G21</f>
        <v/>
      </c>
      <c r="H55" s="581">
        <f>Form_III!H21</f>
        <v/>
      </c>
      <c r="I55" s="581">
        <f>Form_III!I21</f>
        <v/>
      </c>
      <c r="J55" s="581">
        <f>Form_III!J21</f>
        <v/>
      </c>
      <c r="K55" s="581">
        <f>Form_III!K21</f>
        <v/>
      </c>
      <c r="L55" s="581">
        <f>Form_III!L21</f>
        <v/>
      </c>
      <c r="M55" s="581">
        <f>Form_III!M21</f>
        <v/>
      </c>
      <c r="N55" s="581">
        <f>Form_III!N21</f>
        <v/>
      </c>
      <c r="O55" s="581">
        <f>Form_III!O21</f>
        <v/>
      </c>
      <c r="P55" s="581">
        <f>Form_III!P21</f>
        <v/>
      </c>
    </row>
    <row r="56" ht="30" customHeight="1">
      <c r="A56" s="291" t="inlineStr">
        <is>
          <t>15.</t>
        </is>
      </c>
      <c r="B56" s="423">
        <f>Form_III!B22</f>
        <v/>
      </c>
      <c r="E56" s="581">
        <f>Form_III!E22</f>
        <v/>
      </c>
      <c r="F56" s="581">
        <f>Form_III!F22</f>
        <v/>
      </c>
      <c r="G56" s="581">
        <f>Form_III!G22</f>
        <v/>
      </c>
      <c r="H56" s="581">
        <f>Form_III!H22</f>
        <v/>
      </c>
      <c r="I56" s="581">
        <f>Form_III!I22</f>
        <v/>
      </c>
      <c r="J56" s="581">
        <f>Form_III!J22</f>
        <v/>
      </c>
      <c r="K56" s="581">
        <f>Form_III!K22</f>
        <v/>
      </c>
      <c r="L56" s="581">
        <f>Form_III!L22</f>
        <v/>
      </c>
      <c r="M56" s="581">
        <f>Form_III!M22</f>
        <v/>
      </c>
      <c r="N56" s="581">
        <f>Form_III!N22</f>
        <v/>
      </c>
      <c r="O56" s="581">
        <f>Form_III!O22</f>
        <v/>
      </c>
      <c r="P56" s="581">
        <f>Form_III!P22</f>
        <v/>
      </c>
    </row>
    <row r="57" ht="14.25" customHeight="1">
      <c r="A57" s="291" t="inlineStr">
        <is>
          <t>16</t>
        </is>
      </c>
      <c r="B57" s="426">
        <f>Form_III!B16</f>
        <v/>
      </c>
      <c r="E57" s="581">
        <f>Form_III!E16</f>
        <v/>
      </c>
      <c r="F57" s="581">
        <f>Form_III!F16</f>
        <v/>
      </c>
      <c r="G57" s="581">
        <f>Form_III!G16</f>
        <v/>
      </c>
      <c r="H57" s="581">
        <f>Form_III!H16</f>
        <v/>
      </c>
      <c r="I57" s="581">
        <f>Form_III!I16</f>
        <v/>
      </c>
      <c r="J57" s="581">
        <f>Form_III!J16</f>
        <v/>
      </c>
      <c r="K57" s="581">
        <f>Form_III!K16</f>
        <v/>
      </c>
      <c r="L57" s="581">
        <f>Form_III!L16</f>
        <v/>
      </c>
      <c r="M57" s="581">
        <f>Form_III!M16</f>
        <v/>
      </c>
      <c r="N57" s="581">
        <f>Form_III!N16</f>
        <v/>
      </c>
      <c r="O57" s="581">
        <f>Form_III!O16</f>
        <v/>
      </c>
      <c r="P57" s="581">
        <f>Form_III!P16</f>
        <v/>
      </c>
    </row>
    <row r="58" ht="18" customHeight="1">
      <c r="A58" s="291" t="inlineStr">
        <is>
          <t>17</t>
        </is>
      </c>
      <c r="B58" s="423">
        <f>Form_III!B23</f>
        <v/>
      </c>
      <c r="E58" s="581">
        <f>SUM(E59:E62)</f>
        <v/>
      </c>
      <c r="F58" s="581">
        <f>SUM(F59:F62)</f>
        <v/>
      </c>
      <c r="G58" s="581">
        <f>SUM(G59:G62)</f>
        <v/>
      </c>
      <c r="H58" s="581">
        <f>SUM(H59:H62)</f>
        <v/>
      </c>
      <c r="I58" s="581">
        <f>SUM(I59:I62)</f>
        <v/>
      </c>
      <c r="J58" s="581">
        <f>SUM(J59:J62)</f>
        <v/>
      </c>
      <c r="K58" s="581">
        <f>SUM(K59:K62)</f>
        <v/>
      </c>
      <c r="L58" s="581">
        <f>SUM(L59:L62)</f>
        <v/>
      </c>
      <c r="M58" s="581">
        <f>SUM(M59:M62)</f>
        <v/>
      </c>
      <c r="N58" s="581">
        <f>SUM(N59:N62)</f>
        <v/>
      </c>
      <c r="O58" s="581">
        <f>SUM(O59:O62)</f>
        <v/>
      </c>
      <c r="P58" s="581">
        <f>SUM(P59:P62)</f>
        <v/>
      </c>
    </row>
    <row r="59" ht="15" customHeight="1">
      <c r="A59" s="291" t="n"/>
      <c r="B59" s="272" t="inlineStr">
        <is>
          <t>a.</t>
        </is>
      </c>
      <c r="C59" s="422">
        <f>Form_III!C24</f>
        <v/>
      </c>
      <c r="E59" s="581">
        <f>Form_III!E24</f>
        <v/>
      </c>
      <c r="F59" s="581">
        <f>Form_III!F24</f>
        <v/>
      </c>
      <c r="G59" s="581">
        <f>Form_III!G24</f>
        <v/>
      </c>
      <c r="H59" s="581">
        <f>Form_III!H24</f>
        <v/>
      </c>
      <c r="I59" s="581">
        <f>Form_III!I24</f>
        <v/>
      </c>
      <c r="J59" s="581">
        <f>Form_III!J24</f>
        <v/>
      </c>
      <c r="K59" s="581">
        <f>Form_III!K24</f>
        <v/>
      </c>
      <c r="L59" s="581">
        <f>Form_III!L24</f>
        <v/>
      </c>
      <c r="M59" s="581">
        <f>Form_III!M24</f>
        <v/>
      </c>
      <c r="N59" s="581">
        <f>Form_III!N24</f>
        <v/>
      </c>
      <c r="O59" s="581">
        <f>Form_III!O24</f>
        <v/>
      </c>
      <c r="P59" s="581">
        <f>Form_III!P24</f>
        <v/>
      </c>
    </row>
    <row r="60" ht="15" customHeight="1">
      <c r="B60" s="272" t="inlineStr">
        <is>
          <t>b</t>
        </is>
      </c>
      <c r="C60" s="422">
        <f>Form_III!C25</f>
        <v/>
      </c>
      <c r="E60" s="581">
        <f>Form_III!E25</f>
        <v/>
      </c>
      <c r="F60" s="581">
        <f>Form_III!F25</f>
        <v/>
      </c>
      <c r="G60" s="581">
        <f>Form_III!G25</f>
        <v/>
      </c>
      <c r="H60" s="581">
        <f>Form_III!H25</f>
        <v/>
      </c>
      <c r="I60" s="581">
        <f>Form_III!I25</f>
        <v/>
      </c>
      <c r="J60" s="581">
        <f>Form_III!J25</f>
        <v/>
      </c>
      <c r="K60" s="581">
        <f>Form_III!K25</f>
        <v/>
      </c>
      <c r="L60" s="581">
        <f>Form_III!L25</f>
        <v/>
      </c>
      <c r="M60" s="581">
        <f>Form_III!M25</f>
        <v/>
      </c>
      <c r="N60" s="581">
        <f>Form_III!N25</f>
        <v/>
      </c>
      <c r="O60" s="581">
        <f>Form_III!O25</f>
        <v/>
      </c>
      <c r="P60" s="581">
        <f>Form_III!P25</f>
        <v/>
      </c>
    </row>
    <row r="61" ht="15" customHeight="1">
      <c r="B61" s="272" t="inlineStr">
        <is>
          <t>c</t>
        </is>
      </c>
      <c r="C61" s="422">
        <f>Form_III!C26</f>
        <v/>
      </c>
      <c r="D61" s="422" t="n"/>
      <c r="E61" s="581">
        <f>Form_III!E26</f>
        <v/>
      </c>
      <c r="F61" s="581">
        <f>Form_III!F26</f>
        <v/>
      </c>
      <c r="G61" s="581">
        <f>Form_III!G26</f>
        <v/>
      </c>
      <c r="H61" s="581">
        <f>Form_III!H26</f>
        <v/>
      </c>
      <c r="I61" s="581">
        <f>Form_III!I26</f>
        <v/>
      </c>
      <c r="J61" s="581">
        <f>Form_III!J26</f>
        <v/>
      </c>
      <c r="K61" s="581">
        <f>Form_III!K26</f>
        <v/>
      </c>
      <c r="L61" s="581">
        <f>Form_III!L26</f>
        <v/>
      </c>
      <c r="M61" s="581">
        <f>Form_III!M26</f>
        <v/>
      </c>
      <c r="N61" s="581">
        <f>Form_III!N26</f>
        <v/>
      </c>
      <c r="O61" s="581">
        <f>Form_III!O26</f>
        <v/>
      </c>
      <c r="P61" s="581">
        <f>Form_III!P26</f>
        <v/>
      </c>
    </row>
    <row r="62" ht="15" customHeight="1">
      <c r="B62" s="272" t="inlineStr">
        <is>
          <t>d</t>
        </is>
      </c>
      <c r="C62" s="422">
        <f>Form_III!C27</f>
        <v/>
      </c>
      <c r="D62" s="422" t="n"/>
      <c r="E62" s="581">
        <f>Form_III!E27</f>
        <v/>
      </c>
      <c r="F62" s="581">
        <f>Form_III!F27</f>
        <v/>
      </c>
      <c r="G62" s="581">
        <f>Form_III!G27</f>
        <v/>
      </c>
      <c r="H62" s="581">
        <f>Form_III!H27</f>
        <v/>
      </c>
      <c r="I62" s="581">
        <f>Form_III!I27</f>
        <v/>
      </c>
      <c r="J62" s="581">
        <f>Form_III!J27</f>
        <v/>
      </c>
      <c r="K62" s="581">
        <f>Form_III!K27</f>
        <v/>
      </c>
      <c r="L62" s="581">
        <f>Form_III!L27</f>
        <v/>
      </c>
      <c r="M62" s="581">
        <f>Form_III!M27</f>
        <v/>
      </c>
      <c r="N62" s="581">
        <f>Form_III!N27</f>
        <v/>
      </c>
      <c r="O62" s="581">
        <f>Form_III!O27</f>
        <v/>
      </c>
      <c r="P62" s="581">
        <f>Form_III!P27</f>
        <v/>
      </c>
    </row>
    <row r="63" ht="15" customHeight="1">
      <c r="A63" s="296" t="inlineStr">
        <is>
          <t>18.</t>
        </is>
      </c>
      <c r="B63" s="425" t="inlineStr">
        <is>
          <t>Total Current Liabilities</t>
        </is>
      </c>
      <c r="E63" s="584">
        <f>SUM(E50:E58)-E51</f>
        <v/>
      </c>
      <c r="F63" s="584">
        <f>SUM(F50:F58)-F51</f>
        <v/>
      </c>
      <c r="G63" s="584">
        <f>SUM(G50:G58)-G51</f>
        <v/>
      </c>
      <c r="H63" s="584">
        <f>SUM(H50:H58)-H51</f>
        <v/>
      </c>
      <c r="I63" s="584">
        <f>SUM(I50:I58)-I51</f>
        <v/>
      </c>
      <c r="J63" s="584">
        <f>SUM(J50:J58)-J51</f>
        <v/>
      </c>
      <c r="K63" s="584">
        <f>SUM(K50:K58)-K51</f>
        <v/>
      </c>
      <c r="L63" s="584">
        <f>SUM(L50:L58)-L51</f>
        <v/>
      </c>
      <c r="M63" s="584">
        <f>SUM(M50:M58)-M51</f>
        <v/>
      </c>
      <c r="N63" s="584">
        <f>SUM(N50:N58)-N51</f>
        <v/>
      </c>
      <c r="O63" s="584">
        <f>SUM(O50:O58)-O51</f>
        <v/>
      </c>
      <c r="P63" s="584">
        <f>SUM(P50:P58)-P51</f>
        <v/>
      </c>
    </row>
    <row r="64" ht="15" customHeight="1"/>
  </sheetData>
  <mergeCells count="13">
    <mergeCell ref="C34:D34"/>
    <mergeCell ref="B11:D11"/>
    <mergeCell ref="A3:H3"/>
    <mergeCell ref="B63:D63"/>
    <mergeCell ref="C60:D60"/>
    <mergeCell ref="B57:D57"/>
    <mergeCell ref="B58:D58"/>
    <mergeCell ref="B56:D56"/>
    <mergeCell ref="B27:D27"/>
    <mergeCell ref="B52:D52"/>
    <mergeCell ref="B29:D29"/>
    <mergeCell ref="B25:D25"/>
    <mergeCell ref="C59:D59"/>
  </mergeCells>
  <pageMargins left="0.7874015748031497" right="0.7874015748031497" top="0.7874015748031497" bottom="0.7874015748031497" header="0.5118110236220472" footer="0.7480314960629921"/>
  <pageSetup orientation="portrait" paperSize="9" scale="54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  <rowBreaks count="1" manualBreakCount="1">
    <brk id="41" min="0" max="16383" man="1"/>
  </rowBreak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M36"/>
  <sheetViews>
    <sheetView showGridLines="0" zoomScale="90" zoomScaleNormal="90" workbookViewId="0">
      <selection activeCell="K23" sqref="K23"/>
    </sheetView>
  </sheetViews>
  <sheetFormatPr baseColWidth="8" defaultColWidth="9.109375" defaultRowHeight="13.2"/>
  <cols>
    <col width="38" customWidth="1" style="61" min="1" max="1"/>
    <col width="10.5546875" customWidth="1" style="61" min="2" max="2"/>
    <col width="10.6640625" customWidth="1" style="61" min="3" max="3"/>
    <col width="12" customWidth="1" style="61" min="4" max="4"/>
    <col width="10.88671875" customWidth="1" style="61" min="5" max="5"/>
    <col width="12" customWidth="1" style="61" min="6" max="13"/>
    <col width="9.109375" customWidth="1" style="61" min="14" max="16384"/>
  </cols>
  <sheetData>
    <row r="1">
      <c r="A1" s="65" t="inlineStr">
        <is>
          <t xml:space="preserve">Trend Analysis of Components of Cost </t>
        </is>
      </c>
    </row>
    <row r="4">
      <c r="A4" s="199">
        <f>'INPUT SHEET'!A10</f>
        <v/>
      </c>
      <c r="B4" s="200">
        <f>'INPUT SHEET'!B10</f>
        <v/>
      </c>
      <c r="C4" s="200">
        <f>'INPUT SHEET'!C10</f>
        <v/>
      </c>
      <c r="D4" s="200">
        <f>'INPUT SHEET'!D10</f>
        <v/>
      </c>
      <c r="E4" s="200">
        <f>'INPUT SHEET'!E10</f>
        <v/>
      </c>
      <c r="F4" s="201">
        <f>'INPUT SHEET'!F10</f>
        <v/>
      </c>
      <c r="G4" s="201">
        <f>'INPUT SHEET'!G10</f>
        <v/>
      </c>
      <c r="H4" s="201">
        <f>'INPUT SHEET'!H10</f>
        <v/>
      </c>
      <c r="I4" s="201">
        <f>'INPUT SHEET'!I10</f>
        <v/>
      </c>
      <c r="J4" s="201">
        <f>'INPUT SHEET'!J10</f>
        <v/>
      </c>
      <c r="K4" s="201">
        <f>'INPUT SHEET'!K10</f>
        <v/>
      </c>
      <c r="L4" s="201">
        <f>'INPUT SHEET'!L10</f>
        <v/>
      </c>
      <c r="M4" s="201">
        <f>'INPUT SHEET'!M10</f>
        <v/>
      </c>
    </row>
    <row r="5">
      <c r="A5" s="202">
        <f>'INPUT SHEET'!A8</f>
        <v/>
      </c>
      <c r="B5" s="203">
        <f>'INPUT SHEET'!B8</f>
        <v/>
      </c>
      <c r="C5" s="203">
        <f>'INPUT SHEET'!C8</f>
        <v/>
      </c>
      <c r="D5" s="203">
        <f>'INPUT SHEET'!D8</f>
        <v/>
      </c>
      <c r="E5" s="203">
        <f>'INPUT SHEET'!E8</f>
        <v/>
      </c>
      <c r="F5" s="204">
        <f>'INPUT SHEET'!F8</f>
        <v/>
      </c>
      <c r="G5" s="204">
        <f>'INPUT SHEET'!G8</f>
        <v/>
      </c>
      <c r="H5" s="204">
        <f>'INPUT SHEET'!H8</f>
        <v/>
      </c>
      <c r="I5" s="204">
        <f>'INPUT SHEET'!I8</f>
        <v/>
      </c>
      <c r="J5" s="204">
        <f>'INPUT SHEET'!J8</f>
        <v/>
      </c>
      <c r="K5" s="204">
        <f>'INPUT SHEET'!K8</f>
        <v/>
      </c>
      <c r="L5" s="204">
        <f>'INPUT SHEET'!L8</f>
        <v/>
      </c>
      <c r="M5" s="204">
        <f>'INPUT SHEET'!M8</f>
        <v/>
      </c>
    </row>
    <row r="6">
      <c r="A6" s="205" t="n"/>
      <c r="B6" s="206">
        <f>'INPUT SHEET'!B9</f>
        <v/>
      </c>
      <c r="C6" s="206">
        <f>'INPUT SHEET'!C9</f>
        <v/>
      </c>
      <c r="D6" s="206">
        <f>'INPUT SHEET'!D9</f>
        <v/>
      </c>
      <c r="E6" s="206">
        <f>'INPUT SHEET'!E9</f>
        <v/>
      </c>
      <c r="F6" s="207">
        <f>'INPUT SHEET'!F9</f>
        <v/>
      </c>
      <c r="G6" s="207">
        <f>'INPUT SHEET'!G9</f>
        <v/>
      </c>
      <c r="H6" s="207">
        <f>'INPUT SHEET'!H9</f>
        <v/>
      </c>
      <c r="I6" s="207">
        <f>'INPUT SHEET'!I9</f>
        <v/>
      </c>
      <c r="J6" s="207">
        <f>'INPUT SHEET'!J9</f>
        <v/>
      </c>
      <c r="K6" s="207">
        <f>'INPUT SHEET'!K9</f>
        <v/>
      </c>
      <c r="L6" s="207">
        <f>'INPUT SHEET'!L9</f>
        <v/>
      </c>
      <c r="M6" s="207">
        <f>'INPUT SHEET'!M9</f>
        <v/>
      </c>
    </row>
    <row r="7">
      <c r="A7" s="208" t="n"/>
      <c r="B7" s="104" t="n"/>
      <c r="D7" s="104" t="n"/>
      <c r="E7" s="104" t="n"/>
      <c r="F7" s="209" t="n"/>
      <c r="G7" s="209" t="n"/>
      <c r="H7" s="209" t="n"/>
      <c r="I7" s="209" t="n"/>
      <c r="J7" s="209" t="n"/>
      <c r="K7" s="209" t="n"/>
      <c r="L7" s="209" t="n"/>
      <c r="M7" s="209" t="n"/>
    </row>
    <row r="8">
      <c r="A8" s="210" t="inlineStr">
        <is>
          <t>Sales growth</t>
        </is>
      </c>
      <c r="B8" s="104" t="n"/>
      <c r="D8" s="104" t="n"/>
      <c r="E8" s="104" t="n"/>
      <c r="F8" s="209" t="n"/>
      <c r="G8" s="209" t="n"/>
      <c r="H8" s="209" t="n"/>
      <c r="I8" s="209" t="n"/>
      <c r="J8" s="209" t="n"/>
      <c r="K8" s="209" t="n"/>
      <c r="L8" s="209" t="n"/>
      <c r="M8" s="209" t="n"/>
    </row>
    <row r="9">
      <c r="A9" s="208" t="n"/>
      <c r="B9" s="104" t="n"/>
      <c r="D9" s="104" t="n"/>
      <c r="E9" s="104" t="n"/>
      <c r="F9" s="209" t="n"/>
      <c r="G9" s="209" t="n"/>
      <c r="H9" s="209" t="n"/>
      <c r="I9" s="209" t="n"/>
      <c r="J9" s="209" t="n"/>
      <c r="K9" s="209" t="n"/>
      <c r="L9" s="209" t="n"/>
      <c r="M9" s="209" t="n"/>
    </row>
    <row r="10">
      <c r="A10" s="208" t="inlineStr">
        <is>
          <t>Domestic</t>
        </is>
      </c>
      <c r="B10" s="104" t="n"/>
      <c r="C10" s="589">
        <f>('INPUT SHEET'!C22-'INPUT SHEET'!B22)/'INPUT SHEET'!B22*100</f>
        <v/>
      </c>
      <c r="D10" s="516">
        <f>('INPUT SHEET'!D22-'INPUT SHEET'!C22)/'INPUT SHEET'!C22*100</f>
        <v/>
      </c>
      <c r="E10" s="516">
        <f>('INPUT SHEET'!E22-'INPUT SHEET'!D22)/'INPUT SHEET'!D22*100</f>
        <v/>
      </c>
      <c r="F10" s="590">
        <f>('INPUT SHEET'!F22-'INPUT SHEET'!E22)/'INPUT SHEET'!E22*100</f>
        <v/>
      </c>
      <c r="G10" s="590">
        <f>('INPUT SHEET'!G22-'INPUT SHEET'!F22)/'INPUT SHEET'!F22*100</f>
        <v/>
      </c>
      <c r="H10" s="590">
        <f>('INPUT SHEET'!H22-'INPUT SHEET'!G22)/'INPUT SHEET'!G22*100</f>
        <v/>
      </c>
      <c r="I10" s="590">
        <f>('INPUT SHEET'!I22-'INPUT SHEET'!H22)/'INPUT SHEET'!H22*100</f>
        <v/>
      </c>
      <c r="J10" s="590">
        <f>('INPUT SHEET'!J22-'INPUT SHEET'!I22)/'INPUT SHEET'!I22*100</f>
        <v/>
      </c>
      <c r="K10" s="590">
        <f>('INPUT SHEET'!K22-'INPUT SHEET'!J22)/'INPUT SHEET'!J22*100</f>
        <v/>
      </c>
      <c r="L10" s="590">
        <f>('INPUT SHEET'!L22-'INPUT SHEET'!K22)/'INPUT SHEET'!K22*100</f>
        <v/>
      </c>
      <c r="M10" s="590">
        <f>('INPUT SHEET'!M22-'INPUT SHEET'!L22)/'INPUT SHEET'!L22*100</f>
        <v/>
      </c>
    </row>
    <row r="11">
      <c r="A11" s="208" t="inlineStr">
        <is>
          <t>Exports</t>
        </is>
      </c>
      <c r="B11" s="104" t="n"/>
      <c r="C11" s="589">
        <f>('INPUT SHEET'!C23-'INPUT SHEET'!B23)/'INPUT SHEET'!B23*100</f>
        <v/>
      </c>
      <c r="D11" s="516">
        <f>('INPUT SHEET'!D23-'INPUT SHEET'!C23)/'INPUT SHEET'!C23*100</f>
        <v/>
      </c>
      <c r="E11" s="516">
        <f>('INPUT SHEET'!E23-'INPUT SHEET'!D23)/'INPUT SHEET'!D23*100</f>
        <v/>
      </c>
      <c r="F11" s="590">
        <f>('INPUT SHEET'!F23-'INPUT SHEET'!E23)/'INPUT SHEET'!E23*100</f>
        <v/>
      </c>
      <c r="G11" s="590">
        <f>('INPUT SHEET'!G23-'INPUT SHEET'!F23)/'INPUT SHEET'!F23*100</f>
        <v/>
      </c>
      <c r="H11" s="590">
        <f>('INPUT SHEET'!H23-'INPUT SHEET'!G23)/'INPUT SHEET'!G23*100</f>
        <v/>
      </c>
      <c r="I11" s="590">
        <f>('INPUT SHEET'!I23-'INPUT SHEET'!H23)/'INPUT SHEET'!H23*100</f>
        <v/>
      </c>
      <c r="J11" s="590">
        <f>('INPUT SHEET'!J23-'INPUT SHEET'!I23)/'INPUT SHEET'!I23*100</f>
        <v/>
      </c>
      <c r="K11" s="590">
        <f>('INPUT SHEET'!K23-'INPUT SHEET'!J23)/'INPUT SHEET'!J23*100</f>
        <v/>
      </c>
      <c r="L11" s="590">
        <f>('INPUT SHEET'!L23-'INPUT SHEET'!K23)/'INPUT SHEET'!K23*100</f>
        <v/>
      </c>
      <c r="M11" s="590">
        <f>('INPUT SHEET'!M23-'INPUT SHEET'!L23)/'INPUT SHEET'!L23*100</f>
        <v/>
      </c>
    </row>
    <row r="12">
      <c r="A12" s="208" t="n"/>
      <c r="B12" s="104" t="n"/>
      <c r="D12" s="104" t="n"/>
      <c r="E12" s="104" t="n"/>
      <c r="F12" s="209" t="n"/>
      <c r="G12" s="209" t="n"/>
      <c r="H12" s="209" t="n"/>
      <c r="I12" s="209" t="n"/>
      <c r="J12" s="209" t="n"/>
      <c r="K12" s="209" t="n"/>
      <c r="L12" s="209" t="n"/>
      <c r="M12" s="209" t="n"/>
    </row>
    <row r="13">
      <c r="A13" s="213" t="inlineStr">
        <is>
          <t>% growth in sales</t>
        </is>
      </c>
      <c r="B13" s="119" t="n"/>
      <c r="C13" s="591">
        <f>('INPUT SHEET'!C26-'INPUT SHEET'!B26)/'INPUT SHEET'!B26</f>
        <v/>
      </c>
      <c r="D13" s="591">
        <f>('INPUT SHEET'!D26-'INPUT SHEET'!C26)/'INPUT SHEET'!C26</f>
        <v/>
      </c>
      <c r="E13" s="591">
        <f>('INPUT SHEET'!E26-'INPUT SHEET'!D26)/'INPUT SHEET'!D26</f>
        <v/>
      </c>
      <c r="F13" s="591">
        <f>('INPUT SHEET'!F26-'INPUT SHEET'!E26)/'INPUT SHEET'!E26</f>
        <v/>
      </c>
      <c r="G13" s="591">
        <f>('INPUT SHEET'!G26-'INPUT SHEET'!F26)/'INPUT SHEET'!F26</f>
        <v/>
      </c>
      <c r="H13" s="591">
        <f>('INPUT SHEET'!H26-'INPUT SHEET'!G26)/'INPUT SHEET'!G26</f>
        <v/>
      </c>
      <c r="I13" s="591">
        <f>('INPUT SHEET'!I26-'INPUT SHEET'!H26)/'INPUT SHEET'!H26</f>
        <v/>
      </c>
      <c r="J13" s="591">
        <f>('INPUT SHEET'!J26-'INPUT SHEET'!I26)/'INPUT SHEET'!I26</f>
        <v/>
      </c>
      <c r="K13" s="591">
        <f>('INPUT SHEET'!K26-'INPUT SHEET'!J26)/'INPUT SHEET'!J26</f>
        <v/>
      </c>
      <c r="L13" s="591">
        <f>('INPUT SHEET'!L26-'INPUT SHEET'!K26)/'INPUT SHEET'!K26</f>
        <v/>
      </c>
      <c r="M13" s="591">
        <f>('INPUT SHEET'!M26-'INPUT SHEET'!L26)/'INPUT SHEET'!L26</f>
        <v/>
      </c>
    </row>
    <row r="14">
      <c r="A14" s="208" t="n"/>
      <c r="B14" s="104" t="n"/>
      <c r="D14" s="104" t="n"/>
      <c r="E14" s="104" t="n"/>
      <c r="F14" s="209" t="n"/>
      <c r="G14" s="209" t="n"/>
      <c r="H14" s="209" t="n"/>
      <c r="I14" s="209" t="n"/>
      <c r="J14" s="209" t="n"/>
      <c r="K14" s="209" t="n"/>
      <c r="L14" s="209" t="n"/>
      <c r="M14" s="209" t="n"/>
    </row>
    <row r="15">
      <c r="A15" s="215" t="inlineStr">
        <is>
          <t>Sales</t>
        </is>
      </c>
      <c r="B15" s="592" t="n">
        <v>1</v>
      </c>
      <c r="C15" s="592" t="n">
        <v>1</v>
      </c>
      <c r="D15" s="592" t="n">
        <v>1</v>
      </c>
      <c r="E15" s="592" t="n">
        <v>1</v>
      </c>
      <c r="F15" s="592" t="n">
        <v>1</v>
      </c>
      <c r="G15" s="592" t="n">
        <v>1</v>
      </c>
      <c r="H15" s="592" t="n">
        <v>1</v>
      </c>
      <c r="I15" s="592" t="n">
        <v>1</v>
      </c>
      <c r="J15" s="592" t="n">
        <v>1</v>
      </c>
      <c r="K15" s="592" t="n">
        <v>1</v>
      </c>
      <c r="L15" s="592" t="n">
        <v>1</v>
      </c>
      <c r="M15" s="592" t="n">
        <v>1</v>
      </c>
    </row>
    <row r="16">
      <c r="A16" s="208" t="n"/>
      <c r="B16" s="593" t="n"/>
      <c r="C16" s="593" t="n"/>
      <c r="D16" s="593" t="n"/>
      <c r="E16" s="593" t="n"/>
      <c r="F16" s="593" t="n"/>
      <c r="G16" s="593" t="n"/>
      <c r="H16" s="593" t="n"/>
      <c r="I16" s="593" t="n"/>
      <c r="J16" s="593" t="n"/>
      <c r="K16" s="593" t="n"/>
      <c r="L16" s="593" t="n"/>
      <c r="M16" s="593" t="n"/>
    </row>
    <row r="17">
      <c r="A17" s="208" t="inlineStr">
        <is>
          <t>RM Consumed</t>
        </is>
      </c>
      <c r="B17" s="593">
        <f>('INPUT SHEET'!B41+'INPUT SHEET'!B42)/'INPUT SHEET'!B26</f>
        <v/>
      </c>
      <c r="C17" s="593">
        <f>('INPUT SHEET'!C41+'INPUT SHEET'!C42)/'INPUT SHEET'!C26</f>
        <v/>
      </c>
      <c r="D17" s="593">
        <f>('INPUT SHEET'!D41+'INPUT SHEET'!D42)/'INPUT SHEET'!D26</f>
        <v/>
      </c>
      <c r="E17" s="593">
        <f>('INPUT SHEET'!E41+'INPUT SHEET'!E42)/'INPUT SHEET'!E26</f>
        <v/>
      </c>
      <c r="F17" s="593">
        <f>('INPUT SHEET'!F41+'INPUT SHEET'!F42)/'INPUT SHEET'!F26</f>
        <v/>
      </c>
      <c r="G17" s="593">
        <f>('INPUT SHEET'!G41+'INPUT SHEET'!G42)/'INPUT SHEET'!G26</f>
        <v/>
      </c>
      <c r="H17" s="593">
        <f>('INPUT SHEET'!H41+'INPUT SHEET'!H42)/'INPUT SHEET'!H26</f>
        <v/>
      </c>
      <c r="I17" s="593">
        <f>('INPUT SHEET'!I41+'INPUT SHEET'!I42)/'INPUT SHEET'!I26</f>
        <v/>
      </c>
      <c r="J17" s="593">
        <f>('INPUT SHEET'!J41+'INPUT SHEET'!J42)/'INPUT SHEET'!J26</f>
        <v/>
      </c>
      <c r="K17" s="593">
        <f>('INPUT SHEET'!K41+'INPUT SHEET'!K42)/'INPUT SHEET'!K26</f>
        <v/>
      </c>
      <c r="L17" s="593">
        <f>('INPUT SHEET'!L41+'INPUT SHEET'!L42)/'INPUT SHEET'!L26</f>
        <v/>
      </c>
      <c r="M17" s="593">
        <f>('INPUT SHEET'!M41+'INPUT SHEET'!M42)/'INPUT SHEET'!M26</f>
        <v/>
      </c>
    </row>
    <row r="18">
      <c r="A18" s="208" t="inlineStr">
        <is>
          <t xml:space="preserve">Spares consumed </t>
        </is>
      </c>
      <c r="B18" s="593">
        <f>('INPUT SHEET'!B43+'INPUT SHEET'!B44)/'INPUT SHEET'!B26</f>
        <v/>
      </c>
      <c r="C18" s="593">
        <f>('INPUT SHEET'!C43+'INPUT SHEET'!C44)/'INPUT SHEET'!C26</f>
        <v/>
      </c>
      <c r="D18" s="593">
        <f>('INPUT SHEET'!D43+'INPUT SHEET'!D44)/'INPUT SHEET'!D26</f>
        <v/>
      </c>
      <c r="E18" s="593">
        <f>('INPUT SHEET'!E43+'INPUT SHEET'!E44)/'INPUT SHEET'!E26</f>
        <v/>
      </c>
      <c r="F18" s="593">
        <f>('INPUT SHEET'!F43+'INPUT SHEET'!F44)/'INPUT SHEET'!F26</f>
        <v/>
      </c>
      <c r="G18" s="593">
        <f>('INPUT SHEET'!G43+'INPUT SHEET'!G44)/'INPUT SHEET'!G26</f>
        <v/>
      </c>
      <c r="H18" s="593">
        <f>('INPUT SHEET'!H43+'INPUT SHEET'!H44)/'INPUT SHEET'!H26</f>
        <v/>
      </c>
      <c r="I18" s="593">
        <f>('INPUT SHEET'!I43+'INPUT SHEET'!I44)/'INPUT SHEET'!I26</f>
        <v/>
      </c>
      <c r="J18" s="593">
        <f>('INPUT SHEET'!J43+'INPUT SHEET'!J44)/'INPUT SHEET'!J26</f>
        <v/>
      </c>
      <c r="K18" s="593">
        <f>('INPUT SHEET'!K43+'INPUT SHEET'!K44)/'INPUT SHEET'!K26</f>
        <v/>
      </c>
      <c r="L18" s="593">
        <f>('INPUT SHEET'!L43+'INPUT SHEET'!L44)/'INPUT SHEET'!L26</f>
        <v/>
      </c>
      <c r="M18" s="593">
        <f>('INPUT SHEET'!M43+'INPUT SHEET'!M44)/'INPUT SHEET'!M26</f>
        <v/>
      </c>
    </row>
    <row r="19">
      <c r="A19" s="208" t="inlineStr">
        <is>
          <t xml:space="preserve">Other Manufacturing Exp </t>
        </is>
      </c>
      <c r="B19" s="593">
        <f>'INPUT SHEET'!B64/'INPUT SHEET'!B26</f>
        <v/>
      </c>
      <c r="C19" s="593">
        <f>'INPUT SHEET'!C64/'INPUT SHEET'!C26</f>
        <v/>
      </c>
      <c r="D19" s="593">
        <f>'INPUT SHEET'!D64/'INPUT SHEET'!D26</f>
        <v/>
      </c>
      <c r="E19" s="593">
        <f>'INPUT SHEET'!E64/'INPUT SHEET'!E26</f>
        <v/>
      </c>
      <c r="F19" s="593">
        <f>'INPUT SHEET'!F64/'INPUT SHEET'!F26</f>
        <v/>
      </c>
      <c r="G19" s="593">
        <f>'INPUT SHEET'!G64/'INPUT SHEET'!G26</f>
        <v/>
      </c>
      <c r="H19" s="593">
        <f>'INPUT SHEET'!H64/'INPUT SHEET'!H26</f>
        <v/>
      </c>
      <c r="I19" s="593">
        <f>'INPUT SHEET'!I64/'INPUT SHEET'!I26</f>
        <v/>
      </c>
      <c r="J19" s="593">
        <f>'INPUT SHEET'!J64/'INPUT SHEET'!J26</f>
        <v/>
      </c>
      <c r="K19" s="593">
        <f>'INPUT SHEET'!K64/'INPUT SHEET'!K26</f>
        <v/>
      </c>
      <c r="L19" s="593">
        <f>'INPUT SHEET'!L64/'INPUT SHEET'!L26</f>
        <v/>
      </c>
      <c r="M19" s="593">
        <f>'INPUT SHEET'!M64/'INPUT SHEET'!M26</f>
        <v/>
      </c>
    </row>
    <row r="20">
      <c r="A20" s="208" t="inlineStr">
        <is>
          <t>Change in WIP</t>
        </is>
      </c>
      <c r="B20" s="593">
        <f>'INPUT SHEET'!B55/'INPUT SHEET'!B26</f>
        <v/>
      </c>
      <c r="C20" s="593">
        <f>'INPUT SHEET'!C55/'INPUT SHEET'!C26</f>
        <v/>
      </c>
      <c r="D20" s="593">
        <f>'INPUT SHEET'!D55/'INPUT SHEET'!D26</f>
        <v/>
      </c>
      <c r="E20" s="593">
        <f>'INPUT SHEET'!E55/'INPUT SHEET'!E26</f>
        <v/>
      </c>
      <c r="F20" s="593">
        <f>'INPUT SHEET'!F55/'INPUT SHEET'!F26</f>
        <v/>
      </c>
      <c r="G20" s="593">
        <f>'INPUT SHEET'!G55/'INPUT SHEET'!G26</f>
        <v/>
      </c>
      <c r="H20" s="593">
        <f>'INPUT SHEET'!H55/'INPUT SHEET'!H26</f>
        <v/>
      </c>
      <c r="I20" s="593">
        <f>'INPUT SHEET'!I55/'INPUT SHEET'!I26</f>
        <v/>
      </c>
      <c r="J20" s="593">
        <f>'INPUT SHEET'!J55/'INPUT SHEET'!J26</f>
        <v/>
      </c>
      <c r="K20" s="593">
        <f>'INPUT SHEET'!K55/'INPUT SHEET'!K26</f>
        <v/>
      </c>
      <c r="L20" s="593">
        <f>'INPUT SHEET'!L55/'INPUT SHEET'!L26</f>
        <v/>
      </c>
      <c r="M20" s="593">
        <f>'INPUT SHEET'!M55/'INPUT SHEET'!M26</f>
        <v/>
      </c>
    </row>
    <row r="21">
      <c r="A21" s="208" t="inlineStr">
        <is>
          <t xml:space="preserve">Change in Finished goods </t>
        </is>
      </c>
      <c r="B21" s="593">
        <f>'INPUT SHEET'!B60/'INPUT SHEET'!B26</f>
        <v/>
      </c>
      <c r="C21" s="593">
        <f>'INPUT SHEET'!C60/'INPUT SHEET'!C26</f>
        <v/>
      </c>
      <c r="D21" s="593">
        <f>'INPUT SHEET'!D60/'INPUT SHEET'!D26</f>
        <v/>
      </c>
      <c r="E21" s="593">
        <f>'INPUT SHEET'!E60/'INPUT SHEET'!E26</f>
        <v/>
      </c>
      <c r="F21" s="593">
        <f>'INPUT SHEET'!F60/'INPUT SHEET'!F26</f>
        <v/>
      </c>
      <c r="G21" s="593">
        <f>'INPUT SHEET'!G60/'INPUT SHEET'!G26</f>
        <v/>
      </c>
      <c r="H21" s="593">
        <f>'INPUT SHEET'!H60/'INPUT SHEET'!H26</f>
        <v/>
      </c>
      <c r="I21" s="593">
        <f>'INPUT SHEET'!I60/'INPUT SHEET'!I26</f>
        <v/>
      </c>
      <c r="J21" s="593">
        <f>'INPUT SHEET'!J60/'INPUT SHEET'!J26</f>
        <v/>
      </c>
      <c r="K21" s="593">
        <f>'INPUT SHEET'!K60/'INPUT SHEET'!K26</f>
        <v/>
      </c>
      <c r="L21" s="593">
        <f>'INPUT SHEET'!L60/'INPUT SHEET'!L26</f>
        <v/>
      </c>
      <c r="M21" s="593">
        <f>'INPUT SHEET'!M60/'INPUT SHEET'!M26</f>
        <v/>
      </c>
    </row>
    <row r="22">
      <c r="A22" s="208" t="inlineStr">
        <is>
          <t xml:space="preserve">Administartive and Selling Exp </t>
        </is>
      </c>
      <c r="B22" s="593">
        <f>'INPUT SHEET'!B80/'INPUT SHEET'!B26</f>
        <v/>
      </c>
      <c r="C22" s="593">
        <f>'INPUT SHEET'!C80/'INPUT SHEET'!C26</f>
        <v/>
      </c>
      <c r="D22" s="593">
        <f>'INPUT SHEET'!D80/'INPUT SHEET'!D26</f>
        <v/>
      </c>
      <c r="E22" s="593">
        <f>'INPUT SHEET'!E80/'INPUT SHEET'!E26</f>
        <v/>
      </c>
      <c r="F22" s="593">
        <f>'INPUT SHEET'!F80/'INPUT SHEET'!F26</f>
        <v/>
      </c>
      <c r="G22" s="593">
        <f>'INPUT SHEET'!G80/'INPUT SHEET'!G26</f>
        <v/>
      </c>
      <c r="H22" s="593">
        <f>'INPUT SHEET'!H80/'INPUT SHEET'!H26</f>
        <v/>
      </c>
      <c r="I22" s="593">
        <f>'INPUT SHEET'!I80/'INPUT SHEET'!I26</f>
        <v/>
      </c>
      <c r="J22" s="593">
        <f>'INPUT SHEET'!J80/'INPUT SHEET'!J26</f>
        <v/>
      </c>
      <c r="K22" s="593">
        <f>'INPUT SHEET'!K80/'INPUT SHEET'!K26</f>
        <v/>
      </c>
      <c r="L22" s="593">
        <f>'INPUT SHEET'!L80/'INPUT SHEET'!L26</f>
        <v/>
      </c>
      <c r="M22" s="593">
        <f>'INPUT SHEET'!M80/'INPUT SHEET'!M26</f>
        <v/>
      </c>
    </row>
    <row r="23">
      <c r="A23" s="215" t="inlineStr">
        <is>
          <t>EBIDTA</t>
        </is>
      </c>
      <c r="B23" s="592">
        <f>B15-B17-B18-B19-B20-B21-B22</f>
        <v/>
      </c>
      <c r="C23" s="592">
        <f>C15-C17-C18-C19-C20-C21-C22</f>
        <v/>
      </c>
      <c r="D23" s="592">
        <f>D15-D17-D18-D19-D20-D21-D22</f>
        <v/>
      </c>
      <c r="E23" s="592">
        <f>E15-E17-E18-E19-E20-E21-E22</f>
        <v/>
      </c>
      <c r="F23" s="592">
        <f>F15-F17-F18-F19-F20-F21-F22</f>
        <v/>
      </c>
      <c r="G23" s="592">
        <f>G15-G17-G18-G19-G20-G21-G22</f>
        <v/>
      </c>
      <c r="H23" s="592">
        <f>H15-H17-H18-H19-H20-H21-H22</f>
        <v/>
      </c>
      <c r="I23" s="592">
        <f>I15-I17-I18-I19-I20-I21-I22</f>
        <v/>
      </c>
      <c r="J23" s="592">
        <f>J15-J17-J18-J19-J20-J21-J22</f>
        <v/>
      </c>
      <c r="K23" s="592">
        <f>K15-K17-K18-K19-K20-K21-K22</f>
        <v/>
      </c>
      <c r="L23" s="592">
        <f>L15-L17-L18-L19-L20-L21-L22</f>
        <v/>
      </c>
      <c r="M23" s="592">
        <f>M15-M17-M18-M19-M20-M21-M22</f>
        <v/>
      </c>
    </row>
    <row r="24">
      <c r="A24" s="208" t="inlineStr">
        <is>
          <t>Depreciation</t>
        </is>
      </c>
      <c r="B24" s="593">
        <f>'INPUT SHEET'!B56/'INPUT SHEET'!B26</f>
        <v/>
      </c>
      <c r="C24" s="593">
        <f>'INPUT SHEET'!C56/'INPUT SHEET'!C26</f>
        <v/>
      </c>
      <c r="D24" s="593">
        <f>'INPUT SHEET'!D56/'INPUT SHEET'!D26</f>
        <v/>
      </c>
      <c r="E24" s="593">
        <f>'INPUT SHEET'!E56/'INPUT SHEET'!E26</f>
        <v/>
      </c>
      <c r="F24" s="593">
        <f>'INPUT SHEET'!F56/'INPUT SHEET'!F26</f>
        <v/>
      </c>
      <c r="G24" s="593">
        <f>'INPUT SHEET'!G56/'INPUT SHEET'!G26</f>
        <v/>
      </c>
      <c r="H24" s="593">
        <f>'INPUT SHEET'!H56/'INPUT SHEET'!H26</f>
        <v/>
      </c>
      <c r="I24" s="593">
        <f>'INPUT SHEET'!I56/'INPUT SHEET'!I26</f>
        <v/>
      </c>
      <c r="J24" s="593">
        <f>'INPUT SHEET'!J56/'INPUT SHEET'!J26</f>
        <v/>
      </c>
      <c r="K24" s="593">
        <f>'INPUT SHEET'!K56/'INPUT SHEET'!K26</f>
        <v/>
      </c>
      <c r="L24" s="593">
        <f>'INPUT SHEET'!L56/'INPUT SHEET'!L26</f>
        <v/>
      </c>
      <c r="M24" s="593">
        <f>'INPUT SHEET'!M56/'INPUT SHEET'!M26</f>
        <v/>
      </c>
    </row>
    <row r="25">
      <c r="A25" s="208" t="inlineStr">
        <is>
          <t>Interest</t>
        </is>
      </c>
      <c r="B25" s="593">
        <f>'INPUT SHEET'!B86/'INPUT SHEET'!B26</f>
        <v/>
      </c>
      <c r="C25" s="593">
        <f>'INPUT SHEET'!C86/'INPUT SHEET'!C26</f>
        <v/>
      </c>
      <c r="D25" s="593">
        <f>'INPUT SHEET'!D86/'INPUT SHEET'!D26</f>
        <v/>
      </c>
      <c r="E25" s="593">
        <f>'INPUT SHEET'!E86/'INPUT SHEET'!E26</f>
        <v/>
      </c>
      <c r="F25" s="593">
        <f>'INPUT SHEET'!F86/'INPUT SHEET'!F26</f>
        <v/>
      </c>
      <c r="G25" s="593">
        <f>'INPUT SHEET'!G86/'INPUT SHEET'!G26</f>
        <v/>
      </c>
      <c r="H25" s="593">
        <f>'INPUT SHEET'!H86/'INPUT SHEET'!H26</f>
        <v/>
      </c>
      <c r="I25" s="593">
        <f>'INPUT SHEET'!I86/'INPUT SHEET'!I26</f>
        <v/>
      </c>
      <c r="J25" s="593">
        <f>'INPUT SHEET'!J86/'INPUT SHEET'!J26</f>
        <v/>
      </c>
      <c r="K25" s="593">
        <f>'INPUT SHEET'!K86/'INPUT SHEET'!K26</f>
        <v/>
      </c>
      <c r="L25" s="593">
        <f>'INPUT SHEET'!L86/'INPUT SHEET'!L26</f>
        <v/>
      </c>
      <c r="M25" s="593">
        <f>'INPUT SHEET'!M86/'INPUT SHEET'!M26</f>
        <v/>
      </c>
    </row>
    <row r="26">
      <c r="A26" s="215" t="inlineStr">
        <is>
          <t>Operating Profit</t>
        </is>
      </c>
      <c r="B26" s="592">
        <f>B23-B24-B25</f>
        <v/>
      </c>
      <c r="C26" s="592">
        <f>C23-C24-C25</f>
        <v/>
      </c>
      <c r="D26" s="592">
        <f>D23-D24-D25</f>
        <v/>
      </c>
      <c r="E26" s="592">
        <f>E23-E24-E25</f>
        <v/>
      </c>
      <c r="F26" s="592">
        <f>F23-F24-F25</f>
        <v/>
      </c>
      <c r="G26" s="592">
        <f>G23-G24-G25</f>
        <v/>
      </c>
      <c r="H26" s="592">
        <f>H23-H24-H25</f>
        <v/>
      </c>
      <c r="I26" s="592">
        <f>I23-I24-I25</f>
        <v/>
      </c>
      <c r="J26" s="592">
        <f>J23-J24-J25</f>
        <v/>
      </c>
      <c r="K26" s="592">
        <f>K23-K24-K25</f>
        <v/>
      </c>
      <c r="L26" s="592">
        <f>L23-L24-L25</f>
        <v/>
      </c>
      <c r="M26" s="592">
        <f>M23-M24-M25</f>
        <v/>
      </c>
    </row>
    <row r="27">
      <c r="A27" s="208" t="inlineStr">
        <is>
          <t>Non Operating Income</t>
        </is>
      </c>
      <c r="B27" s="593">
        <f>'INPUT SHEET'!B35/'INPUT SHEET'!B26</f>
        <v/>
      </c>
      <c r="C27" s="593">
        <f>'INPUT SHEET'!C35/'INPUT SHEET'!C26</f>
        <v/>
      </c>
      <c r="D27" s="593">
        <f>'INPUT SHEET'!D35/'INPUT SHEET'!D26</f>
        <v/>
      </c>
      <c r="E27" s="593">
        <f>'INPUT SHEET'!E35/'INPUT SHEET'!E26</f>
        <v/>
      </c>
      <c r="F27" s="593">
        <f>'INPUT SHEET'!F35/'INPUT SHEET'!F26</f>
        <v/>
      </c>
      <c r="G27" s="593">
        <f>'INPUT SHEET'!G35/'INPUT SHEET'!G26</f>
        <v/>
      </c>
      <c r="H27" s="593">
        <f>'INPUT SHEET'!H35/'INPUT SHEET'!H26</f>
        <v/>
      </c>
      <c r="I27" s="593">
        <f>'INPUT SHEET'!I35/'INPUT SHEET'!I26</f>
        <v/>
      </c>
      <c r="J27" s="593">
        <f>'INPUT SHEET'!J35/'INPUT SHEET'!J26</f>
        <v/>
      </c>
      <c r="K27" s="593">
        <f>'INPUT SHEET'!K35/'INPUT SHEET'!K26</f>
        <v/>
      </c>
      <c r="L27" s="593">
        <f>'INPUT SHEET'!L35/'INPUT SHEET'!L26</f>
        <v/>
      </c>
      <c r="M27" s="593">
        <f>'INPUT SHEET'!M35/'INPUT SHEET'!M26</f>
        <v/>
      </c>
    </row>
    <row r="28">
      <c r="A28" s="208" t="inlineStr">
        <is>
          <t>Non Operating Expenses</t>
        </is>
      </c>
      <c r="B28" s="593">
        <f>'INPUT SHEET'!B94/'INPUT SHEET'!B26</f>
        <v/>
      </c>
      <c r="C28" s="593">
        <f>'INPUT SHEET'!C94/'INPUT SHEET'!C26</f>
        <v/>
      </c>
      <c r="D28" s="593">
        <f>'INPUT SHEET'!D94/'INPUT SHEET'!D26</f>
        <v/>
      </c>
      <c r="E28" s="593">
        <f>'INPUT SHEET'!E94/'INPUT SHEET'!E26</f>
        <v/>
      </c>
      <c r="F28" s="593">
        <f>'INPUT SHEET'!F94/'INPUT SHEET'!F26</f>
        <v/>
      </c>
      <c r="G28" s="593">
        <f>'INPUT SHEET'!G94/'INPUT SHEET'!G26</f>
        <v/>
      </c>
      <c r="H28" s="593">
        <f>'INPUT SHEET'!H94/'INPUT SHEET'!H26</f>
        <v/>
      </c>
      <c r="I28" s="593">
        <f>'INPUT SHEET'!I94/'INPUT SHEET'!I26</f>
        <v/>
      </c>
      <c r="J28" s="593">
        <f>'INPUT SHEET'!J94/'INPUT SHEET'!J26</f>
        <v/>
      </c>
      <c r="K28" s="593">
        <f>'INPUT SHEET'!K94/'INPUT SHEET'!K26</f>
        <v/>
      </c>
      <c r="L28" s="593">
        <f>'INPUT SHEET'!L94/'INPUT SHEET'!L26</f>
        <v/>
      </c>
      <c r="M28" s="593">
        <f>'INPUT SHEET'!M94/'INPUT SHEET'!M26</f>
        <v/>
      </c>
    </row>
    <row r="29">
      <c r="A29" s="215" t="inlineStr">
        <is>
          <t>PBT</t>
        </is>
      </c>
      <c r="B29" s="592">
        <f>B26+B27-B28</f>
        <v/>
      </c>
      <c r="C29" s="592">
        <f>C26+C27-C28</f>
        <v/>
      </c>
      <c r="D29" s="592">
        <f>D26+D27-D28</f>
        <v/>
      </c>
      <c r="E29" s="592">
        <f>E26+E27-E28</f>
        <v/>
      </c>
      <c r="F29" s="592">
        <f>F26+F27-F28</f>
        <v/>
      </c>
      <c r="G29" s="592">
        <f>G26+G27-G28</f>
        <v/>
      </c>
      <c r="H29" s="592">
        <f>H26+H27-H28</f>
        <v/>
      </c>
      <c r="I29" s="592">
        <f>I26+I27-I28</f>
        <v/>
      </c>
      <c r="J29" s="592">
        <f>J26+J27-J28</f>
        <v/>
      </c>
      <c r="K29" s="592">
        <f>K26+K27-K28</f>
        <v/>
      </c>
      <c r="L29" s="592">
        <f>L26+L27-L28</f>
        <v/>
      </c>
      <c r="M29" s="592">
        <f>M26+M27-M28</f>
        <v/>
      </c>
    </row>
    <row r="30">
      <c r="A30" s="208" t="inlineStr">
        <is>
          <t>Tax</t>
        </is>
      </c>
      <c r="B30" s="593">
        <f>('INPUT SHEET'!B99+'INPUT SHEET'!B100-'INPUT SHEET'!B101)/'INPUT SHEET'!B26</f>
        <v/>
      </c>
      <c r="C30" s="593">
        <f>('INPUT SHEET'!C99+'INPUT SHEET'!C100-'INPUT SHEET'!C101)/'INPUT SHEET'!C26</f>
        <v/>
      </c>
      <c r="D30" s="593">
        <f>('INPUT SHEET'!D99+'INPUT SHEET'!D100-'INPUT SHEET'!D101)/'INPUT SHEET'!D26</f>
        <v/>
      </c>
      <c r="E30" s="593">
        <f>('INPUT SHEET'!E99+'INPUT SHEET'!E100-'INPUT SHEET'!E101)/'INPUT SHEET'!E26</f>
        <v/>
      </c>
      <c r="F30" s="593">
        <f>('INPUT SHEET'!F99+'INPUT SHEET'!F100-'INPUT SHEET'!F101)/'INPUT SHEET'!F26</f>
        <v/>
      </c>
      <c r="G30" s="593">
        <f>('INPUT SHEET'!G99+'INPUT SHEET'!G100-'INPUT SHEET'!G101)/'INPUT SHEET'!G26</f>
        <v/>
      </c>
      <c r="H30" s="593">
        <f>('INPUT SHEET'!H99+'INPUT SHEET'!H100-'INPUT SHEET'!H101)/'INPUT SHEET'!H26</f>
        <v/>
      </c>
      <c r="I30" s="593">
        <f>('INPUT SHEET'!I99+'INPUT SHEET'!I100-'INPUT SHEET'!I101)/'INPUT SHEET'!I26</f>
        <v/>
      </c>
      <c r="J30" s="593">
        <f>('INPUT SHEET'!J99+'INPUT SHEET'!J100-'INPUT SHEET'!J101)/'INPUT SHEET'!J26</f>
        <v/>
      </c>
      <c r="K30" s="593">
        <f>('INPUT SHEET'!K99+'INPUT SHEET'!K100-'INPUT SHEET'!K101)/'INPUT SHEET'!K26</f>
        <v/>
      </c>
      <c r="L30" s="593">
        <f>('INPUT SHEET'!L99+'INPUT SHEET'!L100-'INPUT SHEET'!L101)/'INPUT SHEET'!L26</f>
        <v/>
      </c>
      <c r="M30" s="593">
        <f>('INPUT SHEET'!M99+'INPUT SHEET'!M100-'INPUT SHEET'!M101)/'INPUT SHEET'!M26</f>
        <v/>
      </c>
    </row>
    <row r="31">
      <c r="A31" s="218" t="inlineStr">
        <is>
          <t>PAT</t>
        </is>
      </c>
      <c r="B31" s="594">
        <f>B29-B30</f>
        <v/>
      </c>
      <c r="C31" s="594">
        <f>C29-C30</f>
        <v/>
      </c>
      <c r="D31" s="594">
        <f>D29-D30</f>
        <v/>
      </c>
      <c r="E31" s="594">
        <f>E29-E30</f>
        <v/>
      </c>
      <c r="F31" s="594">
        <f>F29-F30</f>
        <v/>
      </c>
      <c r="G31" s="594">
        <f>G29-G30</f>
        <v/>
      </c>
      <c r="H31" s="594">
        <f>H29-H30</f>
        <v/>
      </c>
      <c r="I31" s="594">
        <f>I29-I30</f>
        <v/>
      </c>
      <c r="J31" s="594">
        <f>J29-J30</f>
        <v/>
      </c>
      <c r="K31" s="594">
        <f>K29-K30</f>
        <v/>
      </c>
      <c r="L31" s="594">
        <f>L29-L30</f>
        <v/>
      </c>
      <c r="M31" s="594">
        <f>M29-M30</f>
        <v/>
      </c>
    </row>
    <row r="34">
      <c r="A34" s="65" t="n"/>
    </row>
    <row r="35">
      <c r="A35" s="65" t="n"/>
    </row>
    <row r="36">
      <c r="A36" s="65" t="n"/>
      <c r="B36" s="6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pageMargins left="0.7479166666666667" right="0.7479166666666667" top="0.9840277777777778" bottom="0.9840277777777778" header="0.5118055555555556" footer="0.5118055555555556"/>
  <pageSetup orientation="portrait" scale="96" firstPageNumber="0" horizontalDpi="300" verticalDpi="300"/>
  <colBreaks count="1" manualBreakCount="1">
    <brk id="6" min="0" max="1048575" man="1"/>
  </colBreaks>
</worksheet>
</file>

<file path=xl/worksheets/sheet10.xml><?xml version="1.0" encoding="utf-8"?>
<worksheet xmlns="http://schemas.openxmlformats.org/spreadsheetml/2006/main">
  <sheetPr>
    <outlinePr summaryBelow="1" summaryRight="1"/>
    <pageSetUpPr fitToPage="1"/>
  </sheetPr>
  <dimension ref="B1:P57"/>
  <sheetViews>
    <sheetView showGridLines="0" zoomScale="90" zoomScaleNormal="90" workbookViewId="0">
      <pane xSplit="4" ySplit="9" topLeftCell="E13" activePane="bottomRight" state="frozen"/>
      <selection pane="topRight" activeCell="E1" sqref="E1"/>
      <selection pane="bottomLeft" activeCell="A10" sqref="A10"/>
      <selection pane="bottomRight" activeCell="G29" sqref="G29"/>
    </sheetView>
  </sheetViews>
  <sheetFormatPr baseColWidth="8" defaultRowHeight="13.2"/>
  <cols>
    <col width="2.44140625" customWidth="1" min="1" max="1"/>
    <col width="6" customWidth="1" min="2" max="2"/>
    <col width="7.109375" customWidth="1" min="3" max="3"/>
    <col width="30.109375" customWidth="1" min="4" max="4"/>
    <col width="9.5546875" customWidth="1" min="5" max="5"/>
    <col width="13.6640625" customWidth="1" min="6" max="6"/>
    <col width="10.88671875" customWidth="1" min="7" max="7"/>
    <col width="9.6640625" customWidth="1" min="8" max="13"/>
    <col hidden="1" outlineLevel="1" width="9.6640625" customWidth="1" min="14" max="16"/>
    <col collapsed="1" width="8.88671875" customWidth="1" min="17" max="17"/>
  </cols>
  <sheetData>
    <row r="1" ht="21.75" customHeight="1">
      <c r="B1" s="425" t="inlineStr">
        <is>
          <t>ASSESSMENT OF WORKING CAPITAL REQUIREMENTS</t>
        </is>
      </c>
      <c r="F1" s="432" t="n"/>
      <c r="G1" s="432" t="n"/>
      <c r="H1" s="432" t="n"/>
      <c r="I1" s="432" t="n"/>
      <c r="J1" s="432" t="n"/>
      <c r="K1" s="432" t="n"/>
      <c r="L1" s="432" t="n"/>
      <c r="M1" s="432" t="n"/>
      <c r="N1" s="432" t="n"/>
      <c r="O1" s="432" t="n"/>
      <c r="P1" s="432" t="n"/>
    </row>
    <row r="2" ht="19.5" customHeight="1">
      <c r="B2" s="425" t="inlineStr">
        <is>
          <t>FORM II - OPERATING STATEMENT</t>
        </is>
      </c>
      <c r="F2" s="432" t="n"/>
      <c r="G2" s="432" t="n"/>
      <c r="H2" s="432" t="n"/>
      <c r="I2" s="432" t="n"/>
      <c r="J2" s="432" t="n"/>
      <c r="K2" s="432" t="n"/>
      <c r="L2" s="432" t="n"/>
      <c r="M2" s="432" t="n"/>
      <c r="N2" s="432" t="n"/>
      <c r="O2" s="432" t="n"/>
      <c r="P2" s="432" t="n"/>
    </row>
    <row r="3" ht="15" customHeight="1"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  <c r="P3" s="431" t="n"/>
    </row>
    <row r="4" ht="15" customHeight="1">
      <c r="B4" s="424" t="n"/>
      <c r="C4" s="424" t="inlineStr">
        <is>
          <t>Name :</t>
        </is>
      </c>
      <c r="D4" s="224">
        <f>'INPUT SHEET'!B7</f>
        <v/>
      </c>
    </row>
    <row r="5" ht="15" customHeight="1"/>
    <row r="6" ht="15" customHeight="1">
      <c r="B6" s="225" t="n"/>
      <c r="C6" s="225" t="n"/>
      <c r="D6" s="225" t="n"/>
      <c r="I6" s="226" t="n"/>
      <c r="J6" s="226" t="n"/>
      <c r="K6" s="226" t="n"/>
      <c r="L6" s="226" t="n"/>
      <c r="M6" s="226" t="n"/>
      <c r="N6" s="226" t="n"/>
      <c r="O6" s="226" t="n"/>
      <c r="P6" s="226" t="n"/>
    </row>
    <row r="7" ht="15" customHeight="1">
      <c r="E7" s="227">
        <f>'INPUT SHEET'!B10</f>
        <v/>
      </c>
      <c r="F7" s="227">
        <f>'INPUT SHEET'!C10</f>
        <v/>
      </c>
      <c r="G7" s="227">
        <f>'INPUT SHEET'!D10</f>
        <v/>
      </c>
      <c r="H7" s="227">
        <f>'INPUT SHEET'!E10</f>
        <v/>
      </c>
      <c r="I7" s="227">
        <f>'INPUT SHEET'!F10</f>
        <v/>
      </c>
      <c r="J7" s="227">
        <f>'INPUT SHEET'!G10</f>
        <v/>
      </c>
      <c r="K7" s="227">
        <f>'INPUT SHEET'!H10</f>
        <v/>
      </c>
      <c r="L7" s="227">
        <f>'INPUT SHEET'!I10</f>
        <v/>
      </c>
      <c r="M7" s="227">
        <f>'INPUT SHEET'!J10</f>
        <v/>
      </c>
      <c r="N7" s="227">
        <f>'INPUT SHEET'!K10</f>
        <v/>
      </c>
      <c r="O7" s="227">
        <f>'INPUT SHEET'!L10</f>
        <v/>
      </c>
      <c r="P7" s="227">
        <f>'INPUT SHEET'!M10</f>
        <v/>
      </c>
    </row>
    <row r="8" ht="15" customHeight="1">
      <c r="D8" s="228">
        <f>'INPUT SHEET'!A8</f>
        <v/>
      </c>
      <c r="E8" s="227">
        <f>'INPUT SHEET'!B8</f>
        <v/>
      </c>
      <c r="F8" s="227">
        <f>'INPUT SHEET'!C8</f>
        <v/>
      </c>
      <c r="G8" s="227">
        <f>'INPUT SHEET'!D8</f>
        <v/>
      </c>
      <c r="H8" s="227">
        <f>'INPUT SHEET'!E8</f>
        <v/>
      </c>
      <c r="I8" s="227">
        <f>'INPUT SHEET'!F8</f>
        <v/>
      </c>
      <c r="J8" s="227">
        <f>'INPUT SHEET'!G8</f>
        <v/>
      </c>
      <c r="K8" s="227">
        <f>'INPUT SHEET'!H8</f>
        <v/>
      </c>
      <c r="L8" s="227">
        <f>'INPUT SHEET'!I8</f>
        <v/>
      </c>
      <c r="M8" s="227">
        <f>'INPUT SHEET'!J8</f>
        <v/>
      </c>
      <c r="N8" s="227">
        <f>'INPUT SHEET'!K8</f>
        <v/>
      </c>
      <c r="O8" s="227">
        <f>'INPUT SHEET'!L8</f>
        <v/>
      </c>
      <c r="P8" s="227">
        <f>'INPUT SHEET'!M8</f>
        <v/>
      </c>
    </row>
    <row r="9" ht="15" customHeight="1">
      <c r="D9" s="228">
        <f>'INPUT SHEET'!A9</f>
        <v/>
      </c>
      <c r="E9" s="227">
        <f>'INPUT SHEET'!B9</f>
        <v/>
      </c>
      <c r="F9" s="227">
        <f>'INPUT SHEET'!C9</f>
        <v/>
      </c>
      <c r="G9" s="227">
        <f>'INPUT SHEET'!D9</f>
        <v/>
      </c>
      <c r="H9" s="227">
        <f>'INPUT SHEET'!E9</f>
        <v/>
      </c>
      <c r="I9" s="227">
        <f>'INPUT SHEET'!F9</f>
        <v/>
      </c>
      <c r="J9" s="227">
        <f>'INPUT SHEET'!G9</f>
        <v/>
      </c>
      <c r="K9" s="227">
        <f>'INPUT SHEET'!H9</f>
        <v/>
      </c>
      <c r="L9" s="227">
        <f>'INPUT SHEET'!I9</f>
        <v/>
      </c>
      <c r="M9" s="227">
        <f>'INPUT SHEET'!J9</f>
        <v/>
      </c>
      <c r="N9" s="227">
        <f>'INPUT SHEET'!K9</f>
        <v/>
      </c>
      <c r="O9" s="227">
        <f>'INPUT SHEET'!L9</f>
        <v/>
      </c>
      <c r="P9" s="227">
        <f>'INPUT SHEET'!M9</f>
        <v/>
      </c>
    </row>
    <row r="10" ht="20.1" customHeight="1">
      <c r="B10" s="430" t="inlineStr">
        <is>
          <t>Sales</t>
        </is>
      </c>
      <c r="E10" s="595" t="n"/>
      <c r="F10" s="595" t="n"/>
      <c r="G10" s="595" t="n"/>
      <c r="H10" s="595" t="n"/>
      <c r="I10" s="595" t="n"/>
      <c r="J10" s="595" t="n"/>
      <c r="K10" s="595" t="n"/>
      <c r="L10" s="595" t="n"/>
      <c r="M10" s="595" t="n"/>
      <c r="N10" s="595" t="n"/>
      <c r="O10" s="595" t="n"/>
      <c r="P10" s="595" t="n"/>
    </row>
    <row r="11" ht="20.1" customHeight="1">
      <c r="B11" s="429" t="inlineStr">
        <is>
          <t>i.</t>
        </is>
      </c>
      <c r="C11" t="inlineStr">
        <is>
          <t>Domestic Sales</t>
        </is>
      </c>
      <c r="D11" s="429" t="n"/>
      <c r="E11" s="596">
        <f>'INPUT SHEET'!B22</f>
        <v/>
      </c>
      <c r="F11" s="596">
        <f>'INPUT SHEET'!C22</f>
        <v/>
      </c>
      <c r="G11" s="596">
        <f>'INPUT SHEET'!D22</f>
        <v/>
      </c>
      <c r="H11" s="596">
        <f>'INPUT SHEET'!E22</f>
        <v/>
      </c>
      <c r="I11" s="596">
        <f>'INPUT SHEET'!F22</f>
        <v/>
      </c>
      <c r="J11" s="596">
        <f>'INPUT SHEET'!G22</f>
        <v/>
      </c>
      <c r="K11" s="596">
        <f>'INPUT SHEET'!H22</f>
        <v/>
      </c>
      <c r="L11" s="596">
        <f>'INPUT SHEET'!I22</f>
        <v/>
      </c>
      <c r="M11" s="596">
        <f>'INPUT SHEET'!J22</f>
        <v/>
      </c>
      <c r="N11" s="596">
        <f>'INPUT SHEET'!K22</f>
        <v/>
      </c>
      <c r="O11" s="596">
        <f>'INPUT SHEET'!L22</f>
        <v/>
      </c>
      <c r="P11" s="596">
        <f>'INPUT SHEET'!M22</f>
        <v/>
      </c>
    </row>
    <row r="12" ht="20.1" customHeight="1">
      <c r="B12" s="429" t="inlineStr">
        <is>
          <t>ii.</t>
        </is>
      </c>
      <c r="C12" t="inlineStr">
        <is>
          <t>Export Sales</t>
        </is>
      </c>
      <c r="E12" s="597">
        <f>'INPUT SHEET'!B23</f>
        <v/>
      </c>
      <c r="F12" s="597">
        <f>'INPUT SHEET'!C23</f>
        <v/>
      </c>
      <c r="G12" s="597">
        <f>'INPUT SHEET'!D23</f>
        <v/>
      </c>
      <c r="H12" s="597">
        <f>'INPUT SHEET'!E23</f>
        <v/>
      </c>
      <c r="I12" s="597">
        <f>'INPUT SHEET'!F23</f>
        <v/>
      </c>
      <c r="J12" s="597">
        <f>'INPUT SHEET'!G23</f>
        <v/>
      </c>
      <c r="K12" s="597">
        <f>'INPUT SHEET'!H23</f>
        <v/>
      </c>
      <c r="L12" s="597">
        <f>'INPUT SHEET'!I23</f>
        <v/>
      </c>
      <c r="M12" s="597">
        <f>'INPUT SHEET'!J23</f>
        <v/>
      </c>
      <c r="N12" s="597">
        <f>'INPUT SHEET'!K23</f>
        <v/>
      </c>
      <c r="O12" s="597">
        <f>'INPUT SHEET'!L23</f>
        <v/>
      </c>
      <c r="P12" s="597">
        <f>'INPUT SHEET'!M23</f>
        <v/>
      </c>
    </row>
    <row r="13" ht="20.1" customHeight="1">
      <c r="B13" s="429" t="inlineStr">
        <is>
          <t xml:space="preserve">Gross Sales </t>
        </is>
      </c>
      <c r="E13" s="475">
        <f>ROUND(SUM(E11:E12),2)</f>
        <v/>
      </c>
      <c r="F13" s="475">
        <f>ROUND(SUM(F11:F12),2)</f>
        <v/>
      </c>
      <c r="G13" s="475">
        <f>ROUND(SUM(G11:G12),2)</f>
        <v/>
      </c>
      <c r="H13" s="475">
        <f>ROUND(SUM(H11:H12),2)</f>
        <v/>
      </c>
      <c r="I13" s="475">
        <f>ROUND(SUM(I11:I12),2)</f>
        <v/>
      </c>
      <c r="J13" s="475">
        <f>ROUND(SUM(J11:J12),2)</f>
        <v/>
      </c>
      <c r="K13" s="475">
        <f>ROUND(SUM(K11:K12),2)</f>
        <v/>
      </c>
      <c r="L13" s="475">
        <f>ROUND(SUM(L11:L12),2)</f>
        <v/>
      </c>
      <c r="M13" s="475">
        <f>ROUND(SUM(M11:M12),2)</f>
        <v/>
      </c>
      <c r="N13" s="475">
        <f>ROUND(SUM(N11:N12),2)</f>
        <v/>
      </c>
      <c r="O13" s="475">
        <f>ROUND(SUM(O11:O12),2)</f>
        <v/>
      </c>
      <c r="P13" s="475">
        <f>ROUND(SUM(P11:P12),2)</f>
        <v/>
      </c>
    </row>
    <row r="14" ht="20.1" customHeight="1">
      <c r="B14" t="inlineStr">
        <is>
          <t>Less : Excise Duty</t>
        </is>
      </c>
      <c r="E14" s="597">
        <f>'INPUT SHEET'!B25</f>
        <v/>
      </c>
      <c r="F14" s="597">
        <f>'INPUT SHEET'!C25</f>
        <v/>
      </c>
      <c r="G14" s="597">
        <f>'INPUT SHEET'!D25</f>
        <v/>
      </c>
      <c r="H14" s="597">
        <f>'INPUT SHEET'!E25</f>
        <v/>
      </c>
      <c r="I14" s="597">
        <f>'INPUT SHEET'!F25</f>
        <v/>
      </c>
      <c r="J14" s="597">
        <f>'INPUT SHEET'!G25</f>
        <v/>
      </c>
      <c r="K14" s="597">
        <f>'INPUT SHEET'!H25</f>
        <v/>
      </c>
      <c r="L14" s="597">
        <f>'INPUT SHEET'!I25</f>
        <v/>
      </c>
      <c r="M14" s="597">
        <f>'INPUT SHEET'!J25</f>
        <v/>
      </c>
      <c r="N14" s="597">
        <f>'INPUT SHEET'!K25</f>
        <v/>
      </c>
      <c r="O14" s="597">
        <f>'INPUT SHEET'!L25</f>
        <v/>
      </c>
      <c r="P14" s="597">
        <f>'INPUT SHEET'!M25</f>
        <v/>
      </c>
    </row>
    <row r="15" ht="20.1" customHeight="1">
      <c r="B15" s="429" t="inlineStr">
        <is>
          <t xml:space="preserve">Net Sales </t>
        </is>
      </c>
      <c r="E15" s="598">
        <f>ROUND(E13-E14,2)</f>
        <v/>
      </c>
      <c r="F15" s="599">
        <f>ROUND(F13-F14,2)</f>
        <v/>
      </c>
      <c r="G15" s="600">
        <f>ROUND(G13-G14,2)</f>
        <v/>
      </c>
      <c r="H15" s="599">
        <f>ROUND(H13-H14,2)</f>
        <v/>
      </c>
      <c r="I15" s="599">
        <f>ROUND(I13-I14,2)</f>
        <v/>
      </c>
      <c r="J15" s="599">
        <f>ROUND(J13-J14,2)</f>
        <v/>
      </c>
      <c r="K15" s="599">
        <f>ROUND(K13-K14,2)</f>
        <v/>
      </c>
      <c r="L15" s="599">
        <f>ROUND(L13-L14,2)</f>
        <v/>
      </c>
      <c r="M15" s="599">
        <f>ROUND(M13-M14,2)</f>
        <v/>
      </c>
      <c r="N15" s="599">
        <f>ROUND(N13-N14,2)</f>
        <v/>
      </c>
      <c r="O15" s="599">
        <f>ROUND(O13-O14,2)</f>
        <v/>
      </c>
      <c r="P15" s="599">
        <f>ROUND(P13-P14,2)</f>
        <v/>
      </c>
    </row>
    <row r="16" ht="12.9" customHeight="1">
      <c r="B16" t="inlineStr">
        <is>
          <t>% age rise (+) or fall (-) in net sales</t>
        </is>
      </c>
      <c r="E16" s="601">
        <f>IF(D15=0,"N/A",IF(E15=0,"N/A",((E15/E9)-(D15/D9))/(D15/D9)))</f>
        <v/>
      </c>
      <c r="F16" s="602">
        <f>IF(E15=0,"N/A",IF(F15=0,"N/A",((F15/F9)-(E15/E9))/(E15/E9)))</f>
        <v/>
      </c>
      <c r="G16" s="603">
        <f>IF(F15=0,"N/A",IF(G15=0,"N/A",((G15/G9)-(F15/F9))/(F15/F9)))</f>
        <v/>
      </c>
      <c r="H16" s="604">
        <f>IF(G15=0,"N/A",IF(H15=0,"N/A",((H15/H9)-(G15/G9))/(G15/G9)))</f>
        <v/>
      </c>
      <c r="I16" s="604">
        <f>IF(H15=0,"N/A",IF(I15=0,"N/A",((I15/I9)-(H15/H9))/(H15/H9)))</f>
        <v/>
      </c>
      <c r="J16" s="604">
        <f>IF(I15=0,"N/A",IF(J15=0,"N/A",((J15/J9)-(I15/I9))/(I15/I9)))</f>
        <v/>
      </c>
      <c r="K16" s="604">
        <f>IF(J15=0,"N/A",IF(K15=0,"N/A",((K15/K9)-(J15/J9))/(J15/J9)))</f>
        <v/>
      </c>
      <c r="L16" s="604">
        <f>IF(K15=0,"N/A",IF(L15=0,"N/A",((L15/L9)-(K15/K9))/(K15/K9)))</f>
        <v/>
      </c>
      <c r="M16" s="604">
        <f>IF(L15=0,"N/A",IF(M15=0,"N/A",((M15/M9)-(L15/L9))/(L15/L9)))</f>
        <v/>
      </c>
      <c r="N16" s="604">
        <f>IF(M15=0,"N/A",IF(N15=0,"N/A",((N15/N9)-(M15/M9))/(M15/M9)))</f>
        <v/>
      </c>
      <c r="O16" s="604">
        <f>IF(N15=0,"N/A",IF(O15=0,"N/A",((O15/O9)-(N15/N9))/(N15/N9)))</f>
        <v/>
      </c>
      <c r="P16" s="604">
        <f>IF(O15=0,"N/A",IF(P15=0,"N/A",((P15/P9)-(O15/O9))/(O15/O9)))</f>
        <v/>
      </c>
    </row>
    <row r="17" ht="20.1" customHeight="1">
      <c r="B17" s="225" t="inlineStr">
        <is>
          <t>Cost of Sales</t>
        </is>
      </c>
      <c r="E17" s="605" t="n"/>
      <c r="F17" s="597" t="n"/>
      <c r="G17" s="606" t="n"/>
      <c r="H17" s="597" t="n"/>
      <c r="I17" s="597" t="n"/>
      <c r="J17" s="597" t="n"/>
      <c r="K17" s="597" t="n"/>
      <c r="L17" s="597" t="n"/>
      <c r="M17" s="597" t="n"/>
      <c r="N17" s="597" t="n"/>
      <c r="O17" s="597" t="n"/>
      <c r="P17" s="597" t="n"/>
    </row>
    <row r="18" ht="20.1" customHeight="1">
      <c r="B18" t="inlineStr">
        <is>
          <t>i.</t>
        </is>
      </c>
      <c r="C18" t="inlineStr">
        <is>
          <t xml:space="preserve">Raw materials </t>
        </is>
      </c>
      <c r="E18" s="607">
        <f>E19+E20</f>
        <v/>
      </c>
      <c r="F18" s="475">
        <f>F19+F20</f>
        <v/>
      </c>
      <c r="G18" s="608">
        <f>G19+G20</f>
        <v/>
      </c>
      <c r="H18" s="475">
        <f>H19+H20</f>
        <v/>
      </c>
      <c r="I18" s="475">
        <f>I19+I20</f>
        <v/>
      </c>
      <c r="J18" s="475">
        <f>J19+J20</f>
        <v/>
      </c>
      <c r="K18" s="475">
        <f>K19+K20</f>
        <v/>
      </c>
      <c r="L18" s="475">
        <f>L19+L20</f>
        <v/>
      </c>
      <c r="M18" s="475">
        <f>M19+M20</f>
        <v/>
      </c>
      <c r="N18" s="475">
        <f>N19+N20</f>
        <v/>
      </c>
      <c r="O18" s="475">
        <f>O19+O20</f>
        <v/>
      </c>
      <c r="P18" s="475">
        <f>P19+P20</f>
        <v/>
      </c>
    </row>
    <row r="19" ht="20.1" customHeight="1">
      <c r="C19" t="inlineStr">
        <is>
          <t>a.</t>
        </is>
      </c>
      <c r="D19" t="inlineStr">
        <is>
          <t>Imported</t>
        </is>
      </c>
      <c r="E19" s="605">
        <f>'INPUT SHEET'!B41</f>
        <v/>
      </c>
      <c r="F19" s="597">
        <f>'INPUT SHEET'!C41</f>
        <v/>
      </c>
      <c r="G19" s="606">
        <f>'INPUT SHEET'!D41</f>
        <v/>
      </c>
      <c r="H19" s="597">
        <f>'INPUT SHEET'!E41</f>
        <v/>
      </c>
      <c r="I19" s="597">
        <f>'INPUT SHEET'!F41</f>
        <v/>
      </c>
      <c r="J19" s="597">
        <f>'INPUT SHEET'!G41</f>
        <v/>
      </c>
      <c r="K19" s="597">
        <f>'INPUT SHEET'!H41</f>
        <v/>
      </c>
      <c r="L19" s="597">
        <f>'INPUT SHEET'!I41</f>
        <v/>
      </c>
      <c r="M19" s="597">
        <f>'INPUT SHEET'!J41</f>
        <v/>
      </c>
      <c r="N19" s="597">
        <f>'INPUT SHEET'!K41</f>
        <v/>
      </c>
      <c r="O19" s="597">
        <f>'INPUT SHEET'!L41</f>
        <v/>
      </c>
      <c r="P19" s="597">
        <f>'INPUT SHEET'!M41</f>
        <v/>
      </c>
    </row>
    <row r="20" ht="20.1" customHeight="1">
      <c r="C20" t="inlineStr">
        <is>
          <t>b.</t>
        </is>
      </c>
      <c r="D20" t="inlineStr">
        <is>
          <t>Indigenous</t>
        </is>
      </c>
      <c r="E20" s="609">
        <f>'INPUT SHEET'!B42</f>
        <v/>
      </c>
      <c r="F20" s="610">
        <f>'INPUT SHEET'!C42</f>
        <v/>
      </c>
      <c r="G20" s="611">
        <f>'INPUT SHEET'!D42</f>
        <v/>
      </c>
      <c r="H20" s="610">
        <f>'INPUT SHEET'!E42</f>
        <v/>
      </c>
      <c r="I20" s="610">
        <f>'INPUT SHEET'!F42</f>
        <v/>
      </c>
      <c r="J20" s="610">
        <f>'INPUT SHEET'!G42</f>
        <v/>
      </c>
      <c r="K20" s="610">
        <f>'INPUT SHEET'!H42</f>
        <v/>
      </c>
      <c r="L20" s="610">
        <f>'INPUT SHEET'!I42</f>
        <v/>
      </c>
      <c r="M20" s="610">
        <f>'INPUT SHEET'!J42</f>
        <v/>
      </c>
      <c r="N20" s="610">
        <f>'INPUT SHEET'!K42</f>
        <v/>
      </c>
      <c r="O20" s="610">
        <f>'INPUT SHEET'!L42</f>
        <v/>
      </c>
      <c r="P20" s="610">
        <f>'INPUT SHEET'!M42</f>
        <v/>
      </c>
    </row>
    <row r="21" ht="20.1" customHeight="1">
      <c r="B21" t="inlineStr">
        <is>
          <t>ii.</t>
        </is>
      </c>
      <c r="C21" t="inlineStr">
        <is>
          <t>Other Spares</t>
        </is>
      </c>
      <c r="E21" s="607">
        <f>E22+E23</f>
        <v/>
      </c>
      <c r="F21" s="475">
        <f>F22+F23</f>
        <v/>
      </c>
      <c r="G21" s="608">
        <f>G22+G23</f>
        <v/>
      </c>
      <c r="H21" s="475">
        <f>H22+H23</f>
        <v/>
      </c>
      <c r="I21" s="475">
        <f>I22+I23</f>
        <v/>
      </c>
      <c r="J21" s="475">
        <f>J22+J23</f>
        <v/>
      </c>
      <c r="K21" s="475">
        <f>K22+K23</f>
        <v/>
      </c>
      <c r="L21" s="475">
        <f>L22+L23</f>
        <v/>
      </c>
      <c r="M21" s="475">
        <f>M22+M23</f>
        <v/>
      </c>
      <c r="N21" s="475">
        <f>N22+N23</f>
        <v/>
      </c>
      <c r="O21" s="475">
        <f>O22+O23</f>
        <v/>
      </c>
      <c r="P21" s="475">
        <f>P22+P23</f>
        <v/>
      </c>
    </row>
    <row r="22" ht="20.1" customHeight="1">
      <c r="C22" t="inlineStr">
        <is>
          <t>a.</t>
        </is>
      </c>
      <c r="D22" t="inlineStr">
        <is>
          <t>Imported</t>
        </is>
      </c>
      <c r="E22" s="612">
        <f>'INPUT SHEET'!B43</f>
        <v/>
      </c>
      <c r="F22" s="613">
        <f>'INPUT SHEET'!C43</f>
        <v/>
      </c>
      <c r="G22" s="614">
        <f>'INPUT SHEET'!D43</f>
        <v/>
      </c>
      <c r="H22" s="613">
        <f>'INPUT SHEET'!E43</f>
        <v/>
      </c>
      <c r="I22" s="613">
        <f>'INPUT SHEET'!F43</f>
        <v/>
      </c>
      <c r="J22" s="613">
        <f>'INPUT SHEET'!G43</f>
        <v/>
      </c>
      <c r="K22" s="613">
        <f>'INPUT SHEET'!H43</f>
        <v/>
      </c>
      <c r="L22" s="613">
        <f>'INPUT SHEET'!I43</f>
        <v/>
      </c>
      <c r="M22" s="613">
        <f>'INPUT SHEET'!J43</f>
        <v/>
      </c>
      <c r="N22" s="613">
        <f>'INPUT SHEET'!K43</f>
        <v/>
      </c>
      <c r="O22" s="613">
        <f>'INPUT SHEET'!L43</f>
        <v/>
      </c>
      <c r="P22" s="613">
        <f>'INPUT SHEET'!M43</f>
        <v/>
      </c>
    </row>
    <row r="23" ht="20.1" customHeight="1">
      <c r="C23" t="inlineStr">
        <is>
          <t>b.</t>
        </is>
      </c>
      <c r="D23" t="inlineStr">
        <is>
          <t>Indigenous</t>
        </is>
      </c>
      <c r="E23" s="612">
        <f>'INPUT SHEET'!B44</f>
        <v/>
      </c>
      <c r="F23" s="613">
        <f>'INPUT SHEET'!C44</f>
        <v/>
      </c>
      <c r="G23" s="614">
        <f>'INPUT SHEET'!D44</f>
        <v/>
      </c>
      <c r="H23" s="613">
        <f>'INPUT SHEET'!E44</f>
        <v/>
      </c>
      <c r="I23" s="613">
        <f>'INPUT SHEET'!F44</f>
        <v/>
      </c>
      <c r="J23" s="613">
        <f>'INPUT SHEET'!G44</f>
        <v/>
      </c>
      <c r="K23" s="613">
        <f>'INPUT SHEET'!H44</f>
        <v/>
      </c>
      <c r="L23" s="613">
        <f>'INPUT SHEET'!I44</f>
        <v/>
      </c>
      <c r="M23" s="613">
        <f>'INPUT SHEET'!J44</f>
        <v/>
      </c>
      <c r="N23" s="613">
        <f>'INPUT SHEET'!K44</f>
        <v/>
      </c>
      <c r="O23" s="613">
        <f>'INPUT SHEET'!L44</f>
        <v/>
      </c>
      <c r="P23" s="613">
        <f>'INPUT SHEET'!M44</f>
        <v/>
      </c>
    </row>
    <row r="24" ht="20.1" customHeight="1">
      <c r="B24" t="inlineStr">
        <is>
          <t>iii.</t>
        </is>
      </c>
      <c r="C24">
        <f>'INPUT SHEET'!A63</f>
        <v/>
      </c>
      <c r="E24" s="615">
        <f>'INPUT SHEET'!B63</f>
        <v/>
      </c>
      <c r="F24" s="596">
        <f>'INPUT SHEET'!C63</f>
        <v/>
      </c>
      <c r="G24" s="616">
        <f>'INPUT SHEET'!D63</f>
        <v/>
      </c>
      <c r="H24" s="596">
        <f>'INPUT SHEET'!E63</f>
        <v/>
      </c>
      <c r="I24" s="596">
        <f>'INPUT SHEET'!F63</f>
        <v/>
      </c>
      <c r="J24" s="596">
        <f>'INPUT SHEET'!G63</f>
        <v/>
      </c>
      <c r="K24" s="596">
        <f>'INPUT SHEET'!H63</f>
        <v/>
      </c>
      <c r="L24" s="596">
        <f>'INPUT SHEET'!I63</f>
        <v/>
      </c>
      <c r="M24" s="596">
        <f>'INPUT SHEET'!J63</f>
        <v/>
      </c>
      <c r="N24" s="596">
        <f>'INPUT SHEET'!K63</f>
        <v/>
      </c>
      <c r="O24" s="596">
        <f>'INPUT SHEET'!L63</f>
        <v/>
      </c>
      <c r="P24" s="596">
        <f>'INPUT SHEET'!M63</f>
        <v/>
      </c>
    </row>
    <row r="25" ht="20.1" customHeight="1">
      <c r="B25" t="inlineStr">
        <is>
          <t>iv.</t>
        </is>
      </c>
      <c r="C25">
        <f>'INPUT SHEET'!A64</f>
        <v/>
      </c>
      <c r="E25" s="615">
        <f>'INPUT SHEET'!B64</f>
        <v/>
      </c>
      <c r="F25" s="596">
        <f>'INPUT SHEET'!C64</f>
        <v/>
      </c>
      <c r="G25" s="616">
        <f>'INPUT SHEET'!D64</f>
        <v/>
      </c>
      <c r="H25" s="596">
        <f>'INPUT SHEET'!E64</f>
        <v/>
      </c>
      <c r="I25" s="596">
        <f>'INPUT SHEET'!F64</f>
        <v/>
      </c>
      <c r="J25" s="596">
        <f>'INPUT SHEET'!G64</f>
        <v/>
      </c>
      <c r="K25" s="596">
        <f>'INPUT SHEET'!H64</f>
        <v/>
      </c>
      <c r="L25" s="596">
        <f>'INPUT SHEET'!I64</f>
        <v/>
      </c>
      <c r="M25" s="596">
        <f>'INPUT SHEET'!J64</f>
        <v/>
      </c>
      <c r="N25" s="596">
        <f>'INPUT SHEET'!K64</f>
        <v/>
      </c>
      <c r="O25" s="596">
        <f>'INPUT SHEET'!L64</f>
        <v/>
      </c>
      <c r="P25" s="596">
        <f>'INPUT SHEET'!M64</f>
        <v/>
      </c>
    </row>
    <row r="26" ht="20.1" customHeight="1">
      <c r="B26" t="inlineStr">
        <is>
          <t>v</t>
        </is>
      </c>
      <c r="C26" t="inlineStr">
        <is>
          <t xml:space="preserve">Sub-total </t>
        </is>
      </c>
      <c r="E26" s="607">
        <f>ROUND(SUM(E18+E21+E24+E25),2)</f>
        <v/>
      </c>
      <c r="F26" s="475">
        <f>ROUND(SUM(F18+F21+F24+F25),2)</f>
        <v/>
      </c>
      <c r="G26" s="608">
        <f>ROUND(SUM(G18+G21+G24+G25),2)</f>
        <v/>
      </c>
      <c r="H26" s="475">
        <f>ROUND(SUM(H18+H21+H24+H25),2)</f>
        <v/>
      </c>
      <c r="I26" s="475">
        <f>ROUND(SUM(I18+I21+I24+I25),2)</f>
        <v/>
      </c>
      <c r="J26" s="475">
        <f>ROUND(SUM(J18+J21+J24+J25),2)</f>
        <v/>
      </c>
      <c r="K26" s="475">
        <f>ROUND(SUM(K18+K21+K24+K25),2)</f>
        <v/>
      </c>
      <c r="L26" s="475">
        <f>ROUND(SUM(L18+L21+L24+L25),2)</f>
        <v/>
      </c>
      <c r="M26" s="475">
        <f>ROUND(SUM(M18+M21+M24+M25),2)</f>
        <v/>
      </c>
      <c r="N26" s="475">
        <f>ROUND(SUM(N18+N21+N24+N25),2)</f>
        <v/>
      </c>
      <c r="O26" s="475">
        <f>ROUND(SUM(O18+O21+O24+O25),2)</f>
        <v/>
      </c>
      <c r="P26" s="475">
        <f>ROUND(SUM(P18+P21+P24+P25),2)</f>
        <v/>
      </c>
    </row>
    <row r="27" ht="20.1" customHeight="1">
      <c r="B27" t="inlineStr">
        <is>
          <t>vi.</t>
        </is>
      </c>
      <c r="C27" t="inlineStr">
        <is>
          <t>Add: Opening Stock-in-process</t>
        </is>
      </c>
      <c r="E27" s="605">
        <f>'INPUT SHEET'!B53</f>
        <v/>
      </c>
      <c r="F27" s="597">
        <f>'INPUT SHEET'!C53</f>
        <v/>
      </c>
      <c r="G27" s="606">
        <f>'INPUT SHEET'!D53</f>
        <v/>
      </c>
      <c r="H27" s="597">
        <f>'INPUT SHEET'!E53</f>
        <v/>
      </c>
      <c r="I27" s="597">
        <f>'INPUT SHEET'!F53</f>
        <v/>
      </c>
      <c r="J27" s="597">
        <f>'INPUT SHEET'!G53</f>
        <v/>
      </c>
      <c r="K27" s="597">
        <f>'INPUT SHEET'!H53</f>
        <v/>
      </c>
      <c r="L27" s="597">
        <f>'INPUT SHEET'!I53</f>
        <v/>
      </c>
      <c r="M27" s="597">
        <f>'INPUT SHEET'!J53</f>
        <v/>
      </c>
      <c r="N27" s="597">
        <f>'INPUT SHEET'!K53</f>
        <v/>
      </c>
      <c r="O27" s="597">
        <f>'INPUT SHEET'!L53</f>
        <v/>
      </c>
      <c r="P27" s="597">
        <f>'INPUT SHEET'!M53</f>
        <v/>
      </c>
    </row>
    <row r="28" ht="20.1" customHeight="1">
      <c r="B28" t="inlineStr">
        <is>
          <t>vii</t>
        </is>
      </c>
      <c r="C28" s="429" t="inlineStr">
        <is>
          <t xml:space="preserve">Sub-total </t>
        </is>
      </c>
      <c r="E28" s="607">
        <f>ROUND(E26+E27,2)</f>
        <v/>
      </c>
      <c r="F28" s="475">
        <f>ROUND(F26+F27,2)</f>
        <v/>
      </c>
      <c r="G28" s="608">
        <f>ROUND(G26+G27,2)</f>
        <v/>
      </c>
      <c r="H28" s="475">
        <f>ROUND(H26+H27,2)</f>
        <v/>
      </c>
      <c r="I28" s="475">
        <f>ROUND(I26+I27,2)</f>
        <v/>
      </c>
      <c r="J28" s="475">
        <f>ROUND(J26+J27,2)</f>
        <v/>
      </c>
      <c r="K28" s="475">
        <f>ROUND(K26+K27,2)</f>
        <v/>
      </c>
      <c r="L28" s="475">
        <f>ROUND(L26+L27,2)</f>
        <v/>
      </c>
      <c r="M28" s="475">
        <f>ROUND(M26+M27,2)</f>
        <v/>
      </c>
      <c r="N28" s="475">
        <f>ROUND(N26+N27,2)</f>
        <v/>
      </c>
      <c r="O28" s="475">
        <f>ROUND(O26+O27,2)</f>
        <v/>
      </c>
      <c r="P28" s="475">
        <f>ROUND(P26+P27,2)</f>
        <v/>
      </c>
    </row>
    <row r="29" ht="20.1" customHeight="1">
      <c r="B29" t="inlineStr">
        <is>
          <t>viii</t>
        </is>
      </c>
      <c r="C29" t="inlineStr">
        <is>
          <t>Deduct: Closing Stock-in-process</t>
        </is>
      </c>
      <c r="E29" s="605">
        <f>'INPUT SHEET'!B54</f>
        <v/>
      </c>
      <c r="F29" s="597">
        <f>'INPUT SHEET'!C54</f>
        <v/>
      </c>
      <c r="G29" s="606">
        <f>'INPUT SHEET'!D54</f>
        <v/>
      </c>
      <c r="H29" s="597">
        <f>'INPUT SHEET'!E54</f>
        <v/>
      </c>
      <c r="I29" s="597">
        <f>'INPUT SHEET'!F54</f>
        <v/>
      </c>
      <c r="J29" s="597">
        <f>'INPUT SHEET'!G54</f>
        <v/>
      </c>
      <c r="K29" s="597">
        <f>'INPUT SHEET'!H54</f>
        <v/>
      </c>
      <c r="L29" s="597">
        <f>'INPUT SHEET'!I54</f>
        <v/>
      </c>
      <c r="M29" s="597">
        <f>'INPUT SHEET'!J54</f>
        <v/>
      </c>
      <c r="N29" s="597">
        <f>'INPUT SHEET'!K54</f>
        <v/>
      </c>
      <c r="O29" s="597">
        <f>'INPUT SHEET'!L54</f>
        <v/>
      </c>
      <c r="P29" s="597">
        <f>'INPUT SHEET'!M54</f>
        <v/>
      </c>
    </row>
    <row r="30" ht="20.1" customHeight="1">
      <c r="B30" t="inlineStr">
        <is>
          <t>ix</t>
        </is>
      </c>
      <c r="C30" t="inlineStr">
        <is>
          <t>Cost of Production</t>
        </is>
      </c>
      <c r="E30" s="607">
        <f>ROUND(E28-E29,2)</f>
        <v/>
      </c>
      <c r="F30" s="475">
        <f>ROUND(F28-F29,2)</f>
        <v/>
      </c>
      <c r="G30" s="608">
        <f>ROUND(G28-G29,2)</f>
        <v/>
      </c>
      <c r="H30" s="475">
        <f>ROUND(H28-H29,2)</f>
        <v/>
      </c>
      <c r="I30" s="475">
        <f>ROUND(I28-I29,2)</f>
        <v/>
      </c>
      <c r="J30" s="475">
        <f>ROUND(J28-J29,2)</f>
        <v/>
      </c>
      <c r="K30" s="475">
        <f>ROUND(K28-K29,2)</f>
        <v/>
      </c>
      <c r="L30" s="475">
        <f>ROUND(L28-L29,2)</f>
        <v/>
      </c>
      <c r="M30" s="475">
        <f>ROUND(M28-M29,2)</f>
        <v/>
      </c>
      <c r="N30" s="475">
        <f>ROUND(N28-N29,2)</f>
        <v/>
      </c>
      <c r="O30" s="475">
        <f>ROUND(O28-O29,2)</f>
        <v/>
      </c>
      <c r="P30" s="475">
        <f>ROUND(P28-P29,2)</f>
        <v/>
      </c>
    </row>
    <row r="31" ht="20.1" customHeight="1">
      <c r="B31" t="inlineStr">
        <is>
          <t>x</t>
        </is>
      </c>
      <c r="C31" t="inlineStr">
        <is>
          <t>Add: Opening Stock of finished goods</t>
        </is>
      </c>
      <c r="E31" s="617">
        <f>'INPUT SHEET'!B58</f>
        <v/>
      </c>
      <c r="F31" s="581">
        <f>'INPUT SHEET'!C58</f>
        <v/>
      </c>
      <c r="G31" s="587">
        <f>'INPUT SHEET'!D58</f>
        <v/>
      </c>
      <c r="H31" s="581">
        <f>'INPUT SHEET'!E58</f>
        <v/>
      </c>
      <c r="I31" s="581">
        <f>'INPUT SHEET'!F58</f>
        <v/>
      </c>
      <c r="J31" s="581">
        <f>'INPUT SHEET'!G58</f>
        <v/>
      </c>
      <c r="K31" s="581">
        <f>'INPUT SHEET'!H58</f>
        <v/>
      </c>
      <c r="L31" s="581">
        <f>'INPUT SHEET'!I58</f>
        <v/>
      </c>
      <c r="M31" s="581">
        <f>'INPUT SHEET'!J58</f>
        <v/>
      </c>
      <c r="N31" s="581">
        <f>'INPUT SHEET'!K58</f>
        <v/>
      </c>
      <c r="O31" s="581">
        <f>'INPUT SHEET'!L58</f>
        <v/>
      </c>
      <c r="P31" s="581">
        <f>'INPUT SHEET'!M58</f>
        <v/>
      </c>
    </row>
    <row r="32" ht="20.1" customHeight="1">
      <c r="B32" t="inlineStr">
        <is>
          <t>xi</t>
        </is>
      </c>
      <c r="C32" s="429" t="inlineStr">
        <is>
          <t xml:space="preserve">Sub-total </t>
        </is>
      </c>
      <c r="E32" s="607">
        <f>ROUND(E30+E31,2)</f>
        <v/>
      </c>
      <c r="F32" s="475">
        <f>ROUND(F30+F31,2)</f>
        <v/>
      </c>
      <c r="G32" s="608">
        <f>ROUND(G30+G31,2)</f>
        <v/>
      </c>
      <c r="H32" s="475">
        <f>ROUND(H30+H31,2)</f>
        <v/>
      </c>
      <c r="I32" s="475">
        <f>ROUND(I30+I31,2)</f>
        <v/>
      </c>
      <c r="J32" s="475">
        <f>ROUND(J30+J31,2)</f>
        <v/>
      </c>
      <c r="K32" s="475">
        <f>ROUND(K30+K31,2)</f>
        <v/>
      </c>
      <c r="L32" s="475">
        <f>ROUND(L30+L31,2)</f>
        <v/>
      </c>
      <c r="M32" s="475">
        <f>ROUND(M30+M31,2)</f>
        <v/>
      </c>
      <c r="N32" s="475">
        <f>ROUND(N30+N31,2)</f>
        <v/>
      </c>
      <c r="O32" s="475">
        <f>ROUND(O30+O31,2)</f>
        <v/>
      </c>
      <c r="P32" s="475">
        <f>ROUND(P30+P31,2)</f>
        <v/>
      </c>
    </row>
    <row r="33" ht="20.1" customHeight="1">
      <c r="B33" t="inlineStr">
        <is>
          <t>xii</t>
        </is>
      </c>
      <c r="C33" t="inlineStr">
        <is>
          <t>Deduct: Closing Stock of finished goods</t>
        </is>
      </c>
      <c r="E33" s="605">
        <f>'INPUT SHEET'!B59</f>
        <v/>
      </c>
      <c r="F33" s="618">
        <f>'INPUT SHEET'!C59</f>
        <v/>
      </c>
      <c r="G33" s="606">
        <f>'INPUT SHEET'!D59</f>
        <v/>
      </c>
      <c r="H33" s="618">
        <f>'INPUT SHEET'!E59</f>
        <v/>
      </c>
      <c r="I33" s="618">
        <f>'INPUT SHEET'!F59</f>
        <v/>
      </c>
      <c r="J33" s="618">
        <f>'INPUT SHEET'!G59</f>
        <v/>
      </c>
      <c r="K33" s="618">
        <f>'INPUT SHEET'!H59</f>
        <v/>
      </c>
      <c r="L33" s="618">
        <f>'INPUT SHEET'!I59</f>
        <v/>
      </c>
      <c r="M33" s="618">
        <f>'INPUT SHEET'!J59</f>
        <v/>
      </c>
      <c r="N33" s="618">
        <f>'INPUT SHEET'!K59</f>
        <v/>
      </c>
      <c r="O33" s="618">
        <f>'INPUT SHEET'!L59</f>
        <v/>
      </c>
      <c r="P33" s="618">
        <f>'INPUT SHEET'!M59</f>
        <v/>
      </c>
    </row>
    <row r="34" ht="20.1" customHeight="1">
      <c r="B34" s="225" t="n"/>
      <c r="C34" t="inlineStr">
        <is>
          <t>Sub-total(Total Cost of Sales)</t>
        </is>
      </c>
      <c r="D34" s="225" t="n"/>
      <c r="E34" s="619">
        <f>ROUND(E32-E33,2)</f>
        <v/>
      </c>
      <c r="F34" s="619">
        <f>ROUND(F32-F33,2)</f>
        <v/>
      </c>
      <c r="G34" s="619">
        <f>ROUND(G32-G33,2)</f>
        <v/>
      </c>
      <c r="H34" s="619">
        <f>ROUND(H32-H33,2)</f>
        <v/>
      </c>
      <c r="I34" s="619">
        <f>ROUND(I32-I33,2)</f>
        <v/>
      </c>
      <c r="J34" s="619">
        <f>ROUND(J32-J33,2)</f>
        <v/>
      </c>
      <c r="K34" s="619">
        <f>ROUND(K32-K33,2)</f>
        <v/>
      </c>
      <c r="L34" s="619">
        <f>ROUND(L32-L33,2)</f>
        <v/>
      </c>
      <c r="M34" s="619">
        <f>ROUND(M32-M33,2)</f>
        <v/>
      </c>
      <c r="N34" s="619">
        <f>ROUND(N32-N33,2)</f>
        <v/>
      </c>
      <c r="O34" s="619">
        <f>ROUND(O32-O33,2)</f>
        <v/>
      </c>
      <c r="P34" s="619">
        <f>ROUND(P32-P33,2)</f>
        <v/>
      </c>
    </row>
    <row r="35" ht="20.1" customHeight="1">
      <c r="B35" t="inlineStr">
        <is>
          <t>Selling, general and administrative expenses</t>
        </is>
      </c>
      <c r="E35" s="596">
        <f>'INPUT SHEET'!B80</f>
        <v/>
      </c>
      <c r="F35" s="596">
        <f>'INPUT SHEET'!C80</f>
        <v/>
      </c>
      <c r="G35" s="596">
        <f>'INPUT SHEET'!D80</f>
        <v/>
      </c>
      <c r="H35" s="596">
        <f>'INPUT SHEET'!E80</f>
        <v/>
      </c>
      <c r="I35" s="596">
        <f>'INPUT SHEET'!F80</f>
        <v/>
      </c>
      <c r="J35" s="596">
        <f>'INPUT SHEET'!G80</f>
        <v/>
      </c>
      <c r="K35" s="596">
        <f>'INPUT SHEET'!H80</f>
        <v/>
      </c>
      <c r="L35" s="596">
        <f>'INPUT SHEET'!I80</f>
        <v/>
      </c>
      <c r="M35" s="596">
        <f>'INPUT SHEET'!J80</f>
        <v/>
      </c>
      <c r="N35" s="596">
        <f>'INPUT SHEET'!K80</f>
        <v/>
      </c>
      <c r="O35" s="596">
        <f>'INPUT SHEET'!L80</f>
        <v/>
      </c>
      <c r="P35" s="596">
        <f>'INPUT SHEET'!M80</f>
        <v/>
      </c>
    </row>
    <row r="36" ht="20.1" customHeight="1">
      <c r="B36" s="429" t="inlineStr">
        <is>
          <t xml:space="preserve">Sub-total </t>
        </is>
      </c>
      <c r="E36" s="475">
        <f>ROUND(E34+E35,2)</f>
        <v/>
      </c>
      <c r="F36" s="475">
        <f>ROUND(F34+F35,2)</f>
        <v/>
      </c>
      <c r="G36" s="475">
        <f>ROUND(G34+G35,2)</f>
        <v/>
      </c>
      <c r="H36" s="475">
        <f>ROUND(H34+H35,2)</f>
        <v/>
      </c>
      <c r="I36" s="475">
        <f>ROUND(I34+I35,2)</f>
        <v/>
      </c>
      <c r="J36" s="475">
        <f>ROUND(J34+J35,2)</f>
        <v/>
      </c>
      <c r="K36" s="475">
        <f>ROUND(K34+K35,2)</f>
        <v/>
      </c>
      <c r="L36" s="475">
        <f>ROUND(L34+L35,2)</f>
        <v/>
      </c>
      <c r="M36" s="475">
        <f>ROUND(M34+M35,2)</f>
        <v/>
      </c>
      <c r="N36" s="475">
        <f>ROUND(N34+N35,2)</f>
        <v/>
      </c>
      <c r="O36" s="475">
        <f>ROUND(O34+O35,2)</f>
        <v/>
      </c>
      <c r="P36" s="475">
        <f>ROUND(P34+P35,2)</f>
        <v/>
      </c>
    </row>
    <row r="37" ht="20.1" customHeight="1">
      <c r="B37" s="225" t="inlineStr">
        <is>
          <t>Operating Profit before Interest</t>
        </is>
      </c>
      <c r="E37" s="620">
        <f>ROUND(E15-E36,2)</f>
        <v/>
      </c>
      <c r="F37" s="620">
        <f>ROUND(F15-F36,2)</f>
        <v/>
      </c>
      <c r="G37" s="620">
        <f>ROUND(G15-G36,2)</f>
        <v/>
      </c>
      <c r="H37" s="620">
        <f>ROUND(H15-H36,2)</f>
        <v/>
      </c>
      <c r="I37" s="620">
        <f>ROUND(I15-I36,2)</f>
        <v/>
      </c>
      <c r="J37" s="620">
        <f>ROUND(J15-J36,2)</f>
        <v/>
      </c>
      <c r="K37" s="620">
        <f>ROUND(K15-K36,2)</f>
        <v/>
      </c>
      <c r="L37" s="620">
        <f>ROUND(L15-L36,2)</f>
        <v/>
      </c>
      <c r="M37" s="620">
        <f>ROUND(M15-M36,2)</f>
        <v/>
      </c>
      <c r="N37" s="620">
        <f>ROUND(N15-N36,2)</f>
        <v/>
      </c>
      <c r="O37" s="620">
        <f>ROUND(O15-O36,2)</f>
        <v/>
      </c>
      <c r="P37" s="620">
        <f>ROUND(P15-P36,2)</f>
        <v/>
      </c>
    </row>
    <row r="38" ht="20.1" customHeight="1">
      <c r="B38" s="425" t="inlineStr">
        <is>
          <t>Interest</t>
        </is>
      </c>
      <c r="E38" s="621">
        <f>'INPUT SHEET'!B86</f>
        <v/>
      </c>
      <c r="F38" s="621">
        <f>'INPUT SHEET'!C86</f>
        <v/>
      </c>
      <c r="G38" s="621">
        <f>'INPUT SHEET'!D86</f>
        <v/>
      </c>
      <c r="H38" s="621">
        <f>'INPUT SHEET'!E86</f>
        <v/>
      </c>
      <c r="I38" s="621">
        <f>'INPUT SHEET'!F86</f>
        <v/>
      </c>
      <c r="J38" s="621">
        <f>'INPUT SHEET'!G86</f>
        <v/>
      </c>
      <c r="K38" s="621">
        <f>'INPUT SHEET'!H86</f>
        <v/>
      </c>
      <c r="L38" s="621">
        <f>'INPUT SHEET'!I86</f>
        <v/>
      </c>
      <c r="M38" s="621">
        <f>'INPUT SHEET'!J86</f>
        <v/>
      </c>
      <c r="N38" s="621">
        <f>'INPUT SHEET'!K86</f>
        <v/>
      </c>
      <c r="O38" s="621">
        <f>'INPUT SHEET'!L86</f>
        <v/>
      </c>
      <c r="P38" s="621">
        <f>'INPUT SHEET'!M86</f>
        <v/>
      </c>
    </row>
    <row r="39" ht="20.1" customHeight="1">
      <c r="B39" s="427">
        <f>'INPUT SHEET'!A83</f>
        <v/>
      </c>
      <c r="E39" s="596">
        <f>'INPUT SHEET'!B83</f>
        <v/>
      </c>
      <c r="F39" s="596">
        <f>'INPUT SHEET'!C83</f>
        <v/>
      </c>
      <c r="G39" s="596">
        <f>'INPUT SHEET'!D83</f>
        <v/>
      </c>
      <c r="H39" s="596">
        <f>'INPUT SHEET'!E83</f>
        <v/>
      </c>
      <c r="I39" s="596">
        <f>'INPUT SHEET'!F83</f>
        <v/>
      </c>
      <c r="J39" s="596">
        <f>'INPUT SHEET'!G83</f>
        <v/>
      </c>
      <c r="K39" s="596">
        <f>'INPUT SHEET'!H83</f>
        <v/>
      </c>
      <c r="L39" s="596">
        <f>'INPUT SHEET'!I83</f>
        <v/>
      </c>
      <c r="M39" s="596">
        <f>'INPUT SHEET'!J83</f>
        <v/>
      </c>
      <c r="N39" s="596">
        <f>'INPUT SHEET'!K83</f>
        <v/>
      </c>
      <c r="O39" s="596">
        <f>'INPUT SHEET'!L83</f>
        <v/>
      </c>
      <c r="P39" s="596">
        <f>'INPUT SHEET'!M83</f>
        <v/>
      </c>
    </row>
    <row r="40" ht="20.1" customHeight="1">
      <c r="B40" s="427" t="inlineStr">
        <is>
          <t>Other Int</t>
        </is>
      </c>
      <c r="E40" s="596">
        <f>E38-E39</f>
        <v/>
      </c>
      <c r="F40" s="596">
        <f>F38-F39</f>
        <v/>
      </c>
      <c r="G40" s="596">
        <f>G38-G39</f>
        <v/>
      </c>
      <c r="H40" s="596">
        <f>H38-H39</f>
        <v/>
      </c>
      <c r="I40" s="596">
        <f>I38-I39</f>
        <v/>
      </c>
      <c r="J40" s="596">
        <f>J38-J39</f>
        <v/>
      </c>
      <c r="K40" s="596">
        <f>K38-K39</f>
        <v/>
      </c>
      <c r="L40" s="596">
        <f>L38-L39</f>
        <v/>
      </c>
      <c r="M40" s="596">
        <f>M38-M39</f>
        <v/>
      </c>
      <c r="N40" s="596">
        <f>N38-N39</f>
        <v/>
      </c>
      <c r="O40" s="596">
        <f>O38-O39</f>
        <v/>
      </c>
      <c r="P40" s="596">
        <f>P38-P39</f>
        <v/>
      </c>
    </row>
    <row r="41" ht="20.1" customHeight="1">
      <c r="B41" s="225" t="inlineStr">
        <is>
          <t>Operating Profit after Interest</t>
        </is>
      </c>
      <c r="E41" s="619">
        <f>ROUND(E37-E38,2)</f>
        <v/>
      </c>
      <c r="F41" s="619">
        <f>ROUND(F37-F38,2)</f>
        <v/>
      </c>
      <c r="G41" s="619">
        <f>ROUND(G37-G38,2)</f>
        <v/>
      </c>
      <c r="H41" s="619">
        <f>ROUND(H37-H38,2)</f>
        <v/>
      </c>
      <c r="I41" s="619">
        <f>ROUND(I37-I38,2)</f>
        <v/>
      </c>
      <c r="J41" s="619">
        <f>ROUND(J37-J38,2)</f>
        <v/>
      </c>
      <c r="K41" s="619">
        <f>ROUND(K37-K38,2)</f>
        <v/>
      </c>
      <c r="L41" s="619">
        <f>ROUND(L37-L38,2)</f>
        <v/>
      </c>
      <c r="M41" s="619">
        <f>ROUND(M37-M38,2)</f>
        <v/>
      </c>
      <c r="N41" s="619">
        <f>ROUND(N37-N38,2)</f>
        <v/>
      </c>
      <c r="O41" s="619">
        <f>ROUND(O37-O38,2)</f>
        <v/>
      </c>
      <c r="P41" s="619">
        <f>ROUND(P37-P38,2)</f>
        <v/>
      </c>
    </row>
    <row r="42" ht="20.1" customHeight="1">
      <c r="B42" t="inlineStr">
        <is>
          <t>i.</t>
        </is>
      </c>
      <c r="C42" t="inlineStr">
        <is>
          <t>Add: Other non-operating Income</t>
        </is>
      </c>
      <c r="E42" s="597">
        <f>'INPUT SHEET'!B35</f>
        <v/>
      </c>
      <c r="F42" s="597">
        <f>'INPUT SHEET'!C35</f>
        <v/>
      </c>
      <c r="G42" s="597">
        <f>'INPUT SHEET'!D35</f>
        <v/>
      </c>
      <c r="H42" s="597">
        <f>'INPUT SHEET'!E35</f>
        <v/>
      </c>
      <c r="I42" s="597">
        <f>'INPUT SHEET'!F35</f>
        <v/>
      </c>
      <c r="J42" s="597">
        <f>'INPUT SHEET'!G35</f>
        <v/>
      </c>
      <c r="K42" s="597">
        <f>'INPUT SHEET'!H35</f>
        <v/>
      </c>
      <c r="L42" s="597">
        <f>'INPUT SHEET'!I35</f>
        <v/>
      </c>
      <c r="M42" s="597">
        <f>'INPUT SHEET'!J35</f>
        <v/>
      </c>
      <c r="N42" s="597">
        <f>'INPUT SHEET'!K35</f>
        <v/>
      </c>
      <c r="O42" s="597">
        <f>'INPUT SHEET'!L35</f>
        <v/>
      </c>
      <c r="P42" s="597">
        <f>'INPUT SHEET'!M35</f>
        <v/>
      </c>
    </row>
    <row r="43" ht="20.1" customHeight="1">
      <c r="B43" t="inlineStr">
        <is>
          <t>ii.</t>
        </is>
      </c>
      <c r="C43" t="inlineStr">
        <is>
          <t>Deduct: Other non-operating expenses</t>
        </is>
      </c>
      <c r="E43" s="597">
        <f>'INPUT SHEET'!B94</f>
        <v/>
      </c>
      <c r="F43" s="597">
        <f>'INPUT SHEET'!C94</f>
        <v/>
      </c>
      <c r="G43" s="597">
        <f>'INPUT SHEET'!D94</f>
        <v/>
      </c>
      <c r="H43" s="597">
        <f>'INPUT SHEET'!E94</f>
        <v/>
      </c>
      <c r="I43" s="597">
        <f>'INPUT SHEET'!F94</f>
        <v/>
      </c>
      <c r="J43" s="597">
        <f>'INPUT SHEET'!G94</f>
        <v/>
      </c>
      <c r="K43" s="597">
        <f>'INPUT SHEET'!H94</f>
        <v/>
      </c>
      <c r="L43" s="597">
        <f>'INPUT SHEET'!I94</f>
        <v/>
      </c>
      <c r="M43" s="597">
        <f>'INPUT SHEET'!J94</f>
        <v/>
      </c>
      <c r="N43" s="597">
        <f>'INPUT SHEET'!K94</f>
        <v/>
      </c>
      <c r="O43" s="597">
        <f>'INPUT SHEET'!L94</f>
        <v/>
      </c>
      <c r="P43" s="597">
        <f>'INPUT SHEET'!M94</f>
        <v/>
      </c>
    </row>
    <row r="44" ht="31.5" customHeight="1">
      <c r="B44" t="inlineStr">
        <is>
          <t>iii.</t>
        </is>
      </c>
      <c r="C44" s="428" t="inlineStr">
        <is>
          <t>Net of other non-operating income / expenses</t>
        </is>
      </c>
      <c r="E44" s="599">
        <f>E42-E43</f>
        <v/>
      </c>
      <c r="F44" s="599">
        <f>F42-F43</f>
        <v/>
      </c>
      <c r="G44" s="599">
        <f>G42-G43</f>
        <v/>
      </c>
      <c r="H44" s="599">
        <f>H42-H43</f>
        <v/>
      </c>
      <c r="I44" s="599">
        <f>I42-I43</f>
        <v/>
      </c>
      <c r="J44" s="599">
        <f>J42-J43</f>
        <v/>
      </c>
      <c r="K44" s="599">
        <f>K42-K43</f>
        <v/>
      </c>
      <c r="L44" s="599">
        <f>L42-L43</f>
        <v/>
      </c>
      <c r="M44" s="599">
        <f>M42-M43</f>
        <v/>
      </c>
      <c r="N44" s="599">
        <f>N42-N43</f>
        <v/>
      </c>
      <c r="O44" s="599">
        <f>O42-O43</f>
        <v/>
      </c>
      <c r="P44" s="599">
        <f>P42-P43</f>
        <v/>
      </c>
    </row>
    <row r="45" ht="20.1" customHeight="1">
      <c r="B45" s="225" t="inlineStr">
        <is>
          <t>Profit before tax/loss</t>
        </is>
      </c>
      <c r="E45" s="619">
        <f>ROUND(E41+E44,2)</f>
        <v/>
      </c>
      <c r="F45" s="619">
        <f>ROUND(F41+F44,2)</f>
        <v/>
      </c>
      <c r="G45" s="619">
        <f>ROUND(G41+G44,2)</f>
        <v/>
      </c>
      <c r="H45" s="619">
        <f>ROUND(H41+H44,2)</f>
        <v/>
      </c>
      <c r="I45" s="619">
        <f>ROUND(I41+I44,2)</f>
        <v/>
      </c>
      <c r="J45" s="619">
        <f>ROUND(J41+J44,2)</f>
        <v/>
      </c>
      <c r="K45" s="619">
        <f>ROUND(K41+K44,2)</f>
        <v/>
      </c>
      <c r="L45" s="619">
        <f>ROUND(L41+L44,2)</f>
        <v/>
      </c>
      <c r="M45" s="619">
        <f>ROUND(M41+M44,2)</f>
        <v/>
      </c>
      <c r="N45" s="619">
        <f>ROUND(N41+N44,2)</f>
        <v/>
      </c>
      <c r="O45" s="619">
        <f>ROUND(O41+O44,2)</f>
        <v/>
      </c>
      <c r="P45" s="619">
        <f>ROUND(P41+P44,2)</f>
        <v/>
      </c>
    </row>
    <row r="46" ht="20.1" customHeight="1">
      <c r="B46" s="425" t="inlineStr">
        <is>
          <t>Provision for taxes</t>
        </is>
      </c>
      <c r="E46" s="599">
        <f>E47+E48-E49</f>
        <v/>
      </c>
      <c r="F46" s="599">
        <f>F47+F48-F49</f>
        <v/>
      </c>
      <c r="G46" s="599">
        <f>G47+G48-G49</f>
        <v/>
      </c>
      <c r="H46" s="599">
        <f>H47+H48-H49</f>
        <v/>
      </c>
      <c r="I46" s="599">
        <f>I47+I48-I49</f>
        <v/>
      </c>
      <c r="J46" s="599">
        <f>J47+J48-J49</f>
        <v/>
      </c>
      <c r="K46" s="599">
        <f>K47+K48-K49</f>
        <v/>
      </c>
      <c r="L46" s="599">
        <f>L47+L48-L49</f>
        <v/>
      </c>
      <c r="M46" s="599">
        <f>M47+M48-M49</f>
        <v/>
      </c>
      <c r="N46" s="599">
        <f>N47+N48-N49</f>
        <v/>
      </c>
      <c r="O46" s="599">
        <f>O47+O48-O49</f>
        <v/>
      </c>
      <c r="P46" s="599">
        <f>P47+P48-P49</f>
        <v/>
      </c>
    </row>
    <row r="47" ht="20.1" customHeight="1">
      <c r="B47" s="427">
        <f>'INPUT SHEET'!A99</f>
        <v/>
      </c>
      <c r="E47" s="597">
        <f>'INPUT SHEET'!B99</f>
        <v/>
      </c>
      <c r="F47" s="597">
        <f>'INPUT SHEET'!C99</f>
        <v/>
      </c>
      <c r="G47" s="597">
        <f>'INPUT SHEET'!D99</f>
        <v/>
      </c>
      <c r="H47" s="597">
        <f>'INPUT SHEET'!E99</f>
        <v/>
      </c>
      <c r="I47" s="597">
        <f>'INPUT SHEET'!F99</f>
        <v/>
      </c>
      <c r="J47" s="597">
        <f>'INPUT SHEET'!G99</f>
        <v/>
      </c>
      <c r="K47" s="597">
        <f>'INPUT SHEET'!H99</f>
        <v/>
      </c>
      <c r="L47" s="597">
        <f>'INPUT SHEET'!I99</f>
        <v/>
      </c>
      <c r="M47" s="597">
        <f>'INPUT SHEET'!J99</f>
        <v/>
      </c>
      <c r="N47" s="597">
        <f>'INPUT SHEET'!K99</f>
        <v/>
      </c>
      <c r="O47" s="597">
        <f>'INPUT SHEET'!L99</f>
        <v/>
      </c>
      <c r="P47" s="597">
        <f>'INPUT SHEET'!M99</f>
        <v/>
      </c>
    </row>
    <row r="48" ht="20.1" customHeight="1">
      <c r="B48" s="427">
        <f>'INPUT SHEET'!A100</f>
        <v/>
      </c>
      <c r="E48" s="597">
        <f>'INPUT SHEET'!B100</f>
        <v/>
      </c>
      <c r="F48" s="597">
        <f>'INPUT SHEET'!C100</f>
        <v/>
      </c>
      <c r="G48" s="597">
        <f>'INPUT SHEET'!D100</f>
        <v/>
      </c>
      <c r="H48" s="597">
        <f>'INPUT SHEET'!E100</f>
        <v/>
      </c>
      <c r="I48" s="597">
        <f>'INPUT SHEET'!F100</f>
        <v/>
      </c>
      <c r="J48" s="597">
        <f>'INPUT SHEET'!G100</f>
        <v/>
      </c>
      <c r="K48" s="597">
        <f>'INPUT SHEET'!H100</f>
        <v/>
      </c>
      <c r="L48" s="597">
        <f>'INPUT SHEET'!I100</f>
        <v/>
      </c>
      <c r="M48" s="597">
        <f>'INPUT SHEET'!J100</f>
        <v/>
      </c>
      <c r="N48" s="597">
        <f>'INPUT SHEET'!K100</f>
        <v/>
      </c>
      <c r="O48" s="597">
        <f>'INPUT SHEET'!L100</f>
        <v/>
      </c>
      <c r="P48" s="597">
        <f>'INPUT SHEET'!M100</f>
        <v/>
      </c>
    </row>
    <row r="49" ht="20.1" customHeight="1">
      <c r="B49" s="427">
        <f>'INPUT SHEET'!A101</f>
        <v/>
      </c>
      <c r="E49" s="597">
        <f>'INPUT SHEET'!B101</f>
        <v/>
      </c>
      <c r="F49" s="597">
        <f>'INPUT SHEET'!C101</f>
        <v/>
      </c>
      <c r="G49" s="597">
        <f>'INPUT SHEET'!D101</f>
        <v/>
      </c>
      <c r="H49" s="597">
        <f>'INPUT SHEET'!E101</f>
        <v/>
      </c>
      <c r="I49" s="597">
        <f>'INPUT SHEET'!F101</f>
        <v/>
      </c>
      <c r="J49" s="597">
        <f>'INPUT SHEET'!G101</f>
        <v/>
      </c>
      <c r="K49" s="597">
        <f>'INPUT SHEET'!H101</f>
        <v/>
      </c>
      <c r="L49" s="597">
        <f>'INPUT SHEET'!I101</f>
        <v/>
      </c>
      <c r="M49" s="597">
        <f>'INPUT SHEET'!J101</f>
        <v/>
      </c>
      <c r="N49" s="597">
        <f>'INPUT SHEET'!K101</f>
        <v/>
      </c>
      <c r="O49" s="597">
        <f>'INPUT SHEET'!L101</f>
        <v/>
      </c>
      <c r="P49" s="597">
        <f>'INPUT SHEET'!M101</f>
        <v/>
      </c>
    </row>
    <row r="50" ht="20.1" customHeight="1">
      <c r="E50" s="597" t="n"/>
      <c r="F50" s="597" t="n"/>
      <c r="G50" s="597" t="n"/>
      <c r="H50" s="597" t="n"/>
      <c r="I50" s="597" t="n"/>
      <c r="J50" s="597" t="n"/>
      <c r="K50" s="597" t="n"/>
      <c r="L50" s="597" t="n"/>
      <c r="M50" s="597" t="n"/>
      <c r="N50" s="597" t="n"/>
      <c r="O50" s="597" t="n"/>
      <c r="P50" s="597" t="n"/>
    </row>
    <row r="51" ht="20.1" customHeight="1">
      <c r="B51" s="225" t="inlineStr">
        <is>
          <t>Net Profit / Loss</t>
        </is>
      </c>
      <c r="E51" s="619">
        <f>ROUND(E45-E46,2)</f>
        <v/>
      </c>
      <c r="F51" s="619">
        <f>ROUND(F45-F46,2)</f>
        <v/>
      </c>
      <c r="G51" s="619">
        <f>ROUND(G45-G46,2)</f>
        <v/>
      </c>
      <c r="H51" s="619">
        <f>ROUND(H45-H46,2)</f>
        <v/>
      </c>
      <c r="I51" s="619">
        <f>ROUND(I45-I46,2)</f>
        <v/>
      </c>
      <c r="J51" s="619">
        <f>ROUND(J45-J46,2)</f>
        <v/>
      </c>
      <c r="K51" s="619">
        <f>ROUND(K45-K46,2)</f>
        <v/>
      </c>
      <c r="L51" s="619">
        <f>ROUND(L45-L46,2)</f>
        <v/>
      </c>
      <c r="M51" s="619">
        <f>ROUND(M45-M46,2)</f>
        <v/>
      </c>
      <c r="N51" s="619">
        <f>ROUND(N45-N46,2)</f>
        <v/>
      </c>
      <c r="O51" s="619">
        <f>ROUND(O45-O46,2)</f>
        <v/>
      </c>
      <c r="P51" s="619">
        <f>ROUND(P45-P46,2)</f>
        <v/>
      </c>
    </row>
    <row r="52" ht="20.1" customHeight="1">
      <c r="B52" t="inlineStr">
        <is>
          <t>a.</t>
        </is>
      </c>
      <c r="C52" t="inlineStr">
        <is>
          <t>Equity dividend paid / proposed amount</t>
        </is>
      </c>
      <c r="E52" s="595" t="n"/>
      <c r="F52" s="606" t="n"/>
      <c r="G52" s="595" t="n"/>
      <c r="H52" s="606" t="n"/>
      <c r="I52" s="595" t="n"/>
      <c r="J52" s="595" t="n"/>
      <c r="K52" s="595" t="n"/>
      <c r="L52" s="595" t="n"/>
      <c r="M52" s="595" t="n"/>
      <c r="N52" s="595" t="n"/>
      <c r="O52" s="595" t="n"/>
      <c r="P52" s="595" t="n"/>
    </row>
    <row r="53" ht="12.9" customHeight="1">
      <c r="C53" t="inlineStr">
        <is>
          <t>(Interim Div paid + Final Div proposed)</t>
        </is>
      </c>
      <c r="E53" s="597">
        <f>'INPUT SHEET'!B107</f>
        <v/>
      </c>
      <c r="F53" s="606">
        <f>'INPUT SHEET'!C107</f>
        <v/>
      </c>
      <c r="G53" s="597">
        <f>'INPUT SHEET'!D107</f>
        <v/>
      </c>
      <c r="H53" s="606">
        <f>'INPUT SHEET'!E107</f>
        <v/>
      </c>
      <c r="I53" s="597">
        <f>'INPUT SHEET'!F107</f>
        <v/>
      </c>
      <c r="J53" s="597">
        <f>'INPUT SHEET'!G107</f>
        <v/>
      </c>
      <c r="K53" s="597">
        <f>'INPUT SHEET'!H107</f>
        <v/>
      </c>
      <c r="L53" s="597">
        <f>'INPUT SHEET'!I107</f>
        <v/>
      </c>
      <c r="M53" s="597">
        <f>'INPUT SHEET'!J107</f>
        <v/>
      </c>
      <c r="N53" s="597">
        <f>'INPUT SHEET'!K107</f>
        <v/>
      </c>
      <c r="O53" s="597">
        <f>'INPUT SHEET'!L107</f>
        <v/>
      </c>
      <c r="P53" s="597">
        <f>'INPUT SHEET'!M107</f>
        <v/>
      </c>
    </row>
    <row r="54" ht="20.1" customHeight="1">
      <c r="B54" t="inlineStr">
        <is>
          <t>b.</t>
        </is>
      </c>
      <c r="C54" t="inlineStr">
        <is>
          <t>Dividend Rate (% age)</t>
        </is>
      </c>
      <c r="E54" s="597" t="n"/>
      <c r="F54" s="606" t="n"/>
      <c r="G54" s="597" t="n"/>
      <c r="H54" s="606" t="n"/>
      <c r="I54" s="597" t="n"/>
      <c r="J54" s="597" t="n"/>
      <c r="K54" s="597" t="n"/>
      <c r="L54" s="597" t="n"/>
      <c r="M54" s="597" t="n"/>
      <c r="N54" s="597" t="n"/>
      <c r="O54" s="597" t="n"/>
      <c r="P54" s="597" t="n"/>
    </row>
    <row r="55" ht="20.1" customHeight="1">
      <c r="B55" s="225" t="inlineStr">
        <is>
          <t>Retained Profit</t>
        </is>
      </c>
      <c r="E55" s="620">
        <f>ROUND(E51-E53,2)</f>
        <v/>
      </c>
      <c r="F55" s="622">
        <f>ROUND(F51-F53,2)</f>
        <v/>
      </c>
      <c r="G55" s="620">
        <f>ROUND(G51-G53,2)</f>
        <v/>
      </c>
      <c r="H55" s="622">
        <f>ROUND(H51-H53,2)</f>
        <v/>
      </c>
      <c r="I55" s="620">
        <f>ROUND(I51-I53,2)</f>
        <v/>
      </c>
      <c r="J55" s="620">
        <f>ROUND(J51-J53,2)</f>
        <v/>
      </c>
      <c r="K55" s="620">
        <f>ROUND(K51-K53,2)</f>
        <v/>
      </c>
      <c r="L55" s="620">
        <f>ROUND(L51-L53,2)</f>
        <v/>
      </c>
      <c r="M55" s="620">
        <f>ROUND(M51-M53,2)</f>
        <v/>
      </c>
      <c r="N55" s="620">
        <f>ROUND(N51-N53,2)</f>
        <v/>
      </c>
      <c r="O55" s="620">
        <f>ROUND(O51-O53,2)</f>
        <v/>
      </c>
      <c r="P55" s="620">
        <f>ROUND(P51-P53,2)</f>
        <v/>
      </c>
    </row>
    <row r="56" ht="20.1" customHeight="1">
      <c r="B56" t="inlineStr">
        <is>
          <t>Retained Profit / Net Profit (% age)</t>
        </is>
      </c>
      <c r="E56" s="623">
        <f>IF(E51&lt;&gt;0,E55/E51,"")</f>
        <v/>
      </c>
      <c r="F56" s="624">
        <f>IF(F51&lt;&gt;0,F55/F51,"")</f>
        <v/>
      </c>
      <c r="G56" s="623">
        <f>IF(G51&lt;&gt;0,G55/G51,"")</f>
        <v/>
      </c>
      <c r="H56" s="624">
        <f>IF(H51&lt;&gt;0,H55/H51,"")</f>
        <v/>
      </c>
      <c r="I56" s="623">
        <f>IF(I51&lt;&gt;0,I55/I51,"")</f>
        <v/>
      </c>
      <c r="J56" s="623">
        <f>IF(J51&lt;&gt;0,J55/J51,"")</f>
        <v/>
      </c>
      <c r="K56" s="623">
        <f>IF(K51&lt;&gt;0,K55/K51,"")</f>
        <v/>
      </c>
      <c r="L56" s="623">
        <f>IF(L51&lt;&gt;0,L55/L51,"")</f>
        <v/>
      </c>
      <c r="M56" s="623">
        <f>IF(M51&lt;&gt;0,M55/M51,"")</f>
        <v/>
      </c>
      <c r="N56" s="623">
        <f>IF(N51&lt;&gt;0,N55/N51,"")</f>
        <v/>
      </c>
      <c r="O56" s="623">
        <f>IF(O51&lt;&gt;0,O55/O51,"")</f>
        <v/>
      </c>
      <c r="P56" s="623">
        <f>IF(P51&lt;&gt;0,P55/P51,"")</f>
        <v/>
      </c>
    </row>
    <row r="57" ht="15" customHeight="1">
      <c r="E57" s="579" t="n"/>
      <c r="F57" s="579" t="n"/>
      <c r="G57" s="579" t="n"/>
      <c r="H57" s="579" t="n"/>
      <c r="I57" s="579" t="n"/>
      <c r="J57" s="579" t="n"/>
      <c r="K57" s="579" t="n"/>
      <c r="L57" s="579" t="n"/>
      <c r="M57" s="579" t="n"/>
      <c r="N57" s="579" t="n"/>
      <c r="O57" s="579" t="n"/>
      <c r="P57" s="579" t="n"/>
    </row>
    <row r="59" ht="15" customHeight="1"/>
  </sheetData>
  <mergeCells count="16">
    <mergeCell ref="B10:D10"/>
    <mergeCell ref="B47:D47"/>
    <mergeCell ref="B36:D36"/>
    <mergeCell ref="C32:D32"/>
    <mergeCell ref="B1:E1"/>
    <mergeCell ref="B46:D46"/>
    <mergeCell ref="B49:D49"/>
    <mergeCell ref="B40:D40"/>
    <mergeCell ref="C28:D28"/>
    <mergeCell ref="B13:D13"/>
    <mergeCell ref="C44:D44"/>
    <mergeCell ref="B2:E2"/>
    <mergeCell ref="B15:D15"/>
    <mergeCell ref="B39:D39"/>
    <mergeCell ref="B38:D38"/>
    <mergeCell ref="B48:D48"/>
  </mergeCells>
  <pageMargins left="0.984251968503937" right="0.7874015748031497" top="0.7874015748031497" bottom="0.7874015748031497" header="0.5118110236220472" footer="0.7480314960629921"/>
  <pageSetup orientation="portrait" paperSize="9" scale="53" fitToHeight="0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>
    <outlinePr summaryBelow="1" summaryRight="1"/>
    <pageSetUpPr fitToPage="1"/>
  </sheetPr>
  <dimension ref="A1:P142"/>
  <sheetViews>
    <sheetView showGridLines="0" topLeftCell="B1" zoomScale="90" zoomScaleNormal="90" workbookViewId="0">
      <pane xSplit="3" ySplit="9" topLeftCell="H12" activePane="bottomRight" state="frozen"/>
      <selection activeCell="B1" sqref="B1"/>
      <selection pane="topRight" activeCell="E1" sqref="E1"/>
      <selection pane="bottomLeft" activeCell="B10" sqref="B10"/>
      <selection pane="bottomRight" activeCell="M9" sqref="M9"/>
    </sheetView>
  </sheetViews>
  <sheetFormatPr baseColWidth="8" defaultRowHeight="13.2"/>
  <cols>
    <col width="2.6640625" customWidth="1" min="1" max="1"/>
    <col width="2.44140625" customWidth="1" min="2" max="2"/>
    <col width="7.6640625" customWidth="1" min="3" max="3"/>
    <col width="34.5546875" customWidth="1" min="4" max="4"/>
    <col width="14.5546875" customWidth="1" min="5" max="5"/>
    <col width="11.88671875" customWidth="1" min="6" max="6"/>
    <col width="13.5546875" customWidth="1" min="7" max="7"/>
    <col width="13.88671875" customWidth="1" style="264" min="8" max="8"/>
    <col width="14.6640625" customWidth="1" min="9" max="13"/>
    <col hidden="1" outlineLevel="1" width="14.6640625" customWidth="1" min="14" max="16"/>
    <col collapsed="1" width="8.6640625" customWidth="1" min="17" max="17"/>
  </cols>
  <sheetData>
    <row r="1" ht="18.75" customHeight="1">
      <c r="A1" s="425" t="inlineStr">
        <is>
          <t>FORM III - ANALYSIS OF BALANCE SHEET</t>
        </is>
      </c>
      <c r="B1" s="425" t="n"/>
      <c r="C1" s="425" t="n"/>
      <c r="D1" s="425" t="n"/>
    </row>
    <row r="2" ht="20.25" customHeight="1">
      <c r="A2" s="425" t="inlineStr">
        <is>
          <t>LIABILITIES</t>
        </is>
      </c>
      <c r="B2" s="425" t="n"/>
      <c r="D2" s="425" t="n"/>
    </row>
    <row r="3" ht="15" customHeight="1">
      <c r="B3" s="432" t="n"/>
      <c r="J3" s="432" t="n"/>
      <c r="K3" s="432" t="n"/>
      <c r="L3" s="432" t="n"/>
      <c r="M3" s="432" t="n"/>
      <c r="N3" s="432" t="n"/>
      <c r="O3" s="432" t="n"/>
      <c r="P3" s="432" t="n"/>
    </row>
    <row r="4" ht="15" customHeight="1">
      <c r="B4" s="432" t="n"/>
      <c r="J4" s="432" t="n"/>
      <c r="K4" s="432" t="n"/>
      <c r="L4" s="432" t="n"/>
      <c r="M4" s="432" t="n"/>
      <c r="N4" s="432" t="n"/>
      <c r="O4" s="432" t="n"/>
      <c r="P4" s="432" t="n"/>
    </row>
    <row r="5" ht="15" customHeight="1">
      <c r="C5" s="430">
        <f>Form_II!C4</f>
        <v/>
      </c>
      <c r="D5" s="224">
        <f>'INPUT SHEET'!B7</f>
        <v/>
      </c>
    </row>
    <row r="6" ht="15" customHeight="1">
      <c r="B6" s="225" t="n"/>
      <c r="C6" s="225" t="n"/>
      <c r="D6" s="225" t="n"/>
      <c r="G6" s="226">
        <f>Form_II!G6</f>
        <v/>
      </c>
      <c r="H6" s="265" t="n"/>
      <c r="I6" s="226" t="n"/>
      <c r="J6" s="226" t="n"/>
      <c r="K6" s="226" t="n"/>
      <c r="L6" s="226" t="n"/>
      <c r="M6" s="226" t="n"/>
      <c r="N6" s="226" t="n"/>
      <c r="O6" s="226" t="n"/>
      <c r="P6" s="226" t="n"/>
    </row>
    <row r="7" ht="15" customHeight="1">
      <c r="E7" s="266">
        <f>'INPUT SHEET'!B10</f>
        <v/>
      </c>
      <c r="F7" s="266">
        <f>'INPUT SHEET'!C10</f>
        <v/>
      </c>
      <c r="G7" s="266">
        <f>'INPUT SHEET'!D10</f>
        <v/>
      </c>
      <c r="H7" s="266">
        <f>'INPUT SHEET'!E10</f>
        <v/>
      </c>
      <c r="I7" s="266">
        <f>'INPUT SHEET'!F10</f>
        <v/>
      </c>
      <c r="J7" s="266">
        <f>'INPUT SHEET'!G10</f>
        <v/>
      </c>
      <c r="K7" s="266">
        <f>'INPUT SHEET'!H10</f>
        <v/>
      </c>
      <c r="L7" s="266">
        <f>'INPUT SHEET'!I10</f>
        <v/>
      </c>
      <c r="M7" s="266">
        <f>'INPUT SHEET'!J10</f>
        <v/>
      </c>
      <c r="N7" s="266">
        <f>'INPUT SHEET'!K10</f>
        <v/>
      </c>
      <c r="O7" s="266">
        <f>'INPUT SHEET'!L10</f>
        <v/>
      </c>
      <c r="P7" s="266">
        <f>'INPUT SHEET'!M10</f>
        <v/>
      </c>
    </row>
    <row r="8" ht="15" customHeight="1">
      <c r="D8" s="228">
        <f>'INPUT SHEET'!A8</f>
        <v/>
      </c>
      <c r="E8" s="267">
        <f>Form_II!E8</f>
        <v/>
      </c>
      <c r="F8" s="267">
        <f>Form_II!F8</f>
        <v/>
      </c>
      <c r="G8" s="267">
        <f>Form_II!G8</f>
        <v/>
      </c>
      <c r="H8" s="267">
        <f>Form_II!H8</f>
        <v/>
      </c>
      <c r="I8" s="267">
        <f>Form_II!I8</f>
        <v/>
      </c>
      <c r="J8" s="267">
        <f>Form_II!J8</f>
        <v/>
      </c>
      <c r="K8" s="267">
        <f>Form_II!K8</f>
        <v/>
      </c>
      <c r="L8" s="267">
        <f>Form_II!L8</f>
        <v/>
      </c>
      <c r="M8" s="267">
        <f>Form_II!M8</f>
        <v/>
      </c>
      <c r="N8" s="267">
        <f>Form_II!N8</f>
        <v/>
      </c>
      <c r="O8" s="267">
        <f>Form_II!O8</f>
        <v/>
      </c>
      <c r="P8" s="267">
        <f>Form_II!P8</f>
        <v/>
      </c>
    </row>
    <row r="9" ht="15" customHeight="1">
      <c r="D9" s="228">
        <f>'INPUT SHEET'!A9</f>
        <v/>
      </c>
      <c r="E9" s="267">
        <f>Form_II!E9</f>
        <v/>
      </c>
      <c r="F9" s="267">
        <f>Form_II!F9</f>
        <v/>
      </c>
      <c r="G9" s="267">
        <f>Form_II!G9</f>
        <v/>
      </c>
      <c r="H9" s="267">
        <f>Form_II!H9</f>
        <v/>
      </c>
      <c r="I9" s="267">
        <f>Form_II!I9</f>
        <v/>
      </c>
      <c r="J9" s="267">
        <f>Form_II!J9</f>
        <v/>
      </c>
      <c r="K9" s="267">
        <f>Form_II!K9</f>
        <v/>
      </c>
      <c r="L9" s="267">
        <f>Form_II!L9</f>
        <v/>
      </c>
      <c r="M9" s="267">
        <f>Form_II!M9</f>
        <v/>
      </c>
      <c r="N9" s="267">
        <f>Form_II!N9</f>
        <v/>
      </c>
      <c r="O9" s="267">
        <f>Form_II!O9</f>
        <v/>
      </c>
      <c r="P9" s="267">
        <f>Form_II!P9</f>
        <v/>
      </c>
    </row>
    <row r="10" ht="19.5" customHeight="1">
      <c r="B10" s="225" t="inlineStr">
        <is>
          <t>CURRENT LIABILITIES</t>
        </is>
      </c>
      <c r="E10" s="595" t="n"/>
      <c r="F10" s="625" t="n"/>
      <c r="G10" s="595" t="n"/>
      <c r="H10" s="595" t="n"/>
      <c r="I10" s="595" t="n"/>
      <c r="J10" s="595" t="n"/>
      <c r="K10" s="595" t="n"/>
      <c r="L10" s="595" t="n"/>
      <c r="M10" s="595" t="n"/>
      <c r="N10" s="595" t="n"/>
      <c r="O10" s="595" t="n"/>
      <c r="P10" s="595" t="n"/>
    </row>
    <row r="11" ht="19.5" customHeight="1">
      <c r="A11" t="n">
        <v>1</v>
      </c>
      <c r="B11" t="inlineStr">
        <is>
          <t xml:space="preserve">Short-term borrowing from banks </t>
        </is>
      </c>
      <c r="E11" s="597" t="n"/>
      <c r="F11" s="605" t="n"/>
      <c r="G11" s="597" t="n"/>
      <c r="H11" s="597" t="n"/>
      <c r="I11" s="597" t="n"/>
      <c r="J11" s="597" t="n"/>
      <c r="K11" s="597" t="n"/>
      <c r="L11" s="597" t="n"/>
      <c r="M11" s="597" t="n"/>
      <c r="N11" s="597" t="n"/>
      <c r="O11" s="597" t="n"/>
      <c r="P11" s="597" t="n"/>
    </row>
    <row r="12" ht="20.1" customHeight="1">
      <c r="B12" t="inlineStr">
        <is>
          <t>i.</t>
        </is>
      </c>
      <c r="C12" t="inlineStr">
        <is>
          <t>From applicant banks</t>
        </is>
      </c>
      <c r="E12" s="626">
        <f>'INPUT SHEET'!B131</f>
        <v/>
      </c>
      <c r="F12" s="627">
        <f>'INPUT SHEET'!C131</f>
        <v/>
      </c>
      <c r="G12" s="626">
        <f>'INPUT SHEET'!D131</f>
        <v/>
      </c>
      <c r="H12" s="626">
        <f>'INPUT SHEET'!E131</f>
        <v/>
      </c>
      <c r="I12" s="626">
        <f>'INPUT SHEET'!F131</f>
        <v/>
      </c>
      <c r="J12" s="626">
        <f>'INPUT SHEET'!G131</f>
        <v/>
      </c>
      <c r="K12" s="626">
        <f>'INPUT SHEET'!H131</f>
        <v/>
      </c>
      <c r="L12" s="626">
        <f>'INPUT SHEET'!I131</f>
        <v/>
      </c>
      <c r="M12" s="626">
        <f>'INPUT SHEET'!J131</f>
        <v/>
      </c>
      <c r="N12" s="626">
        <f>'INPUT SHEET'!K131</f>
        <v/>
      </c>
      <c r="O12" s="626">
        <f>'INPUT SHEET'!L131</f>
        <v/>
      </c>
      <c r="P12" s="626">
        <f>'INPUT SHEET'!M131</f>
        <v/>
      </c>
    </row>
    <row r="13" ht="20.1" customHeight="1">
      <c r="B13" t="inlineStr">
        <is>
          <t>ii.</t>
        </is>
      </c>
      <c r="C13" t="inlineStr">
        <is>
          <t>From other banks</t>
        </is>
      </c>
      <c r="E13" s="626">
        <f>'INPUT SHEET'!B132</f>
        <v/>
      </c>
      <c r="F13" s="627">
        <f>'INPUT SHEET'!C132</f>
        <v/>
      </c>
      <c r="G13" s="626">
        <f>'INPUT SHEET'!D132</f>
        <v/>
      </c>
      <c r="H13" s="626">
        <f>'INPUT SHEET'!E132</f>
        <v/>
      </c>
      <c r="I13" s="626">
        <f>'INPUT SHEET'!F132</f>
        <v/>
      </c>
      <c r="J13" s="626">
        <f>'INPUT SHEET'!G132</f>
        <v/>
      </c>
      <c r="K13" s="626">
        <f>'INPUT SHEET'!H132</f>
        <v/>
      </c>
      <c r="L13" s="626">
        <f>'INPUT SHEET'!I132</f>
        <v/>
      </c>
      <c r="M13" s="626">
        <f>'INPUT SHEET'!J132</f>
        <v/>
      </c>
      <c r="N13" s="626">
        <f>'INPUT SHEET'!K132</f>
        <v/>
      </c>
      <c r="O13" s="626">
        <f>'INPUT SHEET'!L132</f>
        <v/>
      </c>
      <c r="P13" s="626">
        <f>'INPUT SHEET'!M132</f>
        <v/>
      </c>
    </row>
    <row r="14" ht="20.1" customHeight="1">
      <c r="B14" t="inlineStr">
        <is>
          <t>iii.</t>
        </is>
      </c>
      <c r="C14" t="inlineStr">
        <is>
          <t>(of which BP &amp; BD)</t>
        </is>
      </c>
      <c r="E14" s="626">
        <f>'INPUT SHEET'!B133</f>
        <v/>
      </c>
      <c r="F14" s="627">
        <f>'INPUT SHEET'!C133</f>
        <v/>
      </c>
      <c r="G14" s="626">
        <f>'INPUT SHEET'!D133</f>
        <v/>
      </c>
      <c r="H14" s="626">
        <f>'INPUT SHEET'!E133</f>
        <v/>
      </c>
      <c r="I14" s="626">
        <f>'INPUT SHEET'!F133</f>
        <v/>
      </c>
      <c r="J14" s="626">
        <f>'INPUT SHEET'!G133</f>
        <v/>
      </c>
      <c r="K14" s="626">
        <f>'INPUT SHEET'!H133</f>
        <v/>
      </c>
      <c r="L14" s="626">
        <f>'INPUT SHEET'!I133</f>
        <v/>
      </c>
      <c r="M14" s="626">
        <f>'INPUT SHEET'!J133</f>
        <v/>
      </c>
      <c r="N14" s="626">
        <f>'INPUT SHEET'!K133</f>
        <v/>
      </c>
      <c r="O14" s="626">
        <f>'INPUT SHEET'!L133</f>
        <v/>
      </c>
      <c r="P14" s="626">
        <f>'INPUT SHEET'!M133</f>
        <v/>
      </c>
    </row>
    <row r="15" ht="20.1" customHeight="1">
      <c r="C15" t="inlineStr">
        <is>
          <t>Sub-total[i + ii]  (A)</t>
        </is>
      </c>
      <c r="E15" s="599">
        <f>ROUND(E12+E13,2)</f>
        <v/>
      </c>
      <c r="F15" s="598">
        <f>ROUND(F12+F13,2)</f>
        <v/>
      </c>
      <c r="G15" s="599">
        <f>ROUND(G12+G13,2)</f>
        <v/>
      </c>
      <c r="H15" s="599">
        <f>ROUND(H12+H13,2)</f>
        <v/>
      </c>
      <c r="I15" s="599">
        <f>ROUND(I12+I13,2)</f>
        <v/>
      </c>
      <c r="J15" s="599">
        <f>ROUND(J12+J13,2)</f>
        <v/>
      </c>
      <c r="K15" s="599">
        <f>ROUND(K12+K13,2)</f>
        <v/>
      </c>
      <c r="L15" s="599">
        <f>ROUND(L12+L13,2)</f>
        <v/>
      </c>
      <c r="M15" s="599">
        <f>ROUND(M12+M13,2)</f>
        <v/>
      </c>
      <c r="N15" s="599">
        <f>ROUND(N12+N13,2)</f>
        <v/>
      </c>
      <c r="O15" s="599">
        <f>ROUND(O12+O13,2)</f>
        <v/>
      </c>
      <c r="P15" s="599">
        <f>ROUND(P12+P13,2)</f>
        <v/>
      </c>
    </row>
    <row r="16" ht="20.1" customHeight="1">
      <c r="A16" t="n">
        <v>2</v>
      </c>
      <c r="B16" t="inlineStr">
        <is>
          <t>Short term borrowings from others</t>
        </is>
      </c>
      <c r="E16" s="597">
        <f>'INPUT SHEET'!B148+'INPUT SHEET'!B154</f>
        <v/>
      </c>
      <c r="F16" s="597">
        <f>'INPUT SHEET'!C148+'INPUT SHEET'!C154</f>
        <v/>
      </c>
      <c r="G16" s="597">
        <f>'INPUT SHEET'!D148+'INPUT SHEET'!D154</f>
        <v/>
      </c>
      <c r="H16" s="597">
        <f>'INPUT SHEET'!E148+'INPUT SHEET'!E154</f>
        <v/>
      </c>
      <c r="I16" s="597">
        <f>'INPUT SHEET'!F148+'INPUT SHEET'!F154</f>
        <v/>
      </c>
      <c r="J16" s="597">
        <f>'INPUT SHEET'!G148+'INPUT SHEET'!G154</f>
        <v/>
      </c>
      <c r="K16" s="597">
        <f>'INPUT SHEET'!H148+'INPUT SHEET'!H154</f>
        <v/>
      </c>
      <c r="L16" s="597">
        <f>'INPUT SHEET'!I148+'INPUT SHEET'!I154</f>
        <v/>
      </c>
      <c r="M16" s="597">
        <f>'INPUT SHEET'!J148+'INPUT SHEET'!J154</f>
        <v/>
      </c>
      <c r="N16" s="597">
        <f>'INPUT SHEET'!K148+'INPUT SHEET'!K154</f>
        <v/>
      </c>
      <c r="O16" s="597">
        <f>'INPUT SHEET'!L148+'INPUT SHEET'!L154</f>
        <v/>
      </c>
      <c r="P16" s="597">
        <f>'INPUT SHEET'!M148+'INPUT SHEET'!M154</f>
        <v/>
      </c>
    </row>
    <row r="17" ht="20.1" customHeight="1">
      <c r="A17" t="n">
        <v>3</v>
      </c>
      <c r="B17">
        <f>'INPUT SHEET'!A242</f>
        <v/>
      </c>
      <c r="E17" s="597">
        <f>'INPUT SHEET'!B242</f>
        <v/>
      </c>
      <c r="F17" s="597">
        <f>'INPUT SHEET'!C242</f>
        <v/>
      </c>
      <c r="G17" s="597">
        <f>'INPUT SHEET'!D242</f>
        <v/>
      </c>
      <c r="H17" s="597">
        <f>'INPUT SHEET'!E242</f>
        <v/>
      </c>
      <c r="I17" s="597">
        <f>'INPUT SHEET'!F242</f>
        <v/>
      </c>
      <c r="J17" s="597">
        <f>'INPUT SHEET'!G242</f>
        <v/>
      </c>
      <c r="K17" s="597">
        <f>'INPUT SHEET'!H242</f>
        <v/>
      </c>
      <c r="L17" s="597">
        <f>'INPUT SHEET'!I242</f>
        <v/>
      </c>
      <c r="M17" s="597">
        <f>'INPUT SHEET'!J242</f>
        <v/>
      </c>
      <c r="N17" s="597">
        <f>'INPUT SHEET'!K242</f>
        <v/>
      </c>
      <c r="O17" s="597">
        <f>'INPUT SHEET'!L242</f>
        <v/>
      </c>
      <c r="P17" s="597">
        <f>'INPUT SHEET'!M242</f>
        <v/>
      </c>
    </row>
    <row r="18" ht="27" customHeight="1">
      <c r="A18" t="n">
        <v>4</v>
      </c>
      <c r="B18" s="428">
        <f>'INPUT SHEET'!A243</f>
        <v/>
      </c>
      <c r="E18" s="597">
        <f>'INPUT SHEET'!B243</f>
        <v/>
      </c>
      <c r="F18" s="605">
        <f>'INPUT SHEET'!C243</f>
        <v/>
      </c>
      <c r="G18" s="597">
        <f>'INPUT SHEET'!D243</f>
        <v/>
      </c>
      <c r="H18" s="597">
        <f>'INPUT SHEET'!E243</f>
        <v/>
      </c>
      <c r="I18" s="597">
        <f>'INPUT SHEET'!F243</f>
        <v/>
      </c>
      <c r="J18" s="597">
        <f>'INPUT SHEET'!G243</f>
        <v/>
      </c>
      <c r="K18" s="597">
        <f>'INPUT SHEET'!H243</f>
        <v/>
      </c>
      <c r="L18" s="597">
        <f>'INPUT SHEET'!I243</f>
        <v/>
      </c>
      <c r="M18" s="597">
        <f>'INPUT SHEET'!J243</f>
        <v/>
      </c>
      <c r="N18" s="597">
        <f>'INPUT SHEET'!K243</f>
        <v/>
      </c>
      <c r="O18" s="597">
        <f>'INPUT SHEET'!L243</f>
        <v/>
      </c>
      <c r="P18" s="597">
        <f>'INPUT SHEET'!M243</f>
        <v/>
      </c>
    </row>
    <row r="19" ht="20.1" customHeight="1">
      <c r="A19" t="n">
        <v>5</v>
      </c>
      <c r="B19">
        <f>'INPUT SHEET'!A244</f>
        <v/>
      </c>
      <c r="E19" s="597">
        <f>'INPUT SHEET'!B244</f>
        <v/>
      </c>
      <c r="F19" s="597">
        <f>'INPUT SHEET'!C244</f>
        <v/>
      </c>
      <c r="G19" s="597">
        <f>'INPUT SHEET'!D244</f>
        <v/>
      </c>
      <c r="H19" s="597">
        <f>'INPUT SHEET'!E244</f>
        <v/>
      </c>
      <c r="I19" s="597">
        <f>'INPUT SHEET'!F244</f>
        <v/>
      </c>
      <c r="J19" s="597">
        <f>'INPUT SHEET'!G244</f>
        <v/>
      </c>
      <c r="K19" s="597">
        <f>'INPUT SHEET'!H244</f>
        <v/>
      </c>
      <c r="L19" s="597">
        <f>'INPUT SHEET'!I244</f>
        <v/>
      </c>
      <c r="M19" s="597">
        <f>'INPUT SHEET'!J244</f>
        <v/>
      </c>
      <c r="N19" s="597">
        <f>'INPUT SHEET'!K244</f>
        <v/>
      </c>
      <c r="O19" s="597">
        <f>'INPUT SHEET'!L244</f>
        <v/>
      </c>
      <c r="P19" s="597">
        <f>'INPUT SHEET'!M244</f>
        <v/>
      </c>
    </row>
    <row r="20" ht="20.1" customHeight="1">
      <c r="A20" t="n">
        <v>6</v>
      </c>
      <c r="B20">
        <f>'INPUT SHEET'!A245</f>
        <v/>
      </c>
      <c r="E20" s="597">
        <f>'INPUT SHEET'!B245</f>
        <v/>
      </c>
      <c r="F20" s="605">
        <f>'INPUT SHEET'!C245</f>
        <v/>
      </c>
      <c r="G20" s="597">
        <f>'INPUT SHEET'!D245</f>
        <v/>
      </c>
      <c r="H20" s="597">
        <f>'INPUT SHEET'!E245</f>
        <v/>
      </c>
      <c r="I20" s="597">
        <f>'INPUT SHEET'!F245</f>
        <v/>
      </c>
      <c r="J20" s="597">
        <f>'INPUT SHEET'!G245</f>
        <v/>
      </c>
      <c r="K20" s="597">
        <f>'INPUT SHEET'!H245</f>
        <v/>
      </c>
      <c r="L20" s="597">
        <f>'INPUT SHEET'!I245</f>
        <v/>
      </c>
      <c r="M20" s="597">
        <f>'INPUT SHEET'!J245</f>
        <v/>
      </c>
      <c r="N20" s="597">
        <f>'INPUT SHEET'!K245</f>
        <v/>
      </c>
      <c r="O20" s="597">
        <f>'INPUT SHEET'!L245</f>
        <v/>
      </c>
      <c r="P20" s="597">
        <f>'INPUT SHEET'!M245</f>
        <v/>
      </c>
    </row>
    <row r="21" ht="20.1" customHeight="1">
      <c r="A21" t="n">
        <v>7</v>
      </c>
      <c r="B21">
        <f>'INPUT SHEET'!A246</f>
        <v/>
      </c>
      <c r="E21" s="597">
        <f>'INPUT SHEET'!B246</f>
        <v/>
      </c>
      <c r="F21" s="597">
        <f>'INPUT SHEET'!C246</f>
        <v/>
      </c>
      <c r="G21" s="597">
        <f>'INPUT SHEET'!D246</f>
        <v/>
      </c>
      <c r="H21" s="597">
        <f>'INPUT SHEET'!E246</f>
        <v/>
      </c>
      <c r="I21" s="597">
        <f>'INPUT SHEET'!F246</f>
        <v/>
      </c>
      <c r="J21" s="597">
        <f>'INPUT SHEET'!G246</f>
        <v/>
      </c>
      <c r="K21" s="597">
        <f>'INPUT SHEET'!H246</f>
        <v/>
      </c>
      <c r="L21" s="597">
        <f>'INPUT SHEET'!I246</f>
        <v/>
      </c>
      <c r="M21" s="597">
        <f>'INPUT SHEET'!J246</f>
        <v/>
      </c>
      <c r="N21" s="597">
        <f>'INPUT SHEET'!K246</f>
        <v/>
      </c>
      <c r="O21" s="597">
        <f>'INPUT SHEET'!L246</f>
        <v/>
      </c>
      <c r="P21" s="597">
        <f>'INPUT SHEET'!M246</f>
        <v/>
      </c>
    </row>
    <row r="22" ht="28.5" customHeight="1">
      <c r="A22" t="n">
        <v>8</v>
      </c>
      <c r="B22" s="428" t="inlineStr">
        <is>
          <t>Instalments of term loans / debentures etc. (due within 1 year)</t>
        </is>
      </c>
      <c r="E22" s="597">
        <f>'INPUT SHEET'!B136+'INPUT SHEET'!B140+'INPUT SHEET'!B144</f>
        <v/>
      </c>
      <c r="F22" s="597">
        <f>'INPUT SHEET'!C136+'INPUT SHEET'!C140+'INPUT SHEET'!C144</f>
        <v/>
      </c>
      <c r="G22" s="597">
        <f>'INPUT SHEET'!D136+'INPUT SHEET'!D140+'INPUT SHEET'!D144</f>
        <v/>
      </c>
      <c r="H22" s="597">
        <f>'INPUT SHEET'!E136+'INPUT SHEET'!E140+'INPUT SHEET'!E144</f>
        <v/>
      </c>
      <c r="I22" s="597">
        <f>'INPUT SHEET'!F136+'INPUT SHEET'!F140+'INPUT SHEET'!F144</f>
        <v/>
      </c>
      <c r="J22" s="597">
        <f>'INPUT SHEET'!G136+'INPUT SHEET'!G140+'INPUT SHEET'!G144</f>
        <v/>
      </c>
      <c r="K22" s="597">
        <f>'INPUT SHEET'!H136+'INPUT SHEET'!H140+'INPUT SHEET'!H144</f>
        <v/>
      </c>
      <c r="L22" s="597">
        <f>'INPUT SHEET'!I136+'INPUT SHEET'!I140+'INPUT SHEET'!I144</f>
        <v/>
      </c>
      <c r="M22" s="597">
        <f>'INPUT SHEET'!J136+'INPUT SHEET'!J140+'INPUT SHEET'!J144</f>
        <v/>
      </c>
      <c r="N22" s="597">
        <f>'INPUT SHEET'!K136+'INPUT SHEET'!K140+'INPUT SHEET'!K144</f>
        <v/>
      </c>
      <c r="O22" s="597">
        <f>'INPUT SHEET'!L136+'INPUT SHEET'!L140+'INPUT SHEET'!L144</f>
        <v/>
      </c>
      <c r="P22" s="597">
        <f>'INPUT SHEET'!M136+'INPUT SHEET'!M140+'INPUT SHEET'!M144</f>
        <v/>
      </c>
    </row>
    <row r="23" ht="20.1" customHeight="1">
      <c r="A23" t="n">
        <v>9</v>
      </c>
      <c r="B23" t="inlineStr">
        <is>
          <t>Other current liabilities &amp; provisions</t>
        </is>
      </c>
      <c r="E23" s="475">
        <f>SUM(E24:E27)</f>
        <v/>
      </c>
      <c r="F23" s="475">
        <f>SUM(F24:F27)</f>
        <v/>
      </c>
      <c r="G23" s="475">
        <f>SUM(G24:G27)</f>
        <v/>
      </c>
      <c r="H23" s="475">
        <f>SUM(H24:H27)</f>
        <v/>
      </c>
      <c r="I23" s="475">
        <f>SUM(I24:I27)</f>
        <v/>
      </c>
      <c r="J23" s="475">
        <f>SUM(J24:J27)</f>
        <v/>
      </c>
      <c r="K23" s="475">
        <f>SUM(K24:K27)</f>
        <v/>
      </c>
      <c r="L23" s="475">
        <f>SUM(L24:L27)</f>
        <v/>
      </c>
      <c r="M23" s="475">
        <f>SUM(M24:M27)</f>
        <v/>
      </c>
      <c r="N23" s="475">
        <f>SUM(N24:N27)</f>
        <v/>
      </c>
      <c r="O23" s="475">
        <f>SUM(O24:O27)</f>
        <v/>
      </c>
      <c r="P23" s="475">
        <f>SUM(P24:P27)</f>
        <v/>
      </c>
    </row>
    <row r="24" ht="20.1" customHeight="1">
      <c r="B24" t="inlineStr">
        <is>
          <t>a.</t>
        </is>
      </c>
      <c r="C24" s="271">
        <f>'INPUT SHEET'!A247</f>
        <v/>
      </c>
      <c r="D24" s="271" t="n"/>
      <c r="E24" s="610">
        <f>'INPUT SHEET'!B247</f>
        <v/>
      </c>
      <c r="F24" s="609">
        <f>'INPUT SHEET'!C247</f>
        <v/>
      </c>
      <c r="G24" s="610">
        <f>'INPUT SHEET'!D247</f>
        <v/>
      </c>
      <c r="H24" s="610">
        <f>'INPUT SHEET'!E247</f>
        <v/>
      </c>
      <c r="I24" s="610">
        <f>'INPUT SHEET'!F247</f>
        <v/>
      </c>
      <c r="J24" s="610">
        <f>'INPUT SHEET'!G247</f>
        <v/>
      </c>
      <c r="K24" s="610">
        <f>'INPUT SHEET'!H247</f>
        <v/>
      </c>
      <c r="L24" s="610">
        <f>'INPUT SHEET'!I247</f>
        <v/>
      </c>
      <c r="M24" s="610">
        <f>'INPUT SHEET'!J247</f>
        <v/>
      </c>
      <c r="N24" s="610">
        <f>'INPUT SHEET'!K247</f>
        <v/>
      </c>
      <c r="O24" s="610">
        <f>'INPUT SHEET'!L247</f>
        <v/>
      </c>
      <c r="P24" s="610">
        <f>'INPUT SHEET'!M247</f>
        <v/>
      </c>
    </row>
    <row r="25" ht="20.1" customHeight="1">
      <c r="B25" t="inlineStr">
        <is>
          <t>b.</t>
        </is>
      </c>
      <c r="C25" s="271">
        <f>'INPUT SHEET'!A248</f>
        <v/>
      </c>
      <c r="D25" s="271" t="n"/>
      <c r="E25" s="610">
        <f>'INPUT SHEET'!B248</f>
        <v/>
      </c>
      <c r="F25" s="609">
        <f>'INPUT SHEET'!C248</f>
        <v/>
      </c>
      <c r="G25" s="610">
        <f>'INPUT SHEET'!D248</f>
        <v/>
      </c>
      <c r="H25" s="610">
        <f>'INPUT SHEET'!E248</f>
        <v/>
      </c>
      <c r="I25" s="610">
        <f>'INPUT SHEET'!F248</f>
        <v/>
      </c>
      <c r="J25" s="610">
        <f>'INPUT SHEET'!G248</f>
        <v/>
      </c>
      <c r="K25" s="610">
        <f>'INPUT SHEET'!H248</f>
        <v/>
      </c>
      <c r="L25" s="610">
        <f>'INPUT SHEET'!I248</f>
        <v/>
      </c>
      <c r="M25" s="610">
        <f>'INPUT SHEET'!J248</f>
        <v/>
      </c>
      <c r="N25" s="610">
        <f>'INPUT SHEET'!K248</f>
        <v/>
      </c>
      <c r="O25" s="610">
        <f>'INPUT SHEET'!L248</f>
        <v/>
      </c>
      <c r="P25" s="610">
        <f>'INPUT SHEET'!M248</f>
        <v/>
      </c>
    </row>
    <row r="26" ht="20.1" customHeight="1">
      <c r="B26" t="inlineStr">
        <is>
          <t>c.</t>
        </is>
      </c>
      <c r="C26" s="271">
        <f>'INPUT SHEET'!A249</f>
        <v/>
      </c>
      <c r="D26" s="271" t="n"/>
      <c r="E26" s="610">
        <f>'INPUT SHEET'!B249</f>
        <v/>
      </c>
      <c r="F26" s="609">
        <f>'INPUT SHEET'!C249</f>
        <v/>
      </c>
      <c r="G26" s="610">
        <f>'INPUT SHEET'!D249</f>
        <v/>
      </c>
      <c r="H26" s="610">
        <f>'INPUT SHEET'!E249</f>
        <v/>
      </c>
      <c r="I26" s="610">
        <f>'INPUT SHEET'!F249</f>
        <v/>
      </c>
      <c r="J26" s="610">
        <f>'INPUT SHEET'!G249</f>
        <v/>
      </c>
      <c r="K26" s="610">
        <f>'INPUT SHEET'!H249</f>
        <v/>
      </c>
      <c r="L26" s="610">
        <f>'INPUT SHEET'!I249</f>
        <v/>
      </c>
      <c r="M26" s="610">
        <f>'INPUT SHEET'!J249</f>
        <v/>
      </c>
      <c r="N26" s="610">
        <f>'INPUT SHEET'!K249</f>
        <v/>
      </c>
      <c r="O26" s="610">
        <f>'INPUT SHEET'!L249</f>
        <v/>
      </c>
      <c r="P26" s="610">
        <f>'INPUT SHEET'!M249</f>
        <v/>
      </c>
    </row>
    <row r="27" ht="20.1" customHeight="1">
      <c r="B27" t="inlineStr">
        <is>
          <t>d.</t>
        </is>
      </c>
      <c r="C27" s="271">
        <f>'INPUT SHEET'!A250</f>
        <v/>
      </c>
      <c r="D27" s="271" t="n"/>
      <c r="E27" s="610">
        <f>'INPUT SHEET'!B250</f>
        <v/>
      </c>
      <c r="F27" s="609">
        <f>'INPUT SHEET'!C250</f>
        <v/>
      </c>
      <c r="G27" s="610">
        <f>'INPUT SHEET'!D250</f>
        <v/>
      </c>
      <c r="H27" s="610">
        <f>'INPUT SHEET'!E250</f>
        <v/>
      </c>
      <c r="I27" s="610">
        <f>'INPUT SHEET'!F250</f>
        <v/>
      </c>
      <c r="J27" s="610">
        <f>'INPUT SHEET'!G250</f>
        <v/>
      </c>
      <c r="K27" s="610">
        <f>'INPUT SHEET'!H250</f>
        <v/>
      </c>
      <c r="L27" s="610">
        <f>'INPUT SHEET'!I250</f>
        <v/>
      </c>
      <c r="M27" s="610">
        <f>'INPUT SHEET'!J250</f>
        <v/>
      </c>
      <c r="N27" s="610">
        <f>'INPUT SHEET'!K250</f>
        <v/>
      </c>
      <c r="O27" s="610">
        <f>'INPUT SHEET'!L250</f>
        <v/>
      </c>
      <c r="P27" s="610">
        <f>'INPUT SHEET'!M250</f>
        <v/>
      </c>
    </row>
    <row r="28" ht="20.1" customHeight="1">
      <c r="B28" t="inlineStr">
        <is>
          <t>Sub total [2 to 9] (B)</t>
        </is>
      </c>
      <c r="E28" s="599">
        <f>ROUND(SUM(E16:E23),2)</f>
        <v/>
      </c>
      <c r="F28" s="599">
        <f>ROUND(SUM(F16:F23),2)</f>
        <v/>
      </c>
      <c r="G28" s="599">
        <f>ROUND(SUM(G16:G23),2)</f>
        <v/>
      </c>
      <c r="H28" s="599">
        <f>ROUND(SUM(H16:H23),2)</f>
        <v/>
      </c>
      <c r="I28" s="599">
        <f>ROUND(SUM(I16:I23),2)</f>
        <v/>
      </c>
      <c r="J28" s="599">
        <f>ROUND(SUM(J16:J23),2)</f>
        <v/>
      </c>
      <c r="K28" s="599">
        <f>ROUND(SUM(K16:K23),2)</f>
        <v/>
      </c>
      <c r="L28" s="599">
        <f>ROUND(SUM(L16:L23),2)</f>
        <v/>
      </c>
      <c r="M28" s="599">
        <f>ROUND(SUM(M16:M23),2)</f>
        <v/>
      </c>
      <c r="N28" s="599">
        <f>ROUND(SUM(N16:N23),2)</f>
        <v/>
      </c>
      <c r="O28" s="599">
        <f>ROUND(SUM(O16:O23),2)</f>
        <v/>
      </c>
      <c r="P28" s="599">
        <f>ROUND(SUM(P16:P23),2)</f>
        <v/>
      </c>
    </row>
    <row r="29" ht="20.1" customHeight="1">
      <c r="A29" t="n">
        <v>10</v>
      </c>
      <c r="B29" s="225" t="inlineStr">
        <is>
          <t>Total current liabilities[A + B]</t>
        </is>
      </c>
      <c r="C29" s="225" t="n"/>
      <c r="E29" s="599">
        <f>ROUND(E28+E15,2)</f>
        <v/>
      </c>
      <c r="F29" s="599">
        <f>ROUND(F28+F15,2)</f>
        <v/>
      </c>
      <c r="G29" s="599">
        <f>ROUND(G28+G15,2)</f>
        <v/>
      </c>
      <c r="H29" s="599">
        <f>ROUND(H28+H15,2)</f>
        <v/>
      </c>
      <c r="I29" s="599">
        <f>ROUND(I28+I15,2)</f>
        <v/>
      </c>
      <c r="J29" s="599">
        <f>ROUND(J28+J15,2)</f>
        <v/>
      </c>
      <c r="K29" s="599">
        <f>ROUND(K28+K15,2)</f>
        <v/>
      </c>
      <c r="L29" s="599">
        <f>ROUND(L28+L15,2)</f>
        <v/>
      </c>
      <c r="M29" s="599">
        <f>ROUND(M28+M15,2)</f>
        <v/>
      </c>
      <c r="N29" s="599">
        <f>ROUND(N28+N15,2)</f>
        <v/>
      </c>
      <c r="O29" s="599">
        <f>ROUND(O28+O15,2)</f>
        <v/>
      </c>
      <c r="P29" s="599">
        <f>ROUND(P28+P15,2)</f>
        <v/>
      </c>
    </row>
    <row r="30" ht="15" customHeight="1">
      <c r="E30" s="597" t="n"/>
      <c r="F30" s="605" t="n"/>
      <c r="G30" s="597" t="n"/>
      <c r="H30" s="597" t="n"/>
      <c r="I30" s="597" t="n"/>
      <c r="J30" s="597" t="n"/>
      <c r="K30" s="597" t="n"/>
      <c r="L30" s="597" t="n"/>
      <c r="M30" s="597" t="n"/>
      <c r="N30" s="597" t="n"/>
      <c r="O30" s="597" t="n"/>
      <c r="P30" s="597" t="n"/>
    </row>
    <row r="31" ht="20.1" customHeight="1">
      <c r="B31" s="225" t="inlineStr">
        <is>
          <t>TERM LIABILITIES</t>
        </is>
      </c>
      <c r="E31" s="597" t="n"/>
      <c r="F31" s="605" t="n"/>
      <c r="G31" s="597" t="n"/>
      <c r="H31" s="597" t="n"/>
      <c r="I31" s="597" t="n"/>
      <c r="J31" s="597" t="n"/>
      <c r="K31" s="597" t="n"/>
      <c r="L31" s="597" t="n"/>
      <c r="M31" s="597" t="n"/>
      <c r="N31" s="597" t="n"/>
      <c r="O31" s="597" t="n"/>
      <c r="P31" s="597" t="n"/>
    </row>
    <row r="32" ht="20.1" customHeight="1">
      <c r="A32" t="n">
        <v>11</v>
      </c>
      <c r="B32" t="inlineStr">
        <is>
          <t>Debentures (not maturing within 1 year)</t>
        </is>
      </c>
      <c r="E32" s="597">
        <f>'INPUT SHEET'!B141</f>
        <v/>
      </c>
      <c r="F32" s="605">
        <f>'INPUT SHEET'!C141</f>
        <v/>
      </c>
      <c r="G32" s="597">
        <f>'INPUT SHEET'!D141</f>
        <v/>
      </c>
      <c r="H32" s="597">
        <f>'INPUT SHEET'!E141</f>
        <v/>
      </c>
      <c r="I32" s="597">
        <f>'INPUT SHEET'!F141</f>
        <v/>
      </c>
      <c r="J32" s="597">
        <f>'INPUT SHEET'!G141</f>
        <v/>
      </c>
      <c r="K32" s="597">
        <f>'INPUT SHEET'!H141</f>
        <v/>
      </c>
      <c r="L32" s="597">
        <f>'INPUT SHEET'!I141</f>
        <v/>
      </c>
      <c r="M32" s="597">
        <f>'INPUT SHEET'!J141</f>
        <v/>
      </c>
      <c r="N32" s="597">
        <f>'INPUT SHEET'!K141</f>
        <v/>
      </c>
      <c r="O32" s="597">
        <f>'INPUT SHEET'!L141</f>
        <v/>
      </c>
      <c r="P32" s="597">
        <f>'INPUT SHEET'!M141</f>
        <v/>
      </c>
    </row>
    <row r="33" ht="20.1" customHeight="1">
      <c r="A33" t="n">
        <v>12</v>
      </c>
      <c r="B33" t="inlineStr">
        <is>
          <t>Preference Shares (redeemable after 1 year)</t>
        </is>
      </c>
      <c r="E33" s="597">
        <f>'INPUT SHEET'!B145</f>
        <v/>
      </c>
      <c r="F33" s="597">
        <f>'INPUT SHEET'!C145</f>
        <v/>
      </c>
      <c r="G33" s="597">
        <f>'INPUT SHEET'!D145</f>
        <v/>
      </c>
      <c r="H33" s="597">
        <f>'INPUT SHEET'!E145</f>
        <v/>
      </c>
      <c r="I33" s="597">
        <f>'INPUT SHEET'!F145</f>
        <v/>
      </c>
      <c r="J33" s="597">
        <f>'INPUT SHEET'!G145</f>
        <v/>
      </c>
      <c r="K33" s="597">
        <f>'INPUT SHEET'!H145</f>
        <v/>
      </c>
      <c r="L33" s="597">
        <f>'INPUT SHEET'!I145</f>
        <v/>
      </c>
      <c r="M33" s="597">
        <f>'INPUT SHEET'!J145</f>
        <v/>
      </c>
      <c r="N33" s="597">
        <f>'INPUT SHEET'!K145</f>
        <v/>
      </c>
      <c r="O33" s="597">
        <f>'INPUT SHEET'!L145</f>
        <v/>
      </c>
      <c r="P33" s="597">
        <f>'INPUT SHEET'!M145</f>
        <v/>
      </c>
    </row>
    <row r="34" ht="20.1" customHeight="1">
      <c r="A34" t="n">
        <v>13</v>
      </c>
      <c r="B34" t="inlineStr">
        <is>
          <t xml:space="preserve">Term loans </t>
        </is>
      </c>
      <c r="E34" s="597">
        <f>'INPUT SHEET'!B137</f>
        <v/>
      </c>
      <c r="F34" s="597">
        <f>'INPUT SHEET'!C137</f>
        <v/>
      </c>
      <c r="G34" s="597">
        <f>'INPUT SHEET'!D137</f>
        <v/>
      </c>
      <c r="H34" s="597">
        <f>'INPUT SHEET'!E137</f>
        <v/>
      </c>
      <c r="I34" s="597">
        <f>'INPUT SHEET'!F137</f>
        <v/>
      </c>
      <c r="J34" s="597">
        <f>'INPUT SHEET'!G137</f>
        <v/>
      </c>
      <c r="K34" s="597">
        <f>'INPUT SHEET'!H137</f>
        <v/>
      </c>
      <c r="L34" s="597">
        <f>'INPUT SHEET'!I137</f>
        <v/>
      </c>
      <c r="M34" s="597">
        <f>'INPUT SHEET'!J137</f>
        <v/>
      </c>
      <c r="N34" s="597">
        <f>'INPUT SHEET'!K137</f>
        <v/>
      </c>
      <c r="O34" s="597">
        <f>'INPUT SHEET'!L137</f>
        <v/>
      </c>
      <c r="P34" s="597">
        <f>'INPUT SHEET'!M137</f>
        <v/>
      </c>
    </row>
    <row r="35" ht="18.75" customHeight="1">
      <c r="A35" t="n">
        <v>14</v>
      </c>
      <c r="B35" t="inlineStr">
        <is>
          <t>Defferd Tax Liability</t>
        </is>
      </c>
      <c r="E35" s="596">
        <f>'INPUT SHEET'!B159</f>
        <v/>
      </c>
      <c r="F35" s="596">
        <f>'INPUT SHEET'!C159</f>
        <v/>
      </c>
      <c r="G35" s="596">
        <f>'INPUT SHEET'!D159</f>
        <v/>
      </c>
      <c r="H35" s="596">
        <f>'INPUT SHEET'!E159</f>
        <v/>
      </c>
      <c r="I35" s="596">
        <f>'INPUT SHEET'!F159</f>
        <v/>
      </c>
      <c r="J35" s="596">
        <f>'INPUT SHEET'!G159</f>
        <v/>
      </c>
      <c r="K35" s="596">
        <f>'INPUT SHEET'!H159</f>
        <v/>
      </c>
      <c r="L35" s="596">
        <f>'INPUT SHEET'!I159</f>
        <v/>
      </c>
      <c r="M35" s="596">
        <f>'INPUT SHEET'!J159</f>
        <v/>
      </c>
      <c r="N35" s="596">
        <f>'INPUT SHEET'!K159</f>
        <v/>
      </c>
      <c r="O35" s="596">
        <f>'INPUT SHEET'!L159</f>
        <v/>
      </c>
      <c r="P35" s="596">
        <f>'INPUT SHEET'!M159</f>
        <v/>
      </c>
    </row>
    <row r="36" ht="20.1" customHeight="1">
      <c r="A36" t="n">
        <v>15</v>
      </c>
      <c r="B36" t="inlineStr">
        <is>
          <t>Other term liabilities</t>
        </is>
      </c>
      <c r="E36" s="596">
        <f>'INPUT SHEET'!B149+'INPUT SHEET'!B153</f>
        <v/>
      </c>
      <c r="F36" s="596">
        <f>'INPUT SHEET'!C149+'INPUT SHEET'!C153</f>
        <v/>
      </c>
      <c r="G36" s="596">
        <f>'INPUT SHEET'!D149+'INPUT SHEET'!D153</f>
        <v/>
      </c>
      <c r="H36" s="596">
        <f>'INPUT SHEET'!E149+'INPUT SHEET'!E153</f>
        <v/>
      </c>
      <c r="I36" s="596">
        <f>'INPUT SHEET'!F149+'INPUT SHEET'!F153</f>
        <v/>
      </c>
      <c r="J36" s="596">
        <f>'INPUT SHEET'!G149+'INPUT SHEET'!G153</f>
        <v/>
      </c>
      <c r="K36" s="596">
        <f>'INPUT SHEET'!H149+'INPUT SHEET'!H153</f>
        <v/>
      </c>
      <c r="L36" s="596">
        <f>'INPUT SHEET'!I149+'INPUT SHEET'!I153</f>
        <v/>
      </c>
      <c r="M36" s="596">
        <f>'INPUT SHEET'!J149+'INPUT SHEET'!J153</f>
        <v/>
      </c>
      <c r="N36" s="596">
        <f>'INPUT SHEET'!K149+'INPUT SHEET'!K153</f>
        <v/>
      </c>
      <c r="O36" s="596">
        <f>'INPUT SHEET'!L149+'INPUT SHEET'!L153</f>
        <v/>
      </c>
      <c r="P36" s="596">
        <f>'INPUT SHEET'!M149+'INPUT SHEET'!M153</f>
        <v/>
      </c>
    </row>
    <row r="37" ht="20.1" customHeight="1">
      <c r="A37" t="n">
        <v>16</v>
      </c>
      <c r="B37" s="225" t="inlineStr">
        <is>
          <t>Total Term Liabilities[11 to 15]</t>
        </is>
      </c>
      <c r="E37" s="599">
        <f>ROUND(SUM(E32:E36),2)</f>
        <v/>
      </c>
      <c r="F37" s="599">
        <f>ROUND(SUM(F32:F36),2)</f>
        <v/>
      </c>
      <c r="G37" s="599">
        <f>ROUND(SUM(G32:G36),2)</f>
        <v/>
      </c>
      <c r="H37" s="599">
        <f>ROUND(SUM(H32:H36),2)</f>
        <v/>
      </c>
      <c r="I37" s="599">
        <f>ROUND(SUM(I32:I36),2)</f>
        <v/>
      </c>
      <c r="J37" s="599">
        <f>ROUND(SUM(J32:J36),2)</f>
        <v/>
      </c>
      <c r="K37" s="599">
        <f>ROUND(SUM(K32:K36),2)</f>
        <v/>
      </c>
      <c r="L37" s="599">
        <f>ROUND(SUM(L32:L36),2)</f>
        <v/>
      </c>
      <c r="M37" s="599">
        <f>ROUND(SUM(M32:M36),2)</f>
        <v/>
      </c>
      <c r="N37" s="599">
        <f>ROUND(SUM(N32:N36),2)</f>
        <v/>
      </c>
      <c r="O37" s="599">
        <f>ROUND(SUM(O32:O36),2)</f>
        <v/>
      </c>
      <c r="P37" s="599">
        <f>ROUND(SUM(P32:P36),2)</f>
        <v/>
      </c>
    </row>
    <row r="38" ht="20.1" customHeight="1">
      <c r="A38" t="n">
        <v>17</v>
      </c>
      <c r="B38" s="225" t="inlineStr">
        <is>
          <t>Total Outside Liabilities[10 + 16]</t>
        </is>
      </c>
      <c r="E38" s="599">
        <f>ROUND(E29+E37,2)</f>
        <v/>
      </c>
      <c r="F38" s="599">
        <f>ROUND(F29+F37,2)</f>
        <v/>
      </c>
      <c r="G38" s="599">
        <f>ROUND(G29+G37,2)</f>
        <v/>
      </c>
      <c r="H38" s="599">
        <f>ROUND(H29+H37,2)</f>
        <v/>
      </c>
      <c r="I38" s="599">
        <f>ROUND(I29+I37,2)</f>
        <v/>
      </c>
      <c r="J38" s="599">
        <f>ROUND(J29+J37,2)</f>
        <v/>
      </c>
      <c r="K38" s="599">
        <f>ROUND(K29+K37,2)</f>
        <v/>
      </c>
      <c r="L38" s="599">
        <f>ROUND(L29+L37,2)</f>
        <v/>
      </c>
      <c r="M38" s="599">
        <f>ROUND(M29+M37,2)</f>
        <v/>
      </c>
      <c r="N38" s="599">
        <f>ROUND(N29+N37,2)</f>
        <v/>
      </c>
      <c r="O38" s="599">
        <f>ROUND(O29+O37,2)</f>
        <v/>
      </c>
      <c r="P38" s="599">
        <f>ROUND(P29+P37,2)</f>
        <v/>
      </c>
    </row>
    <row r="39" ht="20.1" customHeight="1">
      <c r="E39" s="597" t="n"/>
      <c r="F39" s="605" t="n"/>
      <c r="G39" s="597" t="n"/>
      <c r="H39" s="597" t="n"/>
      <c r="I39" s="597" t="n"/>
      <c r="J39" s="597" t="n"/>
      <c r="K39" s="597" t="n"/>
      <c r="L39" s="597" t="n"/>
      <c r="M39" s="597" t="n"/>
      <c r="N39" s="597" t="n"/>
      <c r="O39" s="597" t="n"/>
      <c r="P39" s="597" t="n"/>
    </row>
    <row r="40" ht="20.1" customHeight="1">
      <c r="B40" s="225" t="inlineStr">
        <is>
          <t>NET WORTH</t>
        </is>
      </c>
      <c r="E40" s="597" t="n"/>
      <c r="F40" s="605" t="n"/>
      <c r="G40" s="597" t="n"/>
      <c r="H40" s="597" t="n"/>
      <c r="I40" s="597" t="n"/>
      <c r="J40" s="597" t="n"/>
      <c r="K40" s="597" t="n"/>
      <c r="L40" s="597" t="n"/>
      <c r="M40" s="597" t="n"/>
      <c r="N40" s="597" t="n"/>
      <c r="O40" s="597" t="n"/>
      <c r="P40" s="597" t="n"/>
    </row>
    <row r="41" ht="20.1" customHeight="1">
      <c r="A41" t="n">
        <v>18</v>
      </c>
      <c r="B41" t="inlineStr">
        <is>
          <t>Ordinary Share Capital</t>
        </is>
      </c>
      <c r="E41" s="596">
        <f>'INPUT SHEET'!B116</f>
        <v/>
      </c>
      <c r="F41" s="596">
        <f>'INPUT SHEET'!C116</f>
        <v/>
      </c>
      <c r="G41" s="596">
        <f>'INPUT SHEET'!D116</f>
        <v/>
      </c>
      <c r="H41" s="596">
        <f>'INPUT SHEET'!E116</f>
        <v/>
      </c>
      <c r="I41" s="596">
        <f>'INPUT SHEET'!F116</f>
        <v/>
      </c>
      <c r="J41" s="596">
        <f>'INPUT SHEET'!G116</f>
        <v/>
      </c>
      <c r="K41" s="596">
        <f>'INPUT SHEET'!H116</f>
        <v/>
      </c>
      <c r="L41" s="596">
        <f>'INPUT SHEET'!I116</f>
        <v/>
      </c>
      <c r="M41" s="596">
        <f>'INPUT SHEET'!J116</f>
        <v/>
      </c>
      <c r="N41" s="596">
        <f>'INPUT SHEET'!K116</f>
        <v/>
      </c>
      <c r="O41" s="596">
        <f>'INPUT SHEET'!L116</f>
        <v/>
      </c>
      <c r="P41" s="596">
        <f>'INPUT SHEET'!M116</f>
        <v/>
      </c>
    </row>
    <row r="42" ht="20.1" customHeight="1">
      <c r="A42" t="n">
        <v>19</v>
      </c>
      <c r="B42" s="272" t="inlineStr">
        <is>
          <t>Share Application Money</t>
        </is>
      </c>
      <c r="C42" s="272" t="n"/>
      <c r="D42" s="272" t="n"/>
      <c r="E42" s="596">
        <f>'INPUT SHEET'!B117</f>
        <v/>
      </c>
      <c r="F42" s="596">
        <f>'INPUT SHEET'!C117</f>
        <v/>
      </c>
      <c r="G42" s="596">
        <f>'INPUT SHEET'!D117</f>
        <v/>
      </c>
      <c r="H42" s="596">
        <f>'INPUT SHEET'!E117</f>
        <v/>
      </c>
      <c r="I42" s="596">
        <f>'INPUT SHEET'!F117</f>
        <v/>
      </c>
      <c r="J42" s="596">
        <f>'INPUT SHEET'!G117</f>
        <v/>
      </c>
      <c r="K42" s="596">
        <f>'INPUT SHEET'!H117</f>
        <v/>
      </c>
      <c r="L42" s="596">
        <f>'INPUT SHEET'!I117</f>
        <v/>
      </c>
      <c r="M42" s="596">
        <f>'INPUT SHEET'!J117</f>
        <v/>
      </c>
      <c r="N42" s="596">
        <f>'INPUT SHEET'!K117</f>
        <v/>
      </c>
      <c r="O42" s="596">
        <f>'INPUT SHEET'!L117</f>
        <v/>
      </c>
      <c r="P42" s="596">
        <f>'INPUT SHEET'!M117</f>
        <v/>
      </c>
    </row>
    <row r="43" ht="20.1" customHeight="1">
      <c r="A43" t="n">
        <v>20</v>
      </c>
      <c r="B43" t="inlineStr">
        <is>
          <t>General Reserve</t>
        </is>
      </c>
      <c r="E43" s="597">
        <f>'INPUT SHEET'!B121</f>
        <v/>
      </c>
      <c r="F43" s="597">
        <f>'INPUT SHEET'!C121</f>
        <v/>
      </c>
      <c r="G43" s="597">
        <f>'INPUT SHEET'!D121</f>
        <v/>
      </c>
      <c r="H43" s="597">
        <f>'INPUT SHEET'!E121</f>
        <v/>
      </c>
      <c r="I43" s="597">
        <f>'INPUT SHEET'!F121</f>
        <v/>
      </c>
      <c r="J43" s="597">
        <f>'INPUT SHEET'!G121</f>
        <v/>
      </c>
      <c r="K43" s="597">
        <f>'INPUT SHEET'!H121</f>
        <v/>
      </c>
      <c r="L43" s="597">
        <f>'INPUT SHEET'!I121</f>
        <v/>
      </c>
      <c r="M43" s="597">
        <f>'INPUT SHEET'!J121</f>
        <v/>
      </c>
      <c r="N43" s="597">
        <f>'INPUT SHEET'!K121</f>
        <v/>
      </c>
      <c r="O43" s="597">
        <f>'INPUT SHEET'!L121</f>
        <v/>
      </c>
      <c r="P43" s="597">
        <f>'INPUT SHEET'!M121</f>
        <v/>
      </c>
    </row>
    <row r="44" ht="20.1" customHeight="1">
      <c r="A44" t="n">
        <v>21</v>
      </c>
      <c r="B44" t="inlineStr">
        <is>
          <t>Balnce in profit and loss a/c</t>
        </is>
      </c>
      <c r="E44" s="597">
        <f>'INPUT SHEET'!B122</f>
        <v/>
      </c>
      <c r="F44" s="597">
        <f>'INPUT SHEET'!C122</f>
        <v/>
      </c>
      <c r="G44" s="597">
        <f>'INPUT SHEET'!D122</f>
        <v/>
      </c>
      <c r="H44" s="597">
        <f>'INPUT SHEET'!E122</f>
        <v/>
      </c>
      <c r="I44" s="597">
        <f>'INPUT SHEET'!F122</f>
        <v/>
      </c>
      <c r="J44" s="597">
        <f>'INPUT SHEET'!G122</f>
        <v/>
      </c>
      <c r="K44" s="597">
        <f>'INPUT SHEET'!H122</f>
        <v/>
      </c>
      <c r="L44" s="597">
        <f>'INPUT SHEET'!I122</f>
        <v/>
      </c>
      <c r="M44" s="597">
        <f>'INPUT SHEET'!J122</f>
        <v/>
      </c>
      <c r="N44" s="597">
        <f>'INPUT SHEET'!K122</f>
        <v/>
      </c>
      <c r="O44" s="597">
        <f>'INPUT SHEET'!L122</f>
        <v/>
      </c>
      <c r="P44" s="597">
        <f>'INPUT SHEET'!M122</f>
        <v/>
      </c>
    </row>
    <row r="45" ht="20.1" customHeight="1">
      <c r="A45" t="n">
        <v>22</v>
      </c>
      <c r="B45" t="inlineStr">
        <is>
          <t>Share Premium</t>
        </is>
      </c>
      <c r="E45" s="597">
        <f>'INPUT SHEET'!B123</f>
        <v/>
      </c>
      <c r="F45" s="597">
        <f>'INPUT SHEET'!C123</f>
        <v/>
      </c>
      <c r="G45" s="597">
        <f>'INPUT SHEET'!D123</f>
        <v/>
      </c>
      <c r="H45" s="597">
        <f>'INPUT SHEET'!E123</f>
        <v/>
      </c>
      <c r="I45" s="597">
        <f>'INPUT SHEET'!F123</f>
        <v/>
      </c>
      <c r="J45" s="597">
        <f>'INPUT SHEET'!G123</f>
        <v/>
      </c>
      <c r="K45" s="597">
        <f>'INPUT SHEET'!H123</f>
        <v/>
      </c>
      <c r="L45" s="597">
        <f>'INPUT SHEET'!I123</f>
        <v/>
      </c>
      <c r="M45" s="597">
        <f>'INPUT SHEET'!J123</f>
        <v/>
      </c>
      <c r="N45" s="597">
        <f>'INPUT SHEET'!K123</f>
        <v/>
      </c>
      <c r="O45" s="597">
        <f>'INPUT SHEET'!L123</f>
        <v/>
      </c>
      <c r="P45" s="597">
        <f>'INPUT SHEET'!M123</f>
        <v/>
      </c>
    </row>
    <row r="46" ht="20.1" customHeight="1">
      <c r="A46" t="n">
        <v>23</v>
      </c>
      <c r="B46" t="inlineStr">
        <is>
          <t>Revaluation Reserve</t>
        </is>
      </c>
      <c r="E46" s="597">
        <f>'INPUT SHEET'!B124</f>
        <v/>
      </c>
      <c r="F46" s="597">
        <f>'INPUT SHEET'!C124</f>
        <v/>
      </c>
      <c r="G46" s="597">
        <f>'INPUT SHEET'!D124</f>
        <v/>
      </c>
      <c r="H46" s="597">
        <f>'INPUT SHEET'!E124</f>
        <v/>
      </c>
      <c r="I46" s="597">
        <f>'INPUT SHEET'!F124</f>
        <v/>
      </c>
      <c r="J46" s="597">
        <f>'INPUT SHEET'!G124</f>
        <v/>
      </c>
      <c r="K46" s="597">
        <f>'INPUT SHEET'!H124</f>
        <v/>
      </c>
      <c r="L46" s="597">
        <f>'INPUT SHEET'!I124</f>
        <v/>
      </c>
      <c r="M46" s="597">
        <f>'INPUT SHEET'!J124</f>
        <v/>
      </c>
      <c r="N46" s="597">
        <f>'INPUT SHEET'!K124</f>
        <v/>
      </c>
      <c r="O46" s="597">
        <f>'INPUT SHEET'!L124</f>
        <v/>
      </c>
      <c r="P46" s="597">
        <f>'INPUT SHEET'!M124</f>
        <v/>
      </c>
    </row>
    <row r="47" ht="20.1" customHeight="1">
      <c r="A47" t="n">
        <v>24</v>
      </c>
      <c r="B47" t="inlineStr">
        <is>
          <t xml:space="preserve">Other Reserves </t>
        </is>
      </c>
      <c r="E47" s="597">
        <f>'INPUT SHEET'!B125</f>
        <v/>
      </c>
      <c r="F47" s="597">
        <f>'INPUT SHEET'!C125</f>
        <v/>
      </c>
      <c r="G47" s="597">
        <f>'INPUT SHEET'!D125</f>
        <v/>
      </c>
      <c r="H47" s="597">
        <f>'INPUT SHEET'!E125</f>
        <v/>
      </c>
      <c r="I47" s="597">
        <f>'INPUT SHEET'!F125</f>
        <v/>
      </c>
      <c r="J47" s="597">
        <f>'INPUT SHEET'!G125</f>
        <v/>
      </c>
      <c r="K47" s="597">
        <f>'INPUT SHEET'!H125</f>
        <v/>
      </c>
      <c r="L47" s="597">
        <f>'INPUT SHEET'!I125</f>
        <v/>
      </c>
      <c r="M47" s="597">
        <f>'INPUT SHEET'!J125</f>
        <v/>
      </c>
      <c r="N47" s="597">
        <f>'INPUT SHEET'!K125</f>
        <v/>
      </c>
      <c r="O47" s="597">
        <f>'INPUT SHEET'!L125</f>
        <v/>
      </c>
      <c r="P47" s="597">
        <f>'INPUT SHEET'!M125</f>
        <v/>
      </c>
    </row>
    <row r="48" ht="20.1" customHeight="1">
      <c r="A48" t="n">
        <v>25</v>
      </c>
      <c r="B48" s="271" t="inlineStr">
        <is>
          <t xml:space="preserve">Quasi Equity </t>
        </is>
      </c>
      <c r="D48" s="271" t="n"/>
      <c r="E48" s="597">
        <f>'INPUT SHEET'!B152</f>
        <v/>
      </c>
      <c r="F48" s="597">
        <f>'INPUT SHEET'!C152</f>
        <v/>
      </c>
      <c r="G48" s="597">
        <f>'INPUT SHEET'!D152</f>
        <v/>
      </c>
      <c r="H48" s="597">
        <f>'INPUT SHEET'!E152</f>
        <v/>
      </c>
      <c r="I48" s="597">
        <f>'INPUT SHEET'!F152</f>
        <v/>
      </c>
      <c r="J48" s="597">
        <f>'INPUT SHEET'!G152</f>
        <v/>
      </c>
      <c r="K48" s="597">
        <f>'INPUT SHEET'!H152</f>
        <v/>
      </c>
      <c r="L48" s="597">
        <f>'INPUT SHEET'!I152</f>
        <v/>
      </c>
      <c r="M48" s="597">
        <f>'INPUT SHEET'!J152</f>
        <v/>
      </c>
      <c r="N48" s="597">
        <f>'INPUT SHEET'!K152</f>
        <v/>
      </c>
      <c r="O48" s="597">
        <f>'INPUT SHEET'!L152</f>
        <v/>
      </c>
      <c r="P48" s="597">
        <f>'INPUT SHEET'!M152</f>
        <v/>
      </c>
    </row>
    <row r="49" ht="20.1" customHeight="1">
      <c r="A49" t="n">
        <v>26</v>
      </c>
      <c r="B49" s="225" t="inlineStr">
        <is>
          <t>Net Worth</t>
        </is>
      </c>
      <c r="E49" s="619">
        <f>SUM(E41:E48)</f>
        <v/>
      </c>
      <c r="F49" s="619">
        <f>SUM(F41:F48)</f>
        <v/>
      </c>
      <c r="G49" s="619">
        <f>SUM(G41:G48)</f>
        <v/>
      </c>
      <c r="H49" s="619">
        <f>SUM(H41:H48)</f>
        <v/>
      </c>
      <c r="I49" s="619">
        <f>SUM(I41:I48)</f>
        <v/>
      </c>
      <c r="J49" s="619">
        <f>SUM(J41:J48)</f>
        <v/>
      </c>
      <c r="K49" s="619">
        <f>SUM(K41:K48)</f>
        <v/>
      </c>
      <c r="L49" s="619">
        <f>SUM(L41:L48)</f>
        <v/>
      </c>
      <c r="M49" s="619">
        <f>SUM(M41:M48)</f>
        <v/>
      </c>
      <c r="N49" s="619">
        <f>SUM(N41:N48)</f>
        <v/>
      </c>
      <c r="O49" s="619">
        <f>SUM(O41:O48)</f>
        <v/>
      </c>
      <c r="P49" s="619">
        <f>SUM(P41:P48)</f>
        <v/>
      </c>
    </row>
    <row r="50" ht="20.1" customHeight="1">
      <c r="B50" s="225" t="inlineStr">
        <is>
          <t>TOTAL LIABILITIES[17 + 26]</t>
        </is>
      </c>
      <c r="E50" s="619">
        <f>ROUND(E38+E49,2)</f>
        <v/>
      </c>
      <c r="F50" s="628">
        <f>ROUND(F38+F49,2)</f>
        <v/>
      </c>
      <c r="G50" s="619">
        <f>ROUND(G38+G49,2)</f>
        <v/>
      </c>
      <c r="H50" s="619">
        <f>ROUND(H38+H49,2)</f>
        <v/>
      </c>
      <c r="I50" s="619">
        <f>ROUND(I38+I49,2)</f>
        <v/>
      </c>
      <c r="J50" s="619">
        <f>ROUND(J38+J49,2)</f>
        <v/>
      </c>
      <c r="K50" s="619">
        <f>ROUND(K38+K49,2)</f>
        <v/>
      </c>
      <c r="L50" s="619">
        <f>ROUND(L38+L49,2)</f>
        <v/>
      </c>
      <c r="M50" s="619">
        <f>ROUND(M38+M49,2)</f>
        <v/>
      </c>
      <c r="N50" s="619">
        <f>ROUND(N38+N49,2)</f>
        <v/>
      </c>
      <c r="O50" s="619">
        <f>ROUND(O38+O49,2)</f>
        <v/>
      </c>
      <c r="P50" s="619">
        <f>ROUND(P38+P49,2)</f>
        <v/>
      </c>
    </row>
    <row r="51" ht="20.1" customHeight="1">
      <c r="B51" s="225" t="n"/>
      <c r="E51" s="629" t="n"/>
      <c r="F51" s="629" t="n"/>
      <c r="G51" s="629" t="n"/>
      <c r="H51" s="629" t="n"/>
      <c r="I51" s="629" t="n"/>
      <c r="J51" s="629" t="n"/>
      <c r="K51" s="629" t="n"/>
      <c r="L51" s="629" t="n"/>
      <c r="M51" s="629" t="n"/>
      <c r="N51" s="629" t="n"/>
      <c r="O51" s="629" t="n"/>
      <c r="P51" s="629" t="n"/>
    </row>
    <row r="52" ht="21.75" customHeight="1">
      <c r="A52" s="224" t="inlineStr">
        <is>
          <t>FORM III - ANALYSIS OF BALANCE SHEET</t>
        </is>
      </c>
      <c r="B52" s="224" t="n"/>
    </row>
    <row r="53" ht="18.75" customHeight="1">
      <c r="A53" s="224" t="inlineStr">
        <is>
          <t>LIABILITIES</t>
        </is>
      </c>
      <c r="B53" s="224" t="n"/>
      <c r="C53" s="224" t="n"/>
      <c r="D53" s="224" t="n"/>
    </row>
    <row r="54" ht="15" customHeight="1">
      <c r="A54" s="431" t="n"/>
    </row>
    <row r="55" ht="15" customHeight="1">
      <c r="E55" s="266">
        <f>E7</f>
        <v/>
      </c>
      <c r="F55" s="266">
        <f>F7</f>
        <v/>
      </c>
      <c r="G55" s="275">
        <f>G7</f>
        <v/>
      </c>
      <c r="H55" s="275">
        <f>H7</f>
        <v/>
      </c>
      <c r="I55" s="275">
        <f>I7</f>
        <v/>
      </c>
      <c r="J55" s="275">
        <f>J7</f>
        <v/>
      </c>
      <c r="K55" s="275">
        <f>K7</f>
        <v/>
      </c>
      <c r="L55" s="275">
        <f>L7</f>
        <v/>
      </c>
      <c r="M55" s="275">
        <f>M7</f>
        <v/>
      </c>
      <c r="N55" s="275">
        <f>N7</f>
        <v/>
      </c>
      <c r="O55" s="275">
        <f>O7</f>
        <v/>
      </c>
      <c r="P55" s="275">
        <f>P7</f>
        <v/>
      </c>
    </row>
    <row r="56" ht="15" customHeight="1">
      <c r="D56" s="228">
        <f>D8</f>
        <v/>
      </c>
      <c r="E56" s="266">
        <f>E8</f>
        <v/>
      </c>
      <c r="F56" s="266">
        <f>F8</f>
        <v/>
      </c>
      <c r="G56" s="267">
        <f>G8</f>
        <v/>
      </c>
      <c r="H56" s="267">
        <f>H8</f>
        <v/>
      </c>
      <c r="I56" s="267">
        <f>I8</f>
        <v/>
      </c>
      <c r="J56" s="267">
        <f>J8</f>
        <v/>
      </c>
      <c r="K56" s="267">
        <f>K8</f>
        <v/>
      </c>
      <c r="L56" s="267">
        <f>L8</f>
        <v/>
      </c>
      <c r="M56" s="267">
        <f>M8</f>
        <v/>
      </c>
      <c r="N56" s="267">
        <f>N8</f>
        <v/>
      </c>
      <c r="O56" s="267">
        <f>O8</f>
        <v/>
      </c>
      <c r="P56" s="267">
        <f>P8</f>
        <v/>
      </c>
    </row>
    <row r="57" ht="15" customHeight="1">
      <c r="D57" s="228">
        <f>D9</f>
        <v/>
      </c>
      <c r="E57" s="266">
        <f>E9</f>
        <v/>
      </c>
      <c r="F57" s="266">
        <f>F9</f>
        <v/>
      </c>
      <c r="G57" s="267">
        <f>G9</f>
        <v/>
      </c>
      <c r="H57" s="267">
        <f>H9</f>
        <v/>
      </c>
      <c r="I57" s="267">
        <f>I9</f>
        <v/>
      </c>
      <c r="J57" s="267">
        <f>J9</f>
        <v/>
      </c>
      <c r="K57" s="267">
        <f>K9</f>
        <v/>
      </c>
      <c r="L57" s="267">
        <f>L9</f>
        <v/>
      </c>
      <c r="M57" s="267">
        <f>M9</f>
        <v/>
      </c>
      <c r="N57" s="267">
        <f>N9</f>
        <v/>
      </c>
      <c r="O57" s="267">
        <f>O9</f>
        <v/>
      </c>
      <c r="P57" s="267">
        <f>P9</f>
        <v/>
      </c>
    </row>
    <row r="58" ht="15" customHeight="1">
      <c r="B58" s="225" t="inlineStr">
        <is>
          <t>CURRENT ASSETS</t>
        </is>
      </c>
      <c r="E58" s="595" t="n"/>
      <c r="F58" s="606" t="n"/>
      <c r="G58" s="625" t="n"/>
      <c r="H58" s="595" t="n"/>
      <c r="I58" s="595" t="n"/>
      <c r="J58" s="595" t="n"/>
      <c r="K58" s="595" t="n"/>
      <c r="L58" s="595" t="n"/>
      <c r="M58" s="595" t="n"/>
      <c r="N58" s="595" t="n"/>
      <c r="O58" s="595" t="n"/>
      <c r="P58" s="595" t="n"/>
    </row>
    <row r="59" ht="15" customHeight="1">
      <c r="A59" t="n">
        <v>1</v>
      </c>
      <c r="B59" s="422" t="inlineStr">
        <is>
          <t>Cash and Bank Balance</t>
        </is>
      </c>
      <c r="E59" s="475">
        <f>E60+E61</f>
        <v/>
      </c>
      <c r="F59" s="475">
        <f>F60+F61</f>
        <v/>
      </c>
      <c r="G59" s="475">
        <f>G60+G61</f>
        <v/>
      </c>
      <c r="H59" s="475">
        <f>H60+H61</f>
        <v/>
      </c>
      <c r="I59" s="475">
        <f>I60+I61</f>
        <v/>
      </c>
      <c r="J59" s="475">
        <f>J60+J61</f>
        <v/>
      </c>
      <c r="K59" s="475">
        <f>K60+K61</f>
        <v/>
      </c>
      <c r="L59" s="475">
        <f>L60+L61</f>
        <v/>
      </c>
      <c r="M59" s="475">
        <f>M60+M61</f>
        <v/>
      </c>
      <c r="N59" s="475">
        <f>N60+N61</f>
        <v/>
      </c>
      <c r="O59" s="475">
        <f>O60+O61</f>
        <v/>
      </c>
      <c r="P59" s="475">
        <f>P60+P61</f>
        <v/>
      </c>
    </row>
    <row r="60" ht="15" customHeight="1">
      <c r="B60" t="inlineStr">
        <is>
          <t>i.</t>
        </is>
      </c>
      <c r="C60" t="inlineStr">
        <is>
          <t>Cash Balance</t>
        </is>
      </c>
      <c r="E60" s="596">
        <f>'INPUT SHEET'!B212</f>
        <v/>
      </c>
      <c r="F60" s="596">
        <f>'INPUT SHEET'!C212</f>
        <v/>
      </c>
      <c r="G60" s="596">
        <f>'INPUT SHEET'!D212</f>
        <v/>
      </c>
      <c r="H60" s="596">
        <f>'INPUT SHEET'!E212</f>
        <v/>
      </c>
      <c r="I60" s="596">
        <f>'INPUT SHEET'!F212</f>
        <v/>
      </c>
      <c r="J60" s="596">
        <f>'INPUT SHEET'!G212</f>
        <v/>
      </c>
      <c r="K60" s="596">
        <f>'INPUT SHEET'!H212</f>
        <v/>
      </c>
      <c r="L60" s="596">
        <f>'INPUT SHEET'!I212</f>
        <v/>
      </c>
      <c r="M60" s="596">
        <f>'INPUT SHEET'!J212</f>
        <v/>
      </c>
      <c r="N60" s="596">
        <f>'INPUT SHEET'!K212</f>
        <v/>
      </c>
      <c r="O60" s="596">
        <f>'INPUT SHEET'!L212</f>
        <v/>
      </c>
      <c r="P60" s="596">
        <f>'INPUT SHEET'!M212</f>
        <v/>
      </c>
    </row>
    <row r="61" ht="15" customHeight="1">
      <c r="B61" t="inlineStr">
        <is>
          <t>ii.</t>
        </is>
      </c>
      <c r="C61" t="inlineStr">
        <is>
          <t>Bank Balance</t>
        </is>
      </c>
      <c r="E61" s="596">
        <f>'INPUT SHEET'!B213</f>
        <v/>
      </c>
      <c r="F61" s="596">
        <f>'INPUT SHEET'!C213</f>
        <v/>
      </c>
      <c r="G61" s="596">
        <f>'INPUT SHEET'!D213</f>
        <v/>
      </c>
      <c r="H61" s="596">
        <f>'INPUT SHEET'!E213</f>
        <v/>
      </c>
      <c r="I61" s="596">
        <f>'INPUT SHEET'!F213</f>
        <v/>
      </c>
      <c r="J61" s="596">
        <f>'INPUT SHEET'!G213</f>
        <v/>
      </c>
      <c r="K61" s="596">
        <f>'INPUT SHEET'!H213</f>
        <v/>
      </c>
      <c r="L61" s="596">
        <f>'INPUT SHEET'!I213</f>
        <v/>
      </c>
      <c r="M61" s="596">
        <f>'INPUT SHEET'!J213</f>
        <v/>
      </c>
      <c r="N61" s="596">
        <f>'INPUT SHEET'!K213</f>
        <v/>
      </c>
      <c r="O61" s="596">
        <f>'INPUT SHEET'!L213</f>
        <v/>
      </c>
      <c r="P61" s="596">
        <f>'INPUT SHEET'!M213</f>
        <v/>
      </c>
    </row>
    <row r="62" ht="15" customHeight="1">
      <c r="A62" t="n">
        <v>2</v>
      </c>
      <c r="B62" t="inlineStr">
        <is>
          <t>Investments (other than long term)</t>
        </is>
      </c>
      <c r="E62" s="475">
        <f>SUM(E63:E64)</f>
        <v/>
      </c>
      <c r="F62" s="475">
        <f>SUM(F63:F64)</f>
        <v/>
      </c>
      <c r="G62" s="475">
        <f>SUM(G63:G64)</f>
        <v/>
      </c>
      <c r="H62" s="475">
        <f>SUM(H63:H64)</f>
        <v/>
      </c>
      <c r="I62" s="475">
        <f>SUM(I63:I64)</f>
        <v/>
      </c>
      <c r="J62" s="475">
        <f>SUM(J63:J64)</f>
        <v/>
      </c>
      <c r="K62" s="475">
        <f>SUM(K63:K64)</f>
        <v/>
      </c>
      <c r="L62" s="475">
        <f>SUM(L63:L64)</f>
        <v/>
      </c>
      <c r="M62" s="475">
        <f>SUM(M63:M64)</f>
        <v/>
      </c>
      <c r="N62" s="475">
        <f>SUM(N63:N64)</f>
        <v/>
      </c>
      <c r="O62" s="475">
        <f>SUM(O63:O64)</f>
        <v/>
      </c>
      <c r="P62" s="475">
        <f>SUM(P63:P64)</f>
        <v/>
      </c>
    </row>
    <row r="63" ht="15" customHeight="1">
      <c r="B63" t="inlineStr">
        <is>
          <t>i.</t>
        </is>
      </c>
      <c r="C63" t="inlineStr">
        <is>
          <t>Govt. and other trustee securities</t>
        </is>
      </c>
      <c r="E63" s="597">
        <f>'INPUT SHEET'!B182+'INPUT SHEET'!B185</f>
        <v/>
      </c>
      <c r="F63" s="597">
        <f>'INPUT SHEET'!C182+'INPUT SHEET'!C185</f>
        <v/>
      </c>
      <c r="G63" s="597">
        <f>'INPUT SHEET'!D182+'INPUT SHEET'!D185</f>
        <v/>
      </c>
      <c r="H63" s="597">
        <f>'INPUT SHEET'!E182+'INPUT SHEET'!E185</f>
        <v/>
      </c>
      <c r="I63" s="597">
        <f>'INPUT SHEET'!F182+'INPUT SHEET'!F185</f>
        <v/>
      </c>
      <c r="J63" s="597">
        <f>'INPUT SHEET'!G182+'INPUT SHEET'!G185</f>
        <v/>
      </c>
      <c r="K63" s="597">
        <f>'INPUT SHEET'!H182+'INPUT SHEET'!H185</f>
        <v/>
      </c>
      <c r="L63" s="597">
        <f>'INPUT SHEET'!I182+'INPUT SHEET'!I185</f>
        <v/>
      </c>
      <c r="M63" s="597">
        <f>'INPUT SHEET'!J182+'INPUT SHEET'!J185</f>
        <v/>
      </c>
      <c r="N63" s="597">
        <f>'INPUT SHEET'!K182+'INPUT SHEET'!K185</f>
        <v/>
      </c>
      <c r="O63" s="597">
        <f>'INPUT SHEET'!L182+'INPUT SHEET'!L185</f>
        <v/>
      </c>
      <c r="P63" s="597">
        <f>'INPUT SHEET'!M182+'INPUT SHEET'!M185</f>
        <v/>
      </c>
    </row>
    <row r="64" ht="15" customHeight="1">
      <c r="B64" t="inlineStr">
        <is>
          <t>ii.</t>
        </is>
      </c>
      <c r="C64" t="inlineStr">
        <is>
          <t>Fixed Deposits with banks</t>
        </is>
      </c>
      <c r="E64" s="597">
        <f>'INPUT SHEET'!B215</f>
        <v/>
      </c>
      <c r="F64" s="597">
        <f>'INPUT SHEET'!C215</f>
        <v/>
      </c>
      <c r="G64" s="597">
        <f>'INPUT SHEET'!D215</f>
        <v/>
      </c>
      <c r="H64" s="597">
        <f>'INPUT SHEET'!E215</f>
        <v/>
      </c>
      <c r="I64" s="597">
        <f>'INPUT SHEET'!F215</f>
        <v/>
      </c>
      <c r="J64" s="597">
        <f>'INPUT SHEET'!G215</f>
        <v/>
      </c>
      <c r="K64" s="597">
        <f>'INPUT SHEET'!H215</f>
        <v/>
      </c>
      <c r="L64" s="597">
        <f>'INPUT SHEET'!I215</f>
        <v/>
      </c>
      <c r="M64" s="597">
        <f>'INPUT SHEET'!J215</f>
        <v/>
      </c>
      <c r="N64" s="597">
        <f>'INPUT SHEET'!K215</f>
        <v/>
      </c>
      <c r="O64" s="597">
        <f>'INPUT SHEET'!L215</f>
        <v/>
      </c>
      <c r="P64" s="597">
        <f>'INPUT SHEET'!M215</f>
        <v/>
      </c>
    </row>
    <row r="65" ht="15" customHeight="1">
      <c r="A65" t="n">
        <v>4</v>
      </c>
      <c r="B65">
        <f>'INPUT SHEET'!A205</f>
        <v/>
      </c>
      <c r="E65" s="475">
        <f>E66+E67</f>
        <v/>
      </c>
      <c r="F65" s="475">
        <f>F66+F67</f>
        <v/>
      </c>
      <c r="G65" s="475">
        <f>G66+G67</f>
        <v/>
      </c>
      <c r="H65" s="475">
        <f>H66+H67</f>
        <v/>
      </c>
      <c r="I65" s="475">
        <f>I66+I67</f>
        <v/>
      </c>
      <c r="J65" s="475">
        <f>J66+J67</f>
        <v/>
      </c>
      <c r="K65" s="475">
        <f>K66+K67</f>
        <v/>
      </c>
      <c r="L65" s="475">
        <f>L66+L67</f>
        <v/>
      </c>
      <c r="M65" s="475">
        <f>M66+M67</f>
        <v/>
      </c>
      <c r="N65" s="475">
        <f>N66+N67</f>
        <v/>
      </c>
      <c r="O65" s="475">
        <f>O66+O67</f>
        <v/>
      </c>
      <c r="P65" s="475">
        <f>P66+P67</f>
        <v/>
      </c>
    </row>
    <row r="66" ht="12.9" customHeight="1">
      <c r="B66" t="inlineStr">
        <is>
          <t>i.</t>
        </is>
      </c>
      <c r="C66">
        <f>'INPUT SHEET'!A206</f>
        <v/>
      </c>
      <c r="E66" s="596">
        <f>'INPUT SHEET'!B206</f>
        <v/>
      </c>
      <c r="F66" s="596">
        <f>'INPUT SHEET'!C206</f>
        <v/>
      </c>
      <c r="G66" s="596">
        <f>'INPUT SHEET'!D206</f>
        <v/>
      </c>
      <c r="H66" s="596">
        <f>'INPUT SHEET'!E206</f>
        <v/>
      </c>
      <c r="I66" s="596">
        <f>'INPUT SHEET'!F206</f>
        <v/>
      </c>
      <c r="J66" s="596">
        <f>'INPUT SHEET'!G206</f>
        <v/>
      </c>
      <c r="K66" s="596">
        <f>'INPUT SHEET'!H206</f>
        <v/>
      </c>
      <c r="L66" s="596">
        <f>'INPUT SHEET'!I206</f>
        <v/>
      </c>
      <c r="M66" s="596">
        <f>'INPUT SHEET'!J206</f>
        <v/>
      </c>
      <c r="N66" s="596">
        <f>'INPUT SHEET'!K206</f>
        <v/>
      </c>
      <c r="O66" s="596">
        <f>'INPUT SHEET'!L206</f>
        <v/>
      </c>
      <c r="P66" s="596">
        <f>'INPUT SHEET'!M206</f>
        <v/>
      </c>
    </row>
    <row r="67" ht="15" customHeight="1">
      <c r="B67" t="inlineStr">
        <is>
          <t>ii.</t>
        </is>
      </c>
      <c r="C67">
        <f>'INPUT SHEET'!A207</f>
        <v/>
      </c>
      <c r="E67" s="597">
        <f>'INPUT SHEET'!B207</f>
        <v/>
      </c>
      <c r="F67" s="597">
        <f>'INPUT SHEET'!C207</f>
        <v/>
      </c>
      <c r="G67" s="597">
        <f>'INPUT SHEET'!D207</f>
        <v/>
      </c>
      <c r="H67" s="597">
        <f>'INPUT SHEET'!E207</f>
        <v/>
      </c>
      <c r="I67" s="597">
        <f>'INPUT SHEET'!F207</f>
        <v/>
      </c>
      <c r="J67" s="597">
        <f>'INPUT SHEET'!G207</f>
        <v/>
      </c>
      <c r="K67" s="597">
        <f>'INPUT SHEET'!H207</f>
        <v/>
      </c>
      <c r="L67" s="597">
        <f>'INPUT SHEET'!I207</f>
        <v/>
      </c>
      <c r="M67" s="597">
        <f>'INPUT SHEET'!J207</f>
        <v/>
      </c>
      <c r="N67" s="597">
        <f>'INPUT SHEET'!K207</f>
        <v/>
      </c>
      <c r="O67" s="597">
        <f>'INPUT SHEET'!L207</f>
        <v/>
      </c>
      <c r="P67" s="597">
        <f>'INPUT SHEET'!M207</f>
        <v/>
      </c>
    </row>
    <row r="68" ht="15" customHeight="1">
      <c r="A68" t="n">
        <v>5</v>
      </c>
      <c r="B68">
        <f>'INPUT SHEET'!A191</f>
        <v/>
      </c>
      <c r="E68" s="630">
        <f>E69+E72+E73+E74</f>
        <v/>
      </c>
      <c r="F68" s="630">
        <f>F69+F72+F73+F74</f>
        <v/>
      </c>
      <c r="G68" s="630">
        <f>G69+G72+G73+G74</f>
        <v/>
      </c>
      <c r="H68" s="630">
        <f>H69+H72+H73+H74</f>
        <v/>
      </c>
      <c r="I68" s="630">
        <f>I69+I72+I73+I74</f>
        <v/>
      </c>
      <c r="J68" s="630">
        <f>J69+J72+J73+J74</f>
        <v/>
      </c>
      <c r="K68" s="630">
        <f>K69+K72+K73+K74</f>
        <v/>
      </c>
      <c r="L68" s="630">
        <f>L69+L72+L73+L74</f>
        <v/>
      </c>
      <c r="M68" s="630">
        <f>M69+M72+M73+M74</f>
        <v/>
      </c>
      <c r="N68" s="630">
        <f>N69+N72+N73+N74</f>
        <v/>
      </c>
      <c r="O68" s="630">
        <f>O69+O72+O73+O74</f>
        <v/>
      </c>
      <c r="P68" s="630">
        <f>P69+P72+P73+P74</f>
        <v/>
      </c>
    </row>
    <row r="69" ht="15" customHeight="1">
      <c r="B69" t="inlineStr">
        <is>
          <t>i.</t>
        </is>
      </c>
      <c r="C69">
        <f>'INPUT SHEET'!A192</f>
        <v/>
      </c>
      <c r="E69" s="475">
        <f>E70+E71</f>
        <v/>
      </c>
      <c r="F69" s="475">
        <f>F70+F71</f>
        <v/>
      </c>
      <c r="G69" s="475">
        <f>G70+G71</f>
        <v/>
      </c>
      <c r="H69" s="475">
        <f>H70+H71</f>
        <v/>
      </c>
      <c r="I69" s="475">
        <f>I70+I71</f>
        <v/>
      </c>
      <c r="J69" s="475">
        <f>J70+J71</f>
        <v/>
      </c>
      <c r="K69" s="475">
        <f>K70+K71</f>
        <v/>
      </c>
      <c r="L69" s="475">
        <f>L70+L71</f>
        <v/>
      </c>
      <c r="M69" s="475">
        <f>M70+M71</f>
        <v/>
      </c>
      <c r="N69" s="475">
        <f>N70+N71</f>
        <v/>
      </c>
      <c r="O69" s="475">
        <f>O70+O71</f>
        <v/>
      </c>
      <c r="P69" s="475">
        <f>P70+P71</f>
        <v/>
      </c>
    </row>
    <row r="70" ht="15" customHeight="1">
      <c r="C70" t="inlineStr">
        <is>
          <t>a.</t>
        </is>
      </c>
      <c r="D70">
        <f>'INPUT SHEET'!A193</f>
        <v/>
      </c>
      <c r="E70" s="597">
        <f>'INPUT SHEET'!B193</f>
        <v/>
      </c>
      <c r="F70" s="606">
        <f>'INPUT SHEET'!C193</f>
        <v/>
      </c>
      <c r="G70" s="605">
        <f>'INPUT SHEET'!D193</f>
        <v/>
      </c>
      <c r="H70" s="597">
        <f>'INPUT SHEET'!E193</f>
        <v/>
      </c>
      <c r="I70" s="597">
        <f>'INPUT SHEET'!F193</f>
        <v/>
      </c>
      <c r="J70" s="597">
        <f>'INPUT SHEET'!G193</f>
        <v/>
      </c>
      <c r="K70" s="597">
        <f>'INPUT SHEET'!H193</f>
        <v/>
      </c>
      <c r="L70" s="597">
        <f>'INPUT SHEET'!I193</f>
        <v/>
      </c>
      <c r="M70" s="597">
        <f>'INPUT SHEET'!J193</f>
        <v/>
      </c>
      <c r="N70" s="597">
        <f>'INPUT SHEET'!K193</f>
        <v/>
      </c>
      <c r="O70" s="597">
        <f>'INPUT SHEET'!L193</f>
        <v/>
      </c>
      <c r="P70" s="597">
        <f>'INPUT SHEET'!M193</f>
        <v/>
      </c>
    </row>
    <row r="71" ht="15" customHeight="1">
      <c r="C71" t="inlineStr">
        <is>
          <t>b.</t>
        </is>
      </c>
      <c r="D71">
        <f>'INPUT SHEET'!A194</f>
        <v/>
      </c>
      <c r="E71" s="597">
        <f>'INPUT SHEET'!B194</f>
        <v/>
      </c>
      <c r="F71" s="606">
        <f>'INPUT SHEET'!C194</f>
        <v/>
      </c>
      <c r="G71" s="605">
        <f>'INPUT SHEET'!D194</f>
        <v/>
      </c>
      <c r="H71" s="597">
        <f>'INPUT SHEET'!E194</f>
        <v/>
      </c>
      <c r="I71" s="597">
        <f>'INPUT SHEET'!F194</f>
        <v/>
      </c>
      <c r="J71" s="597">
        <f>'INPUT SHEET'!G194</f>
        <v/>
      </c>
      <c r="K71" s="597">
        <f>'INPUT SHEET'!H194</f>
        <v/>
      </c>
      <c r="L71" s="597">
        <f>'INPUT SHEET'!I194</f>
        <v/>
      </c>
      <c r="M71" s="597">
        <f>'INPUT SHEET'!J194</f>
        <v/>
      </c>
      <c r="N71" s="597">
        <f>'INPUT SHEET'!K194</f>
        <v/>
      </c>
      <c r="O71" s="597">
        <f>'INPUT SHEET'!L194</f>
        <v/>
      </c>
      <c r="P71" s="597">
        <f>'INPUT SHEET'!M194</f>
        <v/>
      </c>
    </row>
    <row r="72" ht="15" customHeight="1">
      <c r="B72" t="inlineStr">
        <is>
          <t>ii.</t>
        </is>
      </c>
      <c r="C72">
        <f>'INPUT SHEET'!A200</f>
        <v/>
      </c>
      <c r="E72" s="596">
        <f>'INPUT SHEET'!B200</f>
        <v/>
      </c>
      <c r="F72" s="596">
        <f>'INPUT SHEET'!C200</f>
        <v/>
      </c>
      <c r="G72" s="596">
        <f>'INPUT SHEET'!D200</f>
        <v/>
      </c>
      <c r="H72" s="596">
        <f>'INPUT SHEET'!E200</f>
        <v/>
      </c>
      <c r="I72" s="596">
        <f>'INPUT SHEET'!F200</f>
        <v/>
      </c>
      <c r="J72" s="596">
        <f>'INPUT SHEET'!G200</f>
        <v/>
      </c>
      <c r="K72" s="596">
        <f>'INPUT SHEET'!H200</f>
        <v/>
      </c>
      <c r="L72" s="596">
        <f>'INPUT SHEET'!I200</f>
        <v/>
      </c>
      <c r="M72" s="596">
        <f>'INPUT SHEET'!J200</f>
        <v/>
      </c>
      <c r="N72" s="596">
        <f>'INPUT SHEET'!K200</f>
        <v/>
      </c>
      <c r="O72" s="596">
        <f>'INPUT SHEET'!L200</f>
        <v/>
      </c>
      <c r="P72" s="596">
        <f>'INPUT SHEET'!M200</f>
        <v/>
      </c>
    </row>
    <row r="73" ht="15" customHeight="1">
      <c r="B73" t="inlineStr">
        <is>
          <t>iii.</t>
        </is>
      </c>
      <c r="C73" s="631">
        <f>'INPUT SHEET'!A201</f>
        <v/>
      </c>
      <c r="E73" s="596">
        <f>'INPUT SHEET'!B201</f>
        <v/>
      </c>
      <c r="F73" s="596">
        <f>'INPUT SHEET'!C201</f>
        <v/>
      </c>
      <c r="G73" s="596">
        <f>'INPUT SHEET'!D201</f>
        <v/>
      </c>
      <c r="H73" s="596">
        <f>'INPUT SHEET'!E201</f>
        <v/>
      </c>
      <c r="I73" s="596">
        <f>'INPUT SHEET'!F201</f>
        <v/>
      </c>
      <c r="J73" s="596">
        <f>'INPUT SHEET'!G201</f>
        <v/>
      </c>
      <c r="K73" s="596">
        <f>'INPUT SHEET'!H201</f>
        <v/>
      </c>
      <c r="L73" s="596">
        <f>'INPUT SHEET'!I201</f>
        <v/>
      </c>
      <c r="M73" s="596">
        <f>'INPUT SHEET'!J201</f>
        <v/>
      </c>
      <c r="N73" s="596">
        <f>'INPUT SHEET'!K201</f>
        <v/>
      </c>
      <c r="O73" s="596">
        <f>'INPUT SHEET'!L201</f>
        <v/>
      </c>
      <c r="P73" s="596">
        <f>'INPUT SHEET'!M201</f>
        <v/>
      </c>
    </row>
    <row r="74" ht="15" customHeight="1">
      <c r="B74" t="inlineStr">
        <is>
          <t>iv.</t>
        </is>
      </c>
      <c r="C74">
        <f>'INPUT SHEET'!A196</f>
        <v/>
      </c>
      <c r="E74" s="630">
        <f>E75+E76</f>
        <v/>
      </c>
      <c r="F74" s="630">
        <f>F75+F76</f>
        <v/>
      </c>
      <c r="G74" s="630">
        <f>G75+G76</f>
        <v/>
      </c>
      <c r="H74" s="630">
        <f>H75+H76</f>
        <v/>
      </c>
      <c r="I74" s="630">
        <f>I75+I76</f>
        <v/>
      </c>
      <c r="J74" s="630">
        <f>J75+J76</f>
        <v/>
      </c>
      <c r="K74" s="630">
        <f>K75+K76</f>
        <v/>
      </c>
      <c r="L74" s="630">
        <f>L75+L76</f>
        <v/>
      </c>
      <c r="M74" s="630">
        <f>M75+M76</f>
        <v/>
      </c>
      <c r="N74" s="630">
        <f>N75+N76</f>
        <v/>
      </c>
      <c r="O74" s="630">
        <f>O75+O76</f>
        <v/>
      </c>
      <c r="P74" s="630">
        <f>P75+P76</f>
        <v/>
      </c>
    </row>
    <row r="75" ht="15" customHeight="1">
      <c r="C75" t="inlineStr">
        <is>
          <t>a.</t>
        </is>
      </c>
      <c r="D75">
        <f>'INPUT SHEET'!A197</f>
        <v/>
      </c>
      <c r="E75" s="597">
        <f>'INPUT SHEET'!B197</f>
        <v/>
      </c>
      <c r="F75" s="597">
        <f>'INPUT SHEET'!C197</f>
        <v/>
      </c>
      <c r="G75" s="597">
        <f>'INPUT SHEET'!D197</f>
        <v/>
      </c>
      <c r="H75" s="597">
        <f>'INPUT SHEET'!E197</f>
        <v/>
      </c>
      <c r="I75" s="597">
        <f>'INPUT SHEET'!F197</f>
        <v/>
      </c>
      <c r="J75" s="597">
        <f>'INPUT SHEET'!G197</f>
        <v/>
      </c>
      <c r="K75" s="597">
        <f>'INPUT SHEET'!H197</f>
        <v/>
      </c>
      <c r="L75" s="597">
        <f>'INPUT SHEET'!I197</f>
        <v/>
      </c>
      <c r="M75" s="597">
        <f>'INPUT SHEET'!J197</f>
        <v/>
      </c>
      <c r="N75" s="597">
        <f>'INPUT SHEET'!K197</f>
        <v/>
      </c>
      <c r="O75" s="597">
        <f>'INPUT SHEET'!L197</f>
        <v/>
      </c>
      <c r="P75" s="597">
        <f>'INPUT SHEET'!M197</f>
        <v/>
      </c>
    </row>
    <row r="76" ht="15" customHeight="1">
      <c r="C76" t="inlineStr">
        <is>
          <t>b.</t>
        </is>
      </c>
      <c r="D76">
        <f>'INPUT SHEET'!A198</f>
        <v/>
      </c>
      <c r="E76" s="597">
        <f>'INPUT SHEET'!B198</f>
        <v/>
      </c>
      <c r="F76" s="597">
        <f>'INPUT SHEET'!C198</f>
        <v/>
      </c>
      <c r="G76" s="597">
        <f>'INPUT SHEET'!D198</f>
        <v/>
      </c>
      <c r="H76" s="597">
        <f>'INPUT SHEET'!E198</f>
        <v/>
      </c>
      <c r="I76" s="597">
        <f>'INPUT SHEET'!F198</f>
        <v/>
      </c>
      <c r="J76" s="597">
        <f>'INPUT SHEET'!G198</f>
        <v/>
      </c>
      <c r="K76" s="597">
        <f>'INPUT SHEET'!H198</f>
        <v/>
      </c>
      <c r="L76" s="597">
        <f>'INPUT SHEET'!I198</f>
        <v/>
      </c>
      <c r="M76" s="597">
        <f>'INPUT SHEET'!J198</f>
        <v/>
      </c>
      <c r="N76" s="597">
        <f>'INPUT SHEET'!K198</f>
        <v/>
      </c>
      <c r="O76" s="597">
        <f>'INPUT SHEET'!L198</f>
        <v/>
      </c>
      <c r="P76" s="597">
        <f>'INPUT SHEET'!M198</f>
        <v/>
      </c>
    </row>
    <row r="77" ht="15" customHeight="1">
      <c r="A77" t="n">
        <v>6</v>
      </c>
      <c r="B77">
        <f>'INPUT SHEET'!A219</f>
        <v/>
      </c>
      <c r="E77" s="597">
        <f>'INPUT SHEET'!B219</f>
        <v/>
      </c>
      <c r="F77" s="597">
        <f>'INPUT SHEET'!C219</f>
        <v/>
      </c>
      <c r="G77" s="597">
        <f>'INPUT SHEET'!D219</f>
        <v/>
      </c>
      <c r="H77" s="597">
        <f>'INPUT SHEET'!E219</f>
        <v/>
      </c>
      <c r="I77" s="597">
        <f>'INPUT SHEET'!F219</f>
        <v/>
      </c>
      <c r="J77" s="597">
        <f>'INPUT SHEET'!G219</f>
        <v/>
      </c>
      <c r="K77" s="597">
        <f>'INPUT SHEET'!H219</f>
        <v/>
      </c>
      <c r="L77" s="597">
        <f>'INPUT SHEET'!I219</f>
        <v/>
      </c>
      <c r="M77" s="597">
        <f>'INPUT SHEET'!J219</f>
        <v/>
      </c>
      <c r="N77" s="597">
        <f>'INPUT SHEET'!K219</f>
        <v/>
      </c>
      <c r="O77" s="597">
        <f>'INPUT SHEET'!L219</f>
        <v/>
      </c>
      <c r="P77" s="597">
        <f>'INPUT SHEET'!M219</f>
        <v/>
      </c>
    </row>
    <row r="78" ht="12.9" customHeight="1">
      <c r="A78" t="n">
        <v>7</v>
      </c>
      <c r="B78">
        <f>'INPUT SHEET'!A220</f>
        <v/>
      </c>
      <c r="E78" s="597">
        <f>'INPUT SHEET'!B220</f>
        <v/>
      </c>
      <c r="F78" s="597">
        <f>'INPUT SHEET'!C220</f>
        <v/>
      </c>
      <c r="G78" s="597">
        <f>'INPUT SHEET'!D220</f>
        <v/>
      </c>
      <c r="H78" s="597">
        <f>'INPUT SHEET'!E220</f>
        <v/>
      </c>
      <c r="I78" s="597">
        <f>'INPUT SHEET'!F220</f>
        <v/>
      </c>
      <c r="J78" s="597">
        <f>'INPUT SHEET'!G220</f>
        <v/>
      </c>
      <c r="K78" s="597">
        <f>'INPUT SHEET'!H220</f>
        <v/>
      </c>
      <c r="L78" s="597">
        <f>'INPUT SHEET'!I220</f>
        <v/>
      </c>
      <c r="M78" s="597">
        <f>'INPUT SHEET'!J220</f>
        <v/>
      </c>
      <c r="N78" s="597">
        <f>'INPUT SHEET'!K220</f>
        <v/>
      </c>
      <c r="O78" s="597">
        <f>'INPUT SHEET'!L220</f>
        <v/>
      </c>
      <c r="P78" s="597">
        <f>'INPUT SHEET'!M220</f>
        <v/>
      </c>
    </row>
    <row r="79" ht="12.9" customHeight="1">
      <c r="A79" t="n">
        <v>8</v>
      </c>
      <c r="B79">
        <f>'INPUT SHEET'!A221</f>
        <v/>
      </c>
      <c r="E79" s="597">
        <f>'INPUT SHEET'!B221</f>
        <v/>
      </c>
      <c r="F79" s="597">
        <f>'INPUT SHEET'!C221</f>
        <v/>
      </c>
      <c r="G79" s="597">
        <f>'INPUT SHEET'!D221</f>
        <v/>
      </c>
      <c r="H79" s="597">
        <f>'INPUT SHEET'!E221</f>
        <v/>
      </c>
      <c r="I79" s="597">
        <f>'INPUT SHEET'!F221</f>
        <v/>
      </c>
      <c r="J79" s="597">
        <f>'INPUT SHEET'!G221</f>
        <v/>
      </c>
      <c r="K79" s="597">
        <f>'INPUT SHEET'!H221</f>
        <v/>
      </c>
      <c r="L79" s="597">
        <f>'INPUT SHEET'!I221</f>
        <v/>
      </c>
      <c r="M79" s="597">
        <f>'INPUT SHEET'!J221</f>
        <v/>
      </c>
      <c r="N79" s="597">
        <f>'INPUT SHEET'!K221</f>
        <v/>
      </c>
      <c r="O79" s="597">
        <f>'INPUT SHEET'!L221</f>
        <v/>
      </c>
      <c r="P79" s="597">
        <f>'INPUT SHEET'!M221</f>
        <v/>
      </c>
    </row>
    <row r="80" ht="15" customHeight="1">
      <c r="A80" t="n">
        <v>9</v>
      </c>
      <c r="B80" t="inlineStr">
        <is>
          <t>Other current assets (specify major items)</t>
        </is>
      </c>
      <c r="E80" s="630">
        <f>SUM(E81:E82)</f>
        <v/>
      </c>
      <c r="F80" s="630">
        <f>SUM(F81:F82)</f>
        <v/>
      </c>
      <c r="G80" s="630">
        <f>SUM(G81:G82)</f>
        <v/>
      </c>
      <c r="H80" s="630">
        <f>SUM(H81:H82)</f>
        <v/>
      </c>
      <c r="I80" s="630">
        <f>SUM(I81:I82)</f>
        <v/>
      </c>
      <c r="J80" s="630">
        <f>SUM(J81:J82)</f>
        <v/>
      </c>
      <c r="K80" s="630">
        <f>SUM(K81:K82)</f>
        <v/>
      </c>
      <c r="L80" s="630">
        <f>SUM(L81:L82)</f>
        <v/>
      </c>
      <c r="M80" s="630">
        <f>SUM(M81:M82)</f>
        <v/>
      </c>
      <c r="N80" s="630">
        <f>SUM(N81:N82)</f>
        <v/>
      </c>
      <c r="O80" s="630">
        <f>SUM(O81:O82)</f>
        <v/>
      </c>
      <c r="P80" s="630">
        <f>SUM(P81:P82)</f>
        <v/>
      </c>
    </row>
    <row r="81" ht="15" customHeight="1">
      <c r="B81" t="inlineStr">
        <is>
          <t>a.</t>
        </is>
      </c>
      <c r="C81" s="271">
        <f>'INPUT SHEET'!A222</f>
        <v/>
      </c>
      <c r="D81" s="271" t="n"/>
      <c r="E81" s="596">
        <f>'INPUT SHEET'!B222</f>
        <v/>
      </c>
      <c r="F81" s="616">
        <f>'INPUT SHEET'!C222</f>
        <v/>
      </c>
      <c r="G81" s="615">
        <f>'INPUT SHEET'!D222</f>
        <v/>
      </c>
      <c r="H81" s="596">
        <f>'INPUT SHEET'!E222</f>
        <v/>
      </c>
      <c r="I81" s="596">
        <f>'INPUT SHEET'!F222</f>
        <v/>
      </c>
      <c r="J81" s="596">
        <f>'INPUT SHEET'!G222</f>
        <v/>
      </c>
      <c r="K81" s="596">
        <f>'INPUT SHEET'!H222</f>
        <v/>
      </c>
      <c r="L81" s="596">
        <f>'INPUT SHEET'!I222</f>
        <v/>
      </c>
      <c r="M81" s="596">
        <f>'INPUT SHEET'!J222</f>
        <v/>
      </c>
      <c r="N81" s="596">
        <f>'INPUT SHEET'!K222</f>
        <v/>
      </c>
      <c r="O81" s="596">
        <f>'INPUT SHEET'!L222</f>
        <v/>
      </c>
      <c r="P81" s="596">
        <f>'INPUT SHEET'!M222</f>
        <v/>
      </c>
    </row>
    <row r="82" ht="15" customHeight="1">
      <c r="B82" t="inlineStr">
        <is>
          <t>b.</t>
        </is>
      </c>
      <c r="C82" s="271">
        <f>'INPUT SHEET'!A223</f>
        <v/>
      </c>
      <c r="D82" s="271" t="n"/>
      <c r="E82" s="596">
        <f>'INPUT SHEET'!B223</f>
        <v/>
      </c>
      <c r="F82" s="616">
        <f>'INPUT SHEET'!C223</f>
        <v/>
      </c>
      <c r="G82" s="615">
        <f>'INPUT SHEET'!D223</f>
        <v/>
      </c>
      <c r="H82" s="596">
        <f>'INPUT SHEET'!E223</f>
        <v/>
      </c>
      <c r="I82" s="596">
        <f>'INPUT SHEET'!F223</f>
        <v/>
      </c>
      <c r="J82" s="596">
        <f>'INPUT SHEET'!G223</f>
        <v/>
      </c>
      <c r="K82" s="596">
        <f>'INPUT SHEET'!H223</f>
        <v/>
      </c>
      <c r="L82" s="596">
        <f>'INPUT SHEET'!I223</f>
        <v/>
      </c>
      <c r="M82" s="596">
        <f>'INPUT SHEET'!J223</f>
        <v/>
      </c>
      <c r="N82" s="596">
        <f>'INPUT SHEET'!K223</f>
        <v/>
      </c>
      <c r="O82" s="596">
        <f>'INPUT SHEET'!L223</f>
        <v/>
      </c>
      <c r="P82" s="596">
        <f>'INPUT SHEET'!M223</f>
        <v/>
      </c>
    </row>
    <row r="83" ht="15" customHeight="1">
      <c r="A83" t="n">
        <v>10</v>
      </c>
      <c r="B83" s="225" t="inlineStr">
        <is>
          <t>Total Current Assets (1 to 10)</t>
        </is>
      </c>
      <c r="E83" s="628">
        <f>E59+E62+E65+E68+E77+E78+E79+E80</f>
        <v/>
      </c>
      <c r="F83" s="628">
        <f>F59+F62+F65+F68+F77+F78+F79+F80</f>
        <v/>
      </c>
      <c r="G83" s="628">
        <f>G59+G62+G65+G68+G77+G78+G79+G80</f>
        <v/>
      </c>
      <c r="H83" s="628">
        <f>H59+H62+H65+H68+H77+H78+H79+H80</f>
        <v/>
      </c>
      <c r="I83" s="628">
        <f>I59+I62+I65+I68+I77+I78+I79+I80</f>
        <v/>
      </c>
      <c r="J83" s="628">
        <f>J59+J62+J65+J68+J77+J78+J79+J80</f>
        <v/>
      </c>
      <c r="K83" s="628">
        <f>K59+K62+K65+K68+K77+K78+K79+K80</f>
        <v/>
      </c>
      <c r="L83" s="628">
        <f>L59+L62+L65+L68+L77+L78+L79+L80</f>
        <v/>
      </c>
      <c r="M83" s="628">
        <f>M59+M62+M65+M68+M77+M78+M79+M80</f>
        <v/>
      </c>
      <c r="N83" s="628">
        <f>N59+N62+N65+N68+N77+N78+N79+N80</f>
        <v/>
      </c>
      <c r="O83" s="628">
        <f>O59+O62+O65+O68+O77+O78+O79+O80</f>
        <v/>
      </c>
      <c r="P83" s="628">
        <f>P59+P62+P65+P68+P77+P78+P79+P80</f>
        <v/>
      </c>
    </row>
    <row r="84" ht="15" customHeight="1">
      <c r="E84" s="597" t="n"/>
      <c r="F84" s="606" t="n"/>
      <c r="G84" s="605" t="n"/>
      <c r="H84" s="597" t="n"/>
      <c r="I84" s="597" t="n"/>
      <c r="J84" s="597" t="n"/>
      <c r="K84" s="597" t="n"/>
      <c r="L84" s="597" t="n"/>
      <c r="M84" s="597" t="n"/>
      <c r="N84" s="597" t="n"/>
      <c r="O84" s="597" t="n"/>
      <c r="P84" s="597" t="n"/>
    </row>
    <row r="85" ht="15" customHeight="1">
      <c r="B85" s="225" t="inlineStr">
        <is>
          <t>FIXED ASSETS</t>
        </is>
      </c>
      <c r="E85" s="597" t="n"/>
      <c r="F85" s="606" t="n"/>
      <c r="G85" s="605" t="n"/>
      <c r="H85" s="597" t="n"/>
      <c r="I85" s="597" t="n"/>
      <c r="J85" s="597" t="n"/>
      <c r="K85" s="597" t="n"/>
      <c r="L85" s="597" t="n"/>
      <c r="M85" s="597" t="n"/>
      <c r="N85" s="597" t="n"/>
      <c r="O85" s="597" t="n"/>
      <c r="P85" s="597" t="n"/>
    </row>
    <row r="86" ht="15" customHeight="1">
      <c r="A86" t="n">
        <v>11</v>
      </c>
      <c r="B86">
        <f>'INPUT SHEET'!A162</f>
        <v/>
      </c>
      <c r="E86" s="597">
        <f>'INPUT SHEET'!B162</f>
        <v/>
      </c>
      <c r="F86" s="597">
        <f>'INPUT SHEET'!C162</f>
        <v/>
      </c>
      <c r="G86" s="597">
        <f>'INPUT SHEET'!D162</f>
        <v/>
      </c>
      <c r="H86" s="597">
        <f>'INPUT SHEET'!E162</f>
        <v/>
      </c>
      <c r="I86" s="597">
        <f>'INPUT SHEET'!F162</f>
        <v/>
      </c>
      <c r="J86" s="597">
        <f>'INPUT SHEET'!G162</f>
        <v/>
      </c>
      <c r="K86" s="597">
        <f>'INPUT SHEET'!H162</f>
        <v/>
      </c>
      <c r="L86" s="597">
        <f>'INPUT SHEET'!I162</f>
        <v/>
      </c>
      <c r="M86" s="597">
        <f>'INPUT SHEET'!J162</f>
        <v/>
      </c>
      <c r="N86" s="597">
        <f>'INPUT SHEET'!K162</f>
        <v/>
      </c>
      <c r="O86" s="597">
        <f>'INPUT SHEET'!L162</f>
        <v/>
      </c>
      <c r="P86" s="597">
        <f>'INPUT SHEET'!M162</f>
        <v/>
      </c>
    </row>
    <row r="87" ht="15" customHeight="1">
      <c r="A87" t="n">
        <v>12</v>
      </c>
      <c r="B87">
        <f>'INPUT SHEET'!A165</f>
        <v/>
      </c>
      <c r="E87" s="596">
        <f>'INPUT SHEET'!B165</f>
        <v/>
      </c>
      <c r="F87" s="596">
        <f>'INPUT SHEET'!C165</f>
        <v/>
      </c>
      <c r="G87" s="596">
        <f>'INPUT SHEET'!D165</f>
        <v/>
      </c>
      <c r="H87" s="596">
        <f>'INPUT SHEET'!E165</f>
        <v/>
      </c>
      <c r="I87" s="596">
        <f>'INPUT SHEET'!F165</f>
        <v/>
      </c>
      <c r="J87" s="596">
        <f>'INPUT SHEET'!G165</f>
        <v/>
      </c>
      <c r="K87" s="596">
        <f>'INPUT SHEET'!H165</f>
        <v/>
      </c>
      <c r="L87" s="596">
        <f>'INPUT SHEET'!I165</f>
        <v/>
      </c>
      <c r="M87" s="596">
        <f>'INPUT SHEET'!J165</f>
        <v/>
      </c>
      <c r="N87" s="596">
        <f>'INPUT SHEET'!K165</f>
        <v/>
      </c>
      <c r="O87" s="596">
        <f>'INPUT SHEET'!L165</f>
        <v/>
      </c>
      <c r="P87" s="596">
        <f>'INPUT SHEET'!M165</f>
        <v/>
      </c>
    </row>
    <row r="88" ht="15" customHeight="1">
      <c r="A88" t="n">
        <v>13</v>
      </c>
      <c r="B88" s="429" t="inlineStr">
        <is>
          <t>Total</t>
        </is>
      </c>
      <c r="E88" s="632">
        <f>SUM(E86:E87)</f>
        <v/>
      </c>
      <c r="F88" s="632">
        <f>SUM(F86:F87)</f>
        <v/>
      </c>
      <c r="G88" s="632">
        <f>SUM(G86:G87)</f>
        <v/>
      </c>
      <c r="H88" s="632">
        <f>SUM(H86:H87)</f>
        <v/>
      </c>
      <c r="I88" s="632">
        <f>SUM(I86:I87)</f>
        <v/>
      </c>
      <c r="J88" s="632">
        <f>SUM(J86:J87)</f>
        <v/>
      </c>
      <c r="K88" s="632">
        <f>SUM(K86:K87)</f>
        <v/>
      </c>
      <c r="L88" s="632">
        <f>SUM(L86:L87)</f>
        <v/>
      </c>
      <c r="M88" s="632">
        <f>SUM(M86:M87)</f>
        <v/>
      </c>
      <c r="N88" s="632">
        <f>SUM(N86:N87)</f>
        <v/>
      </c>
      <c r="O88" s="632">
        <f>SUM(O86:O87)</f>
        <v/>
      </c>
      <c r="P88" s="632">
        <f>SUM(P86:P87)</f>
        <v/>
      </c>
    </row>
    <row r="89" ht="15" customHeight="1">
      <c r="A89" t="inlineStr">
        <is>
          <t>14..</t>
        </is>
      </c>
      <c r="B89">
        <f>'INPUT SHEET'!A163</f>
        <v/>
      </c>
      <c r="E89" s="596">
        <f>'INPUT SHEET'!B163</f>
        <v/>
      </c>
      <c r="F89" s="596">
        <f>'INPUT SHEET'!C163</f>
        <v/>
      </c>
      <c r="G89" s="596">
        <f>'INPUT SHEET'!D163</f>
        <v/>
      </c>
      <c r="H89" s="596">
        <f>'INPUT SHEET'!E163</f>
        <v/>
      </c>
      <c r="I89" s="596">
        <f>'INPUT SHEET'!F163</f>
        <v/>
      </c>
      <c r="J89" s="596">
        <f>'INPUT SHEET'!G163</f>
        <v/>
      </c>
      <c r="K89" s="596">
        <f>'INPUT SHEET'!H163</f>
        <v/>
      </c>
      <c r="L89" s="596">
        <f>'INPUT SHEET'!I163</f>
        <v/>
      </c>
      <c r="M89" s="596">
        <f>'INPUT SHEET'!J163</f>
        <v/>
      </c>
      <c r="N89" s="596">
        <f>'INPUT SHEET'!K163</f>
        <v/>
      </c>
      <c r="O89" s="596">
        <f>'INPUT SHEET'!L163</f>
        <v/>
      </c>
      <c r="P89" s="596">
        <f>'INPUT SHEET'!M163</f>
        <v/>
      </c>
    </row>
    <row r="90" ht="15" customHeight="1">
      <c r="B90" t="inlineStr">
        <is>
          <t>Net Block (13-14)</t>
        </is>
      </c>
      <c r="E90" s="599">
        <f>E88-E89</f>
        <v/>
      </c>
      <c r="F90" s="599">
        <f>F88-F89</f>
        <v/>
      </c>
      <c r="G90" s="599">
        <f>G88-G89</f>
        <v/>
      </c>
      <c r="H90" s="599">
        <f>H88-H89</f>
        <v/>
      </c>
      <c r="I90" s="599">
        <f>I88-I89</f>
        <v/>
      </c>
      <c r="J90" s="599">
        <f>J88-J89</f>
        <v/>
      </c>
      <c r="K90" s="599">
        <f>K88-K89</f>
        <v/>
      </c>
      <c r="L90" s="599">
        <f>L88-L89</f>
        <v/>
      </c>
      <c r="M90" s="599">
        <f>M88-M89</f>
        <v/>
      </c>
      <c r="N90" s="599">
        <f>N88-N89</f>
        <v/>
      </c>
      <c r="O90" s="599">
        <f>O88-O89</f>
        <v/>
      </c>
      <c r="P90" s="599">
        <f>P88-P89</f>
        <v/>
      </c>
    </row>
    <row r="91" ht="15" customHeight="1">
      <c r="E91" s="597" t="n"/>
      <c r="F91" s="606" t="n"/>
      <c r="G91" s="605" t="n"/>
      <c r="H91" s="597" t="n"/>
      <c r="I91" s="597" t="n"/>
      <c r="J91" s="597" t="n"/>
      <c r="K91" s="597" t="n"/>
      <c r="L91" s="597" t="n"/>
      <c r="M91" s="597" t="n"/>
      <c r="N91" s="597" t="n"/>
      <c r="O91" s="597" t="n"/>
      <c r="P91" s="597" t="n"/>
    </row>
    <row r="92" ht="15" customHeight="1">
      <c r="B92" s="225" t="inlineStr">
        <is>
          <t>OTHER NON-CURRENT ASSETS</t>
        </is>
      </c>
      <c r="E92" s="597" t="n"/>
      <c r="F92" s="606" t="n"/>
      <c r="G92" s="605" t="n"/>
      <c r="H92" s="597" t="n"/>
      <c r="I92" s="597" t="n"/>
      <c r="J92" s="597" t="n"/>
      <c r="K92" s="597" t="n"/>
      <c r="L92" s="597" t="n"/>
      <c r="M92" s="597" t="n"/>
      <c r="N92" s="597" t="n"/>
      <c r="O92" s="597" t="n"/>
      <c r="P92" s="597" t="n"/>
    </row>
    <row r="93" ht="15" customHeight="1">
      <c r="A93" t="n">
        <v>15</v>
      </c>
      <c r="B93">
        <f>'INPUT SHEET'!A228</f>
        <v/>
      </c>
      <c r="E93" s="475">
        <f>E94+E95</f>
        <v/>
      </c>
      <c r="F93" s="475">
        <f>F94+F95</f>
        <v/>
      </c>
      <c r="G93" s="475">
        <f>G94+G95</f>
        <v/>
      </c>
      <c r="H93" s="475">
        <f>H94+H95</f>
        <v/>
      </c>
      <c r="I93" s="475">
        <f>I94+I95</f>
        <v/>
      </c>
      <c r="J93" s="475">
        <f>J94+J95</f>
        <v/>
      </c>
      <c r="K93" s="475">
        <f>K94+K95</f>
        <v/>
      </c>
      <c r="L93" s="475">
        <f>L94+L95</f>
        <v/>
      </c>
      <c r="M93" s="475">
        <f>M94+M95</f>
        <v/>
      </c>
      <c r="N93" s="475">
        <f>N94+N95</f>
        <v/>
      </c>
      <c r="O93" s="475">
        <f>O94+O95</f>
        <v/>
      </c>
      <c r="P93" s="475">
        <f>P94+P95</f>
        <v/>
      </c>
    </row>
    <row r="94" ht="15" customHeight="1">
      <c r="B94" t="inlineStr">
        <is>
          <t>a.</t>
        </is>
      </c>
      <c r="C94">
        <f>'INPUT SHEET'!A229</f>
        <v/>
      </c>
      <c r="E94" s="597">
        <f>'INPUT SHEET'!B229</f>
        <v/>
      </c>
      <c r="F94" s="597">
        <f>'INPUT SHEET'!C229</f>
        <v/>
      </c>
      <c r="G94" s="597">
        <f>'INPUT SHEET'!D229</f>
        <v/>
      </c>
      <c r="H94" s="597">
        <f>'INPUT SHEET'!E229</f>
        <v/>
      </c>
      <c r="I94" s="597">
        <f>'INPUT SHEET'!F229</f>
        <v/>
      </c>
      <c r="J94" s="597">
        <f>'INPUT SHEET'!G229</f>
        <v/>
      </c>
      <c r="K94" s="597">
        <f>'INPUT SHEET'!H229</f>
        <v/>
      </c>
      <c r="L94" s="597">
        <f>'INPUT SHEET'!I229</f>
        <v/>
      </c>
      <c r="M94" s="597">
        <f>'INPUT SHEET'!J229</f>
        <v/>
      </c>
      <c r="N94" s="597">
        <f>'INPUT SHEET'!K229</f>
        <v/>
      </c>
      <c r="O94" s="597">
        <f>'INPUT SHEET'!L229</f>
        <v/>
      </c>
      <c r="P94" s="597">
        <f>'INPUT SHEET'!M229</f>
        <v/>
      </c>
    </row>
    <row r="95" ht="15" customHeight="1">
      <c r="B95" t="inlineStr">
        <is>
          <t>b.</t>
        </is>
      </c>
      <c r="C95">
        <f>'INPUT SHEET'!A230</f>
        <v/>
      </c>
      <c r="E95" s="597">
        <f>'INPUT SHEET'!B230</f>
        <v/>
      </c>
      <c r="F95" s="597">
        <f>'INPUT SHEET'!C230</f>
        <v/>
      </c>
      <c r="G95" s="597">
        <f>'INPUT SHEET'!D230</f>
        <v/>
      </c>
      <c r="H95" s="597">
        <f>'INPUT SHEET'!E230</f>
        <v/>
      </c>
      <c r="I95" s="597">
        <f>'INPUT SHEET'!F230</f>
        <v/>
      </c>
      <c r="J95" s="597">
        <f>'INPUT SHEET'!G230</f>
        <v/>
      </c>
      <c r="K95" s="597">
        <f>'INPUT SHEET'!H230</f>
        <v/>
      </c>
      <c r="L95" s="597">
        <f>'INPUT SHEET'!I230</f>
        <v/>
      </c>
      <c r="M95" s="597">
        <f>'INPUT SHEET'!J230</f>
        <v/>
      </c>
      <c r="N95" s="597">
        <f>'INPUT SHEET'!K230</f>
        <v/>
      </c>
      <c r="O95" s="597">
        <f>'INPUT SHEET'!L230</f>
        <v/>
      </c>
      <c r="P95" s="597">
        <f>'INPUT SHEET'!M230</f>
        <v/>
      </c>
    </row>
    <row r="96" ht="15" customHeight="1">
      <c r="A96" t="n">
        <v>16</v>
      </c>
      <c r="B96">
        <f>'INPUT SHEET'!A232</f>
        <v/>
      </c>
      <c r="E96" s="597">
        <f>'INPUT SHEET'!B232</f>
        <v/>
      </c>
      <c r="F96" s="597">
        <f>'INPUT SHEET'!C232</f>
        <v/>
      </c>
      <c r="G96" s="597">
        <f>'INPUT SHEET'!D232</f>
        <v/>
      </c>
      <c r="H96" s="597">
        <f>'INPUT SHEET'!E232</f>
        <v/>
      </c>
      <c r="I96" s="597">
        <f>'INPUT SHEET'!F232</f>
        <v/>
      </c>
      <c r="J96" s="597">
        <f>'INPUT SHEET'!G232</f>
        <v/>
      </c>
      <c r="K96" s="597">
        <f>'INPUT SHEET'!H232</f>
        <v/>
      </c>
      <c r="L96" s="597">
        <f>'INPUT SHEET'!I232</f>
        <v/>
      </c>
      <c r="M96" s="597">
        <f>'INPUT SHEET'!J232</f>
        <v/>
      </c>
      <c r="N96" s="597">
        <f>'INPUT SHEET'!K232</f>
        <v/>
      </c>
      <c r="O96" s="597">
        <f>'INPUT SHEET'!L232</f>
        <v/>
      </c>
      <c r="P96" s="597">
        <f>'INPUT SHEET'!M232</f>
        <v/>
      </c>
    </row>
    <row r="97" ht="15" customHeight="1">
      <c r="A97" t="n">
        <v>17</v>
      </c>
      <c r="B97">
        <f>'INPUT SHEET'!A233</f>
        <v/>
      </c>
      <c r="E97" s="597">
        <f>'INPUT SHEET'!B233</f>
        <v/>
      </c>
      <c r="F97" s="597">
        <f>'INPUT SHEET'!C233</f>
        <v/>
      </c>
      <c r="G97" s="597">
        <f>'INPUT SHEET'!D233</f>
        <v/>
      </c>
      <c r="H97" s="597">
        <f>'INPUT SHEET'!E233</f>
        <v/>
      </c>
      <c r="I97" s="597">
        <f>'INPUT SHEET'!F233</f>
        <v/>
      </c>
      <c r="J97" s="597">
        <f>'INPUT SHEET'!G233</f>
        <v/>
      </c>
      <c r="K97" s="597">
        <f>'INPUT SHEET'!H233</f>
        <v/>
      </c>
      <c r="L97" s="597">
        <f>'INPUT SHEET'!I233</f>
        <v/>
      </c>
      <c r="M97" s="597">
        <f>'INPUT SHEET'!J233</f>
        <v/>
      </c>
      <c r="N97" s="597">
        <f>'INPUT SHEET'!K233</f>
        <v/>
      </c>
      <c r="O97" s="597">
        <f>'INPUT SHEET'!L233</f>
        <v/>
      </c>
      <c r="P97" s="597">
        <f>'INPUT SHEET'!M233</f>
        <v/>
      </c>
    </row>
    <row r="98" ht="12.9" customHeight="1">
      <c r="A98" t="n">
        <v>18</v>
      </c>
      <c r="B98">
        <f>'INPUT SHEET'!A234</f>
        <v/>
      </c>
      <c r="E98" s="597">
        <f>'INPUT SHEET'!B234</f>
        <v/>
      </c>
      <c r="F98" s="597">
        <f>'INPUT SHEET'!C234</f>
        <v/>
      </c>
      <c r="G98" s="597">
        <f>'INPUT SHEET'!D234</f>
        <v/>
      </c>
      <c r="H98" s="597">
        <f>'INPUT SHEET'!E234</f>
        <v/>
      </c>
      <c r="I98" s="597">
        <f>'INPUT SHEET'!F234</f>
        <v/>
      </c>
      <c r="J98" s="597">
        <f>'INPUT SHEET'!G234</f>
        <v/>
      </c>
      <c r="K98" s="597">
        <f>'INPUT SHEET'!H234</f>
        <v/>
      </c>
      <c r="L98" s="597">
        <f>'INPUT SHEET'!I234</f>
        <v/>
      </c>
      <c r="M98" s="597">
        <f>'INPUT SHEET'!J234</f>
        <v/>
      </c>
      <c r="N98" s="597">
        <f>'INPUT SHEET'!K234</f>
        <v/>
      </c>
      <c r="O98" s="597">
        <f>'INPUT SHEET'!L234</f>
        <v/>
      </c>
      <c r="P98" s="597">
        <f>'INPUT SHEET'!M234</f>
        <v/>
      </c>
    </row>
    <row r="99" ht="15" customHeight="1">
      <c r="A99" t="n">
        <v>19</v>
      </c>
      <c r="B99" t="inlineStr">
        <is>
          <t>Others</t>
        </is>
      </c>
      <c r="E99" s="630">
        <f>E100+E101+E102+E103</f>
        <v/>
      </c>
      <c r="F99" s="630">
        <f>F100+F101+F102+F103</f>
        <v/>
      </c>
      <c r="G99" s="630">
        <f>G100+G101+G102+G103</f>
        <v/>
      </c>
      <c r="H99" s="630">
        <f>H100+H101+H102+H103</f>
        <v/>
      </c>
      <c r="I99" s="630">
        <f>I100+I101+I102+I103</f>
        <v/>
      </c>
      <c r="J99" s="630">
        <f>J100+J101+J102+J103</f>
        <v/>
      </c>
      <c r="K99" s="630">
        <f>K100+K101+K102+K103</f>
        <v/>
      </c>
      <c r="L99" s="630">
        <f>L100+L101+L102+L103</f>
        <v/>
      </c>
      <c r="M99" s="630">
        <f>M100+M101+M102+M103</f>
        <v/>
      </c>
      <c r="N99" s="630">
        <f>N100+N101+N102+N103</f>
        <v/>
      </c>
      <c r="O99" s="630">
        <f>O100+O101+O102+O103</f>
        <v/>
      </c>
      <c r="P99" s="630">
        <f>P100+P101+P102+P103</f>
        <v/>
      </c>
    </row>
    <row r="100" ht="15" customHeight="1">
      <c r="B100" t="inlineStr">
        <is>
          <t>a.</t>
        </is>
      </c>
      <c r="C100" s="271">
        <f>'INPUT SHEET'!A235</f>
        <v/>
      </c>
      <c r="E100" s="626">
        <f>'INPUT SHEET'!B235</f>
        <v/>
      </c>
      <c r="F100" s="626">
        <f>'INPUT SHEET'!C235</f>
        <v/>
      </c>
      <c r="G100" s="626">
        <f>'INPUT SHEET'!D235</f>
        <v/>
      </c>
      <c r="H100" s="626">
        <f>'INPUT SHEET'!E235</f>
        <v/>
      </c>
      <c r="I100" s="626">
        <f>'INPUT SHEET'!F235</f>
        <v/>
      </c>
      <c r="J100" s="626">
        <f>'INPUT SHEET'!G235</f>
        <v/>
      </c>
      <c r="K100" s="626">
        <f>'INPUT SHEET'!H235</f>
        <v/>
      </c>
      <c r="L100" s="626">
        <f>'INPUT SHEET'!I235</f>
        <v/>
      </c>
      <c r="M100" s="626">
        <f>'INPUT SHEET'!J235</f>
        <v/>
      </c>
      <c r="N100" s="626">
        <f>'INPUT SHEET'!K235</f>
        <v/>
      </c>
      <c r="O100" s="626">
        <f>'INPUT SHEET'!L235</f>
        <v/>
      </c>
      <c r="P100" s="626">
        <f>'INPUT SHEET'!M235</f>
        <v/>
      </c>
    </row>
    <row r="101" ht="15" customHeight="1">
      <c r="B101" t="inlineStr">
        <is>
          <t>b.</t>
        </is>
      </c>
      <c r="C101" s="271">
        <f>'INPUT SHEET'!A236</f>
        <v/>
      </c>
      <c r="E101" s="626">
        <f>'INPUT SHEET'!B236</f>
        <v/>
      </c>
      <c r="F101" s="626">
        <f>'INPUT SHEET'!C236</f>
        <v/>
      </c>
      <c r="G101" s="626">
        <f>'INPUT SHEET'!D236</f>
        <v/>
      </c>
      <c r="H101" s="626">
        <f>'INPUT SHEET'!E236</f>
        <v/>
      </c>
      <c r="I101" s="626">
        <f>'INPUT SHEET'!F236</f>
        <v/>
      </c>
      <c r="J101" s="626">
        <f>'INPUT SHEET'!G236</f>
        <v/>
      </c>
      <c r="K101" s="626">
        <f>'INPUT SHEET'!H236</f>
        <v/>
      </c>
      <c r="L101" s="626">
        <f>'INPUT SHEET'!I236</f>
        <v/>
      </c>
      <c r="M101" s="626">
        <f>'INPUT SHEET'!J236</f>
        <v/>
      </c>
      <c r="N101" s="626">
        <f>'INPUT SHEET'!K236</f>
        <v/>
      </c>
      <c r="O101" s="626">
        <f>'INPUT SHEET'!L236</f>
        <v/>
      </c>
      <c r="P101" s="626">
        <f>'INPUT SHEET'!M236</f>
        <v/>
      </c>
    </row>
    <row r="102" ht="15" customHeight="1">
      <c r="B102" t="inlineStr">
        <is>
          <t>c.</t>
        </is>
      </c>
      <c r="C102" s="271">
        <f>'INPUT SHEET'!A237</f>
        <v/>
      </c>
      <c r="E102" s="626">
        <f>'INPUT SHEET'!B237</f>
        <v/>
      </c>
      <c r="F102" s="626">
        <f>'INPUT SHEET'!C237</f>
        <v/>
      </c>
      <c r="G102" s="626">
        <f>'INPUT SHEET'!D237</f>
        <v/>
      </c>
      <c r="H102" s="626">
        <f>'INPUT SHEET'!E237</f>
        <v/>
      </c>
      <c r="I102" s="626">
        <f>'INPUT SHEET'!F237</f>
        <v/>
      </c>
      <c r="J102" s="626">
        <f>'INPUT SHEET'!G237</f>
        <v/>
      </c>
      <c r="K102" s="626">
        <f>'INPUT SHEET'!H237</f>
        <v/>
      </c>
      <c r="L102" s="626">
        <f>'INPUT SHEET'!I237</f>
        <v/>
      </c>
      <c r="M102" s="626">
        <f>'INPUT SHEET'!J237</f>
        <v/>
      </c>
      <c r="N102" s="626">
        <f>'INPUT SHEET'!K237</f>
        <v/>
      </c>
      <c r="O102" s="626">
        <f>'INPUT SHEET'!L237</f>
        <v/>
      </c>
      <c r="P102" s="626">
        <f>'INPUT SHEET'!M237</f>
        <v/>
      </c>
    </row>
    <row r="103" ht="15" customHeight="1">
      <c r="B103" t="inlineStr">
        <is>
          <t>d.</t>
        </is>
      </c>
      <c r="C103" s="271">
        <f>'INPUT SHEET'!A238</f>
        <v/>
      </c>
      <c r="E103" s="626">
        <f>'INPUT SHEET'!B238</f>
        <v/>
      </c>
      <c r="F103" s="626">
        <f>'INPUT SHEET'!C238</f>
        <v/>
      </c>
      <c r="G103" s="626">
        <f>'INPUT SHEET'!D238</f>
        <v/>
      </c>
      <c r="H103" s="626">
        <f>'INPUT SHEET'!E238</f>
        <v/>
      </c>
      <c r="I103" s="626">
        <f>'INPUT SHEET'!F238</f>
        <v/>
      </c>
      <c r="J103" s="626">
        <f>'INPUT SHEET'!G238</f>
        <v/>
      </c>
      <c r="K103" s="626">
        <f>'INPUT SHEET'!H238</f>
        <v/>
      </c>
      <c r="L103" s="626">
        <f>'INPUT SHEET'!I238</f>
        <v/>
      </c>
      <c r="M103" s="626">
        <f>'INPUT SHEET'!J238</f>
        <v/>
      </c>
      <c r="N103" s="626">
        <f>'INPUT SHEET'!K238</f>
        <v/>
      </c>
      <c r="O103" s="626">
        <f>'INPUT SHEET'!L238</f>
        <v/>
      </c>
      <c r="P103" s="626">
        <f>'INPUT SHEET'!M238</f>
        <v/>
      </c>
    </row>
    <row r="104" ht="15" customHeight="1">
      <c r="A104" t="n">
        <v>20</v>
      </c>
      <c r="B104" s="225" t="inlineStr">
        <is>
          <t>Total Other Non-current Assets(15 to 19)</t>
        </is>
      </c>
      <c r="E104" s="633">
        <f>ROUND(E94+E95+E96+E97+E98+E100+E101+E102+E103,2)</f>
        <v/>
      </c>
      <c r="F104" s="633">
        <f>ROUND(F94+F95+F96+F97+F98+F100+F101+F102+F103,2)</f>
        <v/>
      </c>
      <c r="G104" s="633">
        <f>ROUND(G94+G95+G96+G97+G98+G100+G101+G102+G103,2)</f>
        <v/>
      </c>
      <c r="H104" s="633">
        <f>ROUND(H94+H95+H96+H97+H98+H100+H101+H102+H103,2)</f>
        <v/>
      </c>
      <c r="I104" s="633">
        <f>ROUND(I94+I95+I96+I97+I98+I100+I101+I102+I103,2)</f>
        <v/>
      </c>
      <c r="J104" s="633">
        <f>ROUND(J94+J95+J96+J97+J98+J100+J101+J102+J103,2)</f>
        <v/>
      </c>
      <c r="K104" s="633">
        <f>ROUND(K94+K95+K96+K97+K98+K100+K101+K102+K103,2)</f>
        <v/>
      </c>
      <c r="L104" s="633">
        <f>ROUND(L94+L95+L96+L97+L98+L100+L101+L102+L103,2)</f>
        <v/>
      </c>
      <c r="M104" s="633">
        <f>ROUND(M94+M95+M96+M97+M98+M100+M101+M102+M103,2)</f>
        <v/>
      </c>
      <c r="N104" s="633">
        <f>ROUND(N94+N95+N96+N97+N98+N100+N101+N102+N103,2)</f>
        <v/>
      </c>
      <c r="O104" s="633">
        <f>ROUND(O94+O95+O96+O97+O98+O100+O101+O102+O103,2)</f>
        <v/>
      </c>
      <c r="P104" s="633">
        <f>ROUND(P94+P95+P96+P97+P98+P100+P101+P102+P103,2)</f>
        <v/>
      </c>
    </row>
    <row r="105" ht="15" customHeight="1">
      <c r="E105" s="597" t="n"/>
      <c r="F105" s="606" t="n"/>
      <c r="G105" s="605" t="n"/>
      <c r="H105" s="597" t="n"/>
      <c r="I105" s="597" t="n"/>
      <c r="J105" s="597" t="n"/>
      <c r="K105" s="597" t="n"/>
      <c r="L105" s="597" t="n"/>
      <c r="M105" s="597" t="n"/>
      <c r="N105" s="597" t="n"/>
      <c r="O105" s="597" t="n"/>
      <c r="P105" s="597" t="n"/>
    </row>
    <row r="106" ht="15" customHeight="1">
      <c r="A106" t="n">
        <v>21</v>
      </c>
      <c r="B106" t="inlineStr">
        <is>
          <t xml:space="preserve">Intangible Assets </t>
        </is>
      </c>
      <c r="E106" s="597">
        <f>'INPUT SHEET'!B173</f>
        <v/>
      </c>
      <c r="F106" s="597">
        <f>'INPUT SHEET'!C173</f>
        <v/>
      </c>
      <c r="G106" s="597">
        <f>'INPUT SHEET'!D173</f>
        <v/>
      </c>
      <c r="H106" s="597">
        <f>'INPUT SHEET'!E173</f>
        <v/>
      </c>
      <c r="I106" s="597">
        <f>'INPUT SHEET'!F173</f>
        <v/>
      </c>
      <c r="J106" s="597">
        <f>'INPUT SHEET'!G173</f>
        <v/>
      </c>
      <c r="K106" s="597">
        <f>'INPUT SHEET'!H173</f>
        <v/>
      </c>
      <c r="L106" s="597">
        <f>'INPUT SHEET'!I173</f>
        <v/>
      </c>
      <c r="M106" s="597">
        <f>'INPUT SHEET'!J173</f>
        <v/>
      </c>
      <c r="N106" s="597">
        <f>'INPUT SHEET'!K173</f>
        <v/>
      </c>
      <c r="O106" s="597">
        <f>'INPUT SHEET'!L173</f>
        <v/>
      </c>
      <c r="P106" s="597">
        <f>'INPUT SHEET'!M173</f>
        <v/>
      </c>
    </row>
    <row r="107" ht="15" customHeight="1">
      <c r="A107" t="n">
        <v>22</v>
      </c>
      <c r="B107" s="225" t="inlineStr">
        <is>
          <t>Total Assets (10+14+20+21)</t>
        </is>
      </c>
      <c r="E107" s="619">
        <f>ROUND(E83+E90+E104+E106,2)</f>
        <v/>
      </c>
      <c r="F107" s="634">
        <f>ROUND(F83+F90+F104+F106,2)</f>
        <v/>
      </c>
      <c r="G107" s="628">
        <f>ROUND(G83+G90+G104+G106,2)</f>
        <v/>
      </c>
      <c r="H107" s="619">
        <f>ROUND(H83+H90+H104+H106,2)</f>
        <v/>
      </c>
      <c r="I107" s="619">
        <f>ROUND(I83+I90+I104+I106,2)</f>
        <v/>
      </c>
      <c r="J107" s="619">
        <f>ROUND(J83+J90+J104+J106,2)</f>
        <v/>
      </c>
      <c r="K107" s="619">
        <f>ROUND(K83+K90+K104+K106,2)</f>
        <v/>
      </c>
      <c r="L107" s="619">
        <f>ROUND(L83+L90+L104+L106,2)</f>
        <v/>
      </c>
      <c r="M107" s="619">
        <f>ROUND(M83+M90+M104+M106,2)</f>
        <v/>
      </c>
      <c r="N107" s="619">
        <f>ROUND(N83+N90+N104+N106,2)</f>
        <v/>
      </c>
      <c r="O107" s="619">
        <f>ROUND(O83+O90+O104+O106,2)</f>
        <v/>
      </c>
      <c r="P107" s="619">
        <f>ROUND(P83+P90+P104+P106,2)</f>
        <v/>
      </c>
    </row>
    <row r="108" ht="15" customHeight="1">
      <c r="B108" s="225" t="n"/>
      <c r="E108" s="635" t="n"/>
      <c r="F108" s="629" t="n"/>
      <c r="G108" s="636" t="n"/>
      <c r="H108" s="635" t="n"/>
      <c r="I108" s="635" t="n"/>
      <c r="J108" s="635" t="n"/>
      <c r="K108" s="635" t="n"/>
      <c r="L108" s="635" t="n"/>
      <c r="M108" s="635" t="n"/>
      <c r="N108" s="635" t="n"/>
      <c r="O108" s="635" t="n"/>
      <c r="P108" s="635" t="n"/>
    </row>
    <row r="109" ht="15" customHeight="1">
      <c r="B109" t="inlineStr">
        <is>
          <t>Tangible Net Worth</t>
        </is>
      </c>
      <c r="E109" s="597">
        <f>E49-E46-E106</f>
        <v/>
      </c>
      <c r="F109" s="597">
        <f>F49-F46-F106</f>
        <v/>
      </c>
      <c r="G109" s="597">
        <f>G49-G46-G106</f>
        <v/>
      </c>
      <c r="H109" s="597">
        <f>H49-H46-H106</f>
        <v/>
      </c>
      <c r="I109" s="597">
        <f>I49-I46-I106</f>
        <v/>
      </c>
      <c r="J109" s="597">
        <f>J49-J46-J106</f>
        <v/>
      </c>
      <c r="K109" s="597">
        <f>K49-K46-K106</f>
        <v/>
      </c>
      <c r="L109" s="597">
        <f>L49-L46-L106</f>
        <v/>
      </c>
      <c r="M109" s="597">
        <f>M49-M46-M106</f>
        <v/>
      </c>
      <c r="N109" s="597">
        <f>N49-N46-N106</f>
        <v/>
      </c>
      <c r="O109" s="597">
        <f>O49-O46-O106</f>
        <v/>
      </c>
      <c r="P109" s="597">
        <f>P49-P46-P106</f>
        <v/>
      </c>
    </row>
    <row r="110" ht="15" customHeight="1">
      <c r="B110" s="224" t="inlineStr">
        <is>
          <t>Net Working Capital</t>
        </is>
      </c>
      <c r="E110" s="637">
        <f>ROUND(E83-E29,2)</f>
        <v/>
      </c>
      <c r="F110" s="638">
        <f>ROUND(F83-F29,2)</f>
        <v/>
      </c>
      <c r="G110" s="639">
        <f>ROUND(G83-G29,2)</f>
        <v/>
      </c>
      <c r="H110" s="637">
        <f>ROUND(H83-H29,2)</f>
        <v/>
      </c>
      <c r="I110" s="637">
        <f>ROUND(I83-I29,2)</f>
        <v/>
      </c>
      <c r="J110" s="637">
        <f>ROUND(J83-J29,2)</f>
        <v/>
      </c>
      <c r="K110" s="637">
        <f>ROUND(K83-K29,2)</f>
        <v/>
      </c>
      <c r="L110" s="637">
        <f>ROUND(L83-L29,2)</f>
        <v/>
      </c>
      <c r="M110" s="637">
        <f>ROUND(M83-M29,2)</f>
        <v/>
      </c>
      <c r="N110" s="637">
        <f>ROUND(N83-N29,2)</f>
        <v/>
      </c>
      <c r="O110" s="637">
        <f>ROUND(O83-O29,2)</f>
        <v/>
      </c>
      <c r="P110" s="637">
        <f>ROUND(P83-P29,2)</f>
        <v/>
      </c>
    </row>
    <row r="111" ht="15" customHeight="1">
      <c r="B111" t="inlineStr">
        <is>
          <t xml:space="preserve">Current Ratio </t>
        </is>
      </c>
      <c r="E111" s="597">
        <f>IF(E83&lt;&gt;0,E83/E29,"")</f>
        <v/>
      </c>
      <c r="F111" s="606">
        <f>IF(F83&lt;&gt;0,F83/F29,"")</f>
        <v/>
      </c>
      <c r="G111" s="605">
        <f>IF(G83&lt;&gt;0,G83/G29,"")</f>
        <v/>
      </c>
      <c r="H111" s="597">
        <f>IF(H83&lt;&gt;0,H83/H29,"")</f>
        <v/>
      </c>
      <c r="I111" s="597">
        <f>IF(I83&lt;&gt;0,I83/I29,"")</f>
        <v/>
      </c>
      <c r="J111" s="597">
        <f>IF(J83&lt;&gt;0,J83/J29,"")</f>
        <v/>
      </c>
      <c r="K111" s="597">
        <f>IF(K83&lt;&gt;0,K83/K29,"")</f>
        <v/>
      </c>
      <c r="L111" s="597">
        <f>IF(L83&lt;&gt;0,L83/L29,"")</f>
        <v/>
      </c>
      <c r="M111" s="597">
        <f>IF(M83&lt;&gt;0,M83/M29,"")</f>
        <v/>
      </c>
      <c r="N111" s="597">
        <f>IF(N83&lt;&gt;0,N83/N29,"")</f>
        <v/>
      </c>
      <c r="O111" s="597">
        <f>IF(O83&lt;&gt;0,O83/O29,"")</f>
        <v/>
      </c>
      <c r="P111" s="597">
        <f>IF(P83&lt;&gt;0,P83/P29,"")</f>
        <v/>
      </c>
    </row>
    <row r="112" ht="12.9" customHeight="1">
      <c r="B112" t="inlineStr">
        <is>
          <t>TOL / TNW</t>
        </is>
      </c>
      <c r="E112" s="597">
        <f>IF(E38&lt;&gt;0,E38/E109,"")</f>
        <v/>
      </c>
      <c r="F112" s="606">
        <f>IF(F38&lt;&gt;0,F38/F109,"")</f>
        <v/>
      </c>
      <c r="G112" s="605">
        <f>IF(G38&lt;&gt;0,G38/G109,"")</f>
        <v/>
      </c>
      <c r="H112" s="597">
        <f>IF(H38&lt;&gt;0,H38/H109,"")</f>
        <v/>
      </c>
      <c r="I112" s="597">
        <f>IF(I38&lt;&gt;0,I38/I109,"")</f>
        <v/>
      </c>
      <c r="J112" s="597">
        <f>IF(J38&lt;&gt;0,J38/J109,"")</f>
        <v/>
      </c>
      <c r="K112" s="597">
        <f>IF(K38&lt;&gt;0,K38/K109,"")</f>
        <v/>
      </c>
      <c r="L112" s="597">
        <f>IF(L38&lt;&gt;0,L38/L109,"")</f>
        <v/>
      </c>
      <c r="M112" s="597">
        <f>IF(M38&lt;&gt;0,M38/M109,"")</f>
        <v/>
      </c>
      <c r="N112" s="597">
        <f>IF(N38&lt;&gt;0,N38/N109,"")</f>
        <v/>
      </c>
      <c r="O112" s="597">
        <f>IF(O38&lt;&gt;0,O38/O109,"")</f>
        <v/>
      </c>
      <c r="P112" s="597">
        <f>IF(P38&lt;&gt;0,P38/P109,"")</f>
        <v/>
      </c>
    </row>
    <row r="113" ht="12.9" customHeight="1">
      <c r="B113" t="inlineStr">
        <is>
          <t>Total Term Liabilities / TNW</t>
        </is>
      </c>
      <c r="E113" s="597">
        <f>IF(E37&lt;&gt;0,E37/E109,"")</f>
        <v/>
      </c>
      <c r="F113" s="606">
        <f>IF(F37&lt;&gt;0,F37/F109,"")</f>
        <v/>
      </c>
      <c r="G113" s="605">
        <f>IF(G37&lt;&gt;0,G37/G109,"")</f>
        <v/>
      </c>
      <c r="H113" s="597">
        <f>IF(H37&lt;&gt;0,H37/H109,"")</f>
        <v/>
      </c>
      <c r="I113" s="597">
        <f>IF(I37&lt;&gt;0,I37/I109,"")</f>
        <v/>
      </c>
      <c r="J113" s="597">
        <f>IF(J37&lt;&gt;0,J37/J109,"")</f>
        <v/>
      </c>
      <c r="K113" s="597">
        <f>IF(K37&lt;&gt;0,K37/K109,"")</f>
        <v/>
      </c>
      <c r="L113" s="597">
        <f>IF(L37&lt;&gt;0,L37/L109,"")</f>
        <v/>
      </c>
      <c r="M113" s="597">
        <f>IF(M37&lt;&gt;0,M37/M109,"")</f>
        <v/>
      </c>
      <c r="N113" s="597">
        <f>IF(N37&lt;&gt;0,N37/N109,"")</f>
        <v/>
      </c>
      <c r="O113" s="597">
        <f>IF(O37&lt;&gt;0,O37/O109,"")</f>
        <v/>
      </c>
      <c r="P113" s="597">
        <f>IF(P37&lt;&gt;0,P37/P109,"")</f>
        <v/>
      </c>
    </row>
    <row r="114" ht="15" customHeight="1">
      <c r="E114" s="597" t="n"/>
      <c r="F114" s="606" t="n"/>
      <c r="G114" s="605" t="n"/>
      <c r="H114" s="597" t="n"/>
      <c r="I114" s="597" t="n"/>
      <c r="J114" s="597" t="n"/>
      <c r="K114" s="597" t="n"/>
      <c r="L114" s="597" t="n"/>
      <c r="M114" s="597" t="n"/>
      <c r="N114" s="597" t="n"/>
      <c r="O114" s="597" t="n"/>
      <c r="P114" s="597" t="n"/>
    </row>
    <row r="115" ht="15" customHeight="1">
      <c r="B115" s="225" t="inlineStr">
        <is>
          <t>ADDITIONAL INFORMATION</t>
        </is>
      </c>
      <c r="E115" s="597" t="n"/>
      <c r="F115" s="606" t="n"/>
      <c r="G115" s="605" t="n"/>
      <c r="H115" s="597" t="n"/>
      <c r="I115" s="597" t="n"/>
      <c r="J115" s="597" t="n"/>
      <c r="K115" s="597" t="n"/>
      <c r="L115" s="597" t="n"/>
      <c r="M115" s="597" t="n"/>
      <c r="N115" s="597" t="n"/>
      <c r="O115" s="597" t="n"/>
      <c r="P115" s="597" t="n"/>
    </row>
    <row r="116" ht="15" customHeight="1">
      <c r="B116">
        <f>'INPUT SHEET'!A253</f>
        <v/>
      </c>
      <c r="E116" s="597" t="n"/>
      <c r="F116" s="606" t="n"/>
      <c r="G116" s="605" t="n"/>
      <c r="H116" s="597" t="n"/>
      <c r="I116" s="597" t="n"/>
      <c r="J116" s="597" t="n"/>
      <c r="K116" s="597" t="n"/>
      <c r="L116" s="597" t="n"/>
      <c r="M116" s="597" t="n"/>
      <c r="N116" s="597" t="n"/>
      <c r="O116" s="597" t="n"/>
      <c r="P116" s="597" t="n"/>
    </row>
    <row r="117" ht="15" customHeight="1">
      <c r="B117" t="inlineStr">
        <is>
          <t>i.</t>
        </is>
      </c>
      <c r="C117">
        <f>'INPUT SHEET'!A254</f>
        <v/>
      </c>
      <c r="E117" s="597">
        <f>'INPUT SHEET'!B254</f>
        <v/>
      </c>
      <c r="F117" s="606">
        <f>'INPUT SHEET'!C254</f>
        <v/>
      </c>
      <c r="G117" s="605">
        <f>'INPUT SHEET'!D254</f>
        <v/>
      </c>
      <c r="H117" s="597">
        <f>'INPUT SHEET'!E254</f>
        <v/>
      </c>
      <c r="I117" s="597">
        <f>'INPUT SHEET'!F254</f>
        <v/>
      </c>
      <c r="J117" s="597">
        <f>'INPUT SHEET'!G254</f>
        <v/>
      </c>
      <c r="K117" s="597">
        <f>'INPUT SHEET'!H254</f>
        <v/>
      </c>
      <c r="L117" s="597">
        <f>'INPUT SHEET'!I254</f>
        <v/>
      </c>
      <c r="M117" s="597">
        <f>'INPUT SHEET'!J254</f>
        <v/>
      </c>
      <c r="N117" s="597">
        <f>'INPUT SHEET'!K254</f>
        <v/>
      </c>
      <c r="O117" s="597">
        <f>'INPUT SHEET'!L254</f>
        <v/>
      </c>
      <c r="P117" s="597">
        <f>'INPUT SHEET'!M254</f>
        <v/>
      </c>
    </row>
    <row r="118" ht="15" customHeight="1">
      <c r="B118" t="inlineStr">
        <is>
          <t>ii.</t>
        </is>
      </c>
      <c r="C118">
        <f>'INPUT SHEET'!A255</f>
        <v/>
      </c>
      <c r="E118" s="597">
        <f>'INPUT SHEET'!B255</f>
        <v/>
      </c>
      <c r="F118" s="606">
        <f>'INPUT SHEET'!C255</f>
        <v/>
      </c>
      <c r="G118" s="605">
        <f>'INPUT SHEET'!D255</f>
        <v/>
      </c>
      <c r="H118" s="597">
        <f>'INPUT SHEET'!E255</f>
        <v/>
      </c>
      <c r="I118" s="597">
        <f>'INPUT SHEET'!F255</f>
        <v/>
      </c>
      <c r="J118" s="597">
        <f>'INPUT SHEET'!G255</f>
        <v/>
      </c>
      <c r="K118" s="597">
        <f>'INPUT SHEET'!H255</f>
        <v/>
      </c>
      <c r="L118" s="597">
        <f>'INPUT SHEET'!I255</f>
        <v/>
      </c>
      <c r="M118" s="597">
        <f>'INPUT SHEET'!J255</f>
        <v/>
      </c>
      <c r="N118" s="597">
        <f>'INPUT SHEET'!K255</f>
        <v/>
      </c>
      <c r="O118" s="597">
        <f>'INPUT SHEET'!L255</f>
        <v/>
      </c>
      <c r="P118" s="597">
        <f>'INPUT SHEET'!M255</f>
        <v/>
      </c>
    </row>
    <row r="119" ht="15" customHeight="1">
      <c r="B119" t="inlineStr">
        <is>
          <t>iii.</t>
        </is>
      </c>
      <c r="C119">
        <f>'INPUT SHEET'!A256</f>
        <v/>
      </c>
      <c r="E119" s="597">
        <f>'INPUT SHEET'!B256</f>
        <v/>
      </c>
      <c r="F119" s="606">
        <f>'INPUT SHEET'!C256</f>
        <v/>
      </c>
      <c r="G119" s="605">
        <f>'INPUT SHEET'!D256</f>
        <v/>
      </c>
      <c r="H119" s="597">
        <f>'INPUT SHEET'!E256</f>
        <v/>
      </c>
      <c r="I119" s="597">
        <f>'INPUT SHEET'!F256</f>
        <v/>
      </c>
      <c r="J119" s="597">
        <f>'INPUT SHEET'!G256</f>
        <v/>
      </c>
      <c r="K119" s="597">
        <f>'INPUT SHEET'!H256</f>
        <v/>
      </c>
      <c r="L119" s="597">
        <f>'INPUT SHEET'!I256</f>
        <v/>
      </c>
      <c r="M119" s="597">
        <f>'INPUT SHEET'!J256</f>
        <v/>
      </c>
      <c r="N119" s="597">
        <f>'INPUT SHEET'!K256</f>
        <v/>
      </c>
      <c r="O119" s="597">
        <f>'INPUT SHEET'!L256</f>
        <v/>
      </c>
      <c r="P119" s="597">
        <f>'INPUT SHEET'!M256</f>
        <v/>
      </c>
    </row>
    <row r="120" ht="15" customHeight="1">
      <c r="B120" t="inlineStr">
        <is>
          <t>iv.</t>
        </is>
      </c>
      <c r="C120">
        <f>'INPUT SHEET'!A257</f>
        <v/>
      </c>
      <c r="E120" s="597" t="n"/>
      <c r="F120" s="606" t="n"/>
      <c r="G120" s="605" t="n"/>
      <c r="H120" s="597" t="n"/>
      <c r="I120" s="597" t="n"/>
      <c r="J120" s="597" t="n"/>
      <c r="K120" s="597" t="n"/>
      <c r="L120" s="597" t="n"/>
      <c r="M120" s="597" t="n"/>
      <c r="N120" s="597" t="n"/>
      <c r="O120" s="597" t="n"/>
      <c r="P120" s="597" t="n"/>
    </row>
    <row r="121" ht="15" customHeight="1">
      <c r="B121" t="inlineStr">
        <is>
          <t>v.</t>
        </is>
      </c>
      <c r="C121">
        <f>'INPUT SHEET'!A258</f>
        <v/>
      </c>
      <c r="E121" s="618">
        <f>'INPUT SHEET'!B258</f>
        <v/>
      </c>
      <c r="F121" s="618">
        <f>'INPUT SHEET'!C258</f>
        <v/>
      </c>
      <c r="G121" s="640">
        <f>'INPUT SHEET'!D258</f>
        <v/>
      </c>
      <c r="H121" s="618">
        <f>'INPUT SHEET'!E258</f>
        <v/>
      </c>
      <c r="I121" s="618">
        <f>'INPUT SHEET'!F258</f>
        <v/>
      </c>
      <c r="J121" s="618">
        <f>'INPUT SHEET'!G258</f>
        <v/>
      </c>
      <c r="K121" s="618">
        <f>'INPUT SHEET'!H258</f>
        <v/>
      </c>
      <c r="L121" s="618">
        <f>'INPUT SHEET'!I258</f>
        <v/>
      </c>
      <c r="M121" s="618">
        <f>'INPUT SHEET'!J258</f>
        <v/>
      </c>
      <c r="N121" s="618">
        <f>'INPUT SHEET'!K258</f>
        <v/>
      </c>
      <c r="O121" s="618">
        <f>'INPUT SHEET'!L258</f>
        <v/>
      </c>
      <c r="P121" s="618">
        <f>'INPUT SHEET'!M258</f>
        <v/>
      </c>
    </row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</sheetData>
  <mergeCells count="7">
    <mergeCell ref="B59:D59"/>
    <mergeCell ref="B22:D22"/>
    <mergeCell ref="A54:D54"/>
    <mergeCell ref="B18:D18"/>
    <mergeCell ref="B88:D88"/>
    <mergeCell ref="B3:I3"/>
    <mergeCell ref="B4:I4"/>
  </mergeCells>
  <pageMargins left="0.984251968503937" right="0.7874015748031497" top="0.7874015748031497" bottom="0.7874015748031497" header="0.5118110236220472" footer="0.7480314960629921"/>
  <pageSetup orientation="portrait" paperSize="9" scale="41" fitToHeight="0" firstPageNumber="0" horizontalDpi="300" verticalDpi="300"/>
  <headerFooter alignWithMargins="0">
    <oddHeader>&amp;L&amp;"Century Gothic,Bold"&amp;12 ICICI Bank Limited</oddHeader>
    <oddFooter>&amp;L&amp;8 &amp;D&amp;C&amp;8 &amp;F (&amp;A)&amp;R&amp;8 Page &amp;P</oddFooter>
    <evenHeader/>
    <evenFooter/>
    <firstHeader/>
    <firstFooter/>
  </headerFooter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>
    <outlinePr summaryBelow="1" summaryRight="1"/>
    <pageSetUpPr fitToPage="1"/>
  </sheetPr>
  <dimension ref="A1:P30"/>
  <sheetViews>
    <sheetView showGridLines="0" zoomScale="90" zoomScaleNormal="90" workbookViewId="0">
      <pane xSplit="4" ySplit="9" topLeftCell="E23" activePane="bottomRight" state="frozen"/>
      <selection pane="topRight" activeCell="E1" sqref="E1"/>
      <selection pane="bottomLeft" activeCell="A10" sqref="A10"/>
      <selection pane="bottomRight" activeCell="J29" sqref="J29"/>
    </sheetView>
  </sheetViews>
  <sheetFormatPr baseColWidth="8" defaultRowHeight="13.2"/>
  <cols>
    <col width="4.109375" customWidth="1" min="1" max="1"/>
    <col width="3.88671875" customWidth="1" min="2" max="2"/>
    <col width="8" customWidth="1" min="3" max="3"/>
    <col width="30.109375" customWidth="1" min="4" max="4"/>
    <col width="13" customWidth="1" min="5" max="6"/>
    <col width="13.5546875" customWidth="1" min="7" max="7"/>
    <col width="14.88671875" customWidth="1" min="8" max="8"/>
    <col width="9.6640625" customWidth="1" min="9" max="13"/>
    <col hidden="1" outlineLevel="1" width="9.6640625" customWidth="1" min="14" max="16"/>
    <col collapsed="1" width="8.6640625" customWidth="1" min="17" max="17"/>
  </cols>
  <sheetData>
    <row r="1" ht="15" customHeight="1">
      <c r="A1" s="430" t="inlineStr">
        <is>
          <t>FORM V</t>
        </is>
      </c>
      <c r="B1" s="432" t="n"/>
      <c r="C1" s="432" t="n"/>
      <c r="D1" s="432" t="n"/>
      <c r="E1" s="432" t="n"/>
      <c r="F1" s="432" t="n"/>
      <c r="G1" s="432" t="n"/>
      <c r="H1" s="432" t="n"/>
      <c r="I1" s="432" t="n"/>
      <c r="J1" s="432" t="n"/>
      <c r="K1" s="432" t="n"/>
      <c r="L1" s="432" t="n"/>
      <c r="M1" s="432" t="n"/>
      <c r="N1" s="432" t="n"/>
      <c r="O1" s="432" t="n"/>
      <c r="P1" s="432" t="n"/>
    </row>
    <row r="2" ht="15" customHeight="1">
      <c r="A2" s="430" t="inlineStr">
        <is>
          <t>COMPUTATION OF MAXIMUM PERMISSIBLE BANK FINANCE FOR WORKING CAPITAL</t>
        </is>
      </c>
      <c r="B2" s="432" t="n"/>
      <c r="C2" s="432" t="n"/>
      <c r="D2" s="432" t="n"/>
      <c r="E2" s="432" t="n"/>
      <c r="F2" s="432" t="n"/>
      <c r="G2" s="432" t="n"/>
      <c r="H2" s="432" t="n"/>
      <c r="I2" s="432" t="n"/>
      <c r="J2" s="432" t="n"/>
      <c r="K2" s="432" t="n"/>
      <c r="L2" s="432" t="n"/>
      <c r="M2" s="432" t="n"/>
      <c r="N2" s="432" t="n"/>
      <c r="O2" s="432" t="n"/>
      <c r="P2" s="432" t="n"/>
    </row>
    <row r="3" ht="15" customHeight="1">
      <c r="A3" s="432" t="n"/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  <c r="P3" s="431" t="n"/>
    </row>
    <row r="4" ht="15" customHeight="1">
      <c r="C4" s="430">
        <f>Form_II!C4</f>
        <v/>
      </c>
      <c r="D4">
        <f>'INPUT SHEET'!B7</f>
        <v/>
      </c>
    </row>
    <row r="5" ht="15" customHeight="1">
      <c r="A5" s="225" t="n"/>
    </row>
    <row r="6" ht="15" customHeight="1">
      <c r="A6" s="304" t="inlineStr">
        <is>
          <t>First Method of Lending</t>
        </is>
      </c>
      <c r="D6" s="225" t="n"/>
    </row>
    <row r="7" ht="15" customHeight="1">
      <c r="E7" s="266">
        <f>'INPUT SHEET'!B10</f>
        <v/>
      </c>
      <c r="F7" s="266">
        <f>'INPUT SHEET'!C10</f>
        <v/>
      </c>
      <c r="G7" s="266">
        <f>'INPUT SHEET'!D10</f>
        <v/>
      </c>
      <c r="H7" s="266">
        <f>'INPUT SHEET'!E10</f>
        <v/>
      </c>
      <c r="I7" s="266">
        <f>'INPUT SHEET'!F10</f>
        <v/>
      </c>
      <c r="J7" s="266">
        <f>'INPUT SHEET'!G10</f>
        <v/>
      </c>
      <c r="K7" s="266">
        <f>'INPUT SHEET'!H10</f>
        <v/>
      </c>
      <c r="L7" s="266">
        <f>'INPUT SHEET'!I10</f>
        <v/>
      </c>
      <c r="M7" s="266">
        <f>'INPUT SHEET'!J10</f>
        <v/>
      </c>
      <c r="N7" s="266">
        <f>'INPUT SHEET'!K10</f>
        <v/>
      </c>
      <c r="O7" s="266">
        <f>'INPUT SHEET'!L10</f>
        <v/>
      </c>
      <c r="P7" s="266">
        <f>'INPUT SHEET'!M10</f>
        <v/>
      </c>
    </row>
    <row r="8" ht="15" customHeight="1">
      <c r="D8" s="289">
        <f>'INPUT SHEET'!A8</f>
        <v/>
      </c>
      <c r="E8" s="266">
        <f>'INPUT SHEET'!B8</f>
        <v/>
      </c>
      <c r="F8" s="266">
        <f>'INPUT SHEET'!C8</f>
        <v/>
      </c>
      <c r="G8" s="266">
        <f>'INPUT SHEET'!D8</f>
        <v/>
      </c>
      <c r="H8" s="266">
        <f>'INPUT SHEET'!E8</f>
        <v/>
      </c>
      <c r="I8" s="266">
        <f>'INPUT SHEET'!F8</f>
        <v/>
      </c>
      <c r="J8" s="266">
        <f>'INPUT SHEET'!G8</f>
        <v/>
      </c>
      <c r="K8" s="266">
        <f>'INPUT SHEET'!H8</f>
        <v/>
      </c>
      <c r="L8" s="266">
        <f>'INPUT SHEET'!I8</f>
        <v/>
      </c>
      <c r="M8" s="266">
        <f>'INPUT SHEET'!J8</f>
        <v/>
      </c>
      <c r="N8" s="266">
        <f>'INPUT SHEET'!K8</f>
        <v/>
      </c>
      <c r="O8" s="266">
        <f>'INPUT SHEET'!L8</f>
        <v/>
      </c>
      <c r="P8" s="266">
        <f>'INPUT SHEET'!M8</f>
        <v/>
      </c>
    </row>
    <row r="9" ht="15" customHeight="1">
      <c r="D9" s="289">
        <f>'INPUT SHEET'!A9</f>
        <v/>
      </c>
      <c r="E9" s="266">
        <f>'INPUT SHEET'!B9</f>
        <v/>
      </c>
      <c r="F9" s="266">
        <f>'INPUT SHEET'!C9</f>
        <v/>
      </c>
      <c r="G9" s="266">
        <f>'INPUT SHEET'!D9</f>
        <v/>
      </c>
      <c r="H9" s="266">
        <f>'INPUT SHEET'!E9</f>
        <v/>
      </c>
      <c r="I9" s="266">
        <f>'INPUT SHEET'!F9</f>
        <v/>
      </c>
      <c r="J9" s="266">
        <f>'INPUT SHEET'!G9</f>
        <v/>
      </c>
      <c r="K9" s="266">
        <f>'INPUT SHEET'!H9</f>
        <v/>
      </c>
      <c r="L9" s="266">
        <f>'INPUT SHEET'!I9</f>
        <v/>
      </c>
      <c r="M9" s="266">
        <f>'INPUT SHEET'!J9</f>
        <v/>
      </c>
      <c r="N9" s="266">
        <f>'INPUT SHEET'!K9</f>
        <v/>
      </c>
      <c r="O9" s="266">
        <f>'INPUT SHEET'!L9</f>
        <v/>
      </c>
      <c r="P9" s="266">
        <f>'INPUT SHEET'!M9</f>
        <v/>
      </c>
    </row>
    <row r="10" ht="15" customHeight="1">
      <c r="A10" s="305" t="inlineStr">
        <is>
          <t>1.</t>
        </is>
      </c>
      <c r="B10" t="inlineStr">
        <is>
          <t>Total Current Assets (Form-IV-10)</t>
        </is>
      </c>
      <c r="E10" s="595">
        <f>Form_IV!E39</f>
        <v/>
      </c>
      <c r="F10" s="595">
        <f>Form_IV!F39</f>
        <v/>
      </c>
      <c r="G10" s="595">
        <f>Form_IV!G39</f>
        <v/>
      </c>
      <c r="H10" s="595">
        <f>Form_IV!H39</f>
        <v/>
      </c>
      <c r="I10" s="595">
        <f>Form_IV!I39</f>
        <v/>
      </c>
      <c r="J10" s="595">
        <f>Form_IV!J39</f>
        <v/>
      </c>
      <c r="K10" s="595">
        <f>Form_IV!K39</f>
        <v/>
      </c>
      <c r="L10" s="595">
        <f>Form_IV!L39</f>
        <v/>
      </c>
      <c r="M10" s="595">
        <f>Form_IV!M39</f>
        <v/>
      </c>
      <c r="N10" s="595">
        <f>Form_IV!N39</f>
        <v/>
      </c>
      <c r="O10" s="595">
        <f>Form_IV!O39</f>
        <v/>
      </c>
      <c r="P10" s="595">
        <f>Form_IV!P39</f>
        <v/>
      </c>
    </row>
    <row r="11" ht="27.75" customHeight="1">
      <c r="A11" s="305" t="inlineStr">
        <is>
          <t>2.</t>
        </is>
      </c>
      <c r="B11" s="428" t="inlineStr">
        <is>
          <t>Other Current Liabilities (other than bank borrowings (Form-IV-18)</t>
        </is>
      </c>
      <c r="E11" s="597">
        <f>Form_IV!E63</f>
        <v/>
      </c>
      <c r="F11" s="597">
        <f>Form_IV!F63</f>
        <v/>
      </c>
      <c r="G11" s="597">
        <f>Form_IV!G63</f>
        <v/>
      </c>
      <c r="H11" s="597">
        <f>Form_IV!H63</f>
        <v/>
      </c>
      <c r="I11" s="597">
        <f>Form_IV!I63</f>
        <v/>
      </c>
      <c r="J11" s="597">
        <f>Form_IV!J63</f>
        <v/>
      </c>
      <c r="K11" s="597">
        <f>Form_IV!K63</f>
        <v/>
      </c>
      <c r="L11" s="597">
        <f>Form_IV!L63</f>
        <v/>
      </c>
      <c r="M11" s="597">
        <f>Form_IV!M63</f>
        <v/>
      </c>
      <c r="N11" s="597">
        <f>Form_IV!N63</f>
        <v/>
      </c>
      <c r="O11" s="597">
        <f>Form_IV!O63</f>
        <v/>
      </c>
      <c r="P11" s="597">
        <f>Form_IV!P63</f>
        <v/>
      </c>
    </row>
    <row r="12" ht="15" customHeight="1">
      <c r="A12" s="305" t="inlineStr">
        <is>
          <t>3.</t>
        </is>
      </c>
      <c r="B12" t="inlineStr">
        <is>
          <t>Working Capital Gap (WCG) (1-2)</t>
        </is>
      </c>
      <c r="E12" s="597">
        <f>E10-E11</f>
        <v/>
      </c>
      <c r="F12" s="597">
        <f>F10-F11</f>
        <v/>
      </c>
      <c r="G12" s="597">
        <f>G10-G11</f>
        <v/>
      </c>
      <c r="H12" s="597">
        <f>H10-H11</f>
        <v/>
      </c>
      <c r="I12" s="597">
        <f>I10-I11</f>
        <v/>
      </c>
      <c r="J12" s="597">
        <f>J10-J11</f>
        <v/>
      </c>
      <c r="K12" s="597">
        <f>K10-K11</f>
        <v/>
      </c>
      <c r="L12" s="597">
        <f>L10-L11</f>
        <v/>
      </c>
      <c r="M12" s="597">
        <f>M10-M11</f>
        <v/>
      </c>
      <c r="N12" s="597">
        <f>N10-N11</f>
        <v/>
      </c>
      <c r="O12" s="597">
        <f>O10-O11</f>
        <v/>
      </c>
      <c r="P12" s="597">
        <f>P10-P11</f>
        <v/>
      </c>
    </row>
    <row r="13" ht="33" customHeight="1">
      <c r="A13" s="305" t="inlineStr">
        <is>
          <t>4.</t>
        </is>
      </c>
      <c r="B13" s="428" t="inlineStr">
        <is>
          <t>Min. stipulated net working capital (25% of WCG excluding export receivables)</t>
        </is>
      </c>
      <c r="E13" s="597">
        <f>(E12-Form_IV!E27)*0.25</f>
        <v/>
      </c>
      <c r="F13" s="597">
        <f>(F12-Form_IV!F27)*0.25</f>
        <v/>
      </c>
      <c r="G13" s="597">
        <f>(G12-Form_IV!G27)*0.25</f>
        <v/>
      </c>
      <c r="H13" s="597">
        <f>(H12-Form_IV!H27)*0.25</f>
        <v/>
      </c>
      <c r="I13" s="597">
        <f>(I12-Form_IV!I27)*0.25</f>
        <v/>
      </c>
      <c r="J13" s="597">
        <f>(J12-Form_IV!J27)*0.25</f>
        <v/>
      </c>
      <c r="K13" s="597">
        <f>(K12-Form_IV!K27)*0.25</f>
        <v/>
      </c>
      <c r="L13" s="597">
        <f>(L12-Form_IV!L27)*0.25</f>
        <v/>
      </c>
      <c r="M13" s="597">
        <f>(M12-Form_IV!M27)*0.25</f>
        <v/>
      </c>
      <c r="N13" s="597">
        <f>(N12-Form_IV!N27)*0.25</f>
        <v/>
      </c>
      <c r="O13" s="597">
        <f>(O12-Form_IV!O27)*0.25</f>
        <v/>
      </c>
      <c r="P13" s="597">
        <f>(P12-Form_IV!P27)*0.25</f>
        <v/>
      </c>
    </row>
    <row r="14" ht="18.75" customHeight="1">
      <c r="A14" s="305" t="inlineStr">
        <is>
          <t>5.</t>
        </is>
      </c>
      <c r="B14" t="inlineStr">
        <is>
          <t>Actual / Projected net working capital</t>
        </is>
      </c>
      <c r="E14" s="597">
        <f>Form_III!E110</f>
        <v/>
      </c>
      <c r="F14" s="597">
        <f>Form_III!F110</f>
        <v/>
      </c>
      <c r="G14" s="597">
        <f>Form_III!G110</f>
        <v/>
      </c>
      <c r="H14" s="597">
        <f>Form_III!H110</f>
        <v/>
      </c>
      <c r="I14" s="597">
        <f>Form_III!I110</f>
        <v/>
      </c>
      <c r="J14" s="597">
        <f>Form_III!J110</f>
        <v/>
      </c>
      <c r="K14" s="597">
        <f>Form_III!K110</f>
        <v/>
      </c>
      <c r="L14" s="597">
        <f>Form_III!L110</f>
        <v/>
      </c>
      <c r="M14" s="597">
        <f>Form_III!M110</f>
        <v/>
      </c>
      <c r="N14" s="597">
        <f>Form_III!N110</f>
        <v/>
      </c>
      <c r="O14" s="597">
        <f>Form_III!O110</f>
        <v/>
      </c>
      <c r="P14" s="597">
        <f>Form_III!P110</f>
        <v/>
      </c>
    </row>
    <row r="15" ht="15" customHeight="1">
      <c r="A15" s="305" t="inlineStr">
        <is>
          <t>6.</t>
        </is>
      </c>
      <c r="B15" t="inlineStr">
        <is>
          <t>Item-3 minus Item-4</t>
        </is>
      </c>
      <c r="E15" s="597">
        <f>E12-E13</f>
        <v/>
      </c>
      <c r="F15" s="597">
        <f>F12-F13</f>
        <v/>
      </c>
      <c r="G15" s="597">
        <f>G12-G13</f>
        <v/>
      </c>
      <c r="H15" s="597">
        <f>H12-H13</f>
        <v/>
      </c>
      <c r="I15" s="597">
        <f>I12-I13</f>
        <v/>
      </c>
      <c r="J15" s="597">
        <f>J12-J13</f>
        <v/>
      </c>
      <c r="K15" s="597">
        <f>K12-K13</f>
        <v/>
      </c>
      <c r="L15" s="597">
        <f>L12-L13</f>
        <v/>
      </c>
      <c r="M15" s="597">
        <f>M12-M13</f>
        <v/>
      </c>
      <c r="N15" s="597">
        <f>N12-N13</f>
        <v/>
      </c>
      <c r="O15" s="597">
        <f>O12-O13</f>
        <v/>
      </c>
      <c r="P15" s="597">
        <f>P12-P13</f>
        <v/>
      </c>
    </row>
    <row r="16" ht="15" customHeight="1">
      <c r="A16" s="305" t="inlineStr">
        <is>
          <t>7.</t>
        </is>
      </c>
      <c r="B16" t="inlineStr">
        <is>
          <t>Item-3 minus Item-5</t>
        </is>
      </c>
      <c r="E16" s="597">
        <f>E12-E14</f>
        <v/>
      </c>
      <c r="F16" s="597">
        <f>F12-F14</f>
        <v/>
      </c>
      <c r="G16" s="597">
        <f>G12-G14</f>
        <v/>
      </c>
      <c r="H16" s="597">
        <f>H12-H14</f>
        <v/>
      </c>
      <c r="I16" s="597">
        <f>I12-I14</f>
        <v/>
      </c>
      <c r="J16" s="597">
        <f>J12-J14</f>
        <v/>
      </c>
      <c r="K16" s="597">
        <f>K12-K14</f>
        <v/>
      </c>
      <c r="L16" s="597">
        <f>L12-L14</f>
        <v/>
      </c>
      <c r="M16" s="597">
        <f>M12-M14</f>
        <v/>
      </c>
      <c r="N16" s="597">
        <f>N12-N14</f>
        <v/>
      </c>
      <c r="O16" s="597">
        <f>O12-O14</f>
        <v/>
      </c>
      <c r="P16" s="597">
        <f>P12-P14</f>
        <v/>
      </c>
    </row>
    <row r="17" ht="27.75" customHeight="1">
      <c r="A17" s="305" t="inlineStr">
        <is>
          <t>8.</t>
        </is>
      </c>
      <c r="B17" s="428" t="inlineStr">
        <is>
          <t>Max. permissible bank finance (item-6 or 7, whichever is lower)</t>
        </is>
      </c>
      <c r="E17" s="597">
        <f>IF(E15&lt;E16,E15,E16)</f>
        <v/>
      </c>
      <c r="F17" s="597">
        <f>IF(F15&lt;F16,F15,F16)</f>
        <v/>
      </c>
      <c r="G17" s="597">
        <f>IF(G15&lt;G16,G15,G16)</f>
        <v/>
      </c>
      <c r="H17" s="597">
        <f>IF(H15&lt;H16,H15,H16)</f>
        <v/>
      </c>
      <c r="I17" s="597">
        <f>IF(I15&lt;I16,I15,I16)</f>
        <v/>
      </c>
      <c r="J17" s="597">
        <f>IF(J15&lt;J16,J15,J16)</f>
        <v/>
      </c>
      <c r="K17" s="597">
        <f>IF(K15&lt;K16,K15,K16)</f>
        <v/>
      </c>
      <c r="L17" s="597">
        <f>IF(L15&lt;L16,L15,L16)</f>
        <v/>
      </c>
      <c r="M17" s="597">
        <f>IF(M15&lt;M16,M15,M16)</f>
        <v/>
      </c>
      <c r="N17" s="597">
        <f>IF(N15&lt;N16,N15,N16)</f>
        <v/>
      </c>
      <c r="O17" s="597">
        <f>IF(O15&lt;O16,O15,O16)</f>
        <v/>
      </c>
      <c r="P17" s="597">
        <f>IF(P15&lt;P16,P15,P16)</f>
        <v/>
      </c>
    </row>
    <row r="18" ht="24" customHeight="1">
      <c r="A18" s="305" t="inlineStr">
        <is>
          <t>9.</t>
        </is>
      </c>
      <c r="B18" s="428" t="inlineStr">
        <is>
          <t>Excess borrowings representing shortfall in NWC (4 - 5)</t>
        </is>
      </c>
      <c r="E18" s="618">
        <f>IF(E13-E14&gt;0,E13-E14,"")</f>
        <v/>
      </c>
      <c r="F18" s="618">
        <f>IF(F13-F14&gt;0,F13-F14,"")</f>
        <v/>
      </c>
      <c r="G18" s="618">
        <f>IF(G13-G14&gt;0,G13-G14,"")</f>
        <v/>
      </c>
      <c r="H18" s="618">
        <f>IF(H13-H14&gt;0,H13-H14,"")</f>
        <v/>
      </c>
      <c r="I18" s="618">
        <f>IF(I13-I14&gt;0,I13-I14,"")</f>
        <v/>
      </c>
      <c r="J18" s="618">
        <f>IF(J13-J14&gt;0,J13-J14,"")</f>
        <v/>
      </c>
      <c r="K18" s="618">
        <f>IF(K13-K14&gt;0,K13-K14,"")</f>
        <v/>
      </c>
      <c r="L18" s="618">
        <f>IF(L13-L14&gt;0,L13-L14,"")</f>
        <v/>
      </c>
      <c r="M18" s="618">
        <f>IF(M13-M14&gt;0,M13-M14,"")</f>
        <v/>
      </c>
      <c r="N18" s="618">
        <f>IF(N13-N14&gt;0,N13-N14,"")</f>
        <v/>
      </c>
      <c r="O18" s="618">
        <f>IF(O13-O14&gt;0,O13-O14,"")</f>
        <v/>
      </c>
      <c r="P18" s="618">
        <f>IF(P13-P14&gt;0,P13-P14,"")</f>
        <v/>
      </c>
    </row>
    <row r="19" ht="15" customHeight="1">
      <c r="E19" s="606" t="n"/>
      <c r="F19" s="606" t="n"/>
      <c r="G19" s="606" t="n"/>
      <c r="H19" s="606" t="n"/>
      <c r="I19" s="606" t="n"/>
      <c r="J19" s="606" t="n"/>
      <c r="K19" s="606" t="n"/>
      <c r="L19" s="606" t="n"/>
      <c r="M19" s="606" t="n"/>
      <c r="N19" s="606" t="n"/>
      <c r="O19" s="606" t="n"/>
      <c r="P19" s="606" t="n"/>
    </row>
    <row r="20" ht="15" customHeight="1">
      <c r="A20" s="304" t="inlineStr">
        <is>
          <t>Second Method of Lending</t>
        </is>
      </c>
      <c r="E20" s="606" t="n"/>
      <c r="F20" s="606" t="n"/>
      <c r="G20" s="606" t="n"/>
      <c r="H20" s="606" t="n"/>
      <c r="I20" s="606" t="n"/>
      <c r="J20" s="606" t="n"/>
      <c r="K20" s="606" t="n"/>
      <c r="L20" s="606" t="n"/>
      <c r="M20" s="606" t="n"/>
      <c r="N20" s="606" t="n"/>
      <c r="O20" s="606" t="n"/>
      <c r="P20" s="606" t="n"/>
    </row>
    <row r="21" ht="15" customHeight="1">
      <c r="E21" s="306">
        <f>'INPUT SHEET'!B8</f>
        <v/>
      </c>
      <c r="F21" s="306">
        <f>'INPUT SHEET'!C8</f>
        <v/>
      </c>
      <c r="G21" s="306">
        <f>'INPUT SHEET'!D8</f>
        <v/>
      </c>
      <c r="H21" s="306">
        <f>'INPUT SHEET'!E8</f>
        <v/>
      </c>
      <c r="I21" s="306">
        <f>'INPUT SHEET'!F8</f>
        <v/>
      </c>
      <c r="J21" s="306">
        <f>'INPUT SHEET'!G8</f>
        <v/>
      </c>
      <c r="K21" s="306">
        <f>'INPUT SHEET'!H8</f>
        <v/>
      </c>
      <c r="L21" s="306">
        <f>'INPUT SHEET'!I8</f>
        <v/>
      </c>
      <c r="M21" s="306">
        <f>'INPUT SHEET'!J8</f>
        <v/>
      </c>
      <c r="N21" s="306">
        <f>'INPUT SHEET'!K8</f>
        <v/>
      </c>
      <c r="O21" s="306">
        <f>'INPUT SHEET'!L8</f>
        <v/>
      </c>
      <c r="P21" s="306">
        <f>'INPUT SHEET'!M8</f>
        <v/>
      </c>
    </row>
    <row r="22" ht="15" customHeight="1">
      <c r="A22" s="305" t="inlineStr">
        <is>
          <t>1.</t>
        </is>
      </c>
      <c r="B22">
        <f>B10</f>
        <v/>
      </c>
      <c r="E22" s="595">
        <f>E10</f>
        <v/>
      </c>
      <c r="F22" s="595">
        <f>F10</f>
        <v/>
      </c>
      <c r="G22" s="595">
        <f>G10</f>
        <v/>
      </c>
      <c r="H22" s="595">
        <f>H10</f>
        <v/>
      </c>
      <c r="I22" s="595">
        <f>I10</f>
        <v/>
      </c>
      <c r="J22" s="595">
        <f>J10</f>
        <v/>
      </c>
      <c r="K22" s="595">
        <f>K10</f>
        <v/>
      </c>
      <c r="L22" s="595">
        <f>L10</f>
        <v/>
      </c>
      <c r="M22" s="595">
        <f>M10</f>
        <v/>
      </c>
      <c r="N22" s="595">
        <f>N10</f>
        <v/>
      </c>
      <c r="O22" s="595">
        <f>O10</f>
        <v/>
      </c>
      <c r="P22" s="595">
        <f>P10</f>
        <v/>
      </c>
    </row>
    <row r="23" ht="33" customHeight="1">
      <c r="A23" s="305" t="inlineStr">
        <is>
          <t>2.</t>
        </is>
      </c>
      <c r="B23" s="428">
        <f>B11</f>
        <v/>
      </c>
      <c r="E23" s="597">
        <f>E11</f>
        <v/>
      </c>
      <c r="F23" s="597">
        <f>F11</f>
        <v/>
      </c>
      <c r="G23" s="597">
        <f>G11</f>
        <v/>
      </c>
      <c r="H23" s="597">
        <f>H11</f>
        <v/>
      </c>
      <c r="I23" s="597">
        <f>I11</f>
        <v/>
      </c>
      <c r="J23" s="597">
        <f>J11</f>
        <v/>
      </c>
      <c r="K23" s="597">
        <f>K11</f>
        <v/>
      </c>
      <c r="L23" s="597">
        <f>L11</f>
        <v/>
      </c>
      <c r="M23" s="597">
        <f>M11</f>
        <v/>
      </c>
      <c r="N23" s="597">
        <f>N11</f>
        <v/>
      </c>
      <c r="O23" s="597">
        <f>O11</f>
        <v/>
      </c>
      <c r="P23" s="597">
        <f>P11</f>
        <v/>
      </c>
    </row>
    <row r="24" ht="15" customHeight="1">
      <c r="A24" s="305" t="inlineStr">
        <is>
          <t>3.</t>
        </is>
      </c>
      <c r="B24">
        <f>B12</f>
        <v/>
      </c>
      <c r="E24" s="597">
        <f>E12</f>
        <v/>
      </c>
      <c r="F24" s="597">
        <f>F12</f>
        <v/>
      </c>
      <c r="G24" s="597">
        <f>G12</f>
        <v/>
      </c>
      <c r="H24" s="597">
        <f>H12</f>
        <v/>
      </c>
      <c r="I24" s="597">
        <f>I12</f>
        <v/>
      </c>
      <c r="J24" s="597">
        <f>J12</f>
        <v/>
      </c>
      <c r="K24" s="597">
        <f>K12</f>
        <v/>
      </c>
      <c r="L24" s="597">
        <f>L12</f>
        <v/>
      </c>
      <c r="M24" s="597">
        <f>M12</f>
        <v/>
      </c>
      <c r="N24" s="597">
        <f>N12</f>
        <v/>
      </c>
      <c r="O24" s="597">
        <f>O12</f>
        <v/>
      </c>
      <c r="P24" s="597">
        <f>P12</f>
        <v/>
      </c>
    </row>
    <row r="25" ht="39.75" customHeight="1">
      <c r="A25" s="305" t="inlineStr">
        <is>
          <t>4.</t>
        </is>
      </c>
      <c r="B25" s="428" t="inlineStr">
        <is>
          <t>Min. stipulated net working capital ( 25% of total Current Assets excluding export receivables)</t>
        </is>
      </c>
      <c r="E25" s="597">
        <f>(E22-Form_IV!E27)*0.25</f>
        <v/>
      </c>
      <c r="F25" s="597">
        <f>(F22-Form_IV!F27)*0.25</f>
        <v/>
      </c>
      <c r="G25" s="597">
        <f>(G22-Form_IV!G27)*0.25</f>
        <v/>
      </c>
      <c r="H25" s="597">
        <f>(H22-Form_IV!H27)*0.25</f>
        <v/>
      </c>
      <c r="I25" s="597">
        <f>(I22-Form_IV!I27)*0.25</f>
        <v/>
      </c>
      <c r="J25" s="597">
        <f>(J22-Form_IV!J27)*0.25</f>
        <v/>
      </c>
      <c r="K25" s="597">
        <f>(K22-Form_IV!K27)*0.25</f>
        <v/>
      </c>
      <c r="L25" s="597">
        <f>(L22-Form_IV!L27)*0.25</f>
        <v/>
      </c>
      <c r="M25" s="597">
        <f>(M22-Form_IV!M27)*0.25</f>
        <v/>
      </c>
      <c r="N25" s="597">
        <f>(N22-Form_IV!N27)*0.25</f>
        <v/>
      </c>
      <c r="O25" s="597">
        <f>(O22-Form_IV!O27)*0.25</f>
        <v/>
      </c>
      <c r="P25" s="597">
        <f>(P22-Form_IV!P27)*0.25</f>
        <v/>
      </c>
    </row>
    <row r="26" ht="15" customHeight="1">
      <c r="A26" s="305" t="inlineStr">
        <is>
          <t>5.</t>
        </is>
      </c>
      <c r="B26">
        <f>B14</f>
        <v/>
      </c>
      <c r="E26" s="597">
        <f>E14</f>
        <v/>
      </c>
      <c r="F26" s="597">
        <f>F14</f>
        <v/>
      </c>
      <c r="G26" s="597">
        <f>G14</f>
        <v/>
      </c>
      <c r="H26" s="597">
        <f>H14</f>
        <v/>
      </c>
      <c r="I26" s="597">
        <f>I14</f>
        <v/>
      </c>
      <c r="J26" s="597">
        <f>J14</f>
        <v/>
      </c>
      <c r="K26" s="597">
        <f>K14</f>
        <v/>
      </c>
      <c r="L26" s="597">
        <f>L14</f>
        <v/>
      </c>
      <c r="M26" s="597">
        <f>M14</f>
        <v/>
      </c>
      <c r="N26" s="597">
        <f>N14</f>
        <v/>
      </c>
      <c r="O26" s="597">
        <f>O14</f>
        <v/>
      </c>
      <c r="P26" s="597">
        <f>P14</f>
        <v/>
      </c>
    </row>
    <row r="27" ht="15" customHeight="1">
      <c r="A27" s="305" t="inlineStr">
        <is>
          <t>6.</t>
        </is>
      </c>
      <c r="B27" t="inlineStr">
        <is>
          <t>Item-3 minus Item-4</t>
        </is>
      </c>
      <c r="E27" s="597">
        <f>E24-E25</f>
        <v/>
      </c>
      <c r="F27" s="597">
        <f>F24-F25</f>
        <v/>
      </c>
      <c r="G27" s="597">
        <f>G24-G25</f>
        <v/>
      </c>
      <c r="H27" s="597">
        <f>H24-H25</f>
        <v/>
      </c>
      <c r="I27" s="597">
        <f>I24-I25</f>
        <v/>
      </c>
      <c r="J27" s="597">
        <f>J24-J25</f>
        <v/>
      </c>
      <c r="K27" s="597">
        <f>K24-K25</f>
        <v/>
      </c>
      <c r="L27" s="597">
        <f>L24-L25</f>
        <v/>
      </c>
      <c r="M27" s="597">
        <f>M24-M25</f>
        <v/>
      </c>
      <c r="N27" s="597">
        <f>N24-N25</f>
        <v/>
      </c>
      <c r="O27" s="597">
        <f>O24-O25</f>
        <v/>
      </c>
      <c r="P27" s="597">
        <f>P24-P25</f>
        <v/>
      </c>
    </row>
    <row r="28" ht="15" customHeight="1">
      <c r="A28" s="305" t="inlineStr">
        <is>
          <t>7.</t>
        </is>
      </c>
      <c r="B28" t="inlineStr">
        <is>
          <t>Item-3 minus Item-5</t>
        </is>
      </c>
      <c r="E28" s="597">
        <f>E24-E26</f>
        <v/>
      </c>
      <c r="F28" s="597">
        <f>F24-F26</f>
        <v/>
      </c>
      <c r="G28" s="597">
        <f>G24-G26</f>
        <v/>
      </c>
      <c r="H28" s="597">
        <f>H24-H26</f>
        <v/>
      </c>
      <c r="I28" s="597">
        <f>I24-I26</f>
        <v/>
      </c>
      <c r="J28" s="597">
        <f>J24-J26</f>
        <v/>
      </c>
      <c r="K28" s="597">
        <f>K24-K26</f>
        <v/>
      </c>
      <c r="L28" s="597">
        <f>L24-L26</f>
        <v/>
      </c>
      <c r="M28" s="597">
        <f>M24-M26</f>
        <v/>
      </c>
      <c r="N28" s="597">
        <f>N24-N26</f>
        <v/>
      </c>
      <c r="O28" s="597">
        <f>O24-O26</f>
        <v/>
      </c>
      <c r="P28" s="597">
        <f>P24-P26</f>
        <v/>
      </c>
    </row>
    <row r="29" ht="26.25" customHeight="1">
      <c r="A29" s="305" t="inlineStr">
        <is>
          <t>8.</t>
        </is>
      </c>
      <c r="B29" s="428">
        <f>B17</f>
        <v/>
      </c>
      <c r="E29" s="597">
        <f>IF(E27&lt;E28,E27,E28)</f>
        <v/>
      </c>
      <c r="F29" s="597">
        <f>IF(F27&lt;F28,F27,F28)</f>
        <v/>
      </c>
      <c r="G29" s="597">
        <f>IF(G27&lt;G28,G27,G28)</f>
        <v/>
      </c>
      <c r="H29" s="597">
        <f>IF(H27&lt;H28,H27,H28)</f>
        <v/>
      </c>
      <c r="I29" s="597">
        <f>IF(I27&lt;I28,I27,I28)</f>
        <v/>
      </c>
      <c r="J29" s="597">
        <f>IF(J27&lt;J28,J27,J28)</f>
        <v/>
      </c>
      <c r="K29" s="597">
        <f>IF(K27&lt;K28,K27,K28)</f>
        <v/>
      </c>
      <c r="L29" s="597">
        <f>IF(L27&lt;L28,L27,L28)</f>
        <v/>
      </c>
      <c r="M29" s="597">
        <f>IF(M27&lt;M28,M27,M28)</f>
        <v/>
      </c>
      <c r="N29" s="597">
        <f>IF(N27&lt;N28,N27,N28)</f>
        <v/>
      </c>
      <c r="O29" s="597">
        <f>IF(O27&lt;O28,O27,O28)</f>
        <v/>
      </c>
      <c r="P29" s="597">
        <f>IF(P27&lt;P28,P27,P28)</f>
        <v/>
      </c>
    </row>
    <row r="30" ht="27" customHeight="1">
      <c r="A30" t="n">
        <v>9</v>
      </c>
      <c r="B30" s="423">
        <f>B18</f>
        <v/>
      </c>
      <c r="E30" s="618">
        <f>IF(E25-E26&gt;0,E25-E26,"")</f>
        <v/>
      </c>
      <c r="F30" s="618">
        <f>IF(F25-F26&gt;0,F25-F26,"")</f>
        <v/>
      </c>
      <c r="G30" s="618">
        <f>IF(G25-G26&gt;0,G25-G26,"")</f>
        <v/>
      </c>
      <c r="H30" s="618">
        <f>IF(H25-H26&gt;0,H25-H26,"")</f>
        <v/>
      </c>
      <c r="I30" s="618">
        <f>IF(I25-I26&gt;0,I25-I26,"")</f>
        <v/>
      </c>
      <c r="J30" s="618">
        <f>IF(J25-J26&gt;0,J25-J26,"")</f>
        <v/>
      </c>
      <c r="K30" s="618">
        <f>IF(K25-K26&gt;0,K25-K26,"")</f>
        <v/>
      </c>
      <c r="L30" s="618">
        <f>IF(L25-L26&gt;0,L25-L26,"")</f>
        <v/>
      </c>
      <c r="M30" s="618">
        <f>IF(M25-M26&gt;0,M25-M26,"")</f>
        <v/>
      </c>
      <c r="N30" s="618">
        <f>IF(N25-N26&gt;0,N25-N26,"")</f>
        <v/>
      </c>
      <c r="O30" s="618">
        <f>IF(O25-O26&gt;0,O25-O26,"")</f>
        <v/>
      </c>
      <c r="P30" s="618">
        <f>IF(P25-P26&gt;0,P25-P26,"")</f>
        <v/>
      </c>
    </row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</sheetData>
  <mergeCells count="8">
    <mergeCell ref="B11:D11"/>
    <mergeCell ref="B23:D23"/>
    <mergeCell ref="B17:D17"/>
    <mergeCell ref="B18:D18"/>
    <mergeCell ref="B13:D13"/>
    <mergeCell ref="B30:D30"/>
    <mergeCell ref="B29:D29"/>
    <mergeCell ref="B25:D25"/>
  </mergeCells>
  <printOptions horizontalCentered="1"/>
  <pageMargins left="0.7874015748031497" right="0.7874015748031497" top="0.7874015748031497" bottom="0.7874015748031497" header="0.5118110236220472" footer="0.5118110236220472"/>
  <pageSetup orientation="portrait" scale="64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13.xml><?xml version="1.0" encoding="utf-8"?>
<worksheet xmlns="http://schemas.openxmlformats.org/spreadsheetml/2006/main">
  <sheetPr>
    <outlinePr summaryBelow="1" summaryRight="1"/>
    <pageSetUpPr fitToPage="1"/>
  </sheetPr>
  <dimension ref="A1:O58"/>
  <sheetViews>
    <sheetView showGridLines="0" topLeftCell="A25" zoomScale="90" zoomScaleNormal="90" workbookViewId="0">
      <selection activeCell="I37" activeCellId="1" sqref="I34 I37"/>
    </sheetView>
  </sheetViews>
  <sheetFormatPr baseColWidth="8" defaultRowHeight="13.2"/>
  <cols>
    <col width="4.109375" customWidth="1" min="1" max="1"/>
    <col width="3.88671875" customWidth="1" min="2" max="2"/>
    <col width="7.33203125" customWidth="1" min="3" max="3"/>
    <col width="30.109375" customWidth="1" min="4" max="4"/>
    <col width="12.6640625" customWidth="1" min="5" max="15"/>
  </cols>
  <sheetData>
    <row r="1" ht="15" customHeight="1">
      <c r="A1" s="430" t="inlineStr">
        <is>
          <t>FORM VI</t>
        </is>
      </c>
      <c r="B1" s="430" t="n"/>
      <c r="C1" s="430" t="n"/>
      <c r="D1" s="430" t="n"/>
      <c r="E1" s="430" t="n"/>
      <c r="F1" s="430" t="n"/>
      <c r="G1" s="430" t="n"/>
      <c r="H1" s="430" t="n"/>
      <c r="I1" s="430" t="n"/>
      <c r="J1" s="430" t="n"/>
      <c r="K1" s="430" t="n"/>
      <c r="L1" s="430" t="n"/>
      <c r="M1" s="430" t="n"/>
      <c r="N1" s="430" t="n"/>
      <c r="O1" s="430" t="n"/>
    </row>
    <row r="2" ht="15" customHeight="1">
      <c r="A2" s="430" t="inlineStr">
        <is>
          <t>FUNDS FLOW STATEMENT</t>
        </is>
      </c>
      <c r="B2" s="430" t="n"/>
      <c r="C2" s="430" t="n"/>
      <c r="D2" s="430" t="n"/>
      <c r="E2" s="430" t="n"/>
      <c r="F2" s="430" t="n"/>
      <c r="G2" s="430" t="n"/>
      <c r="H2" s="430" t="n"/>
      <c r="I2" s="430" t="n"/>
      <c r="J2" s="430" t="n"/>
      <c r="K2" s="430" t="n"/>
      <c r="L2" s="430" t="n"/>
      <c r="M2" s="430" t="n"/>
      <c r="N2" s="430" t="n"/>
      <c r="O2" s="430" t="n"/>
    </row>
    <row r="3" ht="15" customHeight="1">
      <c r="A3" s="432" t="n"/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</row>
    <row r="4" ht="18" customHeight="1">
      <c r="C4" s="430">
        <f>Form_II!C4</f>
        <v/>
      </c>
      <c r="D4">
        <f>'INPUT SHEET'!B7</f>
        <v/>
      </c>
    </row>
    <row r="5" ht="15" customHeight="1">
      <c r="A5" s="225" t="n"/>
    </row>
    <row r="6" ht="15" customHeight="1">
      <c r="B6" s="225" t="n"/>
      <c r="C6" s="225" t="n"/>
      <c r="D6" s="225" t="n"/>
      <c r="H6" s="226" t="n"/>
      <c r="I6" s="226" t="n"/>
      <c r="J6" s="226" t="n"/>
      <c r="K6" s="226" t="n"/>
      <c r="L6" s="226" t="n"/>
      <c r="M6" s="226" t="n"/>
      <c r="N6" s="226" t="n"/>
      <c r="O6" s="226" t="n"/>
    </row>
    <row r="7" ht="15" customHeight="1">
      <c r="E7" s="307">
        <f>'INPUT SHEET'!C10</f>
        <v/>
      </c>
      <c r="F7" s="307">
        <f>'INPUT SHEET'!D10</f>
        <v/>
      </c>
      <c r="G7" s="307">
        <f>'INPUT SHEET'!E10</f>
        <v/>
      </c>
      <c r="H7" s="307">
        <f>'INPUT SHEET'!F10</f>
        <v/>
      </c>
      <c r="I7" s="307">
        <f>'INPUT SHEET'!G10</f>
        <v/>
      </c>
      <c r="J7" s="307">
        <f>'INPUT SHEET'!H10</f>
        <v/>
      </c>
      <c r="K7" s="307">
        <f>'INPUT SHEET'!I10</f>
        <v/>
      </c>
      <c r="L7" s="307">
        <f>'INPUT SHEET'!J10</f>
        <v/>
      </c>
      <c r="M7" s="307">
        <f>'INPUT SHEET'!K10</f>
        <v/>
      </c>
      <c r="N7" s="307">
        <f>'INPUT SHEET'!L10</f>
        <v/>
      </c>
      <c r="O7" s="307">
        <f>'INPUT SHEET'!M10</f>
        <v/>
      </c>
    </row>
    <row r="8" ht="15" customHeight="1">
      <c r="D8" s="308">
        <f>'INPUT SHEET'!A8</f>
        <v/>
      </c>
      <c r="E8" s="307">
        <f>'INPUT SHEET'!C8</f>
        <v/>
      </c>
      <c r="F8" s="307">
        <f>'INPUT SHEET'!D8</f>
        <v/>
      </c>
      <c r="G8" s="307">
        <f>'INPUT SHEET'!E8</f>
        <v/>
      </c>
      <c r="H8" s="307">
        <f>'INPUT SHEET'!F8</f>
        <v/>
      </c>
      <c r="I8" s="307">
        <f>'INPUT SHEET'!G8</f>
        <v/>
      </c>
      <c r="J8" s="307">
        <f>'INPUT SHEET'!H8</f>
        <v/>
      </c>
      <c r="K8" s="307">
        <f>'INPUT SHEET'!I8</f>
        <v/>
      </c>
      <c r="L8" s="307">
        <f>'INPUT SHEET'!J8</f>
        <v/>
      </c>
      <c r="M8" s="307">
        <f>'INPUT SHEET'!K8</f>
        <v/>
      </c>
      <c r="N8" s="307">
        <f>'INPUT SHEET'!L8</f>
        <v/>
      </c>
      <c r="O8" s="307">
        <f>'INPUT SHEET'!M8</f>
        <v/>
      </c>
    </row>
    <row r="9" ht="15" customHeight="1">
      <c r="D9" s="289">
        <f>'INPUT SHEET'!A9</f>
        <v/>
      </c>
      <c r="E9" s="266">
        <f>'INPUT SHEET'!C9</f>
        <v/>
      </c>
      <c r="F9" s="266">
        <f>'INPUT SHEET'!D9</f>
        <v/>
      </c>
      <c r="G9" s="266">
        <f>'INPUT SHEET'!E9</f>
        <v/>
      </c>
      <c r="H9" s="266">
        <f>'INPUT SHEET'!F9</f>
        <v/>
      </c>
      <c r="I9" s="266">
        <f>'INPUT SHEET'!G9</f>
        <v/>
      </c>
      <c r="J9" s="266">
        <f>'INPUT SHEET'!H9</f>
        <v/>
      </c>
      <c r="K9" s="266">
        <f>'INPUT SHEET'!I9</f>
        <v/>
      </c>
      <c r="L9" s="266">
        <f>'INPUT SHEET'!J9</f>
        <v/>
      </c>
      <c r="M9" s="266">
        <f>'INPUT SHEET'!K9</f>
        <v/>
      </c>
      <c r="N9" s="266">
        <f>'INPUT SHEET'!L9</f>
        <v/>
      </c>
      <c r="O9" s="266">
        <f>'INPUT SHEET'!M9</f>
        <v/>
      </c>
    </row>
    <row r="10" ht="20.1" customHeight="1">
      <c r="A10" s="305" t="inlineStr">
        <is>
          <t>1.</t>
        </is>
      </c>
      <c r="B10" s="224" t="inlineStr">
        <is>
          <t>SOURCES</t>
        </is>
      </c>
      <c r="E10" s="625" t="n"/>
      <c r="F10" s="625" t="n"/>
      <c r="G10" s="625" t="n"/>
      <c r="H10" s="595" t="n"/>
      <c r="I10" s="595" t="n"/>
      <c r="J10" s="595" t="n"/>
      <c r="K10" s="595" t="n"/>
      <c r="L10" s="595" t="n"/>
      <c r="M10" s="595" t="n"/>
      <c r="N10" s="595" t="n"/>
      <c r="O10" s="595" t="n"/>
    </row>
    <row r="11" ht="20.1" customHeight="1">
      <c r="B11" t="inlineStr">
        <is>
          <t>a.</t>
        </is>
      </c>
      <c r="C11" t="inlineStr">
        <is>
          <t>Net Profit</t>
        </is>
      </c>
      <c r="E11" s="605">
        <f>IF(Form_II!F51&gt;=0,Form_II!F51,"")</f>
        <v/>
      </c>
      <c r="F11" s="605">
        <f>IF(Form_II!G51&gt;=0,Form_II!G51,"")</f>
        <v/>
      </c>
      <c r="G11" s="605">
        <f>IF(Form_II!H51&gt;=0,Form_II!H51,"")</f>
        <v/>
      </c>
      <c r="H11" s="597">
        <f>IF(Form_II!I51&gt;=0,Form_II!I51,"")</f>
        <v/>
      </c>
      <c r="I11" s="597">
        <f>IF(Form_II!J51&gt;=0,Form_II!J51,"")</f>
        <v/>
      </c>
      <c r="J11" s="597">
        <f>IF(Form_II!K51&gt;=0,Form_II!K51,"")</f>
        <v/>
      </c>
      <c r="K11" s="597">
        <f>IF(Form_II!L51&gt;=0,Form_II!L51,"")</f>
        <v/>
      </c>
      <c r="L11" s="597">
        <f>IF(Form_II!M51&gt;=0,Form_II!M51,"")</f>
        <v/>
      </c>
      <c r="M11" s="597">
        <f>IF(Form_II!N51&gt;=0,Form_II!N51,"")</f>
        <v/>
      </c>
      <c r="N11" s="597">
        <f>IF(Form_II!O51&gt;=0,Form_II!O51,"")</f>
        <v/>
      </c>
      <c r="O11" s="597">
        <f>IF(Form_II!P51&gt;=0,Form_II!P51,"")</f>
        <v/>
      </c>
    </row>
    <row r="12" ht="20.1" customHeight="1">
      <c r="A12" s="305" t="n"/>
      <c r="B12" t="inlineStr">
        <is>
          <t>b.</t>
        </is>
      </c>
      <c r="C12" t="inlineStr">
        <is>
          <t>Depreciation</t>
        </is>
      </c>
      <c r="E12" s="605">
        <f>Form_III!F89-Form_III!E89</f>
        <v/>
      </c>
      <c r="F12" s="605">
        <f>Form_III!G89-Form_III!F89</f>
        <v/>
      </c>
      <c r="G12" s="605">
        <f>Form_III!H89-Form_III!G89</f>
        <v/>
      </c>
      <c r="H12" s="597">
        <f>Form_III!I89-Form_III!H89</f>
        <v/>
      </c>
      <c r="I12" s="597">
        <f>Form_III!J89-Form_III!I89</f>
        <v/>
      </c>
      <c r="J12" s="597">
        <f>Form_III!K89-Form_III!J89</f>
        <v/>
      </c>
      <c r="K12" s="597">
        <f>Form_III!L89-Form_III!K89</f>
        <v/>
      </c>
      <c r="L12" s="597">
        <f>Form_III!M89-Form_III!L89</f>
        <v/>
      </c>
      <c r="M12" s="597">
        <f>Form_III!N89-Form_III!M89</f>
        <v/>
      </c>
      <c r="N12" s="597">
        <f>Form_III!O89-Form_III!N89</f>
        <v/>
      </c>
      <c r="O12" s="597">
        <f>Form_III!P89-Form_III!O89</f>
        <v/>
      </c>
    </row>
    <row r="13" ht="20.1" customHeight="1">
      <c r="A13" s="305" t="n"/>
      <c r="B13" t="inlineStr">
        <is>
          <t>c.</t>
        </is>
      </c>
      <c r="C13" t="inlineStr">
        <is>
          <t>Increase in Capital</t>
        </is>
      </c>
      <c r="E13" s="605">
        <f>Form_III!F41-Form_III!E41</f>
        <v/>
      </c>
      <c r="F13" s="605">
        <f>Form_III!G41-Form_III!F41</f>
        <v/>
      </c>
      <c r="G13" s="605">
        <f>Form_III!H41-Form_III!G41</f>
        <v/>
      </c>
      <c r="H13" s="597">
        <f>Form_III!I41-Form_III!H41</f>
        <v/>
      </c>
      <c r="I13" s="597">
        <f>Form_III!J41-Form_III!I41</f>
        <v/>
      </c>
      <c r="J13" s="597">
        <f>Form_III!K41-Form_III!J41</f>
        <v/>
      </c>
      <c r="K13" s="597">
        <f>Form_III!L41-Form_III!K41</f>
        <v/>
      </c>
      <c r="L13" s="597">
        <f>Form_III!M41-Form_III!L41</f>
        <v/>
      </c>
      <c r="M13" s="597">
        <f>Form_III!N41-Form_III!M41</f>
        <v/>
      </c>
      <c r="N13" s="597">
        <f>Form_III!O41-Form_III!N41</f>
        <v/>
      </c>
      <c r="O13" s="597">
        <f>Form_III!P41-Form_III!O41</f>
        <v/>
      </c>
    </row>
    <row r="14" ht="20.1" customHeight="1">
      <c r="A14" s="305" t="n"/>
      <c r="B14" t="inlineStr">
        <is>
          <t>d.</t>
        </is>
      </c>
      <c r="C14" t="inlineStr">
        <is>
          <t>Increase in Term Liabilities</t>
        </is>
      </c>
      <c r="E14" s="605">
        <f>IF(Form_III!F37-Form_III!E37&gt;=0,Form_III!F37-Form_III!E37,"")</f>
        <v/>
      </c>
      <c r="F14" s="605">
        <f>IF(Form_III!G37-Form_III!F37&gt;=0,Form_III!G37-Form_III!F37,"")</f>
        <v/>
      </c>
      <c r="G14" s="605">
        <f>IF(Form_III!H37-Form_III!G37&gt;=0,Form_III!H37-Form_III!G37,"")</f>
        <v/>
      </c>
      <c r="H14" s="597">
        <f>IF(Form_III!I37-Form_III!H37&gt;=0,Form_III!I37-Form_III!H37,"")</f>
        <v/>
      </c>
      <c r="I14" s="597">
        <f>IF(Form_III!J37-Form_III!I37&gt;=0,Form_III!J37-Form_III!I37,"")</f>
        <v/>
      </c>
      <c r="J14" s="597">
        <f>IF(Form_III!K37-Form_III!J37&gt;=0,Form_III!K37-Form_III!J37,"")</f>
        <v/>
      </c>
      <c r="K14" s="597">
        <f>IF(Form_III!L37-Form_III!K37&gt;=0,Form_III!L37-Form_III!K37,"")</f>
        <v/>
      </c>
      <c r="L14" s="597">
        <f>IF(Form_III!M37-Form_III!L37&gt;=0,Form_III!M37-Form_III!L37,"")</f>
        <v/>
      </c>
      <c r="M14" s="597">
        <f>IF(Form_III!N37-Form_III!M37&gt;=0,Form_III!N37-Form_III!M37,"")</f>
        <v/>
      </c>
      <c r="N14" s="597">
        <f>IF(Form_III!O37-Form_III!N37&gt;=0,Form_III!O37-Form_III!N37,"")</f>
        <v/>
      </c>
      <c r="O14" s="597">
        <f>IF(Form_III!P37-Form_III!O37&gt;=0,Form_III!P37-Form_III!O37,"")</f>
        <v/>
      </c>
    </row>
    <row r="15" ht="20.1" customHeight="1">
      <c r="A15" s="225" t="n"/>
      <c r="B15" t="inlineStr">
        <is>
          <t>e.</t>
        </is>
      </c>
      <c r="C15" t="inlineStr">
        <is>
          <t xml:space="preserve">Decrease in </t>
        </is>
      </c>
      <c r="E15" s="605" t="n"/>
      <c r="F15" s="605" t="n"/>
      <c r="G15" s="605" t="n"/>
      <c r="H15" s="597" t="n"/>
      <c r="I15" s="597" t="n"/>
      <c r="J15" s="597" t="n"/>
      <c r="K15" s="597" t="n"/>
      <c r="L15" s="597" t="n"/>
      <c r="M15" s="597" t="n"/>
      <c r="N15" s="597" t="n"/>
      <c r="O15" s="597" t="n"/>
    </row>
    <row r="16" ht="20.1" customHeight="1">
      <c r="A16" s="305" t="n"/>
      <c r="C16" t="inlineStr">
        <is>
          <t>i.</t>
        </is>
      </c>
      <c r="D16" t="inlineStr">
        <is>
          <t>Fixed Assets</t>
        </is>
      </c>
      <c r="E16" s="605">
        <f>IF(Form_III!F88-Form_III!E88&lt;0,(Form_III!F88-Form_III!E88)*-1,"")</f>
        <v/>
      </c>
      <c r="F16" s="605">
        <f>IF(Form_III!G88-Form_III!F88&lt;0,(Form_III!G88-Form_III!F88)*-1,"")</f>
        <v/>
      </c>
      <c r="G16" s="605">
        <f>IF(Form_III!H88-Form_III!G88&lt;0,(Form_III!H88-Form_III!G88)*-1,"")</f>
        <v/>
      </c>
      <c r="H16" s="597">
        <f>IF(Form_III!I88-Form_III!H88&lt;0,(Form_III!I88-Form_III!H88)*-1,"")</f>
        <v/>
      </c>
      <c r="I16" s="597">
        <f>IF(Form_III!J88-Form_III!I88&lt;0,(Form_III!J88-Form_III!I88)*-1,"")</f>
        <v/>
      </c>
      <c r="J16" s="597">
        <f>IF(Form_III!K88-Form_III!J88&lt;0,(Form_III!K88-Form_III!J88)*-1,"")</f>
        <v/>
      </c>
      <c r="K16" s="597">
        <f>IF(Form_III!L88-Form_III!K88&lt;0,(Form_III!L88-Form_III!K88)*-1,"")</f>
        <v/>
      </c>
      <c r="L16" s="597">
        <f>IF(Form_III!M88-Form_III!L88&lt;0,(Form_III!M88-Form_III!L88)*-1,"")</f>
        <v/>
      </c>
      <c r="M16" s="597">
        <f>IF(Form_III!N88-Form_III!M88&lt;0,(Form_III!N88-Form_III!M88)*-1,"")</f>
        <v/>
      </c>
      <c r="N16" s="597">
        <f>IF(Form_III!O88-Form_III!N88&lt;0,(Form_III!O88-Form_III!N88)*-1,"")</f>
        <v/>
      </c>
      <c r="O16" s="597">
        <f>IF(Form_III!P88-Form_III!O88&lt;0,(Form_III!P88-Form_III!O88)*-1,"")</f>
        <v/>
      </c>
    </row>
    <row r="17" ht="20.1" customHeight="1">
      <c r="A17" s="305" t="n"/>
      <c r="C17" t="inlineStr">
        <is>
          <t>ii.</t>
        </is>
      </c>
      <c r="D17" t="inlineStr">
        <is>
          <t>Other non-current Assets</t>
        </is>
      </c>
      <c r="E17" s="605">
        <f>IF((Form_III!F104+Form_III!F106-(Form_III!E104+Form_III!E106))&lt;0,(Form_III!F104+Form_III!F106-(Form_III!E104+Form_III!E106))*-1,"")</f>
        <v/>
      </c>
      <c r="F17" s="605">
        <f>IF((Form_III!G104+Form_III!G106-(Form_III!F104+Form_III!F106))&lt;0,(Form_III!G104+Form_III!G106-(Form_III!F104+Form_III!F106))*-1,"")</f>
        <v/>
      </c>
      <c r="G17" s="605">
        <f>IF((Form_III!H104+Form_III!H106-(Form_III!G104+Form_III!G106))&lt;0,(Form_III!H104+Form_III!H106-(Form_III!G104+Form_III!G106))*-1,"")</f>
        <v/>
      </c>
      <c r="H17" s="597">
        <f>IF((Form_III!I104+Form_III!I106-(Form_III!H104+Form_III!H106))&lt;0,(Form_III!I104+Form_III!I106-(Form_III!H104+Form_III!H106))*-1,"")</f>
        <v/>
      </c>
      <c r="I17" s="597">
        <f>IF((Form_III!J104+Form_III!J106-(Form_III!I104+Form_III!I106))&lt;0,(Form_III!J104+Form_III!J106-(Form_III!I104+Form_III!I106))*-1,"")</f>
        <v/>
      </c>
      <c r="J17" s="597">
        <f>IF((Form_III!K104+Form_III!K106-(Form_III!J104+Form_III!J106))&lt;0,(Form_III!K104+Form_III!K106-(Form_III!J104+Form_III!J106))*-1,"")</f>
        <v/>
      </c>
      <c r="K17" s="597">
        <f>IF((Form_III!L104+Form_III!L106-(Form_III!K104+Form_III!K106))&lt;0,(Form_III!L104+Form_III!L106-(Form_III!K104+Form_III!K106))*-1,"")</f>
        <v/>
      </c>
      <c r="L17" s="597">
        <f>IF((Form_III!M104+Form_III!M106-(Form_III!L104+Form_III!L106))&lt;0,(Form_III!M104+Form_III!M106-(Form_III!L104+Form_III!L106))*-1,"")</f>
        <v/>
      </c>
      <c r="M17" s="597">
        <f>IF((Form_III!N104+Form_III!N106-(Form_III!M104+Form_III!M106))&lt;0,(Form_III!N104+Form_III!N106-(Form_III!M104+Form_III!M106))*-1,"")</f>
        <v/>
      </c>
      <c r="N17" s="597">
        <f>IF((Form_III!O104+Form_III!O106-(Form_III!N104+Form_III!N106))&lt;0,(Form_III!O104+Form_III!O106-(Form_III!N104+Form_III!N106))*-1,"")</f>
        <v/>
      </c>
      <c r="O17" s="597">
        <f>IF((Form_III!P104+Form_III!P106-(Form_III!O104+Form_III!O106))&lt;0,(Form_III!P104+Form_III!P106-(Form_III!O104+Form_III!O106))*-1,"")</f>
        <v/>
      </c>
    </row>
    <row r="18" ht="20.1" customHeight="1">
      <c r="A18" s="305" t="n"/>
      <c r="B18" t="inlineStr">
        <is>
          <t>f.</t>
        </is>
      </c>
      <c r="C18" s="429" t="inlineStr">
        <is>
          <t>Others</t>
        </is>
      </c>
      <c r="E18" s="605">
        <f>IF(Form_III!F49+Form_III!F20-Form_III!F41-Form_II!F51-(Form_III!E49-Form_III!E41)&gt;=0,(Form_III!F49+Form_III!F20-Form_III!F41-Form_II!F51-(Form_III!E49-Form_III!E41)),"")</f>
        <v/>
      </c>
      <c r="F18" s="605">
        <f>IF(Form_III!G49+Form_III!G20-Form_III!G41-Form_II!G51-(Form_III!F49-Form_III!F41)&gt;=0,(Form_III!G49+Form_III!G20-Form_III!G41-Form_II!G51-(Form_III!F49-Form_III!F41)),"")</f>
        <v/>
      </c>
      <c r="G18" s="605">
        <f>IF(Form_III!H49+Form_III!H20-Form_III!H41-Form_II!H51-(Form_III!G49-Form_III!G41)&gt;=0,(Form_III!H49+Form_III!H20-Form_III!H41-Form_II!H51-(Form_III!G49-Form_III!G41)),"")</f>
        <v/>
      </c>
      <c r="H18" s="597">
        <f>IF(Form_III!I49+Form_III!I20-Form_III!I41-Form_II!I51-(Form_III!H49-Form_III!H41)&gt;=0,(Form_III!I49+Form_III!I20-Form_III!I41-Form_II!I51-(Form_III!H49-Form_III!H41)),"")</f>
        <v/>
      </c>
      <c r="I18" s="597">
        <f>IF(Form_III!J49+Form_III!J20-Form_III!J41-Form_II!J51-(Form_III!I49-Form_III!I41)&gt;=0,(Form_III!J49+Form_III!J20-Form_III!J41-Form_II!J51-(Form_III!I49-Form_III!I41)),"")</f>
        <v/>
      </c>
      <c r="J18" s="597">
        <f>IF(Form_III!K49+Form_III!K20-Form_III!K41-Form_II!K51-(Form_III!J49-Form_III!J41)&gt;=0,(Form_III!K49+Form_III!K20-Form_III!K41-Form_II!K51-(Form_III!J49-Form_III!J41)),"")</f>
        <v/>
      </c>
      <c r="K18" s="597">
        <f>IF(Form_III!L49+Form_III!L20-Form_III!L41-Form_II!L51-(Form_III!K49-Form_III!K41)&gt;=0,(Form_III!L49+Form_III!L20-Form_III!L41-Form_II!L51-(Form_III!K49-Form_III!K41)),"")</f>
        <v/>
      </c>
      <c r="L18" s="597">
        <f>IF(Form_III!M49+Form_III!M20-Form_III!M41-Form_II!M51-(Form_III!L49-Form_III!L41)&gt;=0,(Form_III!M49+Form_III!M20-Form_III!M41-Form_II!M51-(Form_III!L49-Form_III!L41)),"")</f>
        <v/>
      </c>
      <c r="M18" s="597">
        <f>IF(Form_III!N49+Form_III!N20-Form_III!N41-Form_II!N51-(Form_III!M49-Form_III!M41)&gt;=0,(Form_III!N49+Form_III!N20-Form_III!N41-Form_II!N51-(Form_III!M49-Form_III!M41)),"")</f>
        <v/>
      </c>
      <c r="N18" s="597">
        <f>IF(Form_III!O49+Form_III!O20-Form_III!O41-Form_II!O51-(Form_III!N49-Form_III!N41)&gt;=0,(Form_III!O49+Form_III!O20-Form_III!O41-Form_II!O51-(Form_III!N49-Form_III!N41)),"")</f>
        <v/>
      </c>
      <c r="O18" s="597">
        <f>IF(Form_III!P49+Form_III!P20-Form_III!P41-Form_II!P51-(Form_III!O49-Form_III!O41)&gt;=0,(Form_III!P49+Form_III!P20-Form_III!P41-Form_II!P51-(Form_III!O49-Form_III!O41)),"")</f>
        <v/>
      </c>
    </row>
    <row r="19" ht="20.1" customHeight="1">
      <c r="A19" s="305" t="n"/>
      <c r="B19" t="inlineStr">
        <is>
          <t>g.</t>
        </is>
      </c>
      <c r="C19" t="inlineStr">
        <is>
          <t>TOTAL</t>
        </is>
      </c>
      <c r="E19" s="641">
        <f>SUM(E11:E18)</f>
        <v/>
      </c>
      <c r="F19" s="641">
        <f>SUM(F11:F18)</f>
        <v/>
      </c>
      <c r="G19" s="641">
        <f>SUM(G11:G18)</f>
        <v/>
      </c>
      <c r="H19" s="642">
        <f>SUM(H11:H18)</f>
        <v/>
      </c>
      <c r="I19" s="642">
        <f>SUM(I11:I18)</f>
        <v/>
      </c>
      <c r="J19" s="642">
        <f>SUM(J11:J18)</f>
        <v/>
      </c>
      <c r="K19" s="642">
        <f>SUM(K11:K18)</f>
        <v/>
      </c>
      <c r="L19" s="642">
        <f>SUM(L11:L18)</f>
        <v/>
      </c>
      <c r="M19" s="642">
        <f>SUM(M11:M18)</f>
        <v/>
      </c>
      <c r="N19" s="642">
        <f>SUM(N11:N18)</f>
        <v/>
      </c>
      <c r="O19" s="642">
        <f>SUM(O11:O18)</f>
        <v/>
      </c>
    </row>
    <row r="20" ht="20.1" customHeight="1">
      <c r="A20" s="305" t="n"/>
      <c r="E20" s="605" t="n"/>
      <c r="F20" s="605" t="n"/>
      <c r="G20" s="605" t="n"/>
      <c r="H20" s="597" t="n"/>
      <c r="I20" s="597" t="n"/>
      <c r="J20" s="597" t="n"/>
      <c r="K20" s="597" t="n"/>
      <c r="L20" s="597" t="n"/>
      <c r="M20" s="597" t="n"/>
      <c r="N20" s="597" t="n"/>
      <c r="O20" s="597" t="n"/>
    </row>
    <row r="21" ht="20.1" customHeight="1">
      <c r="A21" s="305" t="inlineStr">
        <is>
          <t>2.</t>
        </is>
      </c>
      <c r="B21" s="224" t="inlineStr">
        <is>
          <t>USES</t>
        </is>
      </c>
      <c r="E21" s="605" t="n"/>
      <c r="F21" s="605" t="n"/>
      <c r="G21" s="605" t="n"/>
      <c r="H21" s="597" t="n"/>
      <c r="I21" s="597" t="n"/>
      <c r="J21" s="597" t="n"/>
      <c r="K21" s="597" t="n"/>
      <c r="L21" s="597" t="n"/>
      <c r="M21" s="597" t="n"/>
      <c r="N21" s="597" t="n"/>
      <c r="O21" s="597" t="n"/>
    </row>
    <row r="22" ht="20.1" customHeight="1">
      <c r="B22" t="inlineStr">
        <is>
          <t>a.</t>
        </is>
      </c>
      <c r="C22" t="inlineStr">
        <is>
          <t>Net loss</t>
        </is>
      </c>
      <c r="E22" s="605">
        <f>IF(Form_II!F51&lt;0,Form_II!F51*-1,"")</f>
        <v/>
      </c>
      <c r="F22" s="605">
        <f>IF(Form_II!G51&lt;0,Form_II!G51*-1,"")</f>
        <v/>
      </c>
      <c r="G22" s="605">
        <f>IF(Form_II!H51&lt;0,Form_II!H51*-1,"")</f>
        <v/>
      </c>
      <c r="H22" s="597">
        <f>IF(Form_II!I51&lt;0,Form_II!I51*-1,"")</f>
        <v/>
      </c>
      <c r="I22" s="597">
        <f>IF(Form_II!J51&lt;0,Form_II!J51*-1,"")</f>
        <v/>
      </c>
      <c r="J22" s="597">
        <f>IF(Form_II!K51&lt;0,Form_II!K51*-1,"")</f>
        <v/>
      </c>
      <c r="K22" s="597">
        <f>IF(Form_II!L51&lt;0,Form_II!L51*-1,"")</f>
        <v/>
      </c>
      <c r="L22" s="597">
        <f>IF(Form_II!M51&lt;0,Form_II!M51*-1,"")</f>
        <v/>
      </c>
      <c r="M22" s="597">
        <f>IF(Form_II!N51&lt;0,Form_II!N51*-1,"")</f>
        <v/>
      </c>
      <c r="N22" s="597">
        <f>IF(Form_II!O51&lt;0,Form_II!O51*-1,"")</f>
        <v/>
      </c>
      <c r="O22" s="597">
        <f>IF(Form_II!P51&lt;0,Form_II!P51*-1,"")</f>
        <v/>
      </c>
    </row>
    <row r="23" ht="20.1" customHeight="1">
      <c r="B23" s="272" t="inlineStr">
        <is>
          <t>b.</t>
        </is>
      </c>
      <c r="C23" t="inlineStr">
        <is>
          <t>Decrease in Term Liabilities</t>
        </is>
      </c>
      <c r="E23" s="605">
        <f>IF(Form_III!F37-Form_III!E37&lt;0,(Form_III!F37-Form_III!E37)*-1,"")</f>
        <v/>
      </c>
      <c r="F23" s="605">
        <f>IF(Form_III!G37-Form_III!F37&lt;0,(Form_III!G37-Form_III!F37)*-1,"")</f>
        <v/>
      </c>
      <c r="G23" s="605">
        <f>IF(Form_III!H37-Form_III!G37&lt;0,(Form_III!H37-Form_III!G37)*-1,"")</f>
        <v/>
      </c>
      <c r="H23" s="597">
        <f>IF(Form_III!I37-Form_III!H37&lt;0,(Form_III!I37-Form_III!H37)*-1,"")</f>
        <v/>
      </c>
      <c r="I23" s="597">
        <f>IF(Form_III!J37-Form_III!I37&lt;0,(Form_III!J37-Form_III!I37)*-1,"")</f>
        <v/>
      </c>
      <c r="J23" s="597">
        <f>IF(Form_III!K37-Form_III!J37&lt;0,(Form_III!K37-Form_III!J37)*-1,"")</f>
        <v/>
      </c>
      <c r="K23" s="597">
        <f>IF(Form_III!L37-Form_III!K37&lt;0,(Form_III!L37-Form_III!K37)*-1,"")</f>
        <v/>
      </c>
      <c r="L23" s="597">
        <f>IF(Form_III!M37-Form_III!L37&lt;0,(Form_III!M37-Form_III!L37)*-1,"")</f>
        <v/>
      </c>
      <c r="M23" s="597">
        <f>IF(Form_III!N37-Form_III!M37&lt;0,(Form_III!N37-Form_III!M37)*-1,"")</f>
        <v/>
      </c>
      <c r="N23" s="597">
        <f>IF(Form_III!O37-Form_III!N37&lt;0,(Form_III!O37-Form_III!N37)*-1,"")</f>
        <v/>
      </c>
      <c r="O23" s="597">
        <f>IF(Form_III!P37-Form_III!O37&lt;0,(Form_III!P37-Form_III!O37)*-1,"")</f>
        <v/>
      </c>
    </row>
    <row r="24" ht="20.1" customHeight="1">
      <c r="B24" t="inlineStr">
        <is>
          <t>c.</t>
        </is>
      </c>
      <c r="C24" t="inlineStr">
        <is>
          <t>Increase in</t>
        </is>
      </c>
      <c r="E24" s="605" t="n"/>
      <c r="F24" s="605" t="n"/>
      <c r="G24" s="605" t="n"/>
      <c r="H24" s="597" t="n"/>
      <c r="I24" s="597" t="n"/>
      <c r="J24" s="597" t="n"/>
      <c r="K24" s="597" t="n"/>
      <c r="L24" s="597" t="n"/>
      <c r="M24" s="597" t="n"/>
      <c r="N24" s="597" t="n"/>
      <c r="O24" s="597" t="n"/>
    </row>
    <row r="25" ht="20.1" customHeight="1">
      <c r="A25" s="304" t="n"/>
      <c r="C25" t="inlineStr">
        <is>
          <t>i.</t>
        </is>
      </c>
      <c r="D25" t="inlineStr">
        <is>
          <t>Fixed Assets</t>
        </is>
      </c>
      <c r="E25" s="605">
        <f>IF(Form_III!F88-Form_III!E88&gt;=0,Form_III!F88-Form_III!E88,"")</f>
        <v/>
      </c>
      <c r="F25" s="605">
        <f>IF(Form_III!G88-Form_III!F88&gt;=0,Form_III!G88-Form_III!F88,"")</f>
        <v/>
      </c>
      <c r="G25" s="605">
        <f>IF(Form_III!H88-Form_III!G88&gt;=0,Form_III!H88-Form_III!G88,"")</f>
        <v/>
      </c>
      <c r="H25" s="597">
        <f>IF(Form_III!I88-Form_III!H88&gt;=0,Form_III!I88-Form_III!H88,"")</f>
        <v/>
      </c>
      <c r="I25" s="597">
        <f>IF(Form_III!J88-Form_III!I88&gt;=0,Form_III!J88-Form_III!I88,"")</f>
        <v/>
      </c>
      <c r="J25" s="597">
        <f>IF(Form_III!K88-Form_III!J88&gt;=0,Form_III!K88-Form_III!J88,"")</f>
        <v/>
      </c>
      <c r="K25" s="597">
        <f>IF(Form_III!L88-Form_III!K88&gt;=0,Form_III!L88-Form_III!K88,"")</f>
        <v/>
      </c>
      <c r="L25" s="597">
        <f>IF(Form_III!M88-Form_III!L88&gt;=0,Form_III!M88-Form_III!L88,"")</f>
        <v/>
      </c>
      <c r="M25" s="597">
        <f>IF(Form_III!N88-Form_III!M88&gt;=0,Form_III!N88-Form_III!M88,"")</f>
        <v/>
      </c>
      <c r="N25" s="597">
        <f>IF(Form_III!O88-Form_III!N88&gt;=0,Form_III!O88-Form_III!N88,"")</f>
        <v/>
      </c>
      <c r="O25" s="597">
        <f>IF(Form_III!P88-Form_III!O88&gt;=0,Form_III!P88-Form_III!O88,"")</f>
        <v/>
      </c>
    </row>
    <row r="26" ht="20.1" customHeight="1">
      <c r="C26" t="inlineStr">
        <is>
          <t>ii.</t>
        </is>
      </c>
      <c r="D26" t="inlineStr">
        <is>
          <t>Other non-current Assets</t>
        </is>
      </c>
      <c r="E26" s="605">
        <f>IF((Form_III!F104+Form_III!F106-(Form_III!E104+Form_III!F106))&gt;=0,(Form_III!F104+Form_III!F106-(Form_III!E104+Form_III!E106)),"")</f>
        <v/>
      </c>
      <c r="F26" s="605">
        <f>IF((Form_III!G104+Form_III!G106-(Form_III!F104+Form_III!G106))&gt;=0,(Form_III!G104+Form_III!G106-(Form_III!F104+Form_III!F106)),"")</f>
        <v/>
      </c>
      <c r="G26" s="605">
        <f>IF((Form_III!H104+Form_III!H106-(Form_III!G104+Form_III!H106))&gt;=0,(Form_III!H104+Form_III!H106-(Form_III!G104+Form_III!G106)),"")</f>
        <v/>
      </c>
      <c r="H26" s="597">
        <f>IF((Form_III!I104+Form_III!I106-(Form_III!H104+Form_III!I106))&gt;=0,(Form_III!I104+Form_III!I106-(Form_III!H104+Form_III!H106)),"")</f>
        <v/>
      </c>
      <c r="I26" s="597">
        <f>IF((Form_III!J104+Form_III!J106-(Form_III!I104+Form_III!J106))&gt;=0,(Form_III!J104+Form_III!J106-(Form_III!I104+Form_III!I106)),"")</f>
        <v/>
      </c>
      <c r="J26" s="597">
        <f>IF((Form_III!K104+Form_III!K106-(Form_III!J104+Form_III!K106))&gt;=0,(Form_III!K104+Form_III!K106-(Form_III!J104+Form_III!J106)),"")</f>
        <v/>
      </c>
      <c r="K26" s="597">
        <f>IF((Form_III!L104+Form_III!L106-(Form_III!K104+Form_III!L106))&gt;=0,(Form_III!L104+Form_III!L106-(Form_III!K104+Form_III!K106)),"")</f>
        <v/>
      </c>
      <c r="L26" s="597">
        <f>IF((Form_III!M104+Form_III!M106-(Form_III!L104+Form_III!M106))&gt;=0,(Form_III!M104+Form_III!M106-(Form_III!L104+Form_III!L106)),"")</f>
        <v/>
      </c>
      <c r="M26" s="597">
        <f>IF((Form_III!N104+Form_III!N106-(Form_III!M104+Form_III!N106))&gt;=0,(Form_III!N104+Form_III!N106-(Form_III!M104+Form_III!M106)),"")</f>
        <v/>
      </c>
      <c r="N26" s="597">
        <f>IF((Form_III!O104+Form_III!O106-(Form_III!N104+Form_III!O106))&gt;=0,(Form_III!O104+Form_III!O106-(Form_III!N104+Form_III!N106)),"")</f>
        <v/>
      </c>
      <c r="O26" s="597">
        <f>IF((Form_III!P104+Form_III!P106-(Form_III!O104+Form_III!P106))&gt;=0,(Form_III!P104+Form_III!P106-(Form_III!O104+Form_III!O106)),"")</f>
        <v/>
      </c>
    </row>
    <row r="27" ht="20.1" customHeight="1">
      <c r="A27" s="305" t="n"/>
      <c r="B27" t="inlineStr">
        <is>
          <t>d.</t>
        </is>
      </c>
      <c r="C27" t="inlineStr">
        <is>
          <t>Dividend Payments</t>
        </is>
      </c>
      <c r="E27" s="605">
        <f>Form_II!F53</f>
        <v/>
      </c>
      <c r="F27" s="605">
        <f>Form_II!G53</f>
        <v/>
      </c>
      <c r="G27" s="605">
        <f>Form_II!H53</f>
        <v/>
      </c>
      <c r="H27" s="597">
        <f>Form_II!I53</f>
        <v/>
      </c>
      <c r="I27" s="597">
        <f>Form_II!J53</f>
        <v/>
      </c>
      <c r="J27" s="597">
        <f>Form_II!K53</f>
        <v/>
      </c>
      <c r="K27" s="597">
        <f>Form_II!L53</f>
        <v/>
      </c>
      <c r="L27" s="597">
        <f>Form_II!M53</f>
        <v/>
      </c>
      <c r="M27" s="597">
        <f>Form_II!N53</f>
        <v/>
      </c>
      <c r="N27" s="597">
        <f>Form_II!O53</f>
        <v/>
      </c>
      <c r="O27" s="597">
        <f>Form_II!P53</f>
        <v/>
      </c>
    </row>
    <row r="28" ht="20.1" customHeight="1">
      <c r="A28" s="305" t="n"/>
      <c r="B28" t="inlineStr">
        <is>
          <t>e.</t>
        </is>
      </c>
      <c r="C28" s="429" t="inlineStr">
        <is>
          <t>Others</t>
        </is>
      </c>
      <c r="E28" s="605">
        <f>IF(Form_III!F49+Form_III!F20-Form_III!F41-Form_II!F51-(Form_III!E49-Form_III!E41)&lt;0,(Form_III!F49+Form_III!F20-Form_III!F41-Form_II!F51-(Form_III!E49-Form_III!E41))*-1,"")</f>
        <v/>
      </c>
      <c r="F28" s="605">
        <f>IF(Form_III!G49+Form_III!G20-Form_III!G41-Form_II!G51-(Form_III!F49-Form_III!F41)&lt;0,(Form_III!G49+Form_III!G20-Form_III!G41-Form_II!G51-(Form_III!F49-Form_III!F41))*-1,"")</f>
        <v/>
      </c>
      <c r="G28" s="605">
        <f>IF(Form_III!H49+Form_III!H20-Form_III!H41-Form_II!H51-(Form_III!G49-Form_III!G41)&lt;0,(Form_III!H49+Form_III!H20-Form_III!H41-Form_II!H51-(Form_III!G49-Form_III!G41))*-1,"")</f>
        <v/>
      </c>
      <c r="H28" s="597">
        <f>IF(Form_III!I49+Form_III!I20-Form_III!I41-Form_II!I51-(Form_III!H49-Form_III!H41)&lt;0,(Form_III!I49+Form_III!I20-Form_III!I41-Form_II!I51-(Form_III!H49-Form_III!H41))*-1,"")</f>
        <v/>
      </c>
      <c r="I28" s="597">
        <f>IF(Form_III!J49+Form_III!J20-Form_III!J41-Form_II!J51-(Form_III!I49-Form_III!I41)&lt;0,(Form_III!J49+Form_III!J20-Form_III!J41-Form_II!J51-(Form_III!I49-Form_III!I41))*-1,"")</f>
        <v/>
      </c>
      <c r="J28" s="597">
        <f>IF(Form_III!K49+Form_III!K20-Form_III!K41-Form_II!K51-(Form_III!J49-Form_III!J41)&lt;0,(Form_III!K49+Form_III!K20-Form_III!K41-Form_II!K51-(Form_III!J49-Form_III!J41))*-1,"")</f>
        <v/>
      </c>
      <c r="K28" s="597">
        <f>IF(Form_III!L49+Form_III!L20-Form_III!L41-Form_II!L51-(Form_III!K49-Form_III!K41)&lt;0,(Form_III!L49+Form_III!L20-Form_III!L41-Form_II!L51-(Form_III!K49-Form_III!K41))*-1,"")</f>
        <v/>
      </c>
      <c r="L28" s="597">
        <f>IF(Form_III!M49+Form_III!M20-Form_III!M41-Form_II!M51-(Form_III!L49-Form_III!L41)&lt;0,(Form_III!M49+Form_III!M20-Form_III!M41-Form_II!M51-(Form_III!L49-Form_III!L41))*-1,"")</f>
        <v/>
      </c>
      <c r="M28" s="597">
        <f>IF(Form_III!N49+Form_III!N20-Form_III!N41-Form_II!N51-(Form_III!M49-Form_III!M41)&lt;0,(Form_III!N49+Form_III!N20-Form_III!N41-Form_II!N51-(Form_III!M49-Form_III!M41))*-1,"")</f>
        <v/>
      </c>
      <c r="N28" s="597">
        <f>IF(Form_III!O49+Form_III!O20-Form_III!O41-Form_II!O51-(Form_III!N49-Form_III!N41)&lt;0,(Form_III!O49+Form_III!O20-Form_III!O41-Form_II!O51-(Form_III!N49-Form_III!N41))*-1,"")</f>
        <v/>
      </c>
      <c r="O28" s="597">
        <f>IF(Form_III!P49+Form_III!P20-Form_III!P41-Form_II!P51-(Form_III!O49-Form_III!O41)&lt;0,(Form_III!P49+Form_III!P20-Form_III!P41-Form_II!P51-(Form_III!O49-Form_III!O41))*-1,"")</f>
        <v/>
      </c>
    </row>
    <row r="29" ht="20.1" customHeight="1">
      <c r="A29" s="305" t="n"/>
      <c r="B29" t="inlineStr">
        <is>
          <t>f.</t>
        </is>
      </c>
      <c r="C29" s="429" t="inlineStr">
        <is>
          <t>TOTAL</t>
        </is>
      </c>
      <c r="E29" s="641">
        <f>SUM(E22:E28)</f>
        <v/>
      </c>
      <c r="F29" s="641">
        <f>SUM(F22:F28)</f>
        <v/>
      </c>
      <c r="G29" s="641">
        <f>SUM(G22:G28)</f>
        <v/>
      </c>
      <c r="H29" s="642">
        <f>SUM(H22:H28)</f>
        <v/>
      </c>
      <c r="I29" s="642">
        <f>SUM(I22:I28)</f>
        <v/>
      </c>
      <c r="J29" s="642">
        <f>SUM(J22:J28)</f>
        <v/>
      </c>
      <c r="K29" s="642">
        <f>SUM(K22:K28)</f>
        <v/>
      </c>
      <c r="L29" s="642">
        <f>SUM(L22:L28)</f>
        <v/>
      </c>
      <c r="M29" s="642">
        <f>SUM(M22:M28)</f>
        <v/>
      </c>
      <c r="N29" s="642">
        <f>SUM(N22:N28)</f>
        <v/>
      </c>
      <c r="O29" s="642">
        <f>SUM(O22:O28)</f>
        <v/>
      </c>
    </row>
    <row r="30" ht="20.1" customHeight="1">
      <c r="A30" s="305" t="n"/>
      <c r="B30" s="431" t="n"/>
      <c r="E30" s="595" t="n"/>
      <c r="F30" s="595" t="n"/>
      <c r="G30" s="606" t="n"/>
      <c r="H30" s="595" t="n"/>
      <c r="I30" s="595" t="n"/>
      <c r="J30" s="595" t="n"/>
      <c r="K30" s="595" t="n"/>
      <c r="L30" s="595" t="n"/>
      <c r="M30" s="595" t="n"/>
      <c r="N30" s="595" t="n"/>
      <c r="O30" s="595" t="n"/>
    </row>
    <row r="31" ht="20.1" customHeight="1">
      <c r="A31" s="305" t="inlineStr">
        <is>
          <t>3.</t>
        </is>
      </c>
      <c r="B31" t="inlineStr">
        <is>
          <t>Long Term Surplus (+) / Deficit (-) [1-2]</t>
        </is>
      </c>
      <c r="E31" s="597">
        <f>E19-E29</f>
        <v/>
      </c>
      <c r="F31" s="597">
        <f>F19-F29</f>
        <v/>
      </c>
      <c r="G31" s="606">
        <f>G19-G29</f>
        <v/>
      </c>
      <c r="H31" s="597">
        <f>H19-H29</f>
        <v/>
      </c>
      <c r="I31" s="597">
        <f>I19-I29</f>
        <v/>
      </c>
      <c r="J31" s="597">
        <f>J19-J29</f>
        <v/>
      </c>
      <c r="K31" s="597">
        <f>K19-K29</f>
        <v/>
      </c>
      <c r="L31" s="597">
        <f>L19-L29</f>
        <v/>
      </c>
      <c r="M31" s="597">
        <f>M19-M29</f>
        <v/>
      </c>
      <c r="N31" s="597">
        <f>N19-N29</f>
        <v/>
      </c>
      <c r="O31" s="597">
        <f>O19-O29</f>
        <v/>
      </c>
    </row>
    <row r="32" ht="20.1" customHeight="1">
      <c r="A32" s="305" t="inlineStr">
        <is>
          <t>4.</t>
        </is>
      </c>
      <c r="B32" t="inlineStr">
        <is>
          <t>Increase/decrease in current assets</t>
        </is>
      </c>
      <c r="E32" s="597" t="n"/>
      <c r="F32" s="597" t="n"/>
      <c r="G32" s="606" t="n"/>
      <c r="H32" s="597" t="n"/>
      <c r="I32" s="597" t="n"/>
      <c r="J32" s="597" t="n"/>
      <c r="K32" s="597" t="n"/>
      <c r="L32" s="597" t="n"/>
      <c r="M32" s="597" t="n"/>
      <c r="N32" s="597" t="n"/>
      <c r="O32" s="597" t="n"/>
    </row>
    <row r="33" ht="12.9" customHeight="1">
      <c r="A33" s="225" t="n"/>
      <c r="B33" t="inlineStr">
        <is>
          <t>* (as per details given below)</t>
        </is>
      </c>
      <c r="E33" s="597">
        <f>Form_III!F83-Form_III!E83</f>
        <v/>
      </c>
      <c r="F33" s="597">
        <f>Form_III!G83-Form_III!F83</f>
        <v/>
      </c>
      <c r="G33" s="606">
        <f>Form_III!H83-Form_III!G83</f>
        <v/>
      </c>
      <c r="H33" s="597">
        <f>Form_III!I83-Form_III!H83</f>
        <v/>
      </c>
      <c r="I33" s="597">
        <f>Form_III!J83-Form_III!I83</f>
        <v/>
      </c>
      <c r="J33" s="597">
        <f>Form_III!K83-Form_III!J83</f>
        <v/>
      </c>
      <c r="K33" s="597">
        <f>Form_III!L83-Form_III!K83</f>
        <v/>
      </c>
      <c r="L33" s="597">
        <f>Form_III!M83-Form_III!L83</f>
        <v/>
      </c>
      <c r="M33" s="597">
        <f>Form_III!N83-Form_III!M83</f>
        <v/>
      </c>
      <c r="N33" s="597">
        <f>Form_III!O83-Form_III!N83</f>
        <v/>
      </c>
      <c r="O33" s="597">
        <f>Form_III!P83-Form_III!O83</f>
        <v/>
      </c>
    </row>
    <row r="34" ht="29.25" customHeight="1">
      <c r="A34" s="305" t="inlineStr">
        <is>
          <t>5.</t>
        </is>
      </c>
      <c r="B34" s="433" t="inlineStr">
        <is>
          <t>Increase/decrease in current liabilities other than bank borrowings</t>
        </is>
      </c>
      <c r="E34" s="597">
        <f>Form_III!F28-Form_III!E28</f>
        <v/>
      </c>
      <c r="F34" s="597">
        <f>Form_III!G28-Form_III!F28</f>
        <v/>
      </c>
      <c r="G34" s="606">
        <f>Form_III!H28-Form_III!G28</f>
        <v/>
      </c>
      <c r="H34" s="597">
        <f>Form_III!I28-Form_III!H28</f>
        <v/>
      </c>
      <c r="I34" s="597">
        <f>Form_III!J28-Form_III!I28</f>
        <v/>
      </c>
      <c r="J34" s="597">
        <f>Form_III!K28-Form_III!J28</f>
        <v/>
      </c>
      <c r="K34" s="597">
        <f>Form_III!L28-Form_III!K28</f>
        <v/>
      </c>
      <c r="L34" s="597">
        <f>Form_III!M28-Form_III!L28</f>
        <v/>
      </c>
      <c r="M34" s="597">
        <f>Form_III!N28-Form_III!M28</f>
        <v/>
      </c>
      <c r="N34" s="597">
        <f>Form_III!O28-Form_III!N28</f>
        <v/>
      </c>
      <c r="O34" s="597">
        <f>Form_III!P28-Form_III!O28</f>
        <v/>
      </c>
    </row>
    <row r="35" ht="20.1" customHeight="1">
      <c r="A35" s="305" t="inlineStr">
        <is>
          <t>6.</t>
        </is>
      </c>
      <c r="B35" t="inlineStr">
        <is>
          <t>Increase/decrease in working capital gap</t>
        </is>
      </c>
      <c r="E35" s="597">
        <f>(Form_III!F83-Form_III!F28)-(Form_III!E83-Form_III!E28)</f>
        <v/>
      </c>
      <c r="F35" s="597">
        <f>(Form_III!G83-Form_III!G28)-(Form_III!F83-Form_III!F28)</f>
        <v/>
      </c>
      <c r="G35" s="606">
        <f>(Form_III!H83-Form_III!H28)-(Form_III!G83-Form_III!G28)</f>
        <v/>
      </c>
      <c r="H35" s="597">
        <f>(Form_III!I83-Form_III!I28)-(Form_III!H83-Form_III!H28)</f>
        <v/>
      </c>
      <c r="I35" s="597">
        <f>(Form_III!J83-Form_III!J28)-(Form_III!I83-Form_III!I28)</f>
        <v/>
      </c>
      <c r="J35" s="597">
        <f>(Form_III!K83-Form_III!K28)-(Form_III!J83-Form_III!J28)</f>
        <v/>
      </c>
      <c r="K35" s="597">
        <f>(Form_III!L83-Form_III!L28)-(Form_III!K83-Form_III!K28)</f>
        <v/>
      </c>
      <c r="L35" s="597">
        <f>(Form_III!M83-Form_III!M28)-(Form_III!L83-Form_III!L28)</f>
        <v/>
      </c>
      <c r="M35" s="597">
        <f>(Form_III!N83-Form_III!N28)-(Form_III!M83-Form_III!M28)</f>
        <v/>
      </c>
      <c r="N35" s="597">
        <f>(Form_III!O83-Form_III!O28)-(Form_III!N83-Form_III!N28)</f>
        <v/>
      </c>
      <c r="O35" s="597">
        <f>(Form_III!P83-Form_III!P28)-(Form_III!O83-Form_III!O28)</f>
        <v/>
      </c>
    </row>
    <row r="36" ht="20.1" customHeight="1">
      <c r="A36" s="305" t="inlineStr">
        <is>
          <t>7.</t>
        </is>
      </c>
      <c r="B36" t="inlineStr">
        <is>
          <t>Net Surplus / Deficit (-) [3-6]</t>
        </is>
      </c>
      <c r="E36" s="597">
        <f>E31-E35</f>
        <v/>
      </c>
      <c r="F36" s="597">
        <f>F31-F35</f>
        <v/>
      </c>
      <c r="G36" s="606">
        <f>G31-G35</f>
        <v/>
      </c>
      <c r="H36" s="597">
        <f>H31-H35</f>
        <v/>
      </c>
      <c r="I36" s="597">
        <f>I31-I35</f>
        <v/>
      </c>
      <c r="J36" s="597">
        <f>J31-J35</f>
        <v/>
      </c>
      <c r="K36" s="597">
        <f>K31-K35</f>
        <v/>
      </c>
      <c r="L36" s="597">
        <f>L31-L35</f>
        <v/>
      </c>
      <c r="M36" s="597">
        <f>M31-M35</f>
        <v/>
      </c>
      <c r="N36" s="597">
        <f>N31-N35</f>
        <v/>
      </c>
      <c r="O36" s="597">
        <f>O31-O35</f>
        <v/>
      </c>
    </row>
    <row r="37" ht="20.1" customHeight="1">
      <c r="A37" s="305" t="inlineStr">
        <is>
          <t>8.</t>
        </is>
      </c>
      <c r="B37" t="inlineStr">
        <is>
          <t>Increase/decrease in bank borrowings</t>
        </is>
      </c>
      <c r="E37" s="597">
        <f>Form_III!F15-Form_III!E15</f>
        <v/>
      </c>
      <c r="F37" s="597">
        <f>Form_III!G15-Form_III!F15</f>
        <v/>
      </c>
      <c r="G37" s="606">
        <f>Form_III!H15-Form_III!G15</f>
        <v/>
      </c>
      <c r="H37" s="597">
        <f>Form_III!I15-Form_III!H15</f>
        <v/>
      </c>
      <c r="I37" s="597">
        <f>Form_III!J15-Form_III!I15</f>
        <v/>
      </c>
      <c r="J37" s="597">
        <f>Form_III!K15-Form_III!J15</f>
        <v/>
      </c>
      <c r="K37" s="597">
        <f>Form_III!L15-Form_III!K15</f>
        <v/>
      </c>
      <c r="L37" s="597">
        <f>Form_III!M15-Form_III!L15</f>
        <v/>
      </c>
      <c r="M37" s="597">
        <f>Form_III!N15-Form_III!M15</f>
        <v/>
      </c>
      <c r="N37" s="597">
        <f>Form_III!O15-Form_III!N15</f>
        <v/>
      </c>
      <c r="O37" s="597">
        <f>Form_III!P15-Form_III!O15</f>
        <v/>
      </c>
    </row>
    <row r="38" ht="20.1" customHeight="1">
      <c r="A38" s="305" t="inlineStr">
        <is>
          <t>9.</t>
        </is>
      </c>
      <c r="B38" t="inlineStr">
        <is>
          <t>Increase/decrease in NET SALES</t>
        </is>
      </c>
      <c r="E38" s="643">
        <f>IF(Form_II!E15&lt;&gt;0,Form_II!F15-Form_II!E15,"N/A")</f>
        <v/>
      </c>
      <c r="F38" s="643">
        <f>IF(Form_II!F15&lt;&gt;0,Form_II!G15-Form_II!F15,"N/A")</f>
        <v/>
      </c>
      <c r="G38" s="644">
        <f>IF(Form_II!G15&lt;&gt;0,Form_II!H15-Form_II!G15,"N/A")</f>
        <v/>
      </c>
      <c r="H38" s="643">
        <f>IF(Form_II!H15&lt;&gt;0,Form_II!I15-Form_II!H15,"N/A")</f>
        <v/>
      </c>
      <c r="I38" s="643">
        <f>IF(Form_II!I15&lt;&gt;0,Form_II!J15-Form_II!I15,"N/A")</f>
        <v/>
      </c>
      <c r="J38" s="643">
        <f>IF(Form_II!J15&lt;&gt;0,Form_II!K15-Form_II!J15,"N/A")</f>
        <v/>
      </c>
      <c r="K38" s="643">
        <f>IF(Form_II!K15&lt;&gt;0,Form_II!L15-Form_II!K15,"N/A")</f>
        <v/>
      </c>
      <c r="L38" s="643">
        <f>IF(Form_II!L15&lt;&gt;0,Form_II!M15-Form_II!L15,"N/A")</f>
        <v/>
      </c>
      <c r="M38" s="643">
        <f>IF(Form_II!M15&lt;&gt;0,Form_II!N15-Form_II!M15,"N/A")</f>
        <v/>
      </c>
      <c r="N38" s="643">
        <f>IF(Form_II!N15&lt;&gt;0,Form_II!O15-Form_II!N15,"N/A")</f>
        <v/>
      </c>
      <c r="O38" s="643">
        <f>IF(Form_II!O15&lt;&gt;0,Form_II!P15-Form_II!O15,"N/A")</f>
        <v/>
      </c>
    </row>
    <row r="39" ht="20.1" customHeight="1">
      <c r="A39" s="305" t="n"/>
      <c r="B39" s="431" t="n"/>
      <c r="E39" s="597" t="n"/>
      <c r="F39" s="597" t="n"/>
      <c r="G39" s="606" t="n"/>
      <c r="H39" s="597" t="n"/>
      <c r="I39" s="597" t="n"/>
      <c r="J39" s="597" t="n"/>
      <c r="K39" s="597" t="n"/>
      <c r="L39" s="597" t="n"/>
      <c r="M39" s="597" t="n"/>
      <c r="N39" s="597" t="n"/>
      <c r="O39" s="597" t="n"/>
    </row>
    <row r="40" ht="20.1" customHeight="1">
      <c r="A40" s="313" t="inlineStr">
        <is>
          <t>* Break up of item-4</t>
        </is>
      </c>
      <c r="E40" s="597" t="n"/>
      <c r="F40" s="597" t="n"/>
      <c r="G40" s="606" t="n"/>
      <c r="H40" s="597" t="n"/>
      <c r="I40" s="597" t="n"/>
      <c r="J40" s="597" t="n"/>
      <c r="K40" s="597" t="n"/>
      <c r="L40" s="597" t="n"/>
      <c r="M40" s="597" t="n"/>
      <c r="N40" s="597" t="n"/>
      <c r="O40" s="597" t="n"/>
    </row>
    <row r="41" ht="20.1" customHeight="1">
      <c r="A41" s="305" t="inlineStr">
        <is>
          <t>i.</t>
        </is>
      </c>
      <c r="B41" t="inlineStr">
        <is>
          <t>Increase/decrease in Raw Materials</t>
        </is>
      </c>
      <c r="E41" s="597">
        <f>Form_III!F69-Form_III!E69</f>
        <v/>
      </c>
      <c r="F41" s="597">
        <f>Form_III!G69-Form_III!F69</f>
        <v/>
      </c>
      <c r="G41" s="606">
        <f>Form_III!H69-Form_III!G69</f>
        <v/>
      </c>
      <c r="H41" s="597">
        <f>Form_III!I69-Form_III!H69</f>
        <v/>
      </c>
      <c r="I41" s="597">
        <f>Form_III!J69-Form_III!I69</f>
        <v/>
      </c>
      <c r="J41" s="597">
        <f>Form_III!K69-Form_III!J69</f>
        <v/>
      </c>
      <c r="K41" s="597">
        <f>Form_III!L69-Form_III!K69</f>
        <v/>
      </c>
      <c r="L41" s="597">
        <f>Form_III!M69-Form_III!L69</f>
        <v/>
      </c>
      <c r="M41" s="597">
        <f>Form_III!N69-Form_III!M69</f>
        <v/>
      </c>
      <c r="N41" s="597">
        <f>Form_III!O69-Form_III!N69</f>
        <v/>
      </c>
      <c r="O41" s="597">
        <f>Form_III!P69-Form_III!O69</f>
        <v/>
      </c>
    </row>
    <row r="42" ht="20.1" customHeight="1">
      <c r="A42" s="305" t="inlineStr">
        <is>
          <t>ii.</t>
        </is>
      </c>
      <c r="B42" t="inlineStr">
        <is>
          <t>Increase/decrease in Stocks-in-Process</t>
        </is>
      </c>
      <c r="E42" s="597">
        <f>Form_III!F72-Form_III!E72</f>
        <v/>
      </c>
      <c r="F42" s="597">
        <f>Form_III!G72-Form_III!F72</f>
        <v/>
      </c>
      <c r="G42" s="606">
        <f>Form_III!H72-Form_III!G72</f>
        <v/>
      </c>
      <c r="H42" s="597">
        <f>Form_III!I72-Form_III!H72</f>
        <v/>
      </c>
      <c r="I42" s="597">
        <f>Form_III!J72-Form_III!I72</f>
        <v/>
      </c>
      <c r="J42" s="597">
        <f>Form_III!K72-Form_III!J72</f>
        <v/>
      </c>
      <c r="K42" s="597">
        <f>Form_III!L72-Form_III!K72</f>
        <v/>
      </c>
      <c r="L42" s="597">
        <f>Form_III!M72-Form_III!L72</f>
        <v/>
      </c>
      <c r="M42" s="597">
        <f>Form_III!N72-Form_III!M72</f>
        <v/>
      </c>
      <c r="N42" s="597">
        <f>Form_III!O72-Form_III!N72</f>
        <v/>
      </c>
      <c r="O42" s="597">
        <f>Form_III!P72-Form_III!O72</f>
        <v/>
      </c>
    </row>
    <row r="43" ht="20.1" customHeight="1">
      <c r="A43" s="305" t="inlineStr">
        <is>
          <t>iii.</t>
        </is>
      </c>
      <c r="B43" t="inlineStr">
        <is>
          <t>Increase/decrease in Finished Goods</t>
        </is>
      </c>
      <c r="E43" s="597">
        <f>Form_III!F73-Form_III!E73</f>
        <v/>
      </c>
      <c r="F43" s="597">
        <f>Form_III!G73-Form_III!F73</f>
        <v/>
      </c>
      <c r="G43" s="606">
        <f>Form_III!H73-Form_III!G73</f>
        <v/>
      </c>
      <c r="H43" s="597">
        <f>Form_III!I73-Form_III!H73</f>
        <v/>
      </c>
      <c r="I43" s="597">
        <f>Form_III!J73-Form_III!I73</f>
        <v/>
      </c>
      <c r="J43" s="597">
        <f>Form_III!K73-Form_III!J73</f>
        <v/>
      </c>
      <c r="K43" s="597">
        <f>Form_III!L73-Form_III!K73</f>
        <v/>
      </c>
      <c r="L43" s="597">
        <f>Form_III!M73-Form_III!L73</f>
        <v/>
      </c>
      <c r="M43" s="597">
        <f>Form_III!N73-Form_III!M73</f>
        <v/>
      </c>
      <c r="N43" s="597">
        <f>Form_III!O73-Form_III!N73</f>
        <v/>
      </c>
      <c r="O43" s="597">
        <f>Form_III!P73-Form_III!O73</f>
        <v/>
      </c>
    </row>
    <row r="44" ht="20.1" customHeight="1">
      <c r="A44" s="305" t="inlineStr">
        <is>
          <t>iv.</t>
        </is>
      </c>
      <c r="B44" t="inlineStr">
        <is>
          <t>Increase/decrease in Receivables</t>
        </is>
      </c>
      <c r="E44" s="597" t="n"/>
      <c r="F44" s="597" t="n"/>
      <c r="G44" s="606" t="n"/>
      <c r="H44" s="597" t="n"/>
      <c r="I44" s="597" t="n"/>
      <c r="J44" s="597" t="n"/>
      <c r="K44" s="597" t="n"/>
      <c r="L44" s="597" t="n"/>
      <c r="M44" s="597" t="n"/>
      <c r="N44" s="597" t="n"/>
      <c r="O44" s="597" t="n"/>
    </row>
    <row r="45" ht="20.1" customHeight="1">
      <c r="A45" s="305" t="n"/>
      <c r="B45" t="inlineStr">
        <is>
          <t>a)</t>
        </is>
      </c>
      <c r="C45" t="inlineStr">
        <is>
          <t>Domestic</t>
        </is>
      </c>
      <c r="E45" s="597">
        <f>Form_III!F66-Form_III!E66</f>
        <v/>
      </c>
      <c r="F45" s="597">
        <f>Form_III!G66-Form_III!F66</f>
        <v/>
      </c>
      <c r="G45" s="606">
        <f>Form_III!H66-Form_III!G66</f>
        <v/>
      </c>
      <c r="H45" s="597">
        <f>Form_III!I66-Form_III!H66</f>
        <v/>
      </c>
      <c r="I45" s="597">
        <f>Form_III!J66-Form_III!I66</f>
        <v/>
      </c>
      <c r="J45" s="597">
        <f>Form_III!K66-Form_III!J66</f>
        <v/>
      </c>
      <c r="K45" s="597">
        <f>Form_III!L66-Form_III!K66</f>
        <v/>
      </c>
      <c r="L45" s="597">
        <f>Form_III!M66-Form_III!L66</f>
        <v/>
      </c>
      <c r="M45" s="597">
        <f>Form_III!N66-Form_III!M66</f>
        <v/>
      </c>
      <c r="N45" s="597">
        <f>Form_III!O66-Form_III!N66</f>
        <v/>
      </c>
      <c r="O45" s="597">
        <f>Form_III!P66-Form_III!O66</f>
        <v/>
      </c>
    </row>
    <row r="46" ht="20.1" customHeight="1">
      <c r="A46" s="305" t="n"/>
      <c r="B46" t="inlineStr">
        <is>
          <t>b)</t>
        </is>
      </c>
      <c r="C46" s="429" t="inlineStr">
        <is>
          <t>Export</t>
        </is>
      </c>
      <c r="E46" s="597">
        <f>Form_III!F67-Form_III!E67</f>
        <v/>
      </c>
      <c r="F46" s="597">
        <f>Form_III!G67-Form_III!F67</f>
        <v/>
      </c>
      <c r="G46" s="606">
        <f>Form_III!H67-Form_III!G67</f>
        <v/>
      </c>
      <c r="H46" s="597">
        <f>Form_III!I67-Form_III!H67</f>
        <v/>
      </c>
      <c r="I46" s="597">
        <f>Form_III!J67-Form_III!I67</f>
        <v/>
      </c>
      <c r="J46" s="597">
        <f>Form_III!K67-Form_III!J67</f>
        <v/>
      </c>
      <c r="K46" s="597">
        <f>Form_III!L67-Form_III!K67</f>
        <v/>
      </c>
      <c r="L46" s="597">
        <f>Form_III!M67-Form_III!L67</f>
        <v/>
      </c>
      <c r="M46" s="597">
        <f>Form_III!N67-Form_III!M67</f>
        <v/>
      </c>
      <c r="N46" s="597">
        <f>Form_III!O67-Form_III!N67</f>
        <v/>
      </c>
      <c r="O46" s="597">
        <f>Form_III!P67-Form_III!O67</f>
        <v/>
      </c>
    </row>
    <row r="47" ht="20.1" customHeight="1">
      <c r="A47" s="305" t="inlineStr">
        <is>
          <t>v.</t>
        </is>
      </c>
      <c r="B47" t="inlineStr">
        <is>
          <t>Increase/decrease in Stores &amp; Spares</t>
        </is>
      </c>
      <c r="E47" s="597">
        <f>Form_III!F74-Form_III!E74</f>
        <v/>
      </c>
      <c r="F47" s="597">
        <f>Form_III!G74-Form_III!F74</f>
        <v/>
      </c>
      <c r="G47" s="606">
        <f>Form_III!H74-Form_III!G74</f>
        <v/>
      </c>
      <c r="H47" s="597">
        <f>Form_III!I74-Form_III!H74</f>
        <v/>
      </c>
      <c r="I47" s="597">
        <f>Form_III!J74-Form_III!I74</f>
        <v/>
      </c>
      <c r="J47" s="597">
        <f>Form_III!K74-Form_III!J74</f>
        <v/>
      </c>
      <c r="K47" s="597">
        <f>Form_III!L74-Form_III!K74</f>
        <v/>
      </c>
      <c r="L47" s="597">
        <f>Form_III!M74-Form_III!L74</f>
        <v/>
      </c>
      <c r="M47" s="597">
        <f>Form_III!N74-Form_III!M74</f>
        <v/>
      </c>
      <c r="N47" s="597">
        <f>Form_III!O74-Form_III!N74</f>
        <v/>
      </c>
      <c r="O47" s="597">
        <f>Form_III!P74-Form_III!O74</f>
        <v/>
      </c>
    </row>
    <row r="48" ht="20.1" customHeight="1">
      <c r="A48" s="305" t="inlineStr">
        <is>
          <t>vi.</t>
        </is>
      </c>
      <c r="B48" t="inlineStr">
        <is>
          <t>Increase/decrease in other current assets</t>
        </is>
      </c>
      <c r="E48" s="597">
        <f>E33-(SUM(E41:E47))</f>
        <v/>
      </c>
      <c r="F48" s="597">
        <f>F33-(SUM(F41:F47))</f>
        <v/>
      </c>
      <c r="G48" s="606">
        <f>G33-(SUM(G41:G47))</f>
        <v/>
      </c>
      <c r="H48" s="597">
        <f>H33-(SUM(H41:H47))</f>
        <v/>
      </c>
      <c r="I48" s="597">
        <f>I33-(SUM(I41:I47))</f>
        <v/>
      </c>
      <c r="J48" s="597">
        <f>J33-(SUM(J41:J47))</f>
        <v/>
      </c>
      <c r="K48" s="597">
        <f>K33-(SUM(K41:K47))</f>
        <v/>
      </c>
      <c r="L48" s="597">
        <f>L33-(SUM(L41:L47))</f>
        <v/>
      </c>
      <c r="M48" s="597">
        <f>M33-(SUM(M41:M47))</f>
        <v/>
      </c>
      <c r="N48" s="597">
        <f>N33-(SUM(N41:N47))</f>
        <v/>
      </c>
      <c r="O48" s="597">
        <f>O33-(SUM(O41:O47))</f>
        <v/>
      </c>
    </row>
    <row r="49" ht="15.9" customHeight="1">
      <c r="B49" s="429" t="inlineStr">
        <is>
          <t>TOTAL</t>
        </is>
      </c>
      <c r="E49" s="642">
        <f>SUM(E41:E48)</f>
        <v/>
      </c>
      <c r="F49" s="642">
        <f>SUM(F41:F48)</f>
        <v/>
      </c>
      <c r="G49" s="645">
        <f>SUM(G41:G48)</f>
        <v/>
      </c>
      <c r="H49" s="642">
        <f>SUM(H41:H48)</f>
        <v/>
      </c>
      <c r="I49" s="642">
        <f>SUM(I41:I48)</f>
        <v/>
      </c>
      <c r="J49" s="642">
        <f>SUM(J41:J48)</f>
        <v/>
      </c>
      <c r="K49" s="642">
        <f>SUM(K41:K48)</f>
        <v/>
      </c>
      <c r="L49" s="642">
        <f>SUM(L41:L48)</f>
        <v/>
      </c>
      <c r="M49" s="642">
        <f>SUM(M41:M48)</f>
        <v/>
      </c>
      <c r="N49" s="642">
        <f>SUM(N41:N48)</f>
        <v/>
      </c>
      <c r="O49" s="642">
        <f>SUM(O41:O48)</f>
        <v/>
      </c>
    </row>
    <row r="50" ht="15.9" customHeight="1">
      <c r="E50" s="606" t="n"/>
      <c r="F50" s="606" t="n"/>
      <c r="G50" s="606" t="n"/>
      <c r="H50" s="606" t="n"/>
      <c r="I50" s="606" t="n"/>
      <c r="J50" s="606" t="n"/>
      <c r="K50" s="606" t="n"/>
      <c r="L50" s="606" t="n"/>
      <c r="M50" s="606" t="n"/>
      <c r="N50" s="606" t="n"/>
      <c r="O50" s="606" t="n"/>
    </row>
    <row r="51" ht="15" customHeight="1">
      <c r="E51" s="606" t="n"/>
      <c r="F51" s="606" t="n"/>
      <c r="G51" s="606" t="n"/>
      <c r="H51" s="606" t="n"/>
      <c r="I51" s="606" t="n"/>
      <c r="J51" s="606" t="n"/>
      <c r="K51" s="606" t="n"/>
      <c r="L51" s="606" t="n"/>
      <c r="M51" s="606" t="n"/>
      <c r="N51" s="606" t="n"/>
      <c r="O51" s="606" t="n"/>
    </row>
    <row r="52" ht="15" customHeight="1">
      <c r="E52" s="606" t="n"/>
      <c r="F52" s="606" t="n"/>
      <c r="G52" s="606" t="n"/>
      <c r="H52" s="606" t="n"/>
      <c r="I52" s="606" t="n"/>
      <c r="J52" s="606" t="n"/>
      <c r="K52" s="606" t="n"/>
      <c r="L52" s="606" t="n"/>
      <c r="M52" s="606" t="n"/>
      <c r="N52" s="606" t="n"/>
      <c r="O52" s="606" t="n"/>
    </row>
    <row r="53" ht="15" customHeight="1">
      <c r="E53" s="606" t="n"/>
      <c r="F53" s="606" t="n"/>
      <c r="G53" s="606" t="n"/>
      <c r="H53" s="606" t="n"/>
      <c r="I53" s="606" t="n"/>
      <c r="J53" s="606" t="n"/>
      <c r="K53" s="606" t="n"/>
      <c r="L53" s="606" t="n"/>
      <c r="M53" s="606" t="n"/>
      <c r="N53" s="606" t="n"/>
      <c r="O53" s="606" t="n"/>
    </row>
    <row r="54" ht="15" customHeight="1">
      <c r="E54" s="606" t="n"/>
      <c r="F54" s="606" t="n"/>
      <c r="G54" s="606" t="n"/>
      <c r="H54" s="606" t="n"/>
      <c r="I54" s="606" t="n"/>
      <c r="J54" s="606" t="n"/>
      <c r="K54" s="606" t="n"/>
      <c r="L54" s="606" t="n"/>
      <c r="M54" s="606" t="n"/>
      <c r="N54" s="606" t="n"/>
      <c r="O54" s="606" t="n"/>
    </row>
    <row r="55" ht="15" customHeight="1">
      <c r="E55" s="606" t="n"/>
      <c r="F55" s="606" t="n"/>
      <c r="G55" s="606" t="n"/>
      <c r="H55" s="606" t="n"/>
      <c r="I55" s="606" t="n"/>
      <c r="J55" s="606" t="n"/>
      <c r="K55" s="606" t="n"/>
      <c r="L55" s="606" t="n"/>
      <c r="M55" s="606" t="n"/>
      <c r="N55" s="606" t="n"/>
      <c r="O55" s="606" t="n"/>
    </row>
    <row r="56" ht="15" customHeight="1">
      <c r="E56" s="606" t="n"/>
      <c r="F56" s="606" t="n"/>
      <c r="G56" s="606" t="n"/>
      <c r="H56" s="606" t="n"/>
      <c r="I56" s="606" t="n"/>
      <c r="J56" s="606" t="n"/>
      <c r="K56" s="606" t="n"/>
      <c r="L56" s="606" t="n"/>
      <c r="M56" s="606" t="n"/>
      <c r="N56" s="606" t="n"/>
      <c r="O56" s="606" t="n"/>
    </row>
    <row r="57" ht="15" customHeight="1">
      <c r="E57" s="606" t="n"/>
      <c r="F57" s="606" t="n"/>
      <c r="G57" s="606" t="n"/>
      <c r="H57" s="606" t="n"/>
      <c r="I57" s="606" t="n"/>
      <c r="J57" s="606" t="n"/>
      <c r="K57" s="606" t="n"/>
      <c r="L57" s="606" t="n"/>
      <c r="M57" s="606" t="n"/>
      <c r="N57" s="606" t="n"/>
      <c r="O57" s="606" t="n"/>
    </row>
    <row r="58" ht="15" customHeight="1">
      <c r="E58" s="606" t="n"/>
      <c r="F58" s="606" t="n"/>
      <c r="G58" s="606" t="n"/>
      <c r="H58" s="606" t="n"/>
      <c r="I58" s="606" t="n"/>
      <c r="J58" s="606" t="n"/>
      <c r="K58" s="606" t="n"/>
      <c r="L58" s="606" t="n"/>
      <c r="M58" s="606" t="n"/>
      <c r="N58" s="606" t="n"/>
      <c r="O58" s="606" t="n"/>
    </row>
    <row r="59" ht="15" customHeight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8">
    <mergeCell ref="C29:D29"/>
    <mergeCell ref="C46:D46"/>
    <mergeCell ref="B49:D49"/>
    <mergeCell ref="C28:D28"/>
    <mergeCell ref="B30:D30"/>
    <mergeCell ref="C18:D18"/>
    <mergeCell ref="B39:D39"/>
    <mergeCell ref="B34:D34"/>
  </mergeCells>
  <pageMargins left="1" right="0.7875" top="0.7875000000000001" bottom="0.7875" header="0.5" footer="0.75"/>
  <pageSetup orientation="portrait" paperSize="9" fitToHeight="0" firstPageNumber="0" horizontalDpi="300" verticalDpi="300"/>
  <headerFooter alignWithMargins="0">
    <oddHeader>&amp;L&amp;"Century Gothic,Bold"&amp;12 ICICI Banking Corporation Ltd.</oddHeader>
    <oddFooter>&amp;L&amp;8 &amp;D&amp;C&amp;8 &amp;F (&amp;A)&amp;R&amp;8 Page &amp;P</oddFooter>
    <evenHeader/>
    <evenFooter/>
    <firstHeader/>
    <firstFooter/>
  </headerFooter>
</worksheet>
</file>

<file path=xl/worksheets/sheet14.xml><?xml version="1.0" encoding="utf-8"?>
<worksheet xmlns="http://schemas.openxmlformats.org/spreadsheetml/2006/main">
  <sheetPr>
    <outlinePr summaryBelow="1" summaryRight="1"/>
    <pageSetUpPr fitToPage="1"/>
  </sheetPr>
  <dimension ref="A2:K57"/>
  <sheetViews>
    <sheetView showGridLines="0" zoomScale="90" zoomScaleNormal="90" workbookViewId="0">
      <selection activeCell="B13" sqref="B13"/>
    </sheetView>
  </sheetViews>
  <sheetFormatPr baseColWidth="8" defaultRowHeight="13.2"/>
  <cols>
    <col width="21.5546875" customWidth="1" min="2" max="2"/>
    <col width="9.88671875" customWidth="1" min="3" max="3"/>
    <col width="10.33203125" customWidth="1" min="4" max="4"/>
    <col width="9.44140625" customWidth="1" min="5" max="5"/>
    <col width="9.88671875" customWidth="1" min="7" max="7"/>
    <col width="19.44140625" customWidth="1" min="8" max="8"/>
    <col width="9.33203125" customWidth="1" min="10" max="10"/>
  </cols>
  <sheetData>
    <row r="2">
      <c r="G2" s="315" t="n"/>
    </row>
    <row r="4">
      <c r="A4" s="316" t="inlineStr">
        <is>
          <t>Sr. No.</t>
        </is>
      </c>
      <c r="B4" s="317" t="inlineStr">
        <is>
          <t>Year Ending March 31st,</t>
        </is>
      </c>
      <c r="C4" s="318" t="n">
        <v>2000</v>
      </c>
      <c r="D4" s="318" t="n">
        <v>2001</v>
      </c>
      <c r="E4" s="318" t="n">
        <v>2002</v>
      </c>
      <c r="F4" s="318" t="n">
        <v>2003</v>
      </c>
    </row>
    <row r="5">
      <c r="A5" s="316" t="n"/>
      <c r="B5" s="317" t="n"/>
      <c r="C5" s="318" t="inlineStr">
        <is>
          <t>Actuals</t>
        </is>
      </c>
      <c r="D5" s="318" t="inlineStr">
        <is>
          <t>Actuals</t>
        </is>
      </c>
      <c r="E5" s="318" t="inlineStr">
        <is>
          <t>Estimates</t>
        </is>
      </c>
      <c r="F5" s="318" t="inlineStr">
        <is>
          <t>Projected</t>
        </is>
      </c>
    </row>
    <row r="6">
      <c r="A6" s="316" t="n">
        <v>1</v>
      </c>
      <c r="B6" s="317" t="inlineStr">
        <is>
          <t>Net sales</t>
        </is>
      </c>
      <c r="C6" s="319">
        <f>Form_II!E15</f>
        <v/>
      </c>
      <c r="D6" s="319">
        <f>Form_II!F15</f>
        <v/>
      </c>
      <c r="E6" s="319">
        <f>Form_II!H15</f>
        <v/>
      </c>
      <c r="F6" s="319">
        <f>#N/A</f>
        <v/>
      </c>
    </row>
    <row r="7">
      <c r="A7" s="316" t="n">
        <v>2</v>
      </c>
      <c r="B7" s="317" t="inlineStr">
        <is>
          <t>PBILDT</t>
        </is>
      </c>
      <c r="C7" s="319">
        <f>#N/A</f>
        <v/>
      </c>
      <c r="D7" s="319">
        <f>#N/A</f>
        <v/>
      </c>
      <c r="E7" s="319">
        <f>#N/A</f>
        <v/>
      </c>
      <c r="F7" s="319">
        <f>#N/A</f>
        <v/>
      </c>
      <c r="G7" s="315" t="n"/>
      <c r="H7" s="317" t="n"/>
      <c r="I7" s="317" t="n"/>
      <c r="J7" s="317" t="n"/>
      <c r="K7" s="317" t="n"/>
    </row>
    <row r="8">
      <c r="A8" s="316" t="n">
        <v>3</v>
      </c>
      <c r="B8" s="317" t="inlineStr">
        <is>
          <t>Profit before tax</t>
        </is>
      </c>
      <c r="C8" s="319">
        <f>Form_II!E45</f>
        <v/>
      </c>
      <c r="D8" s="319">
        <f>Form_II!F45</f>
        <v/>
      </c>
      <c r="E8" s="319">
        <f>Form_II!H45</f>
        <v/>
      </c>
      <c r="F8" s="319">
        <f>#N/A</f>
        <v/>
      </c>
      <c r="H8" s="317" t="inlineStr">
        <is>
          <t>Sales</t>
        </is>
      </c>
      <c r="I8" s="319">
        <f>'Financials improper'!E6</f>
        <v/>
      </c>
      <c r="J8" s="646">
        <f>"$#REF!.S44"</f>
        <v/>
      </c>
      <c r="K8" s="647">
        <f>"$#REF!.Z44"</f>
        <v/>
      </c>
    </row>
    <row r="9">
      <c r="A9" s="316" t="n">
        <v>4</v>
      </c>
      <c r="B9" s="317" t="inlineStr">
        <is>
          <t>Profit after tax (PAT)</t>
        </is>
      </c>
      <c r="C9" s="319">
        <f>Form_II!E51</f>
        <v/>
      </c>
      <c r="D9" s="319">
        <f>Form_II!F51</f>
        <v/>
      </c>
      <c r="E9" s="319">
        <f>Form_II!H51</f>
        <v/>
      </c>
      <c r="F9" s="319">
        <f>#N/A</f>
        <v/>
      </c>
      <c r="H9" s="317" t="inlineStr">
        <is>
          <t>PBILDT</t>
        </is>
      </c>
      <c r="I9" s="319">
        <f>E7</f>
        <v/>
      </c>
      <c r="J9" s="648">
        <f>"$#REF!.S47"</f>
        <v/>
      </c>
      <c r="K9" s="648">
        <f>"$#REF!.Z47"</f>
        <v/>
      </c>
    </row>
    <row r="10">
      <c r="A10" s="316" t="n">
        <v>5</v>
      </c>
      <c r="B10" s="317" t="inlineStr">
        <is>
          <t>Net cash accruals</t>
        </is>
      </c>
      <c r="C10" s="319">
        <f>#N/A</f>
        <v/>
      </c>
      <c r="D10" s="319">
        <f>#N/A</f>
        <v/>
      </c>
      <c r="E10" s="319">
        <f>#N/A</f>
        <v/>
      </c>
      <c r="F10" s="319">
        <f>#N/A</f>
        <v/>
      </c>
      <c r="H10" s="317" t="inlineStr">
        <is>
          <t>PAT</t>
        </is>
      </c>
      <c r="I10" s="319">
        <f>E9</f>
        <v/>
      </c>
      <c r="J10" s="648">
        <f>"$#REF!.S48"</f>
        <v/>
      </c>
      <c r="K10" s="648">
        <f>"$#REF!.Z48"</f>
        <v/>
      </c>
    </row>
    <row r="11">
      <c r="A11" s="316" t="n">
        <v>6</v>
      </c>
      <c r="B11" s="317" t="inlineStr">
        <is>
          <t>PBILDT / Sales  (%)</t>
        </is>
      </c>
      <c r="C11" s="323">
        <f>C7/C6</f>
        <v/>
      </c>
      <c r="D11" s="323">
        <f>D7/D6</f>
        <v/>
      </c>
      <c r="E11" s="323">
        <f>E7/E6</f>
        <v/>
      </c>
      <c r="F11" s="323">
        <f>F7/F6</f>
        <v/>
      </c>
      <c r="H11" s="317" t="inlineStr">
        <is>
          <t>PBILDT/Net Sales (%)</t>
        </is>
      </c>
      <c r="I11" s="324">
        <f>E11</f>
        <v/>
      </c>
      <c r="J11" s="324">
        <f>"$#REF!.S49"</f>
        <v/>
      </c>
      <c r="K11" s="324">
        <f>"$#REF!.Z49"</f>
        <v/>
      </c>
    </row>
    <row r="12">
      <c r="A12" s="316" t="n">
        <v>7</v>
      </c>
      <c r="B12" s="317" t="inlineStr">
        <is>
          <t>PAT / Sales (%)</t>
        </is>
      </c>
      <c r="C12" s="323">
        <f>C9/C6</f>
        <v/>
      </c>
      <c r="D12" s="323">
        <f>D9/D6</f>
        <v/>
      </c>
      <c r="E12" s="323">
        <f>E9/E6</f>
        <v/>
      </c>
      <c r="F12" s="323">
        <f>F9/F6</f>
        <v/>
      </c>
      <c r="H12" s="317" t="inlineStr">
        <is>
          <t>PAT/Net Sales (%)</t>
        </is>
      </c>
      <c r="I12" s="324">
        <f>E12</f>
        <v/>
      </c>
      <c r="J12" s="324">
        <f>"$#REF!.S50"</f>
        <v/>
      </c>
      <c r="K12" s="324">
        <f>"$#REF!.Z50"</f>
        <v/>
      </c>
    </row>
    <row r="13">
      <c r="A13" s="316" t="n">
        <v>8</v>
      </c>
      <c r="B13" s="317" t="inlineStr">
        <is>
          <t>Dividend / PAT (%)</t>
        </is>
      </c>
      <c r="C13" s="323">
        <f>Form_II!E53/Form_II!E51</f>
        <v/>
      </c>
      <c r="D13" s="323">
        <f>Form_II!F53/Form_II!F51</f>
        <v/>
      </c>
      <c r="E13" s="323">
        <f>Form_II!H53/Form_II!H51</f>
        <v/>
      </c>
      <c r="F13" s="323">
        <f>#N/A</f>
        <v/>
      </c>
    </row>
    <row r="14">
      <c r="A14" s="316" t="n">
        <v>9</v>
      </c>
      <c r="B14" s="317" t="inlineStr">
        <is>
          <t>Gross block</t>
        </is>
      </c>
      <c r="C14" s="319">
        <f>Form_III!E87</f>
        <v/>
      </c>
      <c r="D14" s="319">
        <f>Form_III!F87</f>
        <v/>
      </c>
      <c r="E14" s="319">
        <f>Form_III!H87</f>
        <v/>
      </c>
      <c r="F14" s="319">
        <f>#N/A</f>
        <v/>
      </c>
    </row>
    <row r="15">
      <c r="A15" s="316" t="n">
        <v>10</v>
      </c>
      <c r="B15" s="317" t="inlineStr">
        <is>
          <t>Net block</t>
        </is>
      </c>
      <c r="C15" s="319">
        <f>Form_III!E90</f>
        <v/>
      </c>
      <c r="D15" s="319">
        <f>Form_III!F90</f>
        <v/>
      </c>
      <c r="E15" s="319">
        <f>Form_III!H90</f>
        <v/>
      </c>
      <c r="F15" s="319">
        <f>#N/A</f>
        <v/>
      </c>
    </row>
    <row r="16">
      <c r="A16" s="316" t="n">
        <v>11</v>
      </c>
      <c r="B16" s="317" t="inlineStr">
        <is>
          <t>Paid-up Capital</t>
        </is>
      </c>
      <c r="C16" s="319">
        <f>Form_III!E41</f>
        <v/>
      </c>
      <c r="D16" s="319">
        <f>Form_III!F41</f>
        <v/>
      </c>
      <c r="E16" s="319">
        <f>Form_III!H41</f>
        <v/>
      </c>
      <c r="F16" s="319">
        <f>#N/A</f>
        <v/>
      </c>
    </row>
    <row r="17">
      <c r="A17" s="316" t="n">
        <v>12</v>
      </c>
      <c r="B17" s="317" t="inlineStr">
        <is>
          <t>TNW</t>
        </is>
      </c>
      <c r="C17" s="319">
        <f>Form_III!E109-Form_III!E46</f>
        <v/>
      </c>
      <c r="D17" s="319">
        <f>Form_III!F109-Form_III!F46</f>
        <v/>
      </c>
      <c r="E17" s="319">
        <f>Form_III!H109-Form_III!H46</f>
        <v/>
      </c>
      <c r="F17" s="319">
        <f>#N/A</f>
        <v/>
      </c>
    </row>
    <row r="18">
      <c r="A18" s="316" t="n">
        <v>13</v>
      </c>
      <c r="B18" s="317" t="inlineStr">
        <is>
          <t>Group Investments</t>
        </is>
      </c>
      <c r="C18" s="319">
        <f>#N/A</f>
        <v/>
      </c>
      <c r="D18" s="319">
        <f>#N/A</f>
        <v/>
      </c>
      <c r="E18" s="319">
        <f>#N/A</f>
        <v/>
      </c>
      <c r="F18" s="319">
        <f>#N/A</f>
        <v/>
      </c>
      <c r="H18">
        <f>(1.0002)^365</f>
        <v/>
      </c>
    </row>
    <row r="19">
      <c r="A19" s="316" t="n">
        <v>14</v>
      </c>
      <c r="B19" s="317" t="inlineStr">
        <is>
          <t>Adjusted TNW</t>
        </is>
      </c>
      <c r="C19" s="319">
        <f>C17-C18</f>
        <v/>
      </c>
      <c r="D19" s="319">
        <f>D17-D18</f>
        <v/>
      </c>
      <c r="E19" s="319">
        <f>E17-E18</f>
        <v/>
      </c>
      <c r="F19" s="319">
        <f>F17-F18</f>
        <v/>
      </c>
    </row>
    <row r="20">
      <c r="A20" s="316" t="n">
        <v>15</v>
      </c>
      <c r="B20" s="317" t="inlineStr">
        <is>
          <t>LTD / TNW</t>
        </is>
      </c>
      <c r="C20" s="319">
        <f>Form_III!E37/'Financials improper'!C17</f>
        <v/>
      </c>
      <c r="D20" s="319">
        <f>Form_III!F37/'Financials improper'!D17</f>
        <v/>
      </c>
      <c r="E20" s="319">
        <f>Form_III!H37/'Financials improper'!E17</f>
        <v/>
      </c>
      <c r="F20" s="319">
        <f>#N/A</f>
        <v/>
      </c>
    </row>
    <row r="21">
      <c r="A21" s="316" t="n">
        <v>16</v>
      </c>
      <c r="B21" s="317" t="inlineStr">
        <is>
          <t>DFS / TNW</t>
        </is>
      </c>
      <c r="C21" s="319">
        <f>#N/A</f>
        <v/>
      </c>
      <c r="D21" s="319">
        <f>#N/A</f>
        <v/>
      </c>
      <c r="E21" s="319">
        <f>#N/A</f>
        <v/>
      </c>
      <c r="F21" s="319">
        <f>#N/A</f>
        <v/>
      </c>
      <c r="I21" t="n">
        <v>2000</v>
      </c>
      <c r="J21" t="n">
        <v>2001</v>
      </c>
    </row>
    <row r="22">
      <c r="A22" s="316" t="n">
        <v>17</v>
      </c>
      <c r="B22" s="317" t="inlineStr">
        <is>
          <t>TOL / TNW</t>
        </is>
      </c>
      <c r="C22" s="319">
        <f>Form_III!E38/'Financials improper'!C17</f>
        <v/>
      </c>
      <c r="D22" s="319">
        <f>Form_III!F38/'Financials improper'!D17</f>
        <v/>
      </c>
      <c r="E22" s="319">
        <f>Form_III!H38/'Financials improper'!E17</f>
        <v/>
      </c>
      <c r="F22" s="319">
        <f>#N/A</f>
        <v/>
      </c>
      <c r="I22">
        <f>61.15/(27.38+23.03)</f>
        <v/>
      </c>
      <c r="J22">
        <f>52.58/(21.65+23.2)</f>
        <v/>
      </c>
    </row>
    <row r="23">
      <c r="A23" s="316" t="n">
        <v>18</v>
      </c>
      <c r="B23" s="317" t="inlineStr">
        <is>
          <t>Current Assets</t>
        </is>
      </c>
      <c r="C23" s="319">
        <f>Form_III!E83</f>
        <v/>
      </c>
      <c r="D23" s="319">
        <f>Form_III!F83</f>
        <v/>
      </c>
      <c r="E23" s="319">
        <f>Form_III!H83</f>
        <v/>
      </c>
      <c r="F23" s="319">
        <f>#N/A</f>
        <v/>
      </c>
      <c r="I23">
        <f>(36.34+27.38)/39.1</f>
        <v/>
      </c>
      <c r="J23">
        <f>(36.13+21.66)/39.1</f>
        <v/>
      </c>
    </row>
    <row r="24">
      <c r="A24" s="316" t="n">
        <v>19</v>
      </c>
      <c r="B24" s="317" t="inlineStr">
        <is>
          <t>Current Liabilities</t>
        </is>
      </c>
      <c r="C24" s="319">
        <f>Form_III!E29</f>
        <v/>
      </c>
      <c r="D24" s="319">
        <f>Form_III!F29</f>
        <v/>
      </c>
      <c r="E24" s="319">
        <f>Form_III!H29</f>
        <v/>
      </c>
      <c r="F24" s="319">
        <f>#N/A</f>
        <v/>
      </c>
    </row>
    <row r="25">
      <c r="A25" s="316" t="n">
        <v>20</v>
      </c>
      <c r="B25" s="317" t="inlineStr">
        <is>
          <t>Net Working Capital</t>
        </is>
      </c>
      <c r="C25" s="319">
        <f>C23-C24</f>
        <v/>
      </c>
      <c r="D25" s="319">
        <f>D23-D24</f>
        <v/>
      </c>
      <c r="E25" s="319">
        <f>E23-E24</f>
        <v/>
      </c>
      <c r="F25" s="319">
        <f>F23-F24</f>
        <v/>
      </c>
    </row>
    <row r="26">
      <c r="A26" s="316" t="n">
        <v>21</v>
      </c>
      <c r="B26" s="317" t="inlineStr">
        <is>
          <t>Current Ratio</t>
        </is>
      </c>
      <c r="C26" s="319">
        <f>C23/C24</f>
        <v/>
      </c>
      <c r="D26" s="319">
        <f>D23/D24</f>
        <v/>
      </c>
      <c r="E26" s="319">
        <f>E23/E24</f>
        <v/>
      </c>
      <c r="F26" s="319">
        <f>F23/F24</f>
        <v/>
      </c>
    </row>
    <row r="30">
      <c r="B30" s="224" t="inlineStr">
        <is>
          <t>Abridged Fund Flow Statement</t>
        </is>
      </c>
    </row>
    <row r="32">
      <c r="B32" s="325" t="inlineStr">
        <is>
          <t>Year Ending March 31st,</t>
        </is>
      </c>
      <c r="C32" s="325">
        <f>Form_VI!E9</f>
        <v/>
      </c>
      <c r="D32" s="325">
        <f>Form_VI!G9</f>
        <v/>
      </c>
      <c r="E32" s="325">
        <f>#N/A</f>
        <v/>
      </c>
    </row>
    <row r="33">
      <c r="B33" s="317" t="inlineStr">
        <is>
          <t>Long Term Sources</t>
        </is>
      </c>
      <c r="C33" s="319">
        <f>Form_VI!E19</f>
        <v/>
      </c>
      <c r="D33" s="319">
        <f>Form_VI!G19</f>
        <v/>
      </c>
      <c r="E33" s="319">
        <f>#N/A</f>
        <v/>
      </c>
    </row>
    <row r="34">
      <c r="B34" s="317" t="inlineStr">
        <is>
          <t>Long Term Uses</t>
        </is>
      </c>
      <c r="C34" s="319">
        <f>Form_VI!E29</f>
        <v/>
      </c>
      <c r="D34" s="319">
        <f>Form_VI!G29</f>
        <v/>
      </c>
      <c r="E34" s="319">
        <f>#N/A</f>
        <v/>
      </c>
    </row>
    <row r="35">
      <c r="B35" s="317" t="inlineStr">
        <is>
          <t>Surplus/Deficit</t>
        </is>
      </c>
      <c r="C35" s="319">
        <f>Form_VI!E31</f>
        <v/>
      </c>
      <c r="D35" s="319">
        <f>Form_VI!G31</f>
        <v/>
      </c>
      <c r="E35" s="319">
        <f>#N/A</f>
        <v/>
      </c>
    </row>
    <row r="36">
      <c r="B36" s="317" t="inlineStr">
        <is>
          <t>Surplus/Incremental buildup of Current Assets</t>
        </is>
      </c>
      <c r="C36" s="323">
        <f>C35/Form_VI!E33</f>
        <v/>
      </c>
      <c r="D36" s="323">
        <f>D35/Form_VI!G33</f>
        <v/>
      </c>
      <c r="E36" s="323">
        <f>#N/A</f>
        <v/>
      </c>
    </row>
    <row r="38">
      <c r="B38" s="224" t="inlineStr">
        <is>
          <t>Pattern of TCA Funding</t>
        </is>
      </c>
    </row>
    <row r="39">
      <c r="B39" s="317" t="inlineStr">
        <is>
          <t>Year Ending March 31st,</t>
        </is>
      </c>
      <c r="C39" s="317">
        <f>Form_III!E8</f>
        <v/>
      </c>
      <c r="D39" s="317">
        <f>Form_III!F8</f>
        <v/>
      </c>
      <c r="E39" s="317">
        <f>Form_III!H8</f>
        <v/>
      </c>
      <c r="F39" s="317">
        <f>#N/A</f>
        <v/>
      </c>
    </row>
    <row r="40">
      <c r="B40" s="317" t="inlineStr">
        <is>
          <t>Sundry Creditors</t>
        </is>
      </c>
      <c r="C40" s="323">
        <f>Form_III!E17/Form_III!E83</f>
        <v/>
      </c>
      <c r="D40" s="323">
        <f>Form_III!F17/Form_III!F83</f>
        <v/>
      </c>
      <c r="E40" s="323">
        <f>Form_III!H17/Form_III!H83</f>
        <v/>
      </c>
      <c r="F40" s="323">
        <f>#N/A</f>
        <v/>
      </c>
    </row>
    <row r="41">
      <c r="B41" s="317" t="inlineStr">
        <is>
          <t>Other Current Liabilities</t>
        </is>
      </c>
      <c r="C41" s="323">
        <f>#N/A</f>
        <v/>
      </c>
      <c r="D41" s="323">
        <f>#N/A</f>
        <v/>
      </c>
      <c r="E41" s="323">
        <f>#N/A</f>
        <v/>
      </c>
      <c r="F41" s="323">
        <f>#N/A</f>
        <v/>
      </c>
    </row>
    <row r="42">
      <c r="B42" s="317" t="inlineStr">
        <is>
          <t>Bank Borrowing</t>
        </is>
      </c>
      <c r="C42" s="323">
        <f>Form_III!E15/Form_III!E83</f>
        <v/>
      </c>
      <c r="D42" s="323">
        <f>Form_III!F15/Form_III!F83</f>
        <v/>
      </c>
      <c r="E42" s="323">
        <f>Form_III!H15/Form_III!H83</f>
        <v/>
      </c>
      <c r="F42" s="323">
        <f>#N/A</f>
        <v/>
      </c>
    </row>
    <row r="43">
      <c r="B43" s="317" t="inlineStr">
        <is>
          <t>Net Working Capital</t>
        </is>
      </c>
      <c r="C43" s="323">
        <f>1-(C40+C41+C42)</f>
        <v/>
      </c>
      <c r="D43" s="323">
        <f>1-(D40+D41+D42)</f>
        <v/>
      </c>
      <c r="E43" s="323">
        <f>1-(E40+E41+E42)</f>
        <v/>
      </c>
      <c r="F43" s="323">
        <f>1-(F40+F41+F42)</f>
        <v/>
      </c>
    </row>
    <row r="44">
      <c r="B44" s="317" t="n"/>
      <c r="C44" s="324">
        <f>SUM(C40:C43)</f>
        <v/>
      </c>
      <c r="D44" s="324">
        <f>SUM(D40:D43)</f>
        <v/>
      </c>
      <c r="E44" s="324">
        <f>SUM(E40:E43)</f>
        <v/>
      </c>
      <c r="F44" s="324">
        <f>SUM(F40:F43)</f>
        <v/>
      </c>
    </row>
    <row r="47">
      <c r="B47" s="224" t="inlineStr">
        <is>
          <t>Depreciation Check</t>
        </is>
      </c>
    </row>
    <row r="48">
      <c r="B48" s="317" t="inlineStr">
        <is>
          <t>Year Ending March 31st,</t>
        </is>
      </c>
      <c r="C48" s="317">
        <f>Form_III!F8</f>
        <v/>
      </c>
      <c r="D48" s="317">
        <f>Form_III!H8</f>
        <v/>
      </c>
      <c r="E48" s="317">
        <f>#N/A</f>
        <v/>
      </c>
    </row>
    <row r="49">
      <c r="B49" s="317" t="inlineStr">
        <is>
          <t>Dep as per P&amp; L</t>
        </is>
      </c>
      <c r="C49" s="319">
        <f>#N/A</f>
        <v/>
      </c>
      <c r="D49" s="319">
        <f>#N/A</f>
        <v/>
      </c>
      <c r="E49" s="319">
        <f>#N/A</f>
        <v/>
      </c>
    </row>
    <row r="50">
      <c r="B50" s="317" t="inlineStr">
        <is>
          <t>Dep as per B/S</t>
        </is>
      </c>
      <c r="C50" s="319">
        <f>Form_III!F89-Form_III!E89</f>
        <v/>
      </c>
      <c r="D50" s="319">
        <f>Form_III!H89-Form_III!F89</f>
        <v/>
      </c>
      <c r="E50" s="319">
        <f>#N/A</f>
        <v/>
      </c>
    </row>
    <row r="51">
      <c r="B51" s="317" t="inlineStr">
        <is>
          <t>Difference</t>
        </is>
      </c>
      <c r="C51" s="319">
        <f>C49-C50</f>
        <v/>
      </c>
      <c r="D51" s="319">
        <f>D49-D50</f>
        <v/>
      </c>
      <c r="E51" s="319">
        <f>E49-E50</f>
        <v/>
      </c>
    </row>
    <row r="53">
      <c r="B53" s="224" t="inlineStr">
        <is>
          <t>Reserves Check</t>
        </is>
      </c>
    </row>
    <row r="54">
      <c r="B54" s="317" t="inlineStr">
        <is>
          <t>Year Ending March 31st,</t>
        </is>
      </c>
      <c r="C54" s="317">
        <f>Form_III!F8</f>
        <v/>
      </c>
      <c r="D54" s="317">
        <f>Form_III!H8</f>
        <v/>
      </c>
      <c r="E54" s="317">
        <f>#N/A</f>
        <v/>
      </c>
    </row>
    <row r="55">
      <c r="B55" s="317" t="inlineStr">
        <is>
          <t>Retained Profits</t>
        </is>
      </c>
      <c r="C55" s="319">
        <f>Form_II!F55</f>
        <v/>
      </c>
      <c r="D55" s="319">
        <f>Form_II!H55</f>
        <v/>
      </c>
      <c r="E55" s="319">
        <f>#N/A</f>
        <v/>
      </c>
    </row>
    <row r="56">
      <c r="B56" s="317" t="inlineStr">
        <is>
          <t>Increase in Reserves</t>
        </is>
      </c>
      <c r="C56" s="319">
        <f>((Form_III!F49-Form_III!F41)-(Form_III!E49-Form_III!E41))</f>
        <v/>
      </c>
      <c r="D56" s="319">
        <f>((Form_III!H49-Form_III!H41)-(Form_III!F49-Form_III!F41))</f>
        <v/>
      </c>
      <c r="E56" s="319">
        <f>#N/A</f>
        <v/>
      </c>
    </row>
    <row r="57">
      <c r="B57" s="317" t="inlineStr">
        <is>
          <t>Difference</t>
        </is>
      </c>
      <c r="C57" s="319">
        <f>C55-C56</f>
        <v/>
      </c>
      <c r="D57" s="319">
        <f>D55-D56</f>
        <v/>
      </c>
      <c r="E57" s="319">
        <f>E55-E56</f>
        <v/>
      </c>
    </row>
  </sheetData>
  <pageMargins left="0.7875" right="0.7875" top="0.7875" bottom="0.7875" header="0.5118055555555556" footer="0.5118055555555556"/>
  <pageSetup orientation="landscape" paperSize="9" firstPageNumber="0" horizontalDpi="300" verticalDpi="300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A1"/>
  <sheetViews>
    <sheetView showGridLines="0" zoomScale="90" zoomScaleNormal="90" workbookViewId="0">
      <selection activeCell="A1" sqref="A1"/>
    </sheetView>
  </sheetViews>
  <sheetFormatPr baseColWidth="8" defaultColWidth="11.6640625" defaultRowHeight="13.2"/>
  <sheetData/>
  <pageMargins left="0.7875" right="0.7875" top="0.7875" bottom="0.7875" header="0.5118055555555556" footer="0.5118055555555556"/>
  <pageSetup orientation="portrait" paperSize="9" useFirstPageNumber="1" horizontalDpi="300" verticalDpi="300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M3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10" sqref="I10"/>
    </sheetView>
  </sheetViews>
  <sheetFormatPr baseColWidth="8" defaultRowHeight="13.2"/>
  <cols>
    <col width="30.109375" customWidth="1" min="1" max="1"/>
    <col width="9.88671875" bestFit="1" customWidth="1" min="6" max="6"/>
    <col width="9.44140625" bestFit="1" customWidth="1" min="7" max="7"/>
    <col width="11" bestFit="1" customWidth="1" min="8" max="13"/>
  </cols>
  <sheetData>
    <row r="1">
      <c r="A1" s="411">
        <f>'INPUT SHEET'!B7</f>
        <v/>
      </c>
    </row>
    <row r="3" ht="14.4" customHeight="1">
      <c r="A3" s="326" t="n"/>
      <c r="B3" s="409">
        <f>Form_IV!E8</f>
        <v/>
      </c>
      <c r="C3" s="409">
        <f>Form_IV!F8</f>
        <v/>
      </c>
      <c r="D3" s="409">
        <f>Form_IV!G8</f>
        <v/>
      </c>
      <c r="E3" s="409">
        <f>Form_IV!H8</f>
        <v/>
      </c>
      <c r="F3" s="409">
        <f>Form_IV!I8</f>
        <v/>
      </c>
      <c r="G3" s="409">
        <f>Form_IV!J8</f>
        <v/>
      </c>
      <c r="H3" s="409">
        <f>Form_IV!K8</f>
        <v/>
      </c>
      <c r="I3" s="409">
        <f>Form_IV!L8</f>
        <v/>
      </c>
      <c r="J3" s="409">
        <f>Form_IV!M8</f>
        <v/>
      </c>
      <c r="K3" s="409">
        <f>Form_IV!N8</f>
        <v/>
      </c>
      <c r="L3" s="409">
        <f>Form_IV!O8</f>
        <v/>
      </c>
      <c r="M3" s="409">
        <f>Form_IV!P8</f>
        <v/>
      </c>
    </row>
    <row r="4" ht="14.4" customHeight="1">
      <c r="A4" s="326" t="inlineStr">
        <is>
          <t>No. of months</t>
        </is>
      </c>
      <c r="B4" s="409">
        <f>Form_IV!E9</f>
        <v/>
      </c>
      <c r="C4" s="409">
        <f>Form_IV!F9</f>
        <v/>
      </c>
      <c r="D4" s="409">
        <f>Form_IV!G9</f>
        <v/>
      </c>
      <c r="E4" s="409">
        <f>Form_IV!H9</f>
        <v/>
      </c>
      <c r="F4" s="409">
        <f>Form_IV!I9</f>
        <v/>
      </c>
      <c r="G4" s="409">
        <f>Form_IV!J9</f>
        <v/>
      </c>
      <c r="H4" s="409">
        <f>Form_IV!K9</f>
        <v/>
      </c>
      <c r="I4" s="409">
        <f>Form_IV!L9</f>
        <v/>
      </c>
      <c r="J4" s="409">
        <f>Form_IV!M9</f>
        <v/>
      </c>
      <c r="K4" s="409">
        <f>Form_IV!N9</f>
        <v/>
      </c>
      <c r="L4" s="409">
        <f>Form_IV!O9</f>
        <v/>
      </c>
      <c r="M4" s="409">
        <f>Form_IV!P9</f>
        <v/>
      </c>
    </row>
    <row r="5">
      <c r="A5" t="inlineStr">
        <is>
          <t>No. of working days per month</t>
        </is>
      </c>
      <c r="E5">
        <f>22</f>
        <v/>
      </c>
      <c r="F5">
        <f>E5</f>
        <v/>
      </c>
      <c r="G5">
        <f>F5</f>
        <v/>
      </c>
      <c r="H5">
        <f>G5</f>
        <v/>
      </c>
      <c r="I5">
        <f>H5</f>
        <v/>
      </c>
      <c r="J5">
        <f>I5</f>
        <v/>
      </c>
      <c r="K5">
        <f>J5</f>
        <v/>
      </c>
      <c r="L5">
        <f>K5</f>
        <v/>
      </c>
      <c r="M5">
        <f>L5</f>
        <v/>
      </c>
    </row>
    <row r="6">
      <c r="A6" t="inlineStr">
        <is>
          <t>Installed Capacity (In tons)</t>
        </is>
      </c>
      <c r="E6" t="n">
        <v>5000</v>
      </c>
      <c r="F6">
        <f>E6</f>
        <v/>
      </c>
      <c r="G6">
        <f>F6</f>
        <v/>
      </c>
      <c r="H6">
        <f>G6</f>
        <v/>
      </c>
      <c r="I6">
        <f>H6</f>
        <v/>
      </c>
      <c r="J6">
        <f>I6</f>
        <v/>
      </c>
      <c r="K6">
        <f>J6</f>
        <v/>
      </c>
      <c r="L6">
        <f>K6</f>
        <v/>
      </c>
      <c r="M6">
        <f>L6</f>
        <v/>
      </c>
    </row>
    <row r="7">
      <c r="A7" t="inlineStr">
        <is>
          <t>Capacity Utilisation</t>
        </is>
      </c>
      <c r="F7" s="355" t="n">
        <v>0.65</v>
      </c>
      <c r="G7" s="355" t="n">
        <v>0.8</v>
      </c>
      <c r="H7" s="355" t="n">
        <v>0.85</v>
      </c>
      <c r="I7" s="355" t="n">
        <v>0.9</v>
      </c>
      <c r="J7" s="355" t="n">
        <v>0.95</v>
      </c>
      <c r="K7" s="355">
        <f>J7</f>
        <v/>
      </c>
      <c r="L7" s="355">
        <f>K7</f>
        <v/>
      </c>
      <c r="M7" s="355">
        <f>L7</f>
        <v/>
      </c>
    </row>
    <row r="8">
      <c r="A8" t="inlineStr">
        <is>
          <t>Production (in tons)</t>
        </is>
      </c>
      <c r="F8">
        <f>F6*F7</f>
        <v/>
      </c>
      <c r="G8">
        <f>G6*G7</f>
        <v/>
      </c>
      <c r="H8">
        <f>H6*H7</f>
        <v/>
      </c>
      <c r="I8">
        <f>I6*I7</f>
        <v/>
      </c>
      <c r="J8">
        <f>J6*J7</f>
        <v/>
      </c>
      <c r="K8">
        <f>K6*K7</f>
        <v/>
      </c>
      <c r="L8">
        <f>L6*L7</f>
        <v/>
      </c>
      <c r="M8">
        <f>M6*M7</f>
        <v/>
      </c>
    </row>
    <row r="9">
      <c r="A9" t="inlineStr">
        <is>
          <t>Sales price Rs per ton</t>
        </is>
      </c>
      <c r="F9" s="649" t="n">
        <v>92300</v>
      </c>
      <c r="G9" s="649">
        <f>F9*(1+G10)</f>
        <v/>
      </c>
      <c r="H9" s="649">
        <f>G9*(1+H10)</f>
        <v/>
      </c>
      <c r="I9" s="649">
        <f>H9*(1+I10)</f>
        <v/>
      </c>
      <c r="J9" s="649">
        <f>I9*(1+J10)</f>
        <v/>
      </c>
      <c r="K9" s="649">
        <f>J9*(1+K10)</f>
        <v/>
      </c>
      <c r="L9" s="649">
        <f>K9*(1+L10)</f>
        <v/>
      </c>
      <c r="M9" s="649">
        <f>L9*(1+M10)</f>
        <v/>
      </c>
    </row>
    <row r="10">
      <c r="A10" s="301" t="inlineStr">
        <is>
          <t>YOY increase</t>
        </is>
      </c>
      <c r="G10" s="356" t="n">
        <v>0.02</v>
      </c>
      <c r="H10" s="356">
        <f>G10</f>
        <v/>
      </c>
      <c r="I10" s="356">
        <f>H10</f>
        <v/>
      </c>
      <c r="J10" s="356">
        <f>I10</f>
        <v/>
      </c>
      <c r="K10" s="356">
        <f>J10</f>
        <v/>
      </c>
      <c r="L10" s="356">
        <f>K10</f>
        <v/>
      </c>
      <c r="M10" s="356">
        <f>L10</f>
        <v/>
      </c>
    </row>
    <row r="11">
      <c r="A11" s="272" t="inlineStr">
        <is>
          <t>Sales Value</t>
        </is>
      </c>
      <c r="F11" s="650">
        <f>F8*F9/10^7</f>
        <v/>
      </c>
      <c r="G11" s="650">
        <f>G8*G9/10^7</f>
        <v/>
      </c>
      <c r="H11" s="650">
        <f>H8*H9/10^7</f>
        <v/>
      </c>
      <c r="I11" s="650">
        <f>I8*I9/10^7</f>
        <v/>
      </c>
      <c r="J11" s="650">
        <f>J8*J9/10^7</f>
        <v/>
      </c>
      <c r="K11" s="650">
        <f>K8*K9/10^7</f>
        <v/>
      </c>
      <c r="L11" s="650">
        <f>L8*L9/10^7</f>
        <v/>
      </c>
      <c r="M11" s="650">
        <f>M8*M9/10^7</f>
        <v/>
      </c>
    </row>
    <row r="13">
      <c r="A13" s="224" t="inlineStr">
        <is>
          <t>Components of Raw Materials</t>
        </is>
      </c>
    </row>
    <row r="14">
      <c r="A14" s="272" t="inlineStr">
        <is>
          <t>PVC</t>
        </is>
      </c>
      <c r="F14" s="651" t="n">
        <v>0.3552631578947368</v>
      </c>
      <c r="G14" s="651" t="n">
        <v>0.3552631578947368</v>
      </c>
      <c r="H14" s="651" t="n">
        <v>0.3552631578947368</v>
      </c>
      <c r="I14" s="651" t="n">
        <v>0.3552631578947368</v>
      </c>
      <c r="J14" s="651" t="n">
        <v>0.3552631578947368</v>
      </c>
      <c r="K14" s="651" t="n">
        <v>0.3552631578947368</v>
      </c>
      <c r="L14" s="651" t="n">
        <v>0.3552631578947368</v>
      </c>
      <c r="M14" s="651" t="n">
        <v>0.3552631578947368</v>
      </c>
    </row>
    <row r="15">
      <c r="A15" s="272" t="inlineStr">
        <is>
          <t>Rice Husk</t>
        </is>
      </c>
      <c r="F15" s="651" t="n">
        <v>0.3026315789473684</v>
      </c>
      <c r="G15" s="651" t="n">
        <v>0.3026315789473684</v>
      </c>
      <c r="H15" s="651" t="n">
        <v>0.3026315789473684</v>
      </c>
      <c r="I15" s="651" t="n">
        <v>0.3026315789473684</v>
      </c>
      <c r="J15" s="651" t="n">
        <v>0.3026315789473684</v>
      </c>
      <c r="K15" s="651" t="n">
        <v>0.3026315789473684</v>
      </c>
      <c r="L15" s="651" t="n">
        <v>0.3026315789473684</v>
      </c>
      <c r="M15" s="651" t="n">
        <v>0.3026315789473684</v>
      </c>
    </row>
    <row r="16">
      <c r="A16" s="272" t="inlineStr">
        <is>
          <t>Additives and Lubricants</t>
        </is>
      </c>
      <c r="F16" s="651" t="n">
        <v>0.1842105263157895</v>
      </c>
      <c r="G16" s="651" t="n">
        <v>0.1842105263157895</v>
      </c>
      <c r="H16" s="651" t="n">
        <v>0.1842105263157895</v>
      </c>
      <c r="I16" s="651" t="n">
        <v>0.1842105263157895</v>
      </c>
      <c r="J16" s="651" t="n">
        <v>0.1842105263157895</v>
      </c>
      <c r="K16" s="651" t="n">
        <v>0.1842105263157895</v>
      </c>
      <c r="L16" s="651" t="n">
        <v>0.1842105263157895</v>
      </c>
      <c r="M16" s="651" t="n">
        <v>0.1842105263157895</v>
      </c>
    </row>
    <row r="17">
      <c r="A17" s="272" t="inlineStr">
        <is>
          <t>Calcium Carbonate</t>
        </is>
      </c>
      <c r="F17" s="651" t="n">
        <v>0.1578947368421053</v>
      </c>
      <c r="G17" s="651" t="n">
        <v>0.1578947368421053</v>
      </c>
      <c r="H17" s="651" t="n">
        <v>0.1578947368421053</v>
      </c>
      <c r="I17" s="651" t="n">
        <v>0.1578947368421053</v>
      </c>
      <c r="J17" s="651" t="n">
        <v>0.1578947368421053</v>
      </c>
      <c r="K17" s="651" t="n">
        <v>0.1578947368421053</v>
      </c>
      <c r="L17" s="651" t="n">
        <v>0.1578947368421053</v>
      </c>
      <c r="M17" s="651" t="n">
        <v>0.1578947368421053</v>
      </c>
    </row>
    <row r="18">
      <c r="A18" s="272" t="inlineStr">
        <is>
          <t>Scrap (26%)</t>
        </is>
      </c>
      <c r="F18" s="651" t="n"/>
      <c r="G18" s="651" t="n"/>
      <c r="H18" s="651" t="n"/>
      <c r="I18" s="651" t="n"/>
      <c r="J18" s="651" t="n"/>
      <c r="K18" s="651" t="n"/>
      <c r="L18" s="651" t="n"/>
      <c r="M18" s="651" t="n"/>
    </row>
    <row r="19">
      <c r="A19" s="272" t="inlineStr">
        <is>
          <t>Total</t>
        </is>
      </c>
      <c r="F19" s="652">
        <f>SUM(F14:F18)</f>
        <v/>
      </c>
      <c r="G19" s="652">
        <f>SUM(G14:G18)</f>
        <v/>
      </c>
      <c r="H19" s="652">
        <f>SUM(H14:H18)</f>
        <v/>
      </c>
      <c r="I19" s="652">
        <f>SUM(I14:I18)</f>
        <v/>
      </c>
      <c r="J19" s="652">
        <f>SUM(J14:J18)</f>
        <v/>
      </c>
      <c r="K19" s="652">
        <f>SUM(K14:K18)</f>
        <v/>
      </c>
      <c r="L19" s="652">
        <f>SUM(L14:L18)</f>
        <v/>
      </c>
      <c r="M19" s="652">
        <f>SUM(M14:M18)</f>
        <v/>
      </c>
    </row>
    <row r="20">
      <c r="A20" s="224" t="inlineStr">
        <is>
          <t>Cost per ton</t>
        </is>
      </c>
    </row>
    <row r="21">
      <c r="A21" s="272" t="inlineStr">
        <is>
          <t>PVC</t>
        </is>
      </c>
      <c r="F21" s="649" t="n">
        <v>80000</v>
      </c>
      <c r="G21" s="649">
        <f>F21*(1+G$26)</f>
        <v/>
      </c>
      <c r="H21" s="649">
        <f>G21*(1+H$26)</f>
        <v/>
      </c>
      <c r="I21" s="649">
        <f>H21*(1+I$26)</f>
        <v/>
      </c>
      <c r="J21" s="649">
        <f>I21*(1+J$26)</f>
        <v/>
      </c>
      <c r="K21" s="649">
        <f>J21*(1+K$26)</f>
        <v/>
      </c>
      <c r="L21" s="649">
        <f>K21*(1+L$26)</f>
        <v/>
      </c>
      <c r="M21" s="649">
        <f>L21*(1+M$26)</f>
        <v/>
      </c>
    </row>
    <row r="22">
      <c r="A22" s="272" t="inlineStr">
        <is>
          <t>Rice Husk</t>
        </is>
      </c>
      <c r="F22" s="649" t="n">
        <v>10000</v>
      </c>
      <c r="G22" s="649">
        <f>F22*(1+G$26)</f>
        <v/>
      </c>
      <c r="H22" s="649">
        <f>G22*(1+H$26)</f>
        <v/>
      </c>
      <c r="I22" s="649">
        <f>H22*(1+I$26)</f>
        <v/>
      </c>
      <c r="J22" s="649">
        <f>I22*(1+J$26)</f>
        <v/>
      </c>
      <c r="K22" s="649">
        <f>J22*(1+K$26)</f>
        <v/>
      </c>
      <c r="L22" s="649">
        <f>K22*(1+L$26)</f>
        <v/>
      </c>
      <c r="M22" s="649">
        <f>L22*(1+M$26)</f>
        <v/>
      </c>
    </row>
    <row r="23">
      <c r="A23" s="272" t="inlineStr">
        <is>
          <t>Additives and Lubricants</t>
        </is>
      </c>
      <c r="F23" s="649" t="n">
        <v>10000</v>
      </c>
      <c r="G23" s="649">
        <f>F23*(1+G$26)</f>
        <v/>
      </c>
      <c r="H23" s="649">
        <f>G23*(1+H$26)</f>
        <v/>
      </c>
      <c r="I23" s="649">
        <f>H23*(1+I$26)</f>
        <v/>
      </c>
      <c r="J23" s="649">
        <f>I23*(1+J$26)</f>
        <v/>
      </c>
      <c r="K23" s="649">
        <f>J23*(1+K$26)</f>
        <v/>
      </c>
      <c r="L23" s="649">
        <f>K23*(1+L$26)</f>
        <v/>
      </c>
      <c r="M23" s="649">
        <f>L23*(1+M$26)</f>
        <v/>
      </c>
    </row>
    <row r="24">
      <c r="A24" s="272" t="inlineStr">
        <is>
          <t>Calcium Carbonate</t>
        </is>
      </c>
      <c r="F24" s="649" t="n">
        <v>10000</v>
      </c>
      <c r="G24" s="649">
        <f>F24*(1+G$26)</f>
        <v/>
      </c>
      <c r="H24" s="649">
        <f>G24*(1+H$26)</f>
        <v/>
      </c>
      <c r="I24" s="649">
        <f>H24*(1+I$26)</f>
        <v/>
      </c>
      <c r="J24" s="649">
        <f>I24*(1+J$26)</f>
        <v/>
      </c>
      <c r="K24" s="649">
        <f>J24*(1+K$26)</f>
        <v/>
      </c>
      <c r="L24" s="649">
        <f>K24*(1+L$26)</f>
        <v/>
      </c>
      <c r="M24" s="649">
        <f>L24*(1+M$26)</f>
        <v/>
      </c>
    </row>
    <row r="25">
      <c r="A25" s="272" t="inlineStr">
        <is>
          <t>Scrap (26%)</t>
        </is>
      </c>
    </row>
    <row r="26">
      <c r="A26" s="301" t="inlineStr">
        <is>
          <t>YOY increase</t>
        </is>
      </c>
      <c r="G26" s="356" t="n">
        <v>0.05</v>
      </c>
      <c r="H26" s="356">
        <f>G26</f>
        <v/>
      </c>
      <c r="I26" s="356">
        <f>H26</f>
        <v/>
      </c>
      <c r="J26" s="356">
        <f>I26</f>
        <v/>
      </c>
      <c r="K26" s="356">
        <f>J26</f>
        <v/>
      </c>
      <c r="L26" s="356">
        <f>K26</f>
        <v/>
      </c>
      <c r="M26" s="356">
        <f>L26</f>
        <v/>
      </c>
    </row>
    <row r="27">
      <c r="A27" s="272" t="inlineStr">
        <is>
          <t>Raw material cost</t>
        </is>
      </c>
    </row>
    <row r="28">
      <c r="A28" s="272" t="inlineStr">
        <is>
          <t>PVC</t>
        </is>
      </c>
      <c r="F28" s="649">
        <f>F21*F14</f>
        <v/>
      </c>
      <c r="G28" s="649">
        <f>G21*G14</f>
        <v/>
      </c>
      <c r="H28" s="649">
        <f>H21*H14</f>
        <v/>
      </c>
      <c r="I28" s="649">
        <f>I21*I14</f>
        <v/>
      </c>
      <c r="J28" s="649">
        <f>J21*J14</f>
        <v/>
      </c>
      <c r="K28" s="649">
        <f>K21*K14</f>
        <v/>
      </c>
      <c r="L28" s="649">
        <f>L21*L14</f>
        <v/>
      </c>
      <c r="M28" s="649">
        <f>M21*M14</f>
        <v/>
      </c>
    </row>
    <row r="29">
      <c r="A29" s="272" t="inlineStr">
        <is>
          <t>Rice Husk</t>
        </is>
      </c>
      <c r="F29" s="649">
        <f>F22*F15</f>
        <v/>
      </c>
      <c r="G29" s="649">
        <f>G22*G15</f>
        <v/>
      </c>
      <c r="H29" s="649">
        <f>H22*H15</f>
        <v/>
      </c>
      <c r="I29" s="649">
        <f>I22*I15</f>
        <v/>
      </c>
      <c r="J29" s="649">
        <f>J22*J15</f>
        <v/>
      </c>
      <c r="K29" s="649">
        <f>K22*K15</f>
        <v/>
      </c>
      <c r="L29" s="649">
        <f>L22*L15</f>
        <v/>
      </c>
      <c r="M29" s="649">
        <f>M22*M15</f>
        <v/>
      </c>
    </row>
    <row r="30">
      <c r="A30" s="272" t="inlineStr">
        <is>
          <t>Additives and Lubricants</t>
        </is>
      </c>
      <c r="F30" s="649">
        <f>F23*F16</f>
        <v/>
      </c>
      <c r="G30" s="649">
        <f>G23*G16</f>
        <v/>
      </c>
      <c r="H30" s="649">
        <f>H23*H16</f>
        <v/>
      </c>
      <c r="I30" s="649">
        <f>I23*I16</f>
        <v/>
      </c>
      <c r="J30" s="649">
        <f>J23*J16</f>
        <v/>
      </c>
      <c r="K30" s="649">
        <f>K23*K16</f>
        <v/>
      </c>
      <c r="L30" s="649">
        <f>L23*L16</f>
        <v/>
      </c>
      <c r="M30" s="649">
        <f>M23*M16</f>
        <v/>
      </c>
    </row>
    <row r="31">
      <c r="A31" s="272" t="inlineStr">
        <is>
          <t>Calcium Carbonate</t>
        </is>
      </c>
      <c r="F31" s="649">
        <f>F24*F17</f>
        <v/>
      </c>
      <c r="G31" s="649">
        <f>G24*G17</f>
        <v/>
      </c>
      <c r="H31" s="649">
        <f>H24*H17</f>
        <v/>
      </c>
      <c r="I31" s="649">
        <f>I24*I17</f>
        <v/>
      </c>
      <c r="J31" s="649">
        <f>J24*J17</f>
        <v/>
      </c>
      <c r="K31" s="649">
        <f>K24*K17</f>
        <v/>
      </c>
      <c r="L31" s="649">
        <f>L24*L17</f>
        <v/>
      </c>
      <c r="M31" s="649">
        <f>M24*M17</f>
        <v/>
      </c>
    </row>
    <row r="32">
      <c r="A32" s="272" t="inlineStr">
        <is>
          <t>Scrap (26%)</t>
        </is>
      </c>
    </row>
    <row r="33">
      <c r="A33" s="224" t="inlineStr">
        <is>
          <t>Total raw material cost per ton</t>
        </is>
      </c>
      <c r="B33" s="224" t="n"/>
      <c r="C33" s="224" t="n"/>
      <c r="D33" s="224" t="n"/>
      <c r="E33" s="224" t="n"/>
      <c r="F33" s="653">
        <f>SUM(F28:F32)</f>
        <v/>
      </c>
      <c r="G33" s="653">
        <f>SUM(G28:G32)</f>
        <v/>
      </c>
      <c r="H33" s="653">
        <f>SUM(H28:H32)</f>
        <v/>
      </c>
      <c r="I33" s="653">
        <f>SUM(I28:I32)</f>
        <v/>
      </c>
      <c r="J33" s="653">
        <f>SUM(J28:J32)</f>
        <v/>
      </c>
      <c r="K33" s="653">
        <f>SUM(K28:K32)</f>
        <v/>
      </c>
      <c r="L33" s="653">
        <f>SUM(L28:L32)</f>
        <v/>
      </c>
      <c r="M33" s="653">
        <f>SUM(M28:M32)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Amrish Doshi</dc:creator>
  <dc:title xmlns:dc="http://purl.org/dc/elements/1.1/">CMA for 8 years</dc:title>
  <dc:description xmlns:dc="http://purl.org/dc/elements/1.1/">This package is the property of _x000d_
ICICI Bank Limited</dc:description>
  <dc:subject xmlns:dc="http://purl.org/dc/elements/1.1/">Credit Monitoring Arrangement</dc:subject>
  <dcterms:created xmlns:dcterms="http://purl.org/dc/terms/" xmlns:xsi="http://www.w3.org/2001/XMLSchema-instance" xsi:type="dcterms:W3CDTF">1999-03-27T08:33:39Z</dcterms:created>
  <dcterms:modified xmlns:dcterms="http://purl.org/dc/terms/" xmlns:xsi="http://www.w3.org/2001/XMLSchema-instance" xsi:type="dcterms:W3CDTF">2026-04-02T09:30:22Z</dcterms:modified>
  <cp:lastModifiedBy>Ashutosh Rathi</cp:lastModifiedBy>
  <cp:revision>5</cp:revision>
  <cp:lastPrinted>2020-08-10T09:46:35Z</cp:lastPrinted>
</cp:coreProperties>
</file>